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n\spongebob-moves-in\Spongebob\Assets\StreamingAssets\Spreadsheets\"/>
    </mc:Choice>
  </mc:AlternateContent>
  <bookViews>
    <workbookView xWindow="0" yWindow="0" windowWidth="19200" windowHeight="6960" tabRatio="876" firstSheet="10" activeTab="20"/>
  </bookViews>
  <sheets>
    <sheet name="BonusPaytables" sheetId="1" r:id="rId1"/>
    <sheet name="ItemCategories" sheetId="26" r:id="rId2"/>
    <sheet name="ItemIdentities" sheetId="27" r:id="rId3"/>
    <sheet name="IAPIdentities" sheetId="28" r:id="rId4"/>
    <sheet name="Conversions" sheetId="29" r:id="rId5"/>
    <sheet name="StoreOrder" sheetId="30" r:id="rId6"/>
    <sheet name="Resources" sheetId="31" r:id="rId7"/>
    <sheet name="Leveling" sheetId="32" r:id="rId8"/>
    <sheet name="InitialBlueprints" sheetId="33" r:id="rId9"/>
    <sheet name="InitialResources" sheetId="34" r:id="rId10"/>
    <sheet name="InitialPaths" sheetId="35" r:id="rId11"/>
    <sheet name="InitialUnlocks" sheetId="36" r:id="rId12"/>
    <sheet name="Notifications" sheetId="37" r:id="rId13"/>
    <sheet name="Recipes" sheetId="2" r:id="rId14"/>
    <sheet name="Units" sheetId="15" r:id="rId15"/>
    <sheet name="CharacterBuildings" sheetId="25" r:id="rId16"/>
    <sheet name="RentOnlyBuildings" sheetId="22" r:id="rId17"/>
    <sheet name="Shops" sheetId="21" r:id="rId18"/>
    <sheet name="Annexes" sheetId="23" r:id="rId19"/>
    <sheet name="Trees" sheetId="24" r:id="rId20"/>
    <sheet name="Treasure" sheetId="16" r:id="rId21"/>
    <sheet name="TreasureSpawn" sheetId="38" r:id="rId22"/>
    <sheet name="Terrain" sheetId="42" r:id="rId23"/>
    <sheet name="TerrainForeground" sheetId="43" r:id="rId24"/>
    <sheet name="TerrainTypes" sheetId="44" r:id="rId25"/>
    <sheet name="TerrainSlots" sheetId="39" r:id="rId26"/>
    <sheet name="DebrisPlacement" sheetId="40" r:id="rId27"/>
    <sheet name="LandmarkPlacement" sheetId="41" r:id="rId28"/>
    <sheet name="Landmarks" sheetId="17" r:id="rId29"/>
    <sheet name="Debris" sheetId="19" r:id="rId30"/>
    <sheet name="Decorations" sheetId="20" r:id="rId31"/>
    <sheet name="ProductionSlots" sheetId="4" r:id="rId32"/>
    <sheet name="CraftBuildings" sheetId="5" r:id="rId33"/>
    <sheet name="VendingStock" sheetId="8" r:id="rId34"/>
    <sheet name="Vendors" sheetId="9" r:id="rId35"/>
    <sheet name="Events" sheetId="10" r:id="rId36"/>
    <sheet name="EventItems" sheetId="11" r:id="rId37"/>
    <sheet name="Sound" sheetId="45" r:id="rId38"/>
    <sheet name="Movies" sheetId="46" r:id="rId39"/>
    <sheet name="Enclosure" sheetId="47" r:id="rId40"/>
    <sheet name="Spline" sheetId="48" r:id="rId41"/>
    <sheet name="Tasks" sheetId="49" r:id="rId42"/>
  </sheets>
  <externalReferences>
    <externalReference r:id="rId43"/>
  </externalReferences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3" i="2"/>
  <c r="D7" i="36" l="1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6" i="36"/>
  <c r="C5" i="34"/>
  <c r="C4" i="34"/>
  <c r="C3" i="34"/>
  <c r="C11" i="34"/>
  <c r="C6" i="34"/>
  <c r="C12" i="34"/>
  <c r="C8" i="34"/>
  <c r="C13" i="34"/>
  <c r="C7" i="34"/>
  <c r="C14" i="34"/>
  <c r="C9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8" i="34"/>
  <c r="C35" i="34"/>
  <c r="C36" i="34"/>
  <c r="C37" i="34"/>
  <c r="C10" i="34"/>
  <c r="H22" i="2" l="1"/>
  <c r="H23" i="2"/>
  <c r="H21" i="2" l="1"/>
  <c r="H29" i="2"/>
  <c r="H143" i="2"/>
  <c r="H44" i="2"/>
  <c r="H152" i="2"/>
  <c r="H45" i="2"/>
  <c r="H46" i="2"/>
  <c r="H47" i="2"/>
  <c r="H144" i="2"/>
  <c r="H145" i="2"/>
  <c r="H153" i="2"/>
  <c r="H146" i="2"/>
  <c r="H147" i="2"/>
  <c r="H154" i="2"/>
  <c r="H155" i="2"/>
  <c r="H148" i="2"/>
  <c r="H131" i="2"/>
  <c r="H149" i="2"/>
  <c r="H150" i="2"/>
  <c r="H151" i="2"/>
  <c r="H48" i="2"/>
  <c r="H66" i="2"/>
  <c r="H24" i="2"/>
  <c r="H67" i="2"/>
  <c r="H68" i="2"/>
  <c r="H156" i="2"/>
  <c r="H157" i="2"/>
  <c r="H158" i="2"/>
  <c r="H159" i="2"/>
  <c r="H132" i="2"/>
  <c r="H160" i="2"/>
  <c r="H25" i="2"/>
  <c r="H161" i="2"/>
  <c r="H162" i="2"/>
  <c r="H163" i="2"/>
  <c r="H172" i="2"/>
  <c r="H173" i="2"/>
  <c r="H86" i="2"/>
  <c r="H87" i="2"/>
  <c r="H90" i="2"/>
  <c r="H91" i="2"/>
  <c r="H92" i="2"/>
  <c r="H93" i="2"/>
  <c r="H94" i="2"/>
  <c r="H95" i="2"/>
  <c r="M4" i="4" l="1"/>
  <c r="N4" i="4"/>
  <c r="O4" i="4"/>
  <c r="P4" i="4"/>
  <c r="Q4" i="4"/>
  <c r="R4" i="4"/>
  <c r="S4" i="4"/>
  <c r="M5" i="4"/>
  <c r="N5" i="4"/>
  <c r="O5" i="4"/>
  <c r="P5" i="4"/>
  <c r="Q5" i="4"/>
  <c r="R5" i="4"/>
  <c r="S5" i="4"/>
  <c r="M6" i="4"/>
  <c r="N6" i="4"/>
  <c r="O6" i="4"/>
  <c r="P6" i="4"/>
  <c r="Q6" i="4"/>
  <c r="R6" i="4"/>
  <c r="S6" i="4"/>
  <c r="M7" i="4"/>
  <c r="N7" i="4"/>
  <c r="O7" i="4"/>
  <c r="P7" i="4"/>
  <c r="Q7" i="4"/>
  <c r="R7" i="4"/>
  <c r="S7" i="4"/>
  <c r="M8" i="4"/>
  <c r="N8" i="4"/>
  <c r="O8" i="4"/>
  <c r="P8" i="4"/>
  <c r="Q8" i="4"/>
  <c r="R8" i="4"/>
  <c r="S8" i="4"/>
  <c r="M9" i="4"/>
  <c r="N9" i="4"/>
  <c r="O9" i="4"/>
  <c r="P9" i="4"/>
  <c r="Q9" i="4"/>
  <c r="R9" i="4"/>
  <c r="S9" i="4"/>
  <c r="M10" i="4"/>
  <c r="N10" i="4"/>
  <c r="O10" i="4"/>
  <c r="P10" i="4"/>
  <c r="Q10" i="4"/>
  <c r="R10" i="4"/>
  <c r="S10" i="4"/>
  <c r="M11" i="4"/>
  <c r="N11" i="4"/>
  <c r="O11" i="4"/>
  <c r="P11" i="4"/>
  <c r="Q11" i="4"/>
  <c r="R11" i="4"/>
  <c r="S11" i="4"/>
  <c r="M12" i="4"/>
  <c r="N12" i="4"/>
  <c r="O12" i="4"/>
  <c r="P12" i="4"/>
  <c r="Q12" i="4"/>
  <c r="R12" i="4"/>
  <c r="S12" i="4"/>
  <c r="M13" i="4"/>
  <c r="N13" i="4"/>
  <c r="O13" i="4"/>
  <c r="P13" i="4"/>
  <c r="Q13" i="4"/>
  <c r="R13" i="4"/>
  <c r="S13" i="4"/>
  <c r="M14" i="4"/>
  <c r="N14" i="4"/>
  <c r="O14" i="4"/>
  <c r="P14" i="4"/>
  <c r="Q14" i="4"/>
  <c r="R14" i="4"/>
  <c r="S14" i="4"/>
  <c r="N3" i="4"/>
  <c r="O3" i="4"/>
  <c r="P3" i="4"/>
  <c r="Q3" i="4"/>
  <c r="R3" i="4"/>
  <c r="S3" i="4"/>
  <c r="M3" i="4"/>
  <c r="C12" i="4"/>
  <c r="C4" i="4"/>
  <c r="C5" i="4"/>
  <c r="C6" i="4"/>
  <c r="C7" i="4"/>
  <c r="C8" i="4"/>
  <c r="C9" i="4"/>
  <c r="C10" i="4"/>
  <c r="C11" i="4"/>
  <c r="C13" i="4"/>
  <c r="C14" i="4"/>
  <c r="C3" i="4"/>
  <c r="H4" i="2" l="1"/>
  <c r="H19" i="2"/>
  <c r="H5" i="2"/>
  <c r="H14" i="2"/>
  <c r="H7" i="2"/>
  <c r="H8" i="2"/>
  <c r="H6" i="2"/>
  <c r="H18" i="2"/>
  <c r="H10" i="2"/>
  <c r="H3" i="2"/>
  <c r="H17" i="2"/>
  <c r="H20" i="2"/>
  <c r="H16" i="2"/>
  <c r="H13" i="2"/>
  <c r="H9" i="2"/>
  <c r="H12" i="2"/>
  <c r="H15" i="2"/>
  <c r="H26" i="2"/>
  <c r="H27" i="2"/>
  <c r="H28" i="2"/>
  <c r="H30" i="2"/>
  <c r="H31" i="2"/>
  <c r="H32" i="2"/>
  <c r="H33" i="2"/>
  <c r="H34" i="2"/>
  <c r="H35" i="2"/>
  <c r="H36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41" i="2"/>
  <c r="H39" i="2"/>
  <c r="H37" i="2"/>
  <c r="H43" i="2"/>
  <c r="H42" i="2"/>
  <c r="H40" i="2"/>
  <c r="H3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8" i="2"/>
  <c r="H89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9" i="2"/>
  <c r="H134" i="2"/>
  <c r="H133" i="2"/>
  <c r="H130" i="2"/>
  <c r="H127" i="2"/>
  <c r="H123" i="2"/>
  <c r="H124" i="2"/>
  <c r="H125" i="2"/>
  <c r="H126" i="2"/>
  <c r="H128" i="2"/>
  <c r="H135" i="2"/>
  <c r="H136" i="2"/>
  <c r="H137" i="2"/>
  <c r="H138" i="2"/>
  <c r="H142" i="2"/>
  <c r="H139" i="2"/>
  <c r="H140" i="2"/>
  <c r="H141" i="2"/>
  <c r="H164" i="2"/>
  <c r="H165" i="2"/>
  <c r="H166" i="2"/>
  <c r="H167" i="2"/>
  <c r="H168" i="2"/>
  <c r="H169" i="2"/>
  <c r="H170" i="2"/>
  <c r="H171" i="2"/>
  <c r="H11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3" i="1"/>
  <c r="AF323" i="1" l="1"/>
  <c r="AG323" i="1"/>
  <c r="AH323" i="1"/>
  <c r="AI323" i="1"/>
  <c r="AJ323" i="1"/>
  <c r="AK323" i="1"/>
  <c r="AL323" i="1"/>
  <c r="AM323" i="1"/>
  <c r="AN323" i="1"/>
  <c r="AO323" i="1"/>
  <c r="AP323" i="1"/>
  <c r="AF324" i="1"/>
  <c r="AG324" i="1"/>
  <c r="AH324" i="1"/>
  <c r="AI324" i="1"/>
  <c r="AJ324" i="1"/>
  <c r="AK324" i="1"/>
  <c r="AL324" i="1"/>
  <c r="AM324" i="1"/>
  <c r="AN324" i="1"/>
  <c r="AO324" i="1"/>
  <c r="AP324" i="1"/>
  <c r="AF325" i="1"/>
  <c r="AG325" i="1"/>
  <c r="AH325" i="1"/>
  <c r="AI325" i="1"/>
  <c r="AJ325" i="1"/>
  <c r="AK325" i="1"/>
  <c r="AL325" i="1"/>
  <c r="AM325" i="1"/>
  <c r="AN325" i="1"/>
  <c r="AO325" i="1"/>
  <c r="AP325" i="1"/>
  <c r="AF326" i="1"/>
  <c r="AG326" i="1"/>
  <c r="AH326" i="1"/>
  <c r="AI326" i="1"/>
  <c r="AJ326" i="1"/>
  <c r="AK326" i="1"/>
  <c r="AL326" i="1"/>
  <c r="AM326" i="1"/>
  <c r="AN326" i="1"/>
  <c r="AO326" i="1"/>
  <c r="AP326" i="1"/>
  <c r="AF327" i="1"/>
  <c r="AG327" i="1"/>
  <c r="AH327" i="1"/>
  <c r="AI327" i="1"/>
  <c r="AJ327" i="1"/>
  <c r="AK327" i="1"/>
  <c r="AL327" i="1"/>
  <c r="AM327" i="1"/>
  <c r="AN327" i="1"/>
  <c r="AO327" i="1"/>
  <c r="AP327" i="1"/>
  <c r="AF328" i="1"/>
  <c r="AG328" i="1"/>
  <c r="AH328" i="1"/>
  <c r="AI328" i="1"/>
  <c r="AJ328" i="1"/>
  <c r="AK328" i="1"/>
  <c r="AL328" i="1"/>
  <c r="AM328" i="1"/>
  <c r="AN328" i="1"/>
  <c r="AO328" i="1"/>
  <c r="AP328" i="1"/>
  <c r="AF329" i="1"/>
  <c r="AG329" i="1"/>
  <c r="AH329" i="1"/>
  <c r="AI329" i="1"/>
  <c r="AJ329" i="1"/>
  <c r="AK329" i="1"/>
  <c r="AL329" i="1"/>
  <c r="AM329" i="1"/>
  <c r="AN329" i="1"/>
  <c r="AO329" i="1"/>
  <c r="AP329" i="1"/>
  <c r="AF330" i="1"/>
  <c r="AG330" i="1"/>
  <c r="AH330" i="1"/>
  <c r="AI330" i="1"/>
  <c r="AJ330" i="1"/>
  <c r="AK330" i="1"/>
  <c r="AL330" i="1"/>
  <c r="AM330" i="1"/>
  <c r="AN330" i="1"/>
  <c r="AO330" i="1"/>
  <c r="AP330" i="1"/>
  <c r="AF331" i="1"/>
  <c r="AG331" i="1"/>
  <c r="AH331" i="1"/>
  <c r="AI331" i="1"/>
  <c r="AJ331" i="1"/>
  <c r="AK331" i="1"/>
  <c r="AL331" i="1"/>
  <c r="AM331" i="1"/>
  <c r="AN331" i="1"/>
  <c r="AO331" i="1"/>
  <c r="AP331" i="1"/>
  <c r="AF332" i="1"/>
  <c r="AG332" i="1"/>
  <c r="AH332" i="1"/>
  <c r="AI332" i="1"/>
  <c r="AJ332" i="1"/>
  <c r="AK332" i="1"/>
  <c r="AL332" i="1"/>
  <c r="AM332" i="1"/>
  <c r="AN332" i="1"/>
  <c r="AO332" i="1"/>
  <c r="AP332" i="1"/>
  <c r="AF333" i="1"/>
  <c r="AG333" i="1"/>
  <c r="AH333" i="1"/>
  <c r="AI333" i="1"/>
  <c r="AJ333" i="1"/>
  <c r="AK333" i="1"/>
  <c r="AL333" i="1"/>
  <c r="AM333" i="1"/>
  <c r="AN333" i="1"/>
  <c r="AO333" i="1"/>
  <c r="AP333" i="1"/>
  <c r="AF334" i="1"/>
  <c r="AG334" i="1"/>
  <c r="AH334" i="1"/>
  <c r="AI334" i="1"/>
  <c r="AJ334" i="1"/>
  <c r="AK334" i="1"/>
  <c r="AL334" i="1"/>
  <c r="AM334" i="1"/>
  <c r="AN334" i="1"/>
  <c r="AO334" i="1"/>
  <c r="AP334" i="1"/>
  <c r="AF335" i="1"/>
  <c r="AG335" i="1"/>
  <c r="AH335" i="1"/>
  <c r="AI335" i="1"/>
  <c r="AJ335" i="1"/>
  <c r="AK335" i="1"/>
  <c r="AL335" i="1"/>
  <c r="AM335" i="1"/>
  <c r="AN335" i="1"/>
  <c r="AO335" i="1"/>
  <c r="AP335" i="1"/>
  <c r="AF336" i="1"/>
  <c r="AG336" i="1"/>
  <c r="AH336" i="1"/>
  <c r="AI336" i="1"/>
  <c r="AJ336" i="1"/>
  <c r="AK336" i="1"/>
  <c r="AL336" i="1"/>
  <c r="AM336" i="1"/>
  <c r="AN336" i="1"/>
  <c r="AO336" i="1"/>
  <c r="AP336" i="1"/>
  <c r="AF337" i="1"/>
  <c r="AG337" i="1"/>
  <c r="AH337" i="1"/>
  <c r="AI337" i="1"/>
  <c r="AJ337" i="1"/>
  <c r="AK337" i="1"/>
  <c r="AL337" i="1"/>
  <c r="AM337" i="1"/>
  <c r="AN337" i="1"/>
  <c r="AO337" i="1"/>
  <c r="AP337" i="1"/>
  <c r="AF338" i="1"/>
  <c r="AG338" i="1"/>
  <c r="AH338" i="1"/>
  <c r="AI338" i="1"/>
  <c r="AJ338" i="1"/>
  <c r="AK338" i="1"/>
  <c r="AL338" i="1"/>
  <c r="AM338" i="1"/>
  <c r="AN338" i="1"/>
  <c r="AO338" i="1"/>
  <c r="AP338" i="1"/>
  <c r="AF339" i="1"/>
  <c r="AG339" i="1"/>
  <c r="AH339" i="1"/>
  <c r="AI339" i="1"/>
  <c r="AJ339" i="1"/>
  <c r="AK339" i="1"/>
  <c r="AL339" i="1"/>
  <c r="AM339" i="1"/>
  <c r="AN339" i="1"/>
  <c r="AO339" i="1"/>
  <c r="AP339" i="1"/>
  <c r="AF340" i="1"/>
  <c r="AG340" i="1"/>
  <c r="AH340" i="1"/>
  <c r="AI340" i="1"/>
  <c r="AJ340" i="1"/>
  <c r="AK340" i="1"/>
  <c r="AL340" i="1"/>
  <c r="AM340" i="1"/>
  <c r="AN340" i="1"/>
  <c r="AO340" i="1"/>
  <c r="AP340" i="1"/>
  <c r="AF341" i="1"/>
  <c r="AG341" i="1"/>
  <c r="AH341" i="1"/>
  <c r="AI341" i="1"/>
  <c r="AJ341" i="1"/>
  <c r="AK341" i="1"/>
  <c r="AL341" i="1"/>
  <c r="AM341" i="1"/>
  <c r="AN341" i="1"/>
  <c r="AO341" i="1"/>
  <c r="AP341" i="1"/>
  <c r="AF342" i="1"/>
  <c r="AG342" i="1"/>
  <c r="AH342" i="1"/>
  <c r="AI342" i="1"/>
  <c r="AJ342" i="1"/>
  <c r="AK342" i="1"/>
  <c r="AL342" i="1"/>
  <c r="AM342" i="1"/>
  <c r="AN342" i="1"/>
  <c r="AO342" i="1"/>
  <c r="AP342" i="1"/>
  <c r="AF343" i="1"/>
  <c r="AG343" i="1"/>
  <c r="AH343" i="1"/>
  <c r="AI343" i="1"/>
  <c r="AJ343" i="1"/>
  <c r="AK343" i="1"/>
  <c r="AL343" i="1"/>
  <c r="AM343" i="1"/>
  <c r="AN343" i="1"/>
  <c r="AO343" i="1"/>
  <c r="AP343" i="1"/>
  <c r="AF344" i="1"/>
  <c r="AG344" i="1"/>
  <c r="AH344" i="1"/>
  <c r="AI344" i="1"/>
  <c r="AJ344" i="1"/>
  <c r="AK344" i="1"/>
  <c r="AL344" i="1"/>
  <c r="AM344" i="1"/>
  <c r="AN344" i="1"/>
  <c r="AO344" i="1"/>
  <c r="AP344" i="1"/>
  <c r="AF345" i="1"/>
  <c r="AG345" i="1"/>
  <c r="AH345" i="1"/>
  <c r="AI345" i="1"/>
  <c r="AJ345" i="1"/>
  <c r="AK345" i="1"/>
  <c r="AL345" i="1"/>
  <c r="AM345" i="1"/>
  <c r="AN345" i="1"/>
  <c r="AO345" i="1"/>
  <c r="AP345" i="1"/>
  <c r="AF346" i="1"/>
  <c r="AG346" i="1"/>
  <c r="AH346" i="1"/>
  <c r="AI346" i="1"/>
  <c r="AJ346" i="1"/>
  <c r="AK346" i="1"/>
  <c r="AL346" i="1"/>
  <c r="AM346" i="1"/>
  <c r="AN346" i="1"/>
  <c r="AO346" i="1"/>
  <c r="AP346" i="1"/>
  <c r="AF347" i="1"/>
  <c r="AG347" i="1"/>
  <c r="AH347" i="1"/>
  <c r="AI347" i="1"/>
  <c r="AJ347" i="1"/>
  <c r="AK347" i="1"/>
  <c r="AL347" i="1"/>
  <c r="AM347" i="1"/>
  <c r="AN347" i="1"/>
  <c r="AO347" i="1"/>
  <c r="AP347" i="1"/>
  <c r="AF348" i="1"/>
  <c r="AG348" i="1"/>
  <c r="AH348" i="1"/>
  <c r="AI348" i="1"/>
  <c r="AJ348" i="1"/>
  <c r="AK348" i="1"/>
  <c r="AL348" i="1"/>
  <c r="AM348" i="1"/>
  <c r="AN348" i="1"/>
  <c r="AO348" i="1"/>
  <c r="AP348" i="1"/>
  <c r="AF349" i="1"/>
  <c r="AG349" i="1"/>
  <c r="AH349" i="1"/>
  <c r="AI349" i="1"/>
  <c r="AJ349" i="1"/>
  <c r="AK349" i="1"/>
  <c r="AL349" i="1"/>
  <c r="AM349" i="1"/>
  <c r="AN349" i="1"/>
  <c r="AO349" i="1"/>
  <c r="AP349" i="1"/>
  <c r="AF350" i="1"/>
  <c r="AG350" i="1"/>
  <c r="AH350" i="1"/>
  <c r="AI350" i="1"/>
  <c r="AJ350" i="1"/>
  <c r="AK350" i="1"/>
  <c r="AL350" i="1"/>
  <c r="AM350" i="1"/>
  <c r="AN350" i="1"/>
  <c r="AO350" i="1"/>
  <c r="AP350" i="1"/>
  <c r="AF351" i="1"/>
  <c r="AG351" i="1"/>
  <c r="AH351" i="1"/>
  <c r="AI351" i="1"/>
  <c r="AJ351" i="1"/>
  <c r="AK351" i="1"/>
  <c r="AL351" i="1"/>
  <c r="AM351" i="1"/>
  <c r="AN351" i="1"/>
  <c r="AO351" i="1"/>
  <c r="AP351" i="1"/>
  <c r="AF352" i="1"/>
  <c r="AG352" i="1"/>
  <c r="AH352" i="1"/>
  <c r="AI352" i="1"/>
  <c r="AJ352" i="1"/>
  <c r="AK352" i="1"/>
  <c r="AL352" i="1"/>
  <c r="AM352" i="1"/>
  <c r="AN352" i="1"/>
  <c r="AO352" i="1"/>
  <c r="AP352" i="1"/>
  <c r="AF353" i="1"/>
  <c r="AG353" i="1"/>
  <c r="AH353" i="1"/>
  <c r="AI353" i="1"/>
  <c r="AJ353" i="1"/>
  <c r="AK353" i="1"/>
  <c r="AL353" i="1"/>
  <c r="AM353" i="1"/>
  <c r="AN353" i="1"/>
  <c r="AO353" i="1"/>
  <c r="AP353" i="1"/>
  <c r="AF354" i="1"/>
  <c r="AG354" i="1"/>
  <c r="AH354" i="1"/>
  <c r="AI354" i="1"/>
  <c r="AJ354" i="1"/>
  <c r="AK354" i="1"/>
  <c r="AL354" i="1"/>
  <c r="AM354" i="1"/>
  <c r="AN354" i="1"/>
  <c r="AO354" i="1"/>
  <c r="AP354" i="1"/>
  <c r="AF355" i="1"/>
  <c r="AG355" i="1"/>
  <c r="AH355" i="1"/>
  <c r="AI355" i="1"/>
  <c r="AJ355" i="1"/>
  <c r="AK355" i="1"/>
  <c r="AL355" i="1"/>
  <c r="AM355" i="1"/>
  <c r="AN355" i="1"/>
  <c r="AO355" i="1"/>
  <c r="AP355" i="1"/>
  <c r="AF356" i="1"/>
  <c r="AG356" i="1"/>
  <c r="AH356" i="1"/>
  <c r="AI356" i="1"/>
  <c r="AJ356" i="1"/>
  <c r="AK356" i="1"/>
  <c r="AL356" i="1"/>
  <c r="AM356" i="1"/>
  <c r="AN356" i="1"/>
  <c r="AO356" i="1"/>
  <c r="AP356" i="1"/>
  <c r="AF357" i="1"/>
  <c r="AG357" i="1"/>
  <c r="AH357" i="1"/>
  <c r="AI357" i="1"/>
  <c r="AJ357" i="1"/>
  <c r="AK357" i="1"/>
  <c r="AL357" i="1"/>
  <c r="AM357" i="1"/>
  <c r="AN357" i="1"/>
  <c r="AO357" i="1"/>
  <c r="AP357" i="1"/>
  <c r="AF358" i="1"/>
  <c r="AG358" i="1"/>
  <c r="AH358" i="1"/>
  <c r="AI358" i="1"/>
  <c r="AJ358" i="1"/>
  <c r="AK358" i="1"/>
  <c r="AL358" i="1"/>
  <c r="AM358" i="1"/>
  <c r="AN358" i="1"/>
  <c r="AO358" i="1"/>
  <c r="AP358" i="1"/>
  <c r="AF359" i="1"/>
  <c r="AG359" i="1"/>
  <c r="AH359" i="1"/>
  <c r="AI359" i="1"/>
  <c r="AJ359" i="1"/>
  <c r="AK359" i="1"/>
  <c r="AL359" i="1"/>
  <c r="AM359" i="1"/>
  <c r="AN359" i="1"/>
  <c r="AO359" i="1"/>
  <c r="AP359" i="1"/>
  <c r="AF360" i="1"/>
  <c r="AG360" i="1"/>
  <c r="AH360" i="1"/>
  <c r="AI360" i="1"/>
  <c r="AJ360" i="1"/>
  <c r="AK360" i="1"/>
  <c r="AL360" i="1"/>
  <c r="AM360" i="1"/>
  <c r="AN360" i="1"/>
  <c r="AO360" i="1"/>
  <c r="AP360" i="1"/>
  <c r="AF361" i="1"/>
  <c r="AG361" i="1"/>
  <c r="AH361" i="1"/>
  <c r="AI361" i="1"/>
  <c r="AJ361" i="1"/>
  <c r="AK361" i="1"/>
  <c r="AL361" i="1"/>
  <c r="AM361" i="1"/>
  <c r="AN361" i="1"/>
  <c r="AO361" i="1"/>
  <c r="AP361" i="1"/>
  <c r="AF362" i="1"/>
  <c r="AG362" i="1"/>
  <c r="AH362" i="1"/>
  <c r="AI362" i="1"/>
  <c r="AJ362" i="1"/>
  <c r="AK362" i="1"/>
  <c r="AL362" i="1"/>
  <c r="AM362" i="1"/>
  <c r="AN362" i="1"/>
  <c r="AO362" i="1"/>
  <c r="AP362" i="1"/>
  <c r="AF363" i="1"/>
  <c r="AG363" i="1"/>
  <c r="AH363" i="1"/>
  <c r="AI363" i="1"/>
  <c r="AJ363" i="1"/>
  <c r="AK363" i="1"/>
  <c r="AL363" i="1"/>
  <c r="AM363" i="1"/>
  <c r="AN363" i="1"/>
  <c r="AO363" i="1"/>
  <c r="AP363" i="1"/>
  <c r="AF364" i="1"/>
  <c r="AG364" i="1"/>
  <c r="AH364" i="1"/>
  <c r="AI364" i="1"/>
  <c r="AJ364" i="1"/>
  <c r="AK364" i="1"/>
  <c r="AL364" i="1"/>
  <c r="AM364" i="1"/>
  <c r="AN364" i="1"/>
  <c r="AO364" i="1"/>
  <c r="AP364" i="1"/>
  <c r="AF365" i="1"/>
  <c r="AG365" i="1"/>
  <c r="AH365" i="1"/>
  <c r="AI365" i="1"/>
  <c r="AJ365" i="1"/>
  <c r="AK365" i="1"/>
  <c r="AL365" i="1"/>
  <c r="AM365" i="1"/>
  <c r="AN365" i="1"/>
  <c r="AO365" i="1"/>
  <c r="AP365" i="1"/>
  <c r="AF366" i="1"/>
  <c r="AG366" i="1"/>
  <c r="AH366" i="1"/>
  <c r="AI366" i="1"/>
  <c r="AJ366" i="1"/>
  <c r="AK366" i="1"/>
  <c r="AL366" i="1"/>
  <c r="AM366" i="1"/>
  <c r="AN366" i="1"/>
  <c r="AO366" i="1"/>
  <c r="AP366" i="1"/>
  <c r="AF367" i="1"/>
  <c r="AG367" i="1"/>
  <c r="AH367" i="1"/>
  <c r="AI367" i="1"/>
  <c r="AJ367" i="1"/>
  <c r="AK367" i="1"/>
  <c r="AL367" i="1"/>
  <c r="AM367" i="1"/>
  <c r="AN367" i="1"/>
  <c r="AO367" i="1"/>
  <c r="AP367" i="1"/>
  <c r="AF368" i="1"/>
  <c r="AG368" i="1"/>
  <c r="AH368" i="1"/>
  <c r="AI368" i="1"/>
  <c r="AJ368" i="1"/>
  <c r="AK368" i="1"/>
  <c r="AL368" i="1"/>
  <c r="AM368" i="1"/>
  <c r="AN368" i="1"/>
  <c r="AO368" i="1"/>
  <c r="AP368" i="1"/>
  <c r="AF369" i="1"/>
  <c r="AG369" i="1"/>
  <c r="AH369" i="1"/>
  <c r="AI369" i="1"/>
  <c r="AJ369" i="1"/>
  <c r="AK369" i="1"/>
  <c r="AL369" i="1"/>
  <c r="AM369" i="1"/>
  <c r="AN369" i="1"/>
  <c r="AO369" i="1"/>
  <c r="AP369" i="1"/>
  <c r="AF370" i="1"/>
  <c r="AG370" i="1"/>
  <c r="AH370" i="1"/>
  <c r="AI370" i="1"/>
  <c r="AJ370" i="1"/>
  <c r="AK370" i="1"/>
  <c r="AL370" i="1"/>
  <c r="AM370" i="1"/>
  <c r="AN370" i="1"/>
  <c r="AO370" i="1"/>
  <c r="AP370" i="1"/>
  <c r="AF371" i="1"/>
  <c r="AG371" i="1"/>
  <c r="AH371" i="1"/>
  <c r="AI371" i="1"/>
  <c r="AJ371" i="1"/>
  <c r="AK371" i="1"/>
  <c r="AL371" i="1"/>
  <c r="AM371" i="1"/>
  <c r="AN371" i="1"/>
  <c r="AO371" i="1"/>
  <c r="AP371" i="1"/>
  <c r="AF372" i="1"/>
  <c r="AG372" i="1"/>
  <c r="AH372" i="1"/>
  <c r="AI372" i="1"/>
  <c r="AJ372" i="1"/>
  <c r="AK372" i="1"/>
  <c r="AL372" i="1"/>
  <c r="AM372" i="1"/>
  <c r="AN372" i="1"/>
  <c r="AO372" i="1"/>
  <c r="AP372" i="1"/>
  <c r="AF373" i="1"/>
  <c r="AG373" i="1"/>
  <c r="AH373" i="1"/>
  <c r="AI373" i="1"/>
  <c r="AJ373" i="1"/>
  <c r="AK373" i="1"/>
  <c r="AL373" i="1"/>
  <c r="AM373" i="1"/>
  <c r="AN373" i="1"/>
  <c r="AO373" i="1"/>
  <c r="AP373" i="1"/>
  <c r="AF374" i="1"/>
  <c r="AG374" i="1"/>
  <c r="AH374" i="1"/>
  <c r="AI374" i="1"/>
  <c r="AJ374" i="1"/>
  <c r="AK374" i="1"/>
  <c r="AL374" i="1"/>
  <c r="AM374" i="1"/>
  <c r="AN374" i="1"/>
  <c r="AO374" i="1"/>
  <c r="AP374" i="1"/>
  <c r="AF375" i="1"/>
  <c r="AG375" i="1"/>
  <c r="AH375" i="1"/>
  <c r="AI375" i="1"/>
  <c r="AJ375" i="1"/>
  <c r="AK375" i="1"/>
  <c r="AL375" i="1"/>
  <c r="AM375" i="1"/>
  <c r="AN375" i="1"/>
  <c r="AO375" i="1"/>
  <c r="AP375" i="1"/>
  <c r="AF376" i="1"/>
  <c r="AG376" i="1"/>
  <c r="AH376" i="1"/>
  <c r="AI376" i="1"/>
  <c r="AJ376" i="1"/>
  <c r="AK376" i="1"/>
  <c r="AL376" i="1"/>
  <c r="AM376" i="1"/>
  <c r="AN376" i="1"/>
  <c r="AO376" i="1"/>
  <c r="AP376" i="1"/>
  <c r="AF377" i="1"/>
  <c r="AG377" i="1"/>
  <c r="AH377" i="1"/>
  <c r="AI377" i="1"/>
  <c r="AJ377" i="1"/>
  <c r="AK377" i="1"/>
  <c r="AL377" i="1"/>
  <c r="AM377" i="1"/>
  <c r="AN377" i="1"/>
  <c r="AO377" i="1"/>
  <c r="AP377" i="1"/>
  <c r="AF378" i="1"/>
  <c r="AG378" i="1"/>
  <c r="AH378" i="1"/>
  <c r="AI378" i="1"/>
  <c r="AJ378" i="1"/>
  <c r="AK378" i="1"/>
  <c r="AL378" i="1"/>
  <c r="AM378" i="1"/>
  <c r="AN378" i="1"/>
  <c r="AO378" i="1"/>
  <c r="AP378" i="1"/>
  <c r="AF379" i="1"/>
  <c r="AG379" i="1"/>
  <c r="AH379" i="1"/>
  <c r="AI379" i="1"/>
  <c r="AJ379" i="1"/>
  <c r="AK379" i="1"/>
  <c r="AL379" i="1"/>
  <c r="AM379" i="1"/>
  <c r="AN379" i="1"/>
  <c r="AO379" i="1"/>
  <c r="AP379" i="1"/>
  <c r="AF380" i="1"/>
  <c r="AG380" i="1"/>
  <c r="AH380" i="1"/>
  <c r="AI380" i="1"/>
  <c r="AJ380" i="1"/>
  <c r="AK380" i="1"/>
  <c r="AL380" i="1"/>
  <c r="AM380" i="1"/>
  <c r="AN380" i="1"/>
  <c r="AO380" i="1"/>
  <c r="AP380" i="1"/>
  <c r="AF381" i="1"/>
  <c r="AG381" i="1"/>
  <c r="AH381" i="1"/>
  <c r="AI381" i="1"/>
  <c r="AJ381" i="1"/>
  <c r="AK381" i="1"/>
  <c r="AL381" i="1"/>
  <c r="AM381" i="1"/>
  <c r="AN381" i="1"/>
  <c r="AO381" i="1"/>
  <c r="AP381" i="1"/>
  <c r="AF382" i="1"/>
  <c r="AG382" i="1"/>
  <c r="AH382" i="1"/>
  <c r="AI382" i="1"/>
  <c r="AJ382" i="1"/>
  <c r="AK382" i="1"/>
  <c r="AL382" i="1"/>
  <c r="AM382" i="1"/>
  <c r="AN382" i="1"/>
  <c r="AO382" i="1"/>
  <c r="AP382" i="1"/>
  <c r="AF383" i="1"/>
  <c r="AG383" i="1"/>
  <c r="AH383" i="1"/>
  <c r="AI383" i="1"/>
  <c r="AJ383" i="1"/>
  <c r="AK383" i="1"/>
  <c r="AL383" i="1"/>
  <c r="AM383" i="1"/>
  <c r="AN383" i="1"/>
  <c r="AO383" i="1"/>
  <c r="AP383" i="1"/>
  <c r="AF384" i="1"/>
  <c r="AG384" i="1"/>
  <c r="AH384" i="1"/>
  <c r="AI384" i="1"/>
  <c r="AJ384" i="1"/>
  <c r="AK384" i="1"/>
  <c r="AL384" i="1"/>
  <c r="AM384" i="1"/>
  <c r="AN384" i="1"/>
  <c r="AO384" i="1"/>
  <c r="AP384" i="1"/>
  <c r="AF385" i="1"/>
  <c r="AG385" i="1"/>
  <c r="AH385" i="1"/>
  <c r="AI385" i="1"/>
  <c r="AJ385" i="1"/>
  <c r="AK385" i="1"/>
  <c r="AL385" i="1"/>
  <c r="AM385" i="1"/>
  <c r="AN385" i="1"/>
  <c r="AO385" i="1"/>
  <c r="AP385" i="1"/>
  <c r="AF386" i="1"/>
  <c r="AG386" i="1"/>
  <c r="AH386" i="1"/>
  <c r="AI386" i="1"/>
  <c r="AJ386" i="1"/>
  <c r="AK386" i="1"/>
  <c r="AL386" i="1"/>
  <c r="AM386" i="1"/>
  <c r="AN386" i="1"/>
  <c r="AO386" i="1"/>
  <c r="AP386" i="1"/>
  <c r="AF387" i="1"/>
  <c r="AG387" i="1"/>
  <c r="AH387" i="1"/>
  <c r="AI387" i="1"/>
  <c r="AJ387" i="1"/>
  <c r="AK387" i="1"/>
  <c r="AL387" i="1"/>
  <c r="AM387" i="1"/>
  <c r="AN387" i="1"/>
  <c r="AO387" i="1"/>
  <c r="AP387" i="1"/>
  <c r="AF388" i="1"/>
  <c r="AG388" i="1"/>
  <c r="AH388" i="1"/>
  <c r="AI388" i="1"/>
  <c r="AJ388" i="1"/>
  <c r="AK388" i="1"/>
  <c r="AL388" i="1"/>
  <c r="AM388" i="1"/>
  <c r="AN388" i="1"/>
  <c r="AO388" i="1"/>
  <c r="AP388" i="1"/>
  <c r="AF389" i="1"/>
  <c r="AG389" i="1"/>
  <c r="AH389" i="1"/>
  <c r="AI389" i="1"/>
  <c r="AJ389" i="1"/>
  <c r="AK389" i="1"/>
  <c r="AL389" i="1"/>
  <c r="AM389" i="1"/>
  <c r="AN389" i="1"/>
  <c r="AO389" i="1"/>
  <c r="AP389" i="1"/>
  <c r="AF390" i="1"/>
  <c r="AG390" i="1"/>
  <c r="AH390" i="1"/>
  <c r="AI390" i="1"/>
  <c r="AJ390" i="1"/>
  <c r="AK390" i="1"/>
  <c r="AL390" i="1"/>
  <c r="AM390" i="1"/>
  <c r="AN390" i="1"/>
  <c r="AO390" i="1"/>
  <c r="AP390" i="1"/>
  <c r="AF391" i="1"/>
  <c r="AG391" i="1"/>
  <c r="AH391" i="1"/>
  <c r="AI391" i="1"/>
  <c r="AJ391" i="1"/>
  <c r="AK391" i="1"/>
  <c r="AL391" i="1"/>
  <c r="AM391" i="1"/>
  <c r="AN391" i="1"/>
  <c r="AO391" i="1"/>
  <c r="AP391" i="1"/>
  <c r="AF392" i="1"/>
  <c r="AG392" i="1"/>
  <c r="AH392" i="1"/>
  <c r="AI392" i="1"/>
  <c r="AJ392" i="1"/>
  <c r="AK392" i="1"/>
  <c r="AL392" i="1"/>
  <c r="AM392" i="1"/>
  <c r="AN392" i="1"/>
  <c r="AO392" i="1"/>
  <c r="AP392" i="1"/>
  <c r="AF393" i="1"/>
  <c r="AG393" i="1"/>
  <c r="AH393" i="1"/>
  <c r="AI393" i="1"/>
  <c r="AJ393" i="1"/>
  <c r="AK393" i="1"/>
  <c r="AL393" i="1"/>
  <c r="AM393" i="1"/>
  <c r="AN393" i="1"/>
  <c r="AO393" i="1"/>
  <c r="AP393" i="1"/>
  <c r="AF394" i="1"/>
  <c r="AG394" i="1"/>
  <c r="AH394" i="1"/>
  <c r="AI394" i="1"/>
  <c r="AJ394" i="1"/>
  <c r="AK394" i="1"/>
  <c r="AL394" i="1"/>
  <c r="AM394" i="1"/>
  <c r="AN394" i="1"/>
  <c r="AO394" i="1"/>
  <c r="AP394" i="1"/>
  <c r="AF395" i="1"/>
  <c r="AG395" i="1"/>
  <c r="AH395" i="1"/>
  <c r="AI395" i="1"/>
  <c r="AJ395" i="1"/>
  <c r="AK395" i="1"/>
  <c r="AL395" i="1"/>
  <c r="AM395" i="1"/>
  <c r="AN395" i="1"/>
  <c r="AO395" i="1"/>
  <c r="AP395" i="1"/>
  <c r="AF396" i="1"/>
  <c r="AG396" i="1"/>
  <c r="AH396" i="1"/>
  <c r="AI396" i="1"/>
  <c r="AJ396" i="1"/>
  <c r="AK396" i="1"/>
  <c r="AL396" i="1"/>
  <c r="AM396" i="1"/>
  <c r="AN396" i="1"/>
  <c r="AO396" i="1"/>
  <c r="AP396" i="1"/>
  <c r="AF397" i="1"/>
  <c r="AG397" i="1"/>
  <c r="AH397" i="1"/>
  <c r="AI397" i="1"/>
  <c r="AJ397" i="1"/>
  <c r="AK397" i="1"/>
  <c r="AL397" i="1"/>
  <c r="AM397" i="1"/>
  <c r="AN397" i="1"/>
  <c r="AO397" i="1"/>
  <c r="AP397" i="1"/>
  <c r="AF398" i="1"/>
  <c r="AG398" i="1"/>
  <c r="AH398" i="1"/>
  <c r="AI398" i="1"/>
  <c r="AJ398" i="1"/>
  <c r="AK398" i="1"/>
  <c r="AL398" i="1"/>
  <c r="AM398" i="1"/>
  <c r="AN398" i="1"/>
  <c r="AO398" i="1"/>
  <c r="AP398" i="1"/>
  <c r="AF399" i="1"/>
  <c r="AG399" i="1"/>
  <c r="AH399" i="1"/>
  <c r="AI399" i="1"/>
  <c r="AJ399" i="1"/>
  <c r="AK399" i="1"/>
  <c r="AL399" i="1"/>
  <c r="AM399" i="1"/>
  <c r="AN399" i="1"/>
  <c r="AO399" i="1"/>
  <c r="AP399" i="1"/>
  <c r="AF400" i="1"/>
  <c r="AG400" i="1"/>
  <c r="AH400" i="1"/>
  <c r="AI400" i="1"/>
  <c r="AJ400" i="1"/>
  <c r="AK400" i="1"/>
  <c r="AL400" i="1"/>
  <c r="AM400" i="1"/>
  <c r="AN400" i="1"/>
  <c r="AO400" i="1"/>
  <c r="AP400" i="1"/>
  <c r="AF401" i="1"/>
  <c r="AG401" i="1"/>
  <c r="AH401" i="1"/>
  <c r="AI401" i="1"/>
  <c r="AJ401" i="1"/>
  <c r="AK401" i="1"/>
  <c r="AL401" i="1"/>
  <c r="AM401" i="1"/>
  <c r="AN401" i="1"/>
  <c r="AO401" i="1"/>
  <c r="AP401" i="1"/>
  <c r="AF402" i="1"/>
  <c r="AG402" i="1"/>
  <c r="AH402" i="1"/>
  <c r="AI402" i="1"/>
  <c r="AJ402" i="1"/>
  <c r="AK402" i="1"/>
  <c r="AL402" i="1"/>
  <c r="AM402" i="1"/>
  <c r="AN402" i="1"/>
  <c r="AO402" i="1"/>
  <c r="AP402" i="1"/>
  <c r="AF403" i="1"/>
  <c r="AG403" i="1"/>
  <c r="AH403" i="1"/>
  <c r="AI403" i="1"/>
  <c r="AJ403" i="1"/>
  <c r="AK403" i="1"/>
  <c r="AL403" i="1"/>
  <c r="AM403" i="1"/>
  <c r="AN403" i="1"/>
  <c r="AO403" i="1"/>
  <c r="AP403" i="1"/>
  <c r="AF404" i="1"/>
  <c r="AG404" i="1"/>
  <c r="AH404" i="1"/>
  <c r="AI404" i="1"/>
  <c r="AJ404" i="1"/>
  <c r="AK404" i="1"/>
  <c r="AL404" i="1"/>
  <c r="AM404" i="1"/>
  <c r="AN404" i="1"/>
  <c r="AO404" i="1"/>
  <c r="AP404" i="1"/>
  <c r="AF405" i="1"/>
  <c r="AG405" i="1"/>
  <c r="AH405" i="1"/>
  <c r="AI405" i="1"/>
  <c r="AJ405" i="1"/>
  <c r="AK405" i="1"/>
  <c r="AL405" i="1"/>
  <c r="AM405" i="1"/>
  <c r="AN405" i="1"/>
  <c r="AO405" i="1"/>
  <c r="AP405" i="1"/>
  <c r="AF406" i="1"/>
  <c r="AG406" i="1"/>
  <c r="AH406" i="1"/>
  <c r="AI406" i="1"/>
  <c r="AJ406" i="1"/>
  <c r="AK406" i="1"/>
  <c r="AL406" i="1"/>
  <c r="AM406" i="1"/>
  <c r="AN406" i="1"/>
  <c r="AO406" i="1"/>
  <c r="AP406" i="1"/>
  <c r="AF407" i="1"/>
  <c r="AG407" i="1"/>
  <c r="AH407" i="1"/>
  <c r="AI407" i="1"/>
  <c r="AJ407" i="1"/>
  <c r="AK407" i="1"/>
  <c r="AL407" i="1"/>
  <c r="AM407" i="1"/>
  <c r="AN407" i="1"/>
  <c r="AO407" i="1"/>
  <c r="AP407" i="1"/>
  <c r="AF408" i="1"/>
  <c r="AG408" i="1"/>
  <c r="AH408" i="1"/>
  <c r="AI408" i="1"/>
  <c r="AJ408" i="1"/>
  <c r="AK408" i="1"/>
  <c r="AL408" i="1"/>
  <c r="AM408" i="1"/>
  <c r="AN408" i="1"/>
  <c r="AO408" i="1"/>
  <c r="AP408" i="1"/>
  <c r="AF409" i="1"/>
  <c r="AG409" i="1"/>
  <c r="AH409" i="1"/>
  <c r="AI409" i="1"/>
  <c r="AJ409" i="1"/>
  <c r="AK409" i="1"/>
  <c r="AL409" i="1"/>
  <c r="AM409" i="1"/>
  <c r="AN409" i="1"/>
  <c r="AO409" i="1"/>
  <c r="AP409" i="1"/>
  <c r="AF410" i="1"/>
  <c r="AG410" i="1"/>
  <c r="AH410" i="1"/>
  <c r="AI410" i="1"/>
  <c r="AJ410" i="1"/>
  <c r="AK410" i="1"/>
  <c r="AL410" i="1"/>
  <c r="AM410" i="1"/>
  <c r="AN410" i="1"/>
  <c r="AO410" i="1"/>
  <c r="AP410" i="1"/>
  <c r="AF411" i="1"/>
  <c r="AG411" i="1"/>
  <c r="AH411" i="1"/>
  <c r="AI411" i="1"/>
  <c r="AJ411" i="1"/>
  <c r="AK411" i="1"/>
  <c r="AL411" i="1"/>
  <c r="AM411" i="1"/>
  <c r="AN411" i="1"/>
  <c r="AO411" i="1"/>
  <c r="AP411" i="1"/>
  <c r="AF412" i="1"/>
  <c r="AG412" i="1"/>
  <c r="AH412" i="1"/>
  <c r="AI412" i="1"/>
  <c r="AJ412" i="1"/>
  <c r="AK412" i="1"/>
  <c r="AL412" i="1"/>
  <c r="AM412" i="1"/>
  <c r="AN412" i="1"/>
  <c r="AO412" i="1"/>
  <c r="AP412" i="1"/>
  <c r="AF413" i="1"/>
  <c r="AG413" i="1"/>
  <c r="AH413" i="1"/>
  <c r="AI413" i="1"/>
  <c r="AJ413" i="1"/>
  <c r="AK413" i="1"/>
  <c r="AL413" i="1"/>
  <c r="AM413" i="1"/>
  <c r="AN413" i="1"/>
  <c r="AO413" i="1"/>
  <c r="AP413" i="1"/>
  <c r="AF414" i="1"/>
  <c r="AG414" i="1"/>
  <c r="AH414" i="1"/>
  <c r="AI414" i="1"/>
  <c r="AJ414" i="1"/>
  <c r="AK414" i="1"/>
  <c r="AL414" i="1"/>
  <c r="AM414" i="1"/>
  <c r="AN414" i="1"/>
  <c r="AO414" i="1"/>
  <c r="AP414" i="1"/>
  <c r="AF415" i="1"/>
  <c r="AG415" i="1"/>
  <c r="AH415" i="1"/>
  <c r="AI415" i="1"/>
  <c r="AJ415" i="1"/>
  <c r="AK415" i="1"/>
  <c r="AL415" i="1"/>
  <c r="AM415" i="1"/>
  <c r="AN415" i="1"/>
  <c r="AO415" i="1"/>
  <c r="AP415" i="1"/>
  <c r="AF416" i="1"/>
  <c r="AG416" i="1"/>
  <c r="AH416" i="1"/>
  <c r="AI416" i="1"/>
  <c r="AJ416" i="1"/>
  <c r="AK416" i="1"/>
  <c r="AL416" i="1"/>
  <c r="AM416" i="1"/>
  <c r="AN416" i="1"/>
  <c r="AO416" i="1"/>
  <c r="AP416" i="1"/>
  <c r="AF417" i="1"/>
  <c r="AG417" i="1"/>
  <c r="AH417" i="1"/>
  <c r="AI417" i="1"/>
  <c r="AJ417" i="1"/>
  <c r="AK417" i="1"/>
  <c r="AL417" i="1"/>
  <c r="AM417" i="1"/>
  <c r="AN417" i="1"/>
  <c r="AO417" i="1"/>
  <c r="AP417" i="1"/>
  <c r="AF418" i="1"/>
  <c r="AG418" i="1"/>
  <c r="AH418" i="1"/>
  <c r="AI418" i="1"/>
  <c r="AJ418" i="1"/>
  <c r="AK418" i="1"/>
  <c r="AL418" i="1"/>
  <c r="AM418" i="1"/>
  <c r="AN418" i="1"/>
  <c r="AO418" i="1"/>
  <c r="AP418" i="1"/>
  <c r="AF419" i="1"/>
  <c r="AG419" i="1"/>
  <c r="AH419" i="1"/>
  <c r="AI419" i="1"/>
  <c r="AJ419" i="1"/>
  <c r="AK419" i="1"/>
  <c r="AL419" i="1"/>
  <c r="AM419" i="1"/>
  <c r="AN419" i="1"/>
  <c r="AO419" i="1"/>
  <c r="AP419" i="1"/>
  <c r="AF420" i="1"/>
  <c r="AG420" i="1"/>
  <c r="AH420" i="1"/>
  <c r="AI420" i="1"/>
  <c r="AJ420" i="1"/>
  <c r="AK420" i="1"/>
  <c r="AL420" i="1"/>
  <c r="AM420" i="1"/>
  <c r="AN420" i="1"/>
  <c r="AO420" i="1"/>
  <c r="AP420" i="1"/>
  <c r="AF421" i="1"/>
  <c r="AG421" i="1"/>
  <c r="AH421" i="1"/>
  <c r="AI421" i="1"/>
  <c r="AJ421" i="1"/>
  <c r="AK421" i="1"/>
  <c r="AL421" i="1"/>
  <c r="AM421" i="1"/>
  <c r="AN421" i="1"/>
  <c r="AO421" i="1"/>
  <c r="AP421" i="1"/>
  <c r="AF422" i="1"/>
  <c r="AG422" i="1"/>
  <c r="AH422" i="1"/>
  <c r="AI422" i="1"/>
  <c r="AJ422" i="1"/>
  <c r="AK422" i="1"/>
  <c r="AL422" i="1"/>
  <c r="AM422" i="1"/>
  <c r="AN422" i="1"/>
  <c r="AO422" i="1"/>
  <c r="AP422" i="1"/>
  <c r="AF423" i="1"/>
  <c r="AG423" i="1"/>
  <c r="AH423" i="1"/>
  <c r="AI423" i="1"/>
  <c r="AJ423" i="1"/>
  <c r="AK423" i="1"/>
  <c r="AL423" i="1"/>
  <c r="AM423" i="1"/>
  <c r="AN423" i="1"/>
  <c r="AO423" i="1"/>
  <c r="AP423" i="1"/>
  <c r="AF424" i="1"/>
  <c r="AG424" i="1"/>
  <c r="AH424" i="1"/>
  <c r="AI424" i="1"/>
  <c r="AJ424" i="1"/>
  <c r="AK424" i="1"/>
  <c r="AL424" i="1"/>
  <c r="AM424" i="1"/>
  <c r="AN424" i="1"/>
  <c r="AO424" i="1"/>
  <c r="AP424" i="1"/>
  <c r="AF425" i="1"/>
  <c r="AG425" i="1"/>
  <c r="AH425" i="1"/>
  <c r="AI425" i="1"/>
  <c r="AJ425" i="1"/>
  <c r="AK425" i="1"/>
  <c r="AL425" i="1"/>
  <c r="AM425" i="1"/>
  <c r="AN425" i="1"/>
  <c r="AO425" i="1"/>
  <c r="AP425" i="1"/>
  <c r="AF426" i="1"/>
  <c r="AG426" i="1"/>
  <c r="AH426" i="1"/>
  <c r="AI426" i="1"/>
  <c r="AJ426" i="1"/>
  <c r="AK426" i="1"/>
  <c r="AL426" i="1"/>
  <c r="AM426" i="1"/>
  <c r="AN426" i="1"/>
  <c r="AO426" i="1"/>
  <c r="AP426" i="1"/>
  <c r="AF427" i="1"/>
  <c r="AG427" i="1"/>
  <c r="AH427" i="1"/>
  <c r="AI427" i="1"/>
  <c r="AJ427" i="1"/>
  <c r="AK427" i="1"/>
  <c r="AL427" i="1"/>
  <c r="AM427" i="1"/>
  <c r="AN427" i="1"/>
  <c r="AO427" i="1"/>
  <c r="AP427" i="1"/>
  <c r="AF428" i="1"/>
  <c r="AG428" i="1"/>
  <c r="AH428" i="1"/>
  <c r="AI428" i="1"/>
  <c r="AJ428" i="1"/>
  <c r="AK428" i="1"/>
  <c r="AL428" i="1"/>
  <c r="AM428" i="1"/>
  <c r="AN428" i="1"/>
  <c r="AO428" i="1"/>
  <c r="AP428" i="1"/>
  <c r="AF429" i="1"/>
  <c r="AG429" i="1"/>
  <c r="AH429" i="1"/>
  <c r="AI429" i="1"/>
  <c r="AJ429" i="1"/>
  <c r="AK429" i="1"/>
  <c r="AL429" i="1"/>
  <c r="AM429" i="1"/>
  <c r="AN429" i="1"/>
  <c r="AO429" i="1"/>
  <c r="AP429" i="1"/>
  <c r="AF430" i="1"/>
  <c r="AG430" i="1"/>
  <c r="AH430" i="1"/>
  <c r="AI430" i="1"/>
  <c r="AJ430" i="1"/>
  <c r="AK430" i="1"/>
  <c r="AL430" i="1"/>
  <c r="AM430" i="1"/>
  <c r="AN430" i="1"/>
  <c r="AO430" i="1"/>
  <c r="AP430" i="1"/>
  <c r="AF431" i="1"/>
  <c r="AG431" i="1"/>
  <c r="AH431" i="1"/>
  <c r="AI431" i="1"/>
  <c r="AJ431" i="1"/>
  <c r="AK431" i="1"/>
  <c r="AL431" i="1"/>
  <c r="AM431" i="1"/>
  <c r="AN431" i="1"/>
  <c r="AO431" i="1"/>
  <c r="AP431" i="1"/>
  <c r="AF432" i="1"/>
  <c r="AG432" i="1"/>
  <c r="AH432" i="1"/>
  <c r="AI432" i="1"/>
  <c r="AJ432" i="1"/>
  <c r="AK432" i="1"/>
  <c r="AL432" i="1"/>
  <c r="AM432" i="1"/>
  <c r="AN432" i="1"/>
  <c r="AO432" i="1"/>
  <c r="AP432" i="1"/>
  <c r="AF433" i="1"/>
  <c r="AG433" i="1"/>
  <c r="AH433" i="1"/>
  <c r="AI433" i="1"/>
  <c r="AJ433" i="1"/>
  <c r="AK433" i="1"/>
  <c r="AL433" i="1"/>
  <c r="AM433" i="1"/>
  <c r="AN433" i="1"/>
  <c r="AO433" i="1"/>
  <c r="AP433" i="1"/>
  <c r="AF434" i="1"/>
  <c r="AG434" i="1"/>
  <c r="AH434" i="1"/>
  <c r="AI434" i="1"/>
  <c r="AJ434" i="1"/>
  <c r="AK434" i="1"/>
  <c r="AL434" i="1"/>
  <c r="AM434" i="1"/>
  <c r="AN434" i="1"/>
  <c r="AO434" i="1"/>
  <c r="AP434" i="1"/>
  <c r="AF435" i="1"/>
  <c r="AG435" i="1"/>
  <c r="AH435" i="1"/>
  <c r="AI435" i="1"/>
  <c r="AJ435" i="1"/>
  <c r="AK435" i="1"/>
  <c r="AL435" i="1"/>
  <c r="AM435" i="1"/>
  <c r="AN435" i="1"/>
  <c r="AO435" i="1"/>
  <c r="AP435" i="1"/>
  <c r="AF436" i="1"/>
  <c r="AG436" i="1"/>
  <c r="AH436" i="1"/>
  <c r="AI436" i="1"/>
  <c r="AJ436" i="1"/>
  <c r="AK436" i="1"/>
  <c r="AL436" i="1"/>
  <c r="AM436" i="1"/>
  <c r="AN436" i="1"/>
  <c r="AO436" i="1"/>
  <c r="AP436" i="1"/>
  <c r="AF437" i="1"/>
  <c r="AG437" i="1"/>
  <c r="AH437" i="1"/>
  <c r="AI437" i="1"/>
  <c r="AJ437" i="1"/>
  <c r="AK437" i="1"/>
  <c r="AL437" i="1"/>
  <c r="AM437" i="1"/>
  <c r="AN437" i="1"/>
  <c r="AO437" i="1"/>
  <c r="AP437" i="1"/>
  <c r="AF438" i="1"/>
  <c r="AG438" i="1"/>
  <c r="AH438" i="1"/>
  <c r="AI438" i="1"/>
  <c r="AJ438" i="1"/>
  <c r="AK438" i="1"/>
  <c r="AL438" i="1"/>
  <c r="AM438" i="1"/>
  <c r="AN438" i="1"/>
  <c r="AO438" i="1"/>
  <c r="AP438" i="1"/>
  <c r="AF439" i="1"/>
  <c r="AG439" i="1"/>
  <c r="AH439" i="1"/>
  <c r="AI439" i="1"/>
  <c r="AJ439" i="1"/>
  <c r="AK439" i="1"/>
  <c r="AL439" i="1"/>
  <c r="AM439" i="1"/>
  <c r="AN439" i="1"/>
  <c r="AO439" i="1"/>
  <c r="AP439" i="1"/>
  <c r="AF440" i="1"/>
  <c r="AG440" i="1"/>
  <c r="AH440" i="1"/>
  <c r="AI440" i="1"/>
  <c r="AJ440" i="1"/>
  <c r="AK440" i="1"/>
  <c r="AL440" i="1"/>
  <c r="AM440" i="1"/>
  <c r="AN440" i="1"/>
  <c r="AO440" i="1"/>
  <c r="AP440" i="1"/>
  <c r="AF441" i="1"/>
  <c r="AG441" i="1"/>
  <c r="AH441" i="1"/>
  <c r="AI441" i="1"/>
  <c r="AJ441" i="1"/>
  <c r="AK441" i="1"/>
  <c r="AL441" i="1"/>
  <c r="AM441" i="1"/>
  <c r="AN441" i="1"/>
  <c r="AO441" i="1"/>
  <c r="AP441" i="1"/>
  <c r="AF442" i="1"/>
  <c r="AG442" i="1"/>
  <c r="AH442" i="1"/>
  <c r="AI442" i="1"/>
  <c r="AJ442" i="1"/>
  <c r="AK442" i="1"/>
  <c r="AL442" i="1"/>
  <c r="AM442" i="1"/>
  <c r="AN442" i="1"/>
  <c r="AO442" i="1"/>
  <c r="AP442" i="1"/>
  <c r="AF443" i="1"/>
  <c r="AG443" i="1"/>
  <c r="AH443" i="1"/>
  <c r="AI443" i="1"/>
  <c r="AJ443" i="1"/>
  <c r="AK443" i="1"/>
  <c r="AL443" i="1"/>
  <c r="AM443" i="1"/>
  <c r="AN443" i="1"/>
  <c r="AO443" i="1"/>
  <c r="AP443" i="1"/>
  <c r="AF444" i="1"/>
  <c r="AG444" i="1"/>
  <c r="AH444" i="1"/>
  <c r="AI444" i="1"/>
  <c r="AJ444" i="1"/>
  <c r="AK444" i="1"/>
  <c r="AL444" i="1"/>
  <c r="AM444" i="1"/>
  <c r="AN444" i="1"/>
  <c r="AO444" i="1"/>
  <c r="AP444" i="1"/>
  <c r="AF445" i="1"/>
  <c r="AG445" i="1"/>
  <c r="AH445" i="1"/>
  <c r="AI445" i="1"/>
  <c r="AJ445" i="1"/>
  <c r="AK445" i="1"/>
  <c r="AL445" i="1"/>
  <c r="AM445" i="1"/>
  <c r="AN445" i="1"/>
  <c r="AO445" i="1"/>
  <c r="AP445" i="1"/>
  <c r="AF446" i="1"/>
  <c r="AG446" i="1"/>
  <c r="AH446" i="1"/>
  <c r="AI446" i="1"/>
  <c r="AJ446" i="1"/>
  <c r="AK446" i="1"/>
  <c r="AL446" i="1"/>
  <c r="AM446" i="1"/>
  <c r="AN446" i="1"/>
  <c r="AO446" i="1"/>
  <c r="AP446" i="1"/>
  <c r="AF447" i="1"/>
  <c r="AG447" i="1"/>
  <c r="AH447" i="1"/>
  <c r="AI447" i="1"/>
  <c r="AJ447" i="1"/>
  <c r="AK447" i="1"/>
  <c r="AL447" i="1"/>
  <c r="AM447" i="1"/>
  <c r="AN447" i="1"/>
  <c r="AO447" i="1"/>
  <c r="AP447" i="1"/>
  <c r="AF448" i="1"/>
  <c r="AG448" i="1"/>
  <c r="AH448" i="1"/>
  <c r="AI448" i="1"/>
  <c r="AJ448" i="1"/>
  <c r="AK448" i="1"/>
  <c r="AL448" i="1"/>
  <c r="AM448" i="1"/>
  <c r="AN448" i="1"/>
  <c r="AO448" i="1"/>
  <c r="AP448" i="1"/>
  <c r="AF449" i="1"/>
  <c r="AG449" i="1"/>
  <c r="AH449" i="1"/>
  <c r="AI449" i="1"/>
  <c r="AJ449" i="1"/>
  <c r="AK449" i="1"/>
  <c r="AL449" i="1"/>
  <c r="AM449" i="1"/>
  <c r="AN449" i="1"/>
  <c r="AO449" i="1"/>
  <c r="AP449" i="1"/>
  <c r="AF450" i="1"/>
  <c r="AG450" i="1"/>
  <c r="AH450" i="1"/>
  <c r="AI450" i="1"/>
  <c r="AJ450" i="1"/>
  <c r="AK450" i="1"/>
  <c r="AL450" i="1"/>
  <c r="AM450" i="1"/>
  <c r="AN450" i="1"/>
  <c r="AO450" i="1"/>
  <c r="AP450" i="1"/>
  <c r="AF451" i="1"/>
  <c r="AG451" i="1"/>
  <c r="AH451" i="1"/>
  <c r="AI451" i="1"/>
  <c r="AJ451" i="1"/>
  <c r="AK451" i="1"/>
  <c r="AL451" i="1"/>
  <c r="AM451" i="1"/>
  <c r="AN451" i="1"/>
  <c r="AO451" i="1"/>
  <c r="AP451" i="1"/>
  <c r="AF452" i="1"/>
  <c r="AG452" i="1"/>
  <c r="AH452" i="1"/>
  <c r="AI452" i="1"/>
  <c r="AJ452" i="1"/>
  <c r="AK452" i="1"/>
  <c r="AL452" i="1"/>
  <c r="AM452" i="1"/>
  <c r="AN452" i="1"/>
  <c r="AO452" i="1"/>
  <c r="AP452" i="1"/>
  <c r="AF453" i="1"/>
  <c r="AG453" i="1"/>
  <c r="AH453" i="1"/>
  <c r="AI453" i="1"/>
  <c r="AJ453" i="1"/>
  <c r="AK453" i="1"/>
  <c r="AL453" i="1"/>
  <c r="AM453" i="1"/>
  <c r="AN453" i="1"/>
  <c r="AO453" i="1"/>
  <c r="AP453" i="1"/>
  <c r="AF454" i="1"/>
  <c r="AG454" i="1"/>
  <c r="AH454" i="1"/>
  <c r="AI454" i="1"/>
  <c r="AJ454" i="1"/>
  <c r="AK454" i="1"/>
  <c r="AL454" i="1"/>
  <c r="AM454" i="1"/>
  <c r="AN454" i="1"/>
  <c r="AO454" i="1"/>
  <c r="AP454" i="1"/>
  <c r="AF455" i="1"/>
  <c r="AG455" i="1"/>
  <c r="AH455" i="1"/>
  <c r="AI455" i="1"/>
  <c r="AJ455" i="1"/>
  <c r="AK455" i="1"/>
  <c r="AL455" i="1"/>
  <c r="AM455" i="1"/>
  <c r="AN455" i="1"/>
  <c r="AO455" i="1"/>
  <c r="AP455" i="1"/>
  <c r="AF456" i="1"/>
  <c r="AG456" i="1"/>
  <c r="AH456" i="1"/>
  <c r="AI456" i="1"/>
  <c r="AJ456" i="1"/>
  <c r="AK456" i="1"/>
  <c r="AL456" i="1"/>
  <c r="AM456" i="1"/>
  <c r="AN456" i="1"/>
  <c r="AO456" i="1"/>
  <c r="AP456" i="1"/>
  <c r="AF457" i="1"/>
  <c r="AG457" i="1"/>
  <c r="AH457" i="1"/>
  <c r="AI457" i="1"/>
  <c r="AJ457" i="1"/>
  <c r="AK457" i="1"/>
  <c r="AL457" i="1"/>
  <c r="AM457" i="1"/>
  <c r="AN457" i="1"/>
  <c r="AO457" i="1"/>
  <c r="AP457" i="1"/>
  <c r="AF458" i="1"/>
  <c r="AG458" i="1"/>
  <c r="AH458" i="1"/>
  <c r="AI458" i="1"/>
  <c r="AJ458" i="1"/>
  <c r="AK458" i="1"/>
  <c r="AL458" i="1"/>
  <c r="AM458" i="1"/>
  <c r="AN458" i="1"/>
  <c r="AO458" i="1"/>
  <c r="AP458" i="1"/>
  <c r="AF459" i="1"/>
  <c r="AG459" i="1"/>
  <c r="AH459" i="1"/>
  <c r="AI459" i="1"/>
  <c r="AJ459" i="1"/>
  <c r="AK459" i="1"/>
  <c r="AL459" i="1"/>
  <c r="AM459" i="1"/>
  <c r="AN459" i="1"/>
  <c r="AO459" i="1"/>
  <c r="AP459" i="1"/>
  <c r="AF460" i="1"/>
  <c r="AG460" i="1"/>
  <c r="AH460" i="1"/>
  <c r="AI460" i="1"/>
  <c r="AJ460" i="1"/>
  <c r="AK460" i="1"/>
  <c r="AL460" i="1"/>
  <c r="AM460" i="1"/>
  <c r="AN460" i="1"/>
  <c r="AO460" i="1"/>
  <c r="AP460" i="1"/>
  <c r="AF461" i="1"/>
  <c r="AG461" i="1"/>
  <c r="AH461" i="1"/>
  <c r="AI461" i="1"/>
  <c r="AJ461" i="1"/>
  <c r="AK461" i="1"/>
  <c r="AL461" i="1"/>
  <c r="AM461" i="1"/>
  <c r="AN461" i="1"/>
  <c r="AO461" i="1"/>
  <c r="AP461" i="1"/>
  <c r="AF462" i="1"/>
  <c r="AG462" i="1"/>
  <c r="AH462" i="1"/>
  <c r="AI462" i="1"/>
  <c r="AJ462" i="1"/>
  <c r="AK462" i="1"/>
  <c r="AL462" i="1"/>
  <c r="AM462" i="1"/>
  <c r="AN462" i="1"/>
  <c r="AO462" i="1"/>
  <c r="AP462" i="1"/>
  <c r="AF463" i="1"/>
  <c r="AG463" i="1"/>
  <c r="AH463" i="1"/>
  <c r="AI463" i="1"/>
  <c r="AJ463" i="1"/>
  <c r="AK463" i="1"/>
  <c r="AL463" i="1"/>
  <c r="AM463" i="1"/>
  <c r="AN463" i="1"/>
  <c r="AO463" i="1"/>
  <c r="AP463" i="1"/>
  <c r="AF464" i="1"/>
  <c r="AG464" i="1"/>
  <c r="AH464" i="1"/>
  <c r="AI464" i="1"/>
  <c r="AJ464" i="1"/>
  <c r="AK464" i="1"/>
  <c r="AL464" i="1"/>
  <c r="AM464" i="1"/>
  <c r="AN464" i="1"/>
  <c r="AO464" i="1"/>
  <c r="AP464" i="1"/>
  <c r="AF465" i="1"/>
  <c r="AG465" i="1"/>
  <c r="AH465" i="1"/>
  <c r="AI465" i="1"/>
  <c r="AJ465" i="1"/>
  <c r="AK465" i="1"/>
  <c r="AL465" i="1"/>
  <c r="AM465" i="1"/>
  <c r="AN465" i="1"/>
  <c r="AO465" i="1"/>
  <c r="AP465" i="1"/>
  <c r="AF466" i="1"/>
  <c r="AG466" i="1"/>
  <c r="AH466" i="1"/>
  <c r="AI466" i="1"/>
  <c r="AJ466" i="1"/>
  <c r="AK466" i="1"/>
  <c r="AL466" i="1"/>
  <c r="AM466" i="1"/>
  <c r="AN466" i="1"/>
  <c r="AO466" i="1"/>
  <c r="AP466" i="1"/>
  <c r="AF467" i="1"/>
  <c r="AG467" i="1"/>
  <c r="AH467" i="1"/>
  <c r="AI467" i="1"/>
  <c r="AJ467" i="1"/>
  <c r="AK467" i="1"/>
  <c r="AL467" i="1"/>
  <c r="AM467" i="1"/>
  <c r="AN467" i="1"/>
  <c r="AO467" i="1"/>
  <c r="AP467" i="1"/>
  <c r="AF468" i="1"/>
  <c r="AG468" i="1"/>
  <c r="AH468" i="1"/>
  <c r="AI468" i="1"/>
  <c r="AJ468" i="1"/>
  <c r="AK468" i="1"/>
  <c r="AL468" i="1"/>
  <c r="AM468" i="1"/>
  <c r="AN468" i="1"/>
  <c r="AO468" i="1"/>
  <c r="AP468" i="1"/>
  <c r="AF469" i="1"/>
  <c r="AG469" i="1"/>
  <c r="AH469" i="1"/>
  <c r="AI469" i="1"/>
  <c r="AJ469" i="1"/>
  <c r="AK469" i="1"/>
  <c r="AL469" i="1"/>
  <c r="AM469" i="1"/>
  <c r="AN469" i="1"/>
  <c r="AO469" i="1"/>
  <c r="AP469" i="1"/>
  <c r="AF470" i="1"/>
  <c r="AG470" i="1"/>
  <c r="AH470" i="1"/>
  <c r="AI470" i="1"/>
  <c r="AJ470" i="1"/>
  <c r="AK470" i="1"/>
  <c r="AL470" i="1"/>
  <c r="AM470" i="1"/>
  <c r="AN470" i="1"/>
  <c r="AO470" i="1"/>
  <c r="AP470" i="1"/>
  <c r="AF471" i="1"/>
  <c r="AG471" i="1"/>
  <c r="AH471" i="1"/>
  <c r="AI471" i="1"/>
  <c r="AJ471" i="1"/>
  <c r="AK471" i="1"/>
  <c r="AL471" i="1"/>
  <c r="AM471" i="1"/>
  <c r="AN471" i="1"/>
  <c r="AO471" i="1"/>
  <c r="AP471" i="1"/>
  <c r="AF472" i="1"/>
  <c r="AG472" i="1"/>
  <c r="AH472" i="1"/>
  <c r="AI472" i="1"/>
  <c r="AJ472" i="1"/>
  <c r="AK472" i="1"/>
  <c r="AL472" i="1"/>
  <c r="AM472" i="1"/>
  <c r="AN472" i="1"/>
  <c r="AO472" i="1"/>
  <c r="AP472" i="1"/>
  <c r="AF473" i="1"/>
  <c r="AG473" i="1"/>
  <c r="AH473" i="1"/>
  <c r="AI473" i="1"/>
  <c r="AJ473" i="1"/>
  <c r="AK473" i="1"/>
  <c r="AL473" i="1"/>
  <c r="AM473" i="1"/>
  <c r="AN473" i="1"/>
  <c r="AO473" i="1"/>
  <c r="AP473" i="1"/>
  <c r="AF474" i="1"/>
  <c r="AG474" i="1"/>
  <c r="AH474" i="1"/>
  <c r="AI474" i="1"/>
  <c r="AJ474" i="1"/>
  <c r="AK474" i="1"/>
  <c r="AL474" i="1"/>
  <c r="AM474" i="1"/>
  <c r="AN474" i="1"/>
  <c r="AO474" i="1"/>
  <c r="AP474" i="1"/>
  <c r="AF475" i="1"/>
  <c r="AG475" i="1"/>
  <c r="AH475" i="1"/>
  <c r="AI475" i="1"/>
  <c r="AJ475" i="1"/>
  <c r="AK475" i="1"/>
  <c r="AL475" i="1"/>
  <c r="AM475" i="1"/>
  <c r="AN475" i="1"/>
  <c r="AO475" i="1"/>
  <c r="AP475" i="1"/>
  <c r="AF107" i="1"/>
  <c r="AG107" i="1"/>
  <c r="AH107" i="1"/>
  <c r="AI107" i="1"/>
  <c r="AJ107" i="1"/>
  <c r="AK107" i="1"/>
  <c r="AL107" i="1"/>
  <c r="AM107" i="1"/>
  <c r="AN107" i="1"/>
  <c r="AO107" i="1"/>
  <c r="AP107" i="1"/>
  <c r="AF108" i="1"/>
  <c r="AG108" i="1"/>
  <c r="AH108" i="1"/>
  <c r="AI108" i="1"/>
  <c r="AJ108" i="1"/>
  <c r="AK108" i="1"/>
  <c r="AL108" i="1"/>
  <c r="AM108" i="1"/>
  <c r="AN108" i="1"/>
  <c r="AO108" i="1"/>
  <c r="AP108" i="1"/>
  <c r="AF109" i="1"/>
  <c r="AG109" i="1"/>
  <c r="AH109" i="1"/>
  <c r="AI109" i="1"/>
  <c r="AJ109" i="1"/>
  <c r="AK109" i="1"/>
  <c r="AL109" i="1"/>
  <c r="AM109" i="1"/>
  <c r="AN109" i="1"/>
  <c r="AO109" i="1"/>
  <c r="AP109" i="1"/>
  <c r="AF110" i="1"/>
  <c r="AG110" i="1"/>
  <c r="AH110" i="1"/>
  <c r="AI110" i="1"/>
  <c r="AJ110" i="1"/>
  <c r="AK110" i="1"/>
  <c r="AL110" i="1"/>
  <c r="AM110" i="1"/>
  <c r="AN110" i="1"/>
  <c r="AO110" i="1"/>
  <c r="AP110" i="1"/>
  <c r="AF111" i="1"/>
  <c r="AG111" i="1"/>
  <c r="AH111" i="1"/>
  <c r="AI111" i="1"/>
  <c r="AJ111" i="1"/>
  <c r="AK111" i="1"/>
  <c r="AL111" i="1"/>
  <c r="AM111" i="1"/>
  <c r="AN111" i="1"/>
  <c r="AO111" i="1"/>
  <c r="AP111" i="1"/>
  <c r="AF112" i="1"/>
  <c r="AG112" i="1"/>
  <c r="AH112" i="1"/>
  <c r="AI112" i="1"/>
  <c r="AJ112" i="1"/>
  <c r="AK112" i="1"/>
  <c r="AL112" i="1"/>
  <c r="AM112" i="1"/>
  <c r="AN112" i="1"/>
  <c r="AO112" i="1"/>
  <c r="AP112" i="1"/>
  <c r="AF113" i="1"/>
  <c r="AG113" i="1"/>
  <c r="AH113" i="1"/>
  <c r="AI113" i="1"/>
  <c r="AJ113" i="1"/>
  <c r="AK113" i="1"/>
  <c r="AL113" i="1"/>
  <c r="AM113" i="1"/>
  <c r="AN113" i="1"/>
  <c r="AO113" i="1"/>
  <c r="AP113" i="1"/>
  <c r="AF114" i="1"/>
  <c r="AG114" i="1"/>
  <c r="AH114" i="1"/>
  <c r="AI114" i="1"/>
  <c r="AJ114" i="1"/>
  <c r="AK114" i="1"/>
  <c r="AL114" i="1"/>
  <c r="AM114" i="1"/>
  <c r="AN114" i="1"/>
  <c r="AO114" i="1"/>
  <c r="AP114" i="1"/>
  <c r="AF115" i="1"/>
  <c r="AG115" i="1"/>
  <c r="AH115" i="1"/>
  <c r="AI115" i="1"/>
  <c r="AJ115" i="1"/>
  <c r="AK115" i="1"/>
  <c r="AL115" i="1"/>
  <c r="AM115" i="1"/>
  <c r="AN115" i="1"/>
  <c r="AO115" i="1"/>
  <c r="AP115" i="1"/>
  <c r="AF116" i="1"/>
  <c r="AG116" i="1"/>
  <c r="AH116" i="1"/>
  <c r="AI116" i="1"/>
  <c r="AJ116" i="1"/>
  <c r="AK116" i="1"/>
  <c r="AL116" i="1"/>
  <c r="AM116" i="1"/>
  <c r="AN116" i="1"/>
  <c r="AO116" i="1"/>
  <c r="AP116" i="1"/>
  <c r="AF117" i="1"/>
  <c r="AG117" i="1"/>
  <c r="AH117" i="1"/>
  <c r="AI117" i="1"/>
  <c r="AJ117" i="1"/>
  <c r="AK117" i="1"/>
  <c r="AL117" i="1"/>
  <c r="AM117" i="1"/>
  <c r="AN117" i="1"/>
  <c r="AO117" i="1"/>
  <c r="AP117" i="1"/>
  <c r="AF118" i="1"/>
  <c r="AG118" i="1"/>
  <c r="AH118" i="1"/>
  <c r="AI118" i="1"/>
  <c r="AJ118" i="1"/>
  <c r="AK118" i="1"/>
  <c r="AL118" i="1"/>
  <c r="AM118" i="1"/>
  <c r="AN118" i="1"/>
  <c r="AO118" i="1"/>
  <c r="AP118" i="1"/>
  <c r="AF119" i="1"/>
  <c r="AG119" i="1"/>
  <c r="AH119" i="1"/>
  <c r="AI119" i="1"/>
  <c r="AJ119" i="1"/>
  <c r="AK119" i="1"/>
  <c r="AL119" i="1"/>
  <c r="AM119" i="1"/>
  <c r="AN119" i="1"/>
  <c r="AO119" i="1"/>
  <c r="AP119" i="1"/>
  <c r="AF120" i="1"/>
  <c r="AG120" i="1"/>
  <c r="AH120" i="1"/>
  <c r="AI120" i="1"/>
  <c r="AJ120" i="1"/>
  <c r="AK120" i="1"/>
  <c r="AL120" i="1"/>
  <c r="AM120" i="1"/>
  <c r="AN120" i="1"/>
  <c r="AO120" i="1"/>
  <c r="AP120" i="1"/>
  <c r="AF121" i="1"/>
  <c r="AG121" i="1"/>
  <c r="AH121" i="1"/>
  <c r="AI121" i="1"/>
  <c r="AJ121" i="1"/>
  <c r="AK121" i="1"/>
  <c r="AL121" i="1"/>
  <c r="AM121" i="1"/>
  <c r="AN121" i="1"/>
  <c r="AO121" i="1"/>
  <c r="AP121" i="1"/>
  <c r="AF122" i="1"/>
  <c r="AG122" i="1"/>
  <c r="AH122" i="1"/>
  <c r="AI122" i="1"/>
  <c r="AJ122" i="1"/>
  <c r="AK122" i="1"/>
  <c r="AL122" i="1"/>
  <c r="AM122" i="1"/>
  <c r="AN122" i="1"/>
  <c r="AO122" i="1"/>
  <c r="AP122" i="1"/>
  <c r="AF123" i="1"/>
  <c r="AG123" i="1"/>
  <c r="AH123" i="1"/>
  <c r="AI123" i="1"/>
  <c r="AJ123" i="1"/>
  <c r="AK123" i="1"/>
  <c r="AL123" i="1"/>
  <c r="AM123" i="1"/>
  <c r="AN123" i="1"/>
  <c r="AO123" i="1"/>
  <c r="AP123" i="1"/>
  <c r="AF124" i="1"/>
  <c r="AG124" i="1"/>
  <c r="AH124" i="1"/>
  <c r="AI124" i="1"/>
  <c r="AJ124" i="1"/>
  <c r="AK124" i="1"/>
  <c r="AL124" i="1"/>
  <c r="AM124" i="1"/>
  <c r="AN124" i="1"/>
  <c r="AO124" i="1"/>
  <c r="AP124" i="1"/>
  <c r="AF125" i="1"/>
  <c r="AG125" i="1"/>
  <c r="AH125" i="1"/>
  <c r="AI125" i="1"/>
  <c r="AJ125" i="1"/>
  <c r="AK125" i="1"/>
  <c r="AL125" i="1"/>
  <c r="AM125" i="1"/>
  <c r="AN125" i="1"/>
  <c r="AO125" i="1"/>
  <c r="AP125" i="1"/>
  <c r="AF126" i="1"/>
  <c r="AG126" i="1"/>
  <c r="AH126" i="1"/>
  <c r="AI126" i="1"/>
  <c r="AJ126" i="1"/>
  <c r="AK126" i="1"/>
  <c r="AL126" i="1"/>
  <c r="AM126" i="1"/>
  <c r="AN126" i="1"/>
  <c r="AO126" i="1"/>
  <c r="AP126" i="1"/>
  <c r="AF127" i="1"/>
  <c r="AG127" i="1"/>
  <c r="AH127" i="1"/>
  <c r="AI127" i="1"/>
  <c r="AJ127" i="1"/>
  <c r="AK127" i="1"/>
  <c r="AL127" i="1"/>
  <c r="AM127" i="1"/>
  <c r="AN127" i="1"/>
  <c r="AO127" i="1"/>
  <c r="AP127" i="1"/>
  <c r="AF128" i="1"/>
  <c r="AG128" i="1"/>
  <c r="AH128" i="1"/>
  <c r="AI128" i="1"/>
  <c r="AJ128" i="1"/>
  <c r="AK128" i="1"/>
  <c r="AL128" i="1"/>
  <c r="AM128" i="1"/>
  <c r="AN128" i="1"/>
  <c r="AO128" i="1"/>
  <c r="AP128" i="1"/>
  <c r="AF129" i="1"/>
  <c r="AG129" i="1"/>
  <c r="AH129" i="1"/>
  <c r="AI129" i="1"/>
  <c r="AJ129" i="1"/>
  <c r="AK129" i="1"/>
  <c r="AL129" i="1"/>
  <c r="AM129" i="1"/>
  <c r="AN129" i="1"/>
  <c r="AO129" i="1"/>
  <c r="AP129" i="1"/>
  <c r="AF130" i="1"/>
  <c r="AG130" i="1"/>
  <c r="AH130" i="1"/>
  <c r="AI130" i="1"/>
  <c r="AJ130" i="1"/>
  <c r="AK130" i="1"/>
  <c r="AL130" i="1"/>
  <c r="AM130" i="1"/>
  <c r="AN130" i="1"/>
  <c r="AO130" i="1"/>
  <c r="AP130" i="1"/>
  <c r="AF131" i="1"/>
  <c r="AG131" i="1"/>
  <c r="AH131" i="1"/>
  <c r="AI131" i="1"/>
  <c r="AJ131" i="1"/>
  <c r="AK131" i="1"/>
  <c r="AL131" i="1"/>
  <c r="AM131" i="1"/>
  <c r="AN131" i="1"/>
  <c r="AO131" i="1"/>
  <c r="AP131" i="1"/>
  <c r="AF132" i="1"/>
  <c r="AG132" i="1"/>
  <c r="AH132" i="1"/>
  <c r="AI132" i="1"/>
  <c r="AJ132" i="1"/>
  <c r="AK132" i="1"/>
  <c r="AL132" i="1"/>
  <c r="AM132" i="1"/>
  <c r="AN132" i="1"/>
  <c r="AO132" i="1"/>
  <c r="AP132" i="1"/>
  <c r="AF133" i="1"/>
  <c r="AG133" i="1"/>
  <c r="AH133" i="1"/>
  <c r="AI133" i="1"/>
  <c r="AJ133" i="1"/>
  <c r="AK133" i="1"/>
  <c r="AL133" i="1"/>
  <c r="AM133" i="1"/>
  <c r="AN133" i="1"/>
  <c r="AO133" i="1"/>
  <c r="AP133" i="1"/>
  <c r="AF134" i="1"/>
  <c r="AG134" i="1"/>
  <c r="AH134" i="1"/>
  <c r="AI134" i="1"/>
  <c r="AJ134" i="1"/>
  <c r="AK134" i="1"/>
  <c r="AL134" i="1"/>
  <c r="AM134" i="1"/>
  <c r="AN134" i="1"/>
  <c r="AO134" i="1"/>
  <c r="AP134" i="1"/>
  <c r="AF135" i="1"/>
  <c r="AG135" i="1"/>
  <c r="AH135" i="1"/>
  <c r="AI135" i="1"/>
  <c r="AJ135" i="1"/>
  <c r="AK135" i="1"/>
  <c r="AL135" i="1"/>
  <c r="AM135" i="1"/>
  <c r="AN135" i="1"/>
  <c r="AO135" i="1"/>
  <c r="AP135" i="1"/>
  <c r="AF136" i="1"/>
  <c r="AG136" i="1"/>
  <c r="AH136" i="1"/>
  <c r="AI136" i="1"/>
  <c r="AJ136" i="1"/>
  <c r="AK136" i="1"/>
  <c r="AL136" i="1"/>
  <c r="AM136" i="1"/>
  <c r="AN136" i="1"/>
  <c r="AO136" i="1"/>
  <c r="AP136" i="1"/>
  <c r="AF137" i="1"/>
  <c r="AG137" i="1"/>
  <c r="AH137" i="1"/>
  <c r="AI137" i="1"/>
  <c r="AJ137" i="1"/>
  <c r="AK137" i="1"/>
  <c r="AL137" i="1"/>
  <c r="AM137" i="1"/>
  <c r="AN137" i="1"/>
  <c r="AO137" i="1"/>
  <c r="AP137" i="1"/>
  <c r="AF138" i="1"/>
  <c r="AG138" i="1"/>
  <c r="AH138" i="1"/>
  <c r="AI138" i="1"/>
  <c r="AJ138" i="1"/>
  <c r="AK138" i="1"/>
  <c r="AL138" i="1"/>
  <c r="AM138" i="1"/>
  <c r="AN138" i="1"/>
  <c r="AO138" i="1"/>
  <c r="AP138" i="1"/>
  <c r="AF139" i="1"/>
  <c r="AG139" i="1"/>
  <c r="AH139" i="1"/>
  <c r="AI139" i="1"/>
  <c r="AJ139" i="1"/>
  <c r="AK139" i="1"/>
  <c r="AL139" i="1"/>
  <c r="AM139" i="1"/>
  <c r="AN139" i="1"/>
  <c r="AO139" i="1"/>
  <c r="AP139" i="1"/>
  <c r="AF140" i="1"/>
  <c r="AG140" i="1"/>
  <c r="AH140" i="1"/>
  <c r="AI140" i="1"/>
  <c r="AJ140" i="1"/>
  <c r="AK140" i="1"/>
  <c r="AL140" i="1"/>
  <c r="AM140" i="1"/>
  <c r="AN140" i="1"/>
  <c r="AO140" i="1"/>
  <c r="AP140" i="1"/>
  <c r="AF141" i="1"/>
  <c r="AG141" i="1"/>
  <c r="AH141" i="1"/>
  <c r="AI141" i="1"/>
  <c r="AJ141" i="1"/>
  <c r="AK141" i="1"/>
  <c r="AL141" i="1"/>
  <c r="AM141" i="1"/>
  <c r="AN141" i="1"/>
  <c r="AO141" i="1"/>
  <c r="AP141" i="1"/>
  <c r="AF142" i="1"/>
  <c r="AG142" i="1"/>
  <c r="AH142" i="1"/>
  <c r="AI142" i="1"/>
  <c r="AJ142" i="1"/>
  <c r="AK142" i="1"/>
  <c r="AL142" i="1"/>
  <c r="AM142" i="1"/>
  <c r="AN142" i="1"/>
  <c r="AO142" i="1"/>
  <c r="AP142" i="1"/>
  <c r="AF143" i="1"/>
  <c r="AG143" i="1"/>
  <c r="AH143" i="1"/>
  <c r="AI143" i="1"/>
  <c r="AJ143" i="1"/>
  <c r="AK143" i="1"/>
  <c r="AL143" i="1"/>
  <c r="AM143" i="1"/>
  <c r="AN143" i="1"/>
  <c r="AO143" i="1"/>
  <c r="AP143" i="1"/>
  <c r="AF144" i="1"/>
  <c r="AG144" i="1"/>
  <c r="AH144" i="1"/>
  <c r="AI144" i="1"/>
  <c r="AJ144" i="1"/>
  <c r="AK144" i="1"/>
  <c r="AL144" i="1"/>
  <c r="AM144" i="1"/>
  <c r="AN144" i="1"/>
  <c r="AO144" i="1"/>
  <c r="AP144" i="1"/>
  <c r="AF145" i="1"/>
  <c r="AG145" i="1"/>
  <c r="AH145" i="1"/>
  <c r="AI145" i="1"/>
  <c r="AJ145" i="1"/>
  <c r="AK145" i="1"/>
  <c r="AL145" i="1"/>
  <c r="AM145" i="1"/>
  <c r="AN145" i="1"/>
  <c r="AO145" i="1"/>
  <c r="AP145" i="1"/>
  <c r="AF146" i="1"/>
  <c r="AG146" i="1"/>
  <c r="AH146" i="1"/>
  <c r="AI146" i="1"/>
  <c r="AJ146" i="1"/>
  <c r="AK146" i="1"/>
  <c r="AL146" i="1"/>
  <c r="AM146" i="1"/>
  <c r="AN146" i="1"/>
  <c r="AO146" i="1"/>
  <c r="AP146" i="1"/>
  <c r="AF147" i="1"/>
  <c r="AG147" i="1"/>
  <c r="AH147" i="1"/>
  <c r="AI147" i="1"/>
  <c r="AJ147" i="1"/>
  <c r="AK147" i="1"/>
  <c r="AL147" i="1"/>
  <c r="AM147" i="1"/>
  <c r="AN147" i="1"/>
  <c r="AO147" i="1"/>
  <c r="AP147" i="1"/>
  <c r="AF148" i="1"/>
  <c r="AG148" i="1"/>
  <c r="AH148" i="1"/>
  <c r="AI148" i="1"/>
  <c r="AJ148" i="1"/>
  <c r="AK148" i="1"/>
  <c r="AL148" i="1"/>
  <c r="AM148" i="1"/>
  <c r="AN148" i="1"/>
  <c r="AO148" i="1"/>
  <c r="AP148" i="1"/>
  <c r="AF149" i="1"/>
  <c r="AG149" i="1"/>
  <c r="AH149" i="1"/>
  <c r="AI149" i="1"/>
  <c r="AJ149" i="1"/>
  <c r="AK149" i="1"/>
  <c r="AL149" i="1"/>
  <c r="AM149" i="1"/>
  <c r="AN149" i="1"/>
  <c r="AO149" i="1"/>
  <c r="AP149" i="1"/>
  <c r="AF150" i="1"/>
  <c r="AG150" i="1"/>
  <c r="AH150" i="1"/>
  <c r="AI150" i="1"/>
  <c r="AJ150" i="1"/>
  <c r="AK150" i="1"/>
  <c r="AL150" i="1"/>
  <c r="AM150" i="1"/>
  <c r="AN150" i="1"/>
  <c r="AO150" i="1"/>
  <c r="AP150" i="1"/>
  <c r="AF151" i="1"/>
  <c r="AG151" i="1"/>
  <c r="AH151" i="1"/>
  <c r="AI151" i="1"/>
  <c r="AJ151" i="1"/>
  <c r="AK151" i="1"/>
  <c r="AL151" i="1"/>
  <c r="AM151" i="1"/>
  <c r="AN151" i="1"/>
  <c r="AO151" i="1"/>
  <c r="AP151" i="1"/>
  <c r="AF152" i="1"/>
  <c r="AG152" i="1"/>
  <c r="AH152" i="1"/>
  <c r="AI152" i="1"/>
  <c r="AJ152" i="1"/>
  <c r="AK152" i="1"/>
  <c r="AL152" i="1"/>
  <c r="AM152" i="1"/>
  <c r="AN152" i="1"/>
  <c r="AO152" i="1"/>
  <c r="AP152" i="1"/>
  <c r="AF153" i="1"/>
  <c r="AG153" i="1"/>
  <c r="AH153" i="1"/>
  <c r="AI153" i="1"/>
  <c r="AJ153" i="1"/>
  <c r="AK153" i="1"/>
  <c r="AL153" i="1"/>
  <c r="AM153" i="1"/>
  <c r="AN153" i="1"/>
  <c r="AO153" i="1"/>
  <c r="AP153" i="1"/>
  <c r="AF154" i="1"/>
  <c r="AG154" i="1"/>
  <c r="AH154" i="1"/>
  <c r="AI154" i="1"/>
  <c r="AJ154" i="1"/>
  <c r="AK154" i="1"/>
  <c r="AL154" i="1"/>
  <c r="AM154" i="1"/>
  <c r="AN154" i="1"/>
  <c r="AO154" i="1"/>
  <c r="AP154" i="1"/>
  <c r="AF155" i="1"/>
  <c r="AG155" i="1"/>
  <c r="AH155" i="1"/>
  <c r="AI155" i="1"/>
  <c r="AJ155" i="1"/>
  <c r="AK155" i="1"/>
  <c r="AL155" i="1"/>
  <c r="AM155" i="1"/>
  <c r="AN155" i="1"/>
  <c r="AO155" i="1"/>
  <c r="AP155" i="1"/>
  <c r="AF156" i="1"/>
  <c r="AG156" i="1"/>
  <c r="AH156" i="1"/>
  <c r="AI156" i="1"/>
  <c r="AJ156" i="1"/>
  <c r="AK156" i="1"/>
  <c r="AL156" i="1"/>
  <c r="AM156" i="1"/>
  <c r="AN156" i="1"/>
  <c r="AO156" i="1"/>
  <c r="AP156" i="1"/>
  <c r="AF157" i="1"/>
  <c r="AG157" i="1"/>
  <c r="AH157" i="1"/>
  <c r="AI157" i="1"/>
  <c r="AJ157" i="1"/>
  <c r="AK157" i="1"/>
  <c r="AL157" i="1"/>
  <c r="AM157" i="1"/>
  <c r="AN157" i="1"/>
  <c r="AO157" i="1"/>
  <c r="AP157" i="1"/>
  <c r="AF158" i="1"/>
  <c r="AG158" i="1"/>
  <c r="AH158" i="1"/>
  <c r="AI158" i="1"/>
  <c r="AJ158" i="1"/>
  <c r="AK158" i="1"/>
  <c r="AL158" i="1"/>
  <c r="AM158" i="1"/>
  <c r="AN158" i="1"/>
  <c r="AO158" i="1"/>
  <c r="AP158" i="1"/>
  <c r="AF159" i="1"/>
  <c r="AG159" i="1"/>
  <c r="AH159" i="1"/>
  <c r="AI159" i="1"/>
  <c r="AJ159" i="1"/>
  <c r="AK159" i="1"/>
  <c r="AL159" i="1"/>
  <c r="AM159" i="1"/>
  <c r="AN159" i="1"/>
  <c r="AO159" i="1"/>
  <c r="AP159" i="1"/>
  <c r="AF160" i="1"/>
  <c r="AG160" i="1"/>
  <c r="AH160" i="1"/>
  <c r="AI160" i="1"/>
  <c r="AJ160" i="1"/>
  <c r="AK160" i="1"/>
  <c r="AL160" i="1"/>
  <c r="AM160" i="1"/>
  <c r="AN160" i="1"/>
  <c r="AO160" i="1"/>
  <c r="AP160" i="1"/>
  <c r="AF161" i="1"/>
  <c r="AG161" i="1"/>
  <c r="AH161" i="1"/>
  <c r="AI161" i="1"/>
  <c r="AJ161" i="1"/>
  <c r="AK161" i="1"/>
  <c r="AL161" i="1"/>
  <c r="AM161" i="1"/>
  <c r="AN161" i="1"/>
  <c r="AO161" i="1"/>
  <c r="AP161" i="1"/>
  <c r="AF162" i="1"/>
  <c r="AG162" i="1"/>
  <c r="AH162" i="1"/>
  <c r="AI162" i="1"/>
  <c r="AJ162" i="1"/>
  <c r="AK162" i="1"/>
  <c r="AL162" i="1"/>
  <c r="AM162" i="1"/>
  <c r="AN162" i="1"/>
  <c r="AO162" i="1"/>
  <c r="AP162" i="1"/>
  <c r="AF163" i="1"/>
  <c r="AG163" i="1"/>
  <c r="AH163" i="1"/>
  <c r="AI163" i="1"/>
  <c r="AJ163" i="1"/>
  <c r="AK163" i="1"/>
  <c r="AL163" i="1"/>
  <c r="AM163" i="1"/>
  <c r="AN163" i="1"/>
  <c r="AO163" i="1"/>
  <c r="AP163" i="1"/>
  <c r="AF164" i="1"/>
  <c r="AG164" i="1"/>
  <c r="AH164" i="1"/>
  <c r="AI164" i="1"/>
  <c r="AJ164" i="1"/>
  <c r="AK164" i="1"/>
  <c r="AL164" i="1"/>
  <c r="AM164" i="1"/>
  <c r="AN164" i="1"/>
  <c r="AO164" i="1"/>
  <c r="AP164" i="1"/>
  <c r="AF165" i="1"/>
  <c r="AG165" i="1"/>
  <c r="AH165" i="1"/>
  <c r="AI165" i="1"/>
  <c r="AJ165" i="1"/>
  <c r="AK165" i="1"/>
  <c r="AL165" i="1"/>
  <c r="AM165" i="1"/>
  <c r="AN165" i="1"/>
  <c r="AO165" i="1"/>
  <c r="AP165" i="1"/>
  <c r="AF166" i="1"/>
  <c r="AG166" i="1"/>
  <c r="AH166" i="1"/>
  <c r="AI166" i="1"/>
  <c r="AJ166" i="1"/>
  <c r="AK166" i="1"/>
  <c r="AL166" i="1"/>
  <c r="AM166" i="1"/>
  <c r="AN166" i="1"/>
  <c r="AO166" i="1"/>
  <c r="AP166" i="1"/>
  <c r="AF167" i="1"/>
  <c r="AG167" i="1"/>
  <c r="AH167" i="1"/>
  <c r="AI167" i="1"/>
  <c r="AJ167" i="1"/>
  <c r="AK167" i="1"/>
  <c r="AL167" i="1"/>
  <c r="AM167" i="1"/>
  <c r="AN167" i="1"/>
  <c r="AO167" i="1"/>
  <c r="AP167" i="1"/>
  <c r="AF168" i="1"/>
  <c r="AG168" i="1"/>
  <c r="AH168" i="1"/>
  <c r="AI168" i="1"/>
  <c r="AJ168" i="1"/>
  <c r="AK168" i="1"/>
  <c r="AL168" i="1"/>
  <c r="AM168" i="1"/>
  <c r="AN168" i="1"/>
  <c r="AO168" i="1"/>
  <c r="AP168" i="1"/>
  <c r="AF169" i="1"/>
  <c r="AG169" i="1"/>
  <c r="AH169" i="1"/>
  <c r="AI169" i="1"/>
  <c r="AJ169" i="1"/>
  <c r="AK169" i="1"/>
  <c r="AL169" i="1"/>
  <c r="AM169" i="1"/>
  <c r="AN169" i="1"/>
  <c r="AO169" i="1"/>
  <c r="AP169" i="1"/>
  <c r="AF170" i="1"/>
  <c r="AG170" i="1"/>
  <c r="AH170" i="1"/>
  <c r="AI170" i="1"/>
  <c r="AJ170" i="1"/>
  <c r="AK170" i="1"/>
  <c r="AL170" i="1"/>
  <c r="AM170" i="1"/>
  <c r="AN170" i="1"/>
  <c r="AO170" i="1"/>
  <c r="AP170" i="1"/>
  <c r="AF171" i="1"/>
  <c r="AG171" i="1"/>
  <c r="AH171" i="1"/>
  <c r="AI171" i="1"/>
  <c r="AJ171" i="1"/>
  <c r="AK171" i="1"/>
  <c r="AL171" i="1"/>
  <c r="AM171" i="1"/>
  <c r="AN171" i="1"/>
  <c r="AO171" i="1"/>
  <c r="AP171" i="1"/>
  <c r="AF172" i="1"/>
  <c r="AG172" i="1"/>
  <c r="AH172" i="1"/>
  <c r="AI172" i="1"/>
  <c r="AJ172" i="1"/>
  <c r="AK172" i="1"/>
  <c r="AL172" i="1"/>
  <c r="AM172" i="1"/>
  <c r="AN172" i="1"/>
  <c r="AO172" i="1"/>
  <c r="AP172" i="1"/>
  <c r="AF173" i="1"/>
  <c r="AG173" i="1"/>
  <c r="AH173" i="1"/>
  <c r="AI173" i="1"/>
  <c r="AJ173" i="1"/>
  <c r="AK173" i="1"/>
  <c r="AL173" i="1"/>
  <c r="AM173" i="1"/>
  <c r="AN173" i="1"/>
  <c r="AO173" i="1"/>
  <c r="AP173" i="1"/>
  <c r="AF174" i="1"/>
  <c r="AG174" i="1"/>
  <c r="AH174" i="1"/>
  <c r="AI174" i="1"/>
  <c r="AJ174" i="1"/>
  <c r="AK174" i="1"/>
  <c r="AL174" i="1"/>
  <c r="AM174" i="1"/>
  <c r="AN174" i="1"/>
  <c r="AO174" i="1"/>
  <c r="AP174" i="1"/>
  <c r="AF175" i="1"/>
  <c r="AG175" i="1"/>
  <c r="AH175" i="1"/>
  <c r="AI175" i="1"/>
  <c r="AJ175" i="1"/>
  <c r="AK175" i="1"/>
  <c r="AL175" i="1"/>
  <c r="AM175" i="1"/>
  <c r="AN175" i="1"/>
  <c r="AO175" i="1"/>
  <c r="AP175" i="1"/>
  <c r="AF176" i="1"/>
  <c r="AG176" i="1"/>
  <c r="AH176" i="1"/>
  <c r="AI176" i="1"/>
  <c r="AJ176" i="1"/>
  <c r="AK176" i="1"/>
  <c r="AL176" i="1"/>
  <c r="AM176" i="1"/>
  <c r="AN176" i="1"/>
  <c r="AO176" i="1"/>
  <c r="AP176" i="1"/>
  <c r="AF177" i="1"/>
  <c r="AG177" i="1"/>
  <c r="AH177" i="1"/>
  <c r="AI177" i="1"/>
  <c r="AJ177" i="1"/>
  <c r="AK177" i="1"/>
  <c r="AL177" i="1"/>
  <c r="AM177" i="1"/>
  <c r="AN177" i="1"/>
  <c r="AO177" i="1"/>
  <c r="AP177" i="1"/>
  <c r="AF178" i="1"/>
  <c r="AG178" i="1"/>
  <c r="AH178" i="1"/>
  <c r="AI178" i="1"/>
  <c r="AJ178" i="1"/>
  <c r="AK178" i="1"/>
  <c r="AL178" i="1"/>
  <c r="AM178" i="1"/>
  <c r="AN178" i="1"/>
  <c r="AO178" i="1"/>
  <c r="AP178" i="1"/>
  <c r="AF179" i="1"/>
  <c r="AG179" i="1"/>
  <c r="AH179" i="1"/>
  <c r="AI179" i="1"/>
  <c r="AJ179" i="1"/>
  <c r="AK179" i="1"/>
  <c r="AL179" i="1"/>
  <c r="AM179" i="1"/>
  <c r="AN179" i="1"/>
  <c r="AO179" i="1"/>
  <c r="AP179" i="1"/>
  <c r="AF180" i="1"/>
  <c r="AG180" i="1"/>
  <c r="AH180" i="1"/>
  <c r="AI180" i="1"/>
  <c r="AJ180" i="1"/>
  <c r="AK180" i="1"/>
  <c r="AL180" i="1"/>
  <c r="AM180" i="1"/>
  <c r="AN180" i="1"/>
  <c r="AO180" i="1"/>
  <c r="AP180" i="1"/>
  <c r="AF181" i="1"/>
  <c r="AG181" i="1"/>
  <c r="AH181" i="1"/>
  <c r="AI181" i="1"/>
  <c r="AJ181" i="1"/>
  <c r="AK181" i="1"/>
  <c r="AL181" i="1"/>
  <c r="AM181" i="1"/>
  <c r="AN181" i="1"/>
  <c r="AO181" i="1"/>
  <c r="AP181" i="1"/>
  <c r="AF182" i="1"/>
  <c r="AG182" i="1"/>
  <c r="AH182" i="1"/>
  <c r="AI182" i="1"/>
  <c r="AJ182" i="1"/>
  <c r="AK182" i="1"/>
  <c r="AL182" i="1"/>
  <c r="AM182" i="1"/>
  <c r="AN182" i="1"/>
  <c r="AO182" i="1"/>
  <c r="AP182" i="1"/>
  <c r="AF183" i="1"/>
  <c r="AG183" i="1"/>
  <c r="AH183" i="1"/>
  <c r="AI183" i="1"/>
  <c r="AJ183" i="1"/>
  <c r="AK183" i="1"/>
  <c r="AL183" i="1"/>
  <c r="AM183" i="1"/>
  <c r="AN183" i="1"/>
  <c r="AO183" i="1"/>
  <c r="AP183" i="1"/>
  <c r="AF184" i="1"/>
  <c r="AG184" i="1"/>
  <c r="AH184" i="1"/>
  <c r="AI184" i="1"/>
  <c r="AJ184" i="1"/>
  <c r="AK184" i="1"/>
  <c r="AL184" i="1"/>
  <c r="AM184" i="1"/>
  <c r="AN184" i="1"/>
  <c r="AO184" i="1"/>
  <c r="AP184" i="1"/>
  <c r="AF185" i="1"/>
  <c r="AG185" i="1"/>
  <c r="AH185" i="1"/>
  <c r="AI185" i="1"/>
  <c r="AJ185" i="1"/>
  <c r="AK185" i="1"/>
  <c r="AL185" i="1"/>
  <c r="AM185" i="1"/>
  <c r="AN185" i="1"/>
  <c r="AO185" i="1"/>
  <c r="AP185" i="1"/>
  <c r="AF186" i="1"/>
  <c r="AG186" i="1"/>
  <c r="AH186" i="1"/>
  <c r="AI186" i="1"/>
  <c r="AJ186" i="1"/>
  <c r="AK186" i="1"/>
  <c r="AL186" i="1"/>
  <c r="AM186" i="1"/>
  <c r="AN186" i="1"/>
  <c r="AO186" i="1"/>
  <c r="AP186" i="1"/>
  <c r="AF187" i="1"/>
  <c r="AG187" i="1"/>
  <c r="AH187" i="1"/>
  <c r="AI187" i="1"/>
  <c r="AJ187" i="1"/>
  <c r="AK187" i="1"/>
  <c r="AL187" i="1"/>
  <c r="AM187" i="1"/>
  <c r="AN187" i="1"/>
  <c r="AO187" i="1"/>
  <c r="AP187" i="1"/>
  <c r="AF188" i="1"/>
  <c r="AG188" i="1"/>
  <c r="AH188" i="1"/>
  <c r="AI188" i="1"/>
  <c r="AJ188" i="1"/>
  <c r="AK188" i="1"/>
  <c r="AL188" i="1"/>
  <c r="AM188" i="1"/>
  <c r="AN188" i="1"/>
  <c r="AO188" i="1"/>
  <c r="AP188" i="1"/>
  <c r="AF189" i="1"/>
  <c r="AG189" i="1"/>
  <c r="AH189" i="1"/>
  <c r="AI189" i="1"/>
  <c r="AJ189" i="1"/>
  <c r="AK189" i="1"/>
  <c r="AL189" i="1"/>
  <c r="AM189" i="1"/>
  <c r="AN189" i="1"/>
  <c r="AO189" i="1"/>
  <c r="AP189" i="1"/>
  <c r="AF190" i="1"/>
  <c r="AG190" i="1"/>
  <c r="AH190" i="1"/>
  <c r="AI190" i="1"/>
  <c r="AJ190" i="1"/>
  <c r="AK190" i="1"/>
  <c r="AL190" i="1"/>
  <c r="AM190" i="1"/>
  <c r="AN190" i="1"/>
  <c r="AO190" i="1"/>
  <c r="AP190" i="1"/>
  <c r="AF191" i="1"/>
  <c r="AG191" i="1"/>
  <c r="AH191" i="1"/>
  <c r="AI191" i="1"/>
  <c r="AJ191" i="1"/>
  <c r="AK191" i="1"/>
  <c r="AL191" i="1"/>
  <c r="AM191" i="1"/>
  <c r="AN191" i="1"/>
  <c r="AO191" i="1"/>
  <c r="AP191" i="1"/>
  <c r="AF192" i="1"/>
  <c r="AG192" i="1"/>
  <c r="AH192" i="1"/>
  <c r="AI192" i="1"/>
  <c r="AJ192" i="1"/>
  <c r="AK192" i="1"/>
  <c r="AL192" i="1"/>
  <c r="AM192" i="1"/>
  <c r="AN192" i="1"/>
  <c r="AO192" i="1"/>
  <c r="AP192" i="1"/>
  <c r="AF193" i="1"/>
  <c r="AG193" i="1"/>
  <c r="AH193" i="1"/>
  <c r="AI193" i="1"/>
  <c r="AJ193" i="1"/>
  <c r="AK193" i="1"/>
  <c r="AL193" i="1"/>
  <c r="AM193" i="1"/>
  <c r="AN193" i="1"/>
  <c r="AO193" i="1"/>
  <c r="AP193" i="1"/>
  <c r="AF194" i="1"/>
  <c r="AG194" i="1"/>
  <c r="AH194" i="1"/>
  <c r="AI194" i="1"/>
  <c r="AJ194" i="1"/>
  <c r="AK194" i="1"/>
  <c r="AL194" i="1"/>
  <c r="AM194" i="1"/>
  <c r="AN194" i="1"/>
  <c r="AO194" i="1"/>
  <c r="AP194" i="1"/>
  <c r="AF195" i="1"/>
  <c r="AG195" i="1"/>
  <c r="AH195" i="1"/>
  <c r="AI195" i="1"/>
  <c r="AJ195" i="1"/>
  <c r="AK195" i="1"/>
  <c r="AL195" i="1"/>
  <c r="AM195" i="1"/>
  <c r="AN195" i="1"/>
  <c r="AO195" i="1"/>
  <c r="AP195" i="1"/>
  <c r="AF196" i="1"/>
  <c r="AG196" i="1"/>
  <c r="AH196" i="1"/>
  <c r="AI196" i="1"/>
  <c r="AJ196" i="1"/>
  <c r="AK196" i="1"/>
  <c r="AL196" i="1"/>
  <c r="AM196" i="1"/>
  <c r="AN196" i="1"/>
  <c r="AO196" i="1"/>
  <c r="AP196" i="1"/>
  <c r="AF197" i="1"/>
  <c r="AG197" i="1"/>
  <c r="AH197" i="1"/>
  <c r="AI197" i="1"/>
  <c r="AJ197" i="1"/>
  <c r="AK197" i="1"/>
  <c r="AL197" i="1"/>
  <c r="AM197" i="1"/>
  <c r="AN197" i="1"/>
  <c r="AO197" i="1"/>
  <c r="AP197" i="1"/>
  <c r="AF198" i="1"/>
  <c r="AG198" i="1"/>
  <c r="AH198" i="1"/>
  <c r="AI198" i="1"/>
  <c r="AJ198" i="1"/>
  <c r="AK198" i="1"/>
  <c r="AL198" i="1"/>
  <c r="AM198" i="1"/>
  <c r="AN198" i="1"/>
  <c r="AO198" i="1"/>
  <c r="AP198" i="1"/>
  <c r="AF199" i="1"/>
  <c r="AG199" i="1"/>
  <c r="AH199" i="1"/>
  <c r="AI199" i="1"/>
  <c r="AJ199" i="1"/>
  <c r="AK199" i="1"/>
  <c r="AL199" i="1"/>
  <c r="AM199" i="1"/>
  <c r="AN199" i="1"/>
  <c r="AO199" i="1"/>
  <c r="AP199" i="1"/>
  <c r="AF200" i="1"/>
  <c r="AG200" i="1"/>
  <c r="AH200" i="1"/>
  <c r="AI200" i="1"/>
  <c r="AJ200" i="1"/>
  <c r="AK200" i="1"/>
  <c r="AL200" i="1"/>
  <c r="AM200" i="1"/>
  <c r="AN200" i="1"/>
  <c r="AO200" i="1"/>
  <c r="AP200" i="1"/>
  <c r="AF201" i="1"/>
  <c r="AG201" i="1"/>
  <c r="AH201" i="1"/>
  <c r="AI201" i="1"/>
  <c r="AJ201" i="1"/>
  <c r="AK201" i="1"/>
  <c r="AL201" i="1"/>
  <c r="AM201" i="1"/>
  <c r="AN201" i="1"/>
  <c r="AO201" i="1"/>
  <c r="AP201" i="1"/>
  <c r="AF202" i="1"/>
  <c r="AG202" i="1"/>
  <c r="AH202" i="1"/>
  <c r="AI202" i="1"/>
  <c r="AJ202" i="1"/>
  <c r="AK202" i="1"/>
  <c r="AL202" i="1"/>
  <c r="AM202" i="1"/>
  <c r="AN202" i="1"/>
  <c r="AO202" i="1"/>
  <c r="AP202" i="1"/>
  <c r="AF203" i="1"/>
  <c r="AG203" i="1"/>
  <c r="AH203" i="1"/>
  <c r="AI203" i="1"/>
  <c r="AJ203" i="1"/>
  <c r="AK203" i="1"/>
  <c r="AL203" i="1"/>
  <c r="AM203" i="1"/>
  <c r="AN203" i="1"/>
  <c r="AO203" i="1"/>
  <c r="AP203" i="1"/>
  <c r="AF204" i="1"/>
  <c r="AG204" i="1"/>
  <c r="AH204" i="1"/>
  <c r="AI204" i="1"/>
  <c r="AJ204" i="1"/>
  <c r="AK204" i="1"/>
  <c r="AL204" i="1"/>
  <c r="AM204" i="1"/>
  <c r="AN204" i="1"/>
  <c r="AO204" i="1"/>
  <c r="AP204" i="1"/>
  <c r="AF205" i="1"/>
  <c r="AG205" i="1"/>
  <c r="AH205" i="1"/>
  <c r="AI205" i="1"/>
  <c r="AJ205" i="1"/>
  <c r="AK205" i="1"/>
  <c r="AL205" i="1"/>
  <c r="AM205" i="1"/>
  <c r="AN205" i="1"/>
  <c r="AO205" i="1"/>
  <c r="AP205" i="1"/>
  <c r="AF206" i="1"/>
  <c r="AG206" i="1"/>
  <c r="AH206" i="1"/>
  <c r="AI206" i="1"/>
  <c r="AJ206" i="1"/>
  <c r="AK206" i="1"/>
  <c r="AL206" i="1"/>
  <c r="AM206" i="1"/>
  <c r="AN206" i="1"/>
  <c r="AO206" i="1"/>
  <c r="AP206" i="1"/>
  <c r="AF207" i="1"/>
  <c r="AG207" i="1"/>
  <c r="AH207" i="1"/>
  <c r="AI207" i="1"/>
  <c r="AJ207" i="1"/>
  <c r="AK207" i="1"/>
  <c r="AL207" i="1"/>
  <c r="AM207" i="1"/>
  <c r="AN207" i="1"/>
  <c r="AO207" i="1"/>
  <c r="AP207" i="1"/>
  <c r="AF208" i="1"/>
  <c r="AG208" i="1"/>
  <c r="AH208" i="1"/>
  <c r="AI208" i="1"/>
  <c r="AJ208" i="1"/>
  <c r="AK208" i="1"/>
  <c r="AL208" i="1"/>
  <c r="AM208" i="1"/>
  <c r="AN208" i="1"/>
  <c r="AO208" i="1"/>
  <c r="AP208" i="1"/>
  <c r="AF209" i="1"/>
  <c r="AG209" i="1"/>
  <c r="AH209" i="1"/>
  <c r="AI209" i="1"/>
  <c r="AJ209" i="1"/>
  <c r="AK209" i="1"/>
  <c r="AL209" i="1"/>
  <c r="AM209" i="1"/>
  <c r="AN209" i="1"/>
  <c r="AO209" i="1"/>
  <c r="AP209" i="1"/>
  <c r="AF210" i="1"/>
  <c r="AG210" i="1"/>
  <c r="AH210" i="1"/>
  <c r="AI210" i="1"/>
  <c r="AJ210" i="1"/>
  <c r="AK210" i="1"/>
  <c r="AL210" i="1"/>
  <c r="AM210" i="1"/>
  <c r="AN210" i="1"/>
  <c r="AO210" i="1"/>
  <c r="AP210" i="1"/>
  <c r="AF211" i="1"/>
  <c r="AG211" i="1"/>
  <c r="AH211" i="1"/>
  <c r="AI211" i="1"/>
  <c r="AJ211" i="1"/>
  <c r="AK211" i="1"/>
  <c r="AL211" i="1"/>
  <c r="AM211" i="1"/>
  <c r="AN211" i="1"/>
  <c r="AO211" i="1"/>
  <c r="AP211" i="1"/>
  <c r="AF212" i="1"/>
  <c r="AG212" i="1"/>
  <c r="AH212" i="1"/>
  <c r="AI212" i="1"/>
  <c r="AJ212" i="1"/>
  <c r="AK212" i="1"/>
  <c r="AL212" i="1"/>
  <c r="AM212" i="1"/>
  <c r="AN212" i="1"/>
  <c r="AO212" i="1"/>
  <c r="AP212" i="1"/>
  <c r="AF213" i="1"/>
  <c r="AG213" i="1"/>
  <c r="AH213" i="1"/>
  <c r="AI213" i="1"/>
  <c r="AJ213" i="1"/>
  <c r="AK213" i="1"/>
  <c r="AL213" i="1"/>
  <c r="AM213" i="1"/>
  <c r="AN213" i="1"/>
  <c r="AO213" i="1"/>
  <c r="AP213" i="1"/>
  <c r="AF214" i="1"/>
  <c r="AG214" i="1"/>
  <c r="AH214" i="1"/>
  <c r="AI214" i="1"/>
  <c r="AJ214" i="1"/>
  <c r="AK214" i="1"/>
  <c r="AL214" i="1"/>
  <c r="AM214" i="1"/>
  <c r="AN214" i="1"/>
  <c r="AO214" i="1"/>
  <c r="AP214" i="1"/>
  <c r="AF215" i="1"/>
  <c r="AG215" i="1"/>
  <c r="AH215" i="1"/>
  <c r="AI215" i="1"/>
  <c r="AJ215" i="1"/>
  <c r="AK215" i="1"/>
  <c r="AL215" i="1"/>
  <c r="AM215" i="1"/>
  <c r="AN215" i="1"/>
  <c r="AO215" i="1"/>
  <c r="AP215" i="1"/>
  <c r="AF216" i="1"/>
  <c r="AG216" i="1"/>
  <c r="AH216" i="1"/>
  <c r="AI216" i="1"/>
  <c r="AJ216" i="1"/>
  <c r="AK216" i="1"/>
  <c r="AL216" i="1"/>
  <c r="AM216" i="1"/>
  <c r="AN216" i="1"/>
  <c r="AO216" i="1"/>
  <c r="AP216" i="1"/>
  <c r="AF217" i="1"/>
  <c r="AG217" i="1"/>
  <c r="AH217" i="1"/>
  <c r="AI217" i="1"/>
  <c r="AJ217" i="1"/>
  <c r="AK217" i="1"/>
  <c r="AL217" i="1"/>
  <c r="AM217" i="1"/>
  <c r="AN217" i="1"/>
  <c r="AO217" i="1"/>
  <c r="AP217" i="1"/>
  <c r="AF218" i="1"/>
  <c r="AG218" i="1"/>
  <c r="AH218" i="1"/>
  <c r="AI218" i="1"/>
  <c r="AJ218" i="1"/>
  <c r="AK218" i="1"/>
  <c r="AL218" i="1"/>
  <c r="AM218" i="1"/>
  <c r="AN218" i="1"/>
  <c r="AO218" i="1"/>
  <c r="AP218" i="1"/>
  <c r="AF219" i="1"/>
  <c r="AG219" i="1"/>
  <c r="AH219" i="1"/>
  <c r="AI219" i="1"/>
  <c r="AJ219" i="1"/>
  <c r="AK219" i="1"/>
  <c r="AL219" i="1"/>
  <c r="AM219" i="1"/>
  <c r="AN219" i="1"/>
  <c r="AO219" i="1"/>
  <c r="AP219" i="1"/>
  <c r="AF220" i="1"/>
  <c r="AG220" i="1"/>
  <c r="AH220" i="1"/>
  <c r="AI220" i="1"/>
  <c r="AJ220" i="1"/>
  <c r="AK220" i="1"/>
  <c r="AL220" i="1"/>
  <c r="AM220" i="1"/>
  <c r="AN220" i="1"/>
  <c r="AO220" i="1"/>
  <c r="AP220" i="1"/>
  <c r="AF221" i="1"/>
  <c r="AG221" i="1"/>
  <c r="AH221" i="1"/>
  <c r="AI221" i="1"/>
  <c r="AJ221" i="1"/>
  <c r="AK221" i="1"/>
  <c r="AL221" i="1"/>
  <c r="AM221" i="1"/>
  <c r="AN221" i="1"/>
  <c r="AO221" i="1"/>
  <c r="AP221" i="1"/>
  <c r="AF222" i="1"/>
  <c r="AG222" i="1"/>
  <c r="AH222" i="1"/>
  <c r="AI222" i="1"/>
  <c r="AJ222" i="1"/>
  <c r="AK222" i="1"/>
  <c r="AL222" i="1"/>
  <c r="AM222" i="1"/>
  <c r="AN222" i="1"/>
  <c r="AO222" i="1"/>
  <c r="AP222" i="1"/>
  <c r="AF223" i="1"/>
  <c r="AG223" i="1"/>
  <c r="AH223" i="1"/>
  <c r="AI223" i="1"/>
  <c r="AJ223" i="1"/>
  <c r="AK223" i="1"/>
  <c r="AL223" i="1"/>
  <c r="AM223" i="1"/>
  <c r="AN223" i="1"/>
  <c r="AO223" i="1"/>
  <c r="AP223" i="1"/>
  <c r="AF224" i="1"/>
  <c r="AG224" i="1"/>
  <c r="AH224" i="1"/>
  <c r="AI224" i="1"/>
  <c r="AJ224" i="1"/>
  <c r="AK224" i="1"/>
  <c r="AL224" i="1"/>
  <c r="AM224" i="1"/>
  <c r="AN224" i="1"/>
  <c r="AO224" i="1"/>
  <c r="AP224" i="1"/>
  <c r="AF225" i="1"/>
  <c r="AG225" i="1"/>
  <c r="AH225" i="1"/>
  <c r="AI225" i="1"/>
  <c r="AJ225" i="1"/>
  <c r="AK225" i="1"/>
  <c r="AL225" i="1"/>
  <c r="AM225" i="1"/>
  <c r="AN225" i="1"/>
  <c r="AO225" i="1"/>
  <c r="AP225" i="1"/>
  <c r="AF226" i="1"/>
  <c r="AG226" i="1"/>
  <c r="AH226" i="1"/>
  <c r="AI226" i="1"/>
  <c r="AJ226" i="1"/>
  <c r="AK226" i="1"/>
  <c r="AL226" i="1"/>
  <c r="AM226" i="1"/>
  <c r="AN226" i="1"/>
  <c r="AO226" i="1"/>
  <c r="AP226" i="1"/>
  <c r="AF227" i="1"/>
  <c r="AG227" i="1"/>
  <c r="AH227" i="1"/>
  <c r="AI227" i="1"/>
  <c r="AJ227" i="1"/>
  <c r="AK227" i="1"/>
  <c r="AL227" i="1"/>
  <c r="AM227" i="1"/>
  <c r="AN227" i="1"/>
  <c r="AO227" i="1"/>
  <c r="AP227" i="1"/>
  <c r="AF228" i="1"/>
  <c r="AG228" i="1"/>
  <c r="AH228" i="1"/>
  <c r="AI228" i="1"/>
  <c r="AJ228" i="1"/>
  <c r="AK228" i="1"/>
  <c r="AL228" i="1"/>
  <c r="AM228" i="1"/>
  <c r="AN228" i="1"/>
  <c r="AO228" i="1"/>
  <c r="AP228" i="1"/>
  <c r="AF229" i="1"/>
  <c r="AG229" i="1"/>
  <c r="AH229" i="1"/>
  <c r="AI229" i="1"/>
  <c r="AJ229" i="1"/>
  <c r="AK229" i="1"/>
  <c r="AL229" i="1"/>
  <c r="AM229" i="1"/>
  <c r="AN229" i="1"/>
  <c r="AO229" i="1"/>
  <c r="AP229" i="1"/>
  <c r="AF230" i="1"/>
  <c r="AG230" i="1"/>
  <c r="AH230" i="1"/>
  <c r="AI230" i="1"/>
  <c r="AJ230" i="1"/>
  <c r="AK230" i="1"/>
  <c r="AL230" i="1"/>
  <c r="AM230" i="1"/>
  <c r="AN230" i="1"/>
  <c r="AO230" i="1"/>
  <c r="AP230" i="1"/>
  <c r="AF231" i="1"/>
  <c r="AG231" i="1"/>
  <c r="AH231" i="1"/>
  <c r="AI231" i="1"/>
  <c r="AJ231" i="1"/>
  <c r="AK231" i="1"/>
  <c r="AL231" i="1"/>
  <c r="AM231" i="1"/>
  <c r="AN231" i="1"/>
  <c r="AO231" i="1"/>
  <c r="AP231" i="1"/>
  <c r="AF232" i="1"/>
  <c r="AG232" i="1"/>
  <c r="AH232" i="1"/>
  <c r="AI232" i="1"/>
  <c r="AJ232" i="1"/>
  <c r="AK232" i="1"/>
  <c r="AL232" i="1"/>
  <c r="AM232" i="1"/>
  <c r="AN232" i="1"/>
  <c r="AO232" i="1"/>
  <c r="AP232" i="1"/>
  <c r="AF233" i="1"/>
  <c r="AG233" i="1"/>
  <c r="AH233" i="1"/>
  <c r="AI233" i="1"/>
  <c r="AJ233" i="1"/>
  <c r="AK233" i="1"/>
  <c r="AL233" i="1"/>
  <c r="AM233" i="1"/>
  <c r="AN233" i="1"/>
  <c r="AO233" i="1"/>
  <c r="AP233" i="1"/>
  <c r="AF234" i="1"/>
  <c r="AG234" i="1"/>
  <c r="AH234" i="1"/>
  <c r="AI234" i="1"/>
  <c r="AJ234" i="1"/>
  <c r="AK234" i="1"/>
  <c r="AL234" i="1"/>
  <c r="AM234" i="1"/>
  <c r="AN234" i="1"/>
  <c r="AO234" i="1"/>
  <c r="AP234" i="1"/>
  <c r="AF235" i="1"/>
  <c r="AG235" i="1"/>
  <c r="AH235" i="1"/>
  <c r="AI235" i="1"/>
  <c r="AJ235" i="1"/>
  <c r="AK235" i="1"/>
  <c r="AL235" i="1"/>
  <c r="AM235" i="1"/>
  <c r="AN235" i="1"/>
  <c r="AO235" i="1"/>
  <c r="AP235" i="1"/>
  <c r="AF236" i="1"/>
  <c r="AG236" i="1"/>
  <c r="AH236" i="1"/>
  <c r="AI236" i="1"/>
  <c r="AJ236" i="1"/>
  <c r="AK236" i="1"/>
  <c r="AL236" i="1"/>
  <c r="AM236" i="1"/>
  <c r="AN236" i="1"/>
  <c r="AO236" i="1"/>
  <c r="AP236" i="1"/>
  <c r="AF237" i="1"/>
  <c r="AG237" i="1"/>
  <c r="AH237" i="1"/>
  <c r="AI237" i="1"/>
  <c r="AJ237" i="1"/>
  <c r="AK237" i="1"/>
  <c r="AL237" i="1"/>
  <c r="AM237" i="1"/>
  <c r="AN237" i="1"/>
  <c r="AO237" i="1"/>
  <c r="AP237" i="1"/>
  <c r="AF238" i="1"/>
  <c r="AG238" i="1"/>
  <c r="AH238" i="1"/>
  <c r="AI238" i="1"/>
  <c r="AJ238" i="1"/>
  <c r="AK238" i="1"/>
  <c r="AL238" i="1"/>
  <c r="AM238" i="1"/>
  <c r="AN238" i="1"/>
  <c r="AO238" i="1"/>
  <c r="AP238" i="1"/>
  <c r="AF239" i="1"/>
  <c r="AG239" i="1"/>
  <c r="AH239" i="1"/>
  <c r="AI239" i="1"/>
  <c r="AJ239" i="1"/>
  <c r="AK239" i="1"/>
  <c r="AL239" i="1"/>
  <c r="AM239" i="1"/>
  <c r="AN239" i="1"/>
  <c r="AO239" i="1"/>
  <c r="AP239" i="1"/>
  <c r="AF240" i="1"/>
  <c r="AG240" i="1"/>
  <c r="AH240" i="1"/>
  <c r="AI240" i="1"/>
  <c r="AJ240" i="1"/>
  <c r="AK240" i="1"/>
  <c r="AL240" i="1"/>
  <c r="AM240" i="1"/>
  <c r="AN240" i="1"/>
  <c r="AO240" i="1"/>
  <c r="AP240" i="1"/>
  <c r="AF241" i="1"/>
  <c r="AG241" i="1"/>
  <c r="AH241" i="1"/>
  <c r="AI241" i="1"/>
  <c r="AJ241" i="1"/>
  <c r="AK241" i="1"/>
  <c r="AL241" i="1"/>
  <c r="AM241" i="1"/>
  <c r="AN241" i="1"/>
  <c r="AO241" i="1"/>
  <c r="AP241" i="1"/>
  <c r="AF242" i="1"/>
  <c r="AG242" i="1"/>
  <c r="AH242" i="1"/>
  <c r="AI242" i="1"/>
  <c r="AJ242" i="1"/>
  <c r="AK242" i="1"/>
  <c r="AL242" i="1"/>
  <c r="AM242" i="1"/>
  <c r="AN242" i="1"/>
  <c r="AO242" i="1"/>
  <c r="AP242" i="1"/>
  <c r="AF243" i="1"/>
  <c r="AG243" i="1"/>
  <c r="AH243" i="1"/>
  <c r="AI243" i="1"/>
  <c r="AJ243" i="1"/>
  <c r="AK243" i="1"/>
  <c r="AL243" i="1"/>
  <c r="AM243" i="1"/>
  <c r="AN243" i="1"/>
  <c r="AO243" i="1"/>
  <c r="AP243" i="1"/>
  <c r="AF244" i="1"/>
  <c r="AG244" i="1"/>
  <c r="AH244" i="1"/>
  <c r="AI244" i="1"/>
  <c r="AJ244" i="1"/>
  <c r="AK244" i="1"/>
  <c r="AL244" i="1"/>
  <c r="AM244" i="1"/>
  <c r="AN244" i="1"/>
  <c r="AO244" i="1"/>
  <c r="AP244" i="1"/>
  <c r="AF245" i="1"/>
  <c r="AG245" i="1"/>
  <c r="AH245" i="1"/>
  <c r="AI245" i="1"/>
  <c r="AJ245" i="1"/>
  <c r="AK245" i="1"/>
  <c r="AL245" i="1"/>
  <c r="AM245" i="1"/>
  <c r="AN245" i="1"/>
  <c r="AO245" i="1"/>
  <c r="AP245" i="1"/>
  <c r="AF246" i="1"/>
  <c r="AG246" i="1"/>
  <c r="AH246" i="1"/>
  <c r="AI246" i="1"/>
  <c r="AJ246" i="1"/>
  <c r="AK246" i="1"/>
  <c r="AL246" i="1"/>
  <c r="AM246" i="1"/>
  <c r="AN246" i="1"/>
  <c r="AO246" i="1"/>
  <c r="AP246" i="1"/>
  <c r="AF247" i="1"/>
  <c r="AG247" i="1"/>
  <c r="AH247" i="1"/>
  <c r="AI247" i="1"/>
  <c r="AJ247" i="1"/>
  <c r="AK247" i="1"/>
  <c r="AL247" i="1"/>
  <c r="AM247" i="1"/>
  <c r="AN247" i="1"/>
  <c r="AO247" i="1"/>
  <c r="AP247" i="1"/>
  <c r="AF248" i="1"/>
  <c r="AG248" i="1"/>
  <c r="AH248" i="1"/>
  <c r="AI248" i="1"/>
  <c r="AJ248" i="1"/>
  <c r="AK248" i="1"/>
  <c r="AL248" i="1"/>
  <c r="AM248" i="1"/>
  <c r="AN248" i="1"/>
  <c r="AO248" i="1"/>
  <c r="AP248" i="1"/>
  <c r="AF249" i="1"/>
  <c r="AG249" i="1"/>
  <c r="AH249" i="1"/>
  <c r="AI249" i="1"/>
  <c r="AJ249" i="1"/>
  <c r="AK249" i="1"/>
  <c r="AL249" i="1"/>
  <c r="AM249" i="1"/>
  <c r="AN249" i="1"/>
  <c r="AO249" i="1"/>
  <c r="AP249" i="1"/>
  <c r="AF250" i="1"/>
  <c r="AG250" i="1"/>
  <c r="AH250" i="1"/>
  <c r="AI250" i="1"/>
  <c r="AJ250" i="1"/>
  <c r="AK250" i="1"/>
  <c r="AL250" i="1"/>
  <c r="AM250" i="1"/>
  <c r="AN250" i="1"/>
  <c r="AO250" i="1"/>
  <c r="AP250" i="1"/>
  <c r="AF251" i="1"/>
  <c r="AG251" i="1"/>
  <c r="AH251" i="1"/>
  <c r="AI251" i="1"/>
  <c r="AJ251" i="1"/>
  <c r="AK251" i="1"/>
  <c r="AL251" i="1"/>
  <c r="AM251" i="1"/>
  <c r="AN251" i="1"/>
  <c r="AO251" i="1"/>
  <c r="AP251" i="1"/>
  <c r="AF252" i="1"/>
  <c r="AG252" i="1"/>
  <c r="AH252" i="1"/>
  <c r="AI252" i="1"/>
  <c r="AJ252" i="1"/>
  <c r="AK252" i="1"/>
  <c r="AL252" i="1"/>
  <c r="AM252" i="1"/>
  <c r="AN252" i="1"/>
  <c r="AO252" i="1"/>
  <c r="AP252" i="1"/>
  <c r="AF253" i="1"/>
  <c r="AG253" i="1"/>
  <c r="AH253" i="1"/>
  <c r="AI253" i="1"/>
  <c r="AJ253" i="1"/>
  <c r="AK253" i="1"/>
  <c r="AL253" i="1"/>
  <c r="AM253" i="1"/>
  <c r="AN253" i="1"/>
  <c r="AO253" i="1"/>
  <c r="AP253" i="1"/>
  <c r="AF254" i="1"/>
  <c r="AG254" i="1"/>
  <c r="AH254" i="1"/>
  <c r="AI254" i="1"/>
  <c r="AJ254" i="1"/>
  <c r="AK254" i="1"/>
  <c r="AL254" i="1"/>
  <c r="AM254" i="1"/>
  <c r="AN254" i="1"/>
  <c r="AO254" i="1"/>
  <c r="AP254" i="1"/>
  <c r="AF255" i="1"/>
  <c r="AG255" i="1"/>
  <c r="AH255" i="1"/>
  <c r="AI255" i="1"/>
  <c r="AJ255" i="1"/>
  <c r="AK255" i="1"/>
  <c r="AL255" i="1"/>
  <c r="AM255" i="1"/>
  <c r="AN255" i="1"/>
  <c r="AO255" i="1"/>
  <c r="AP255" i="1"/>
  <c r="AF256" i="1"/>
  <c r="AG256" i="1"/>
  <c r="AH256" i="1"/>
  <c r="AI256" i="1"/>
  <c r="AJ256" i="1"/>
  <c r="AK256" i="1"/>
  <c r="AL256" i="1"/>
  <c r="AM256" i="1"/>
  <c r="AN256" i="1"/>
  <c r="AO256" i="1"/>
  <c r="AP256" i="1"/>
  <c r="AF257" i="1"/>
  <c r="AG257" i="1"/>
  <c r="AH257" i="1"/>
  <c r="AI257" i="1"/>
  <c r="AJ257" i="1"/>
  <c r="AK257" i="1"/>
  <c r="AL257" i="1"/>
  <c r="AM257" i="1"/>
  <c r="AN257" i="1"/>
  <c r="AO257" i="1"/>
  <c r="AP257" i="1"/>
  <c r="AF258" i="1"/>
  <c r="AG258" i="1"/>
  <c r="AH258" i="1"/>
  <c r="AI258" i="1"/>
  <c r="AJ258" i="1"/>
  <c r="AK258" i="1"/>
  <c r="AL258" i="1"/>
  <c r="AM258" i="1"/>
  <c r="AN258" i="1"/>
  <c r="AO258" i="1"/>
  <c r="AP258" i="1"/>
  <c r="AF259" i="1"/>
  <c r="AG259" i="1"/>
  <c r="AH259" i="1"/>
  <c r="AI259" i="1"/>
  <c r="AJ259" i="1"/>
  <c r="AK259" i="1"/>
  <c r="AL259" i="1"/>
  <c r="AM259" i="1"/>
  <c r="AN259" i="1"/>
  <c r="AO259" i="1"/>
  <c r="AP259" i="1"/>
  <c r="AF260" i="1"/>
  <c r="AG260" i="1"/>
  <c r="AH260" i="1"/>
  <c r="AI260" i="1"/>
  <c r="AJ260" i="1"/>
  <c r="AK260" i="1"/>
  <c r="AL260" i="1"/>
  <c r="AM260" i="1"/>
  <c r="AN260" i="1"/>
  <c r="AO260" i="1"/>
  <c r="AP260" i="1"/>
  <c r="AF261" i="1"/>
  <c r="AG261" i="1"/>
  <c r="AH261" i="1"/>
  <c r="AI261" i="1"/>
  <c r="AJ261" i="1"/>
  <c r="AK261" i="1"/>
  <c r="AL261" i="1"/>
  <c r="AM261" i="1"/>
  <c r="AN261" i="1"/>
  <c r="AO261" i="1"/>
  <c r="AP261" i="1"/>
  <c r="AF262" i="1"/>
  <c r="AG262" i="1"/>
  <c r="AH262" i="1"/>
  <c r="AI262" i="1"/>
  <c r="AJ262" i="1"/>
  <c r="AK262" i="1"/>
  <c r="AL262" i="1"/>
  <c r="AM262" i="1"/>
  <c r="AN262" i="1"/>
  <c r="AO262" i="1"/>
  <c r="AP262" i="1"/>
  <c r="AF263" i="1"/>
  <c r="AG263" i="1"/>
  <c r="AH263" i="1"/>
  <c r="AI263" i="1"/>
  <c r="AJ263" i="1"/>
  <c r="AK263" i="1"/>
  <c r="AL263" i="1"/>
  <c r="AM263" i="1"/>
  <c r="AN263" i="1"/>
  <c r="AO263" i="1"/>
  <c r="AP263" i="1"/>
  <c r="AF264" i="1"/>
  <c r="AG264" i="1"/>
  <c r="AH264" i="1"/>
  <c r="AI264" i="1"/>
  <c r="AJ264" i="1"/>
  <c r="AK264" i="1"/>
  <c r="AL264" i="1"/>
  <c r="AM264" i="1"/>
  <c r="AN264" i="1"/>
  <c r="AO264" i="1"/>
  <c r="AP264" i="1"/>
  <c r="AF265" i="1"/>
  <c r="AG265" i="1"/>
  <c r="AH265" i="1"/>
  <c r="AI265" i="1"/>
  <c r="AJ265" i="1"/>
  <c r="AK265" i="1"/>
  <c r="AL265" i="1"/>
  <c r="AM265" i="1"/>
  <c r="AN265" i="1"/>
  <c r="AO265" i="1"/>
  <c r="AP265" i="1"/>
  <c r="AF266" i="1"/>
  <c r="AG266" i="1"/>
  <c r="AH266" i="1"/>
  <c r="AI266" i="1"/>
  <c r="AJ266" i="1"/>
  <c r="AK266" i="1"/>
  <c r="AL266" i="1"/>
  <c r="AM266" i="1"/>
  <c r="AN266" i="1"/>
  <c r="AO266" i="1"/>
  <c r="AP266" i="1"/>
  <c r="AF267" i="1"/>
  <c r="AG267" i="1"/>
  <c r="AH267" i="1"/>
  <c r="AI267" i="1"/>
  <c r="AJ267" i="1"/>
  <c r="AK267" i="1"/>
  <c r="AL267" i="1"/>
  <c r="AM267" i="1"/>
  <c r="AN267" i="1"/>
  <c r="AO267" i="1"/>
  <c r="AP267" i="1"/>
  <c r="AF268" i="1"/>
  <c r="AG268" i="1"/>
  <c r="AH268" i="1"/>
  <c r="AI268" i="1"/>
  <c r="AJ268" i="1"/>
  <c r="AK268" i="1"/>
  <c r="AL268" i="1"/>
  <c r="AM268" i="1"/>
  <c r="AN268" i="1"/>
  <c r="AO268" i="1"/>
  <c r="AP268" i="1"/>
  <c r="AF269" i="1"/>
  <c r="AG269" i="1"/>
  <c r="AH269" i="1"/>
  <c r="AI269" i="1"/>
  <c r="AJ269" i="1"/>
  <c r="AK269" i="1"/>
  <c r="AL269" i="1"/>
  <c r="AM269" i="1"/>
  <c r="AN269" i="1"/>
  <c r="AO269" i="1"/>
  <c r="AP269" i="1"/>
  <c r="AF270" i="1"/>
  <c r="AG270" i="1"/>
  <c r="AH270" i="1"/>
  <c r="AI270" i="1"/>
  <c r="AJ270" i="1"/>
  <c r="AK270" i="1"/>
  <c r="AL270" i="1"/>
  <c r="AM270" i="1"/>
  <c r="AN270" i="1"/>
  <c r="AO270" i="1"/>
  <c r="AP270" i="1"/>
  <c r="AF271" i="1"/>
  <c r="AG271" i="1"/>
  <c r="AH271" i="1"/>
  <c r="AI271" i="1"/>
  <c r="AJ271" i="1"/>
  <c r="AK271" i="1"/>
  <c r="AL271" i="1"/>
  <c r="AM271" i="1"/>
  <c r="AN271" i="1"/>
  <c r="AO271" i="1"/>
  <c r="AP271" i="1"/>
  <c r="AF272" i="1"/>
  <c r="AG272" i="1"/>
  <c r="AH272" i="1"/>
  <c r="AI272" i="1"/>
  <c r="AJ272" i="1"/>
  <c r="AK272" i="1"/>
  <c r="AL272" i="1"/>
  <c r="AM272" i="1"/>
  <c r="AN272" i="1"/>
  <c r="AO272" i="1"/>
  <c r="AP272" i="1"/>
  <c r="AF273" i="1"/>
  <c r="AG273" i="1"/>
  <c r="AH273" i="1"/>
  <c r="AI273" i="1"/>
  <c r="AJ273" i="1"/>
  <c r="AK273" i="1"/>
  <c r="AL273" i="1"/>
  <c r="AM273" i="1"/>
  <c r="AN273" i="1"/>
  <c r="AO273" i="1"/>
  <c r="AP273" i="1"/>
  <c r="AF274" i="1"/>
  <c r="AG274" i="1"/>
  <c r="AH274" i="1"/>
  <c r="AI274" i="1"/>
  <c r="AJ274" i="1"/>
  <c r="AK274" i="1"/>
  <c r="AL274" i="1"/>
  <c r="AM274" i="1"/>
  <c r="AN274" i="1"/>
  <c r="AO274" i="1"/>
  <c r="AP274" i="1"/>
  <c r="AF275" i="1"/>
  <c r="AG275" i="1"/>
  <c r="AH275" i="1"/>
  <c r="AI275" i="1"/>
  <c r="AJ275" i="1"/>
  <c r="AK275" i="1"/>
  <c r="AL275" i="1"/>
  <c r="AM275" i="1"/>
  <c r="AN275" i="1"/>
  <c r="AO275" i="1"/>
  <c r="AP275" i="1"/>
  <c r="AF276" i="1"/>
  <c r="AG276" i="1"/>
  <c r="AH276" i="1"/>
  <c r="AI276" i="1"/>
  <c r="AJ276" i="1"/>
  <c r="AK276" i="1"/>
  <c r="AL276" i="1"/>
  <c r="AM276" i="1"/>
  <c r="AN276" i="1"/>
  <c r="AO276" i="1"/>
  <c r="AP276" i="1"/>
  <c r="AF277" i="1"/>
  <c r="AG277" i="1"/>
  <c r="AH277" i="1"/>
  <c r="AI277" i="1"/>
  <c r="AJ277" i="1"/>
  <c r="AK277" i="1"/>
  <c r="AL277" i="1"/>
  <c r="AM277" i="1"/>
  <c r="AN277" i="1"/>
  <c r="AO277" i="1"/>
  <c r="AP277" i="1"/>
  <c r="AF278" i="1"/>
  <c r="AG278" i="1"/>
  <c r="AH278" i="1"/>
  <c r="AI278" i="1"/>
  <c r="AJ278" i="1"/>
  <c r="AK278" i="1"/>
  <c r="AL278" i="1"/>
  <c r="AM278" i="1"/>
  <c r="AN278" i="1"/>
  <c r="AO278" i="1"/>
  <c r="AP278" i="1"/>
  <c r="AF279" i="1"/>
  <c r="AG279" i="1"/>
  <c r="AH279" i="1"/>
  <c r="AI279" i="1"/>
  <c r="AJ279" i="1"/>
  <c r="AK279" i="1"/>
  <c r="AL279" i="1"/>
  <c r="AM279" i="1"/>
  <c r="AN279" i="1"/>
  <c r="AO279" i="1"/>
  <c r="AP279" i="1"/>
  <c r="AF280" i="1"/>
  <c r="AG280" i="1"/>
  <c r="AH280" i="1"/>
  <c r="AI280" i="1"/>
  <c r="AJ280" i="1"/>
  <c r="AK280" i="1"/>
  <c r="AL280" i="1"/>
  <c r="AM280" i="1"/>
  <c r="AN280" i="1"/>
  <c r="AO280" i="1"/>
  <c r="AP280" i="1"/>
  <c r="AF281" i="1"/>
  <c r="AG281" i="1"/>
  <c r="AH281" i="1"/>
  <c r="AI281" i="1"/>
  <c r="AJ281" i="1"/>
  <c r="AK281" i="1"/>
  <c r="AL281" i="1"/>
  <c r="AM281" i="1"/>
  <c r="AN281" i="1"/>
  <c r="AO281" i="1"/>
  <c r="AP281" i="1"/>
  <c r="AF282" i="1"/>
  <c r="AG282" i="1"/>
  <c r="AH282" i="1"/>
  <c r="AI282" i="1"/>
  <c r="AJ282" i="1"/>
  <c r="AK282" i="1"/>
  <c r="AL282" i="1"/>
  <c r="AM282" i="1"/>
  <c r="AN282" i="1"/>
  <c r="AO282" i="1"/>
  <c r="AP282" i="1"/>
  <c r="AF283" i="1"/>
  <c r="AG283" i="1"/>
  <c r="AH283" i="1"/>
  <c r="AI283" i="1"/>
  <c r="AJ283" i="1"/>
  <c r="AK283" i="1"/>
  <c r="AL283" i="1"/>
  <c r="AM283" i="1"/>
  <c r="AN283" i="1"/>
  <c r="AO283" i="1"/>
  <c r="AP283" i="1"/>
  <c r="AF284" i="1"/>
  <c r="AG284" i="1"/>
  <c r="AH284" i="1"/>
  <c r="AI284" i="1"/>
  <c r="AJ284" i="1"/>
  <c r="AK284" i="1"/>
  <c r="AL284" i="1"/>
  <c r="AM284" i="1"/>
  <c r="AN284" i="1"/>
  <c r="AO284" i="1"/>
  <c r="AP284" i="1"/>
  <c r="AF285" i="1"/>
  <c r="AG285" i="1"/>
  <c r="AH285" i="1"/>
  <c r="AI285" i="1"/>
  <c r="AJ285" i="1"/>
  <c r="AK285" i="1"/>
  <c r="AL285" i="1"/>
  <c r="AM285" i="1"/>
  <c r="AN285" i="1"/>
  <c r="AO285" i="1"/>
  <c r="AP285" i="1"/>
  <c r="AF286" i="1"/>
  <c r="AG286" i="1"/>
  <c r="AH286" i="1"/>
  <c r="AI286" i="1"/>
  <c r="AJ286" i="1"/>
  <c r="AK286" i="1"/>
  <c r="AL286" i="1"/>
  <c r="AM286" i="1"/>
  <c r="AN286" i="1"/>
  <c r="AO286" i="1"/>
  <c r="AP286" i="1"/>
  <c r="AF287" i="1"/>
  <c r="AG287" i="1"/>
  <c r="AH287" i="1"/>
  <c r="AI287" i="1"/>
  <c r="AJ287" i="1"/>
  <c r="AK287" i="1"/>
  <c r="AL287" i="1"/>
  <c r="AM287" i="1"/>
  <c r="AN287" i="1"/>
  <c r="AO287" i="1"/>
  <c r="AP287" i="1"/>
  <c r="AF288" i="1"/>
  <c r="AG288" i="1"/>
  <c r="AH288" i="1"/>
  <c r="AI288" i="1"/>
  <c r="AJ288" i="1"/>
  <c r="AK288" i="1"/>
  <c r="AL288" i="1"/>
  <c r="AM288" i="1"/>
  <c r="AN288" i="1"/>
  <c r="AO288" i="1"/>
  <c r="AP288" i="1"/>
  <c r="AF289" i="1"/>
  <c r="AG289" i="1"/>
  <c r="AH289" i="1"/>
  <c r="AI289" i="1"/>
  <c r="AJ289" i="1"/>
  <c r="AK289" i="1"/>
  <c r="AL289" i="1"/>
  <c r="AM289" i="1"/>
  <c r="AN289" i="1"/>
  <c r="AO289" i="1"/>
  <c r="AP289" i="1"/>
  <c r="AF290" i="1"/>
  <c r="AG290" i="1"/>
  <c r="AH290" i="1"/>
  <c r="AI290" i="1"/>
  <c r="AJ290" i="1"/>
  <c r="AK290" i="1"/>
  <c r="AL290" i="1"/>
  <c r="AM290" i="1"/>
  <c r="AN290" i="1"/>
  <c r="AO290" i="1"/>
  <c r="AP290" i="1"/>
  <c r="AF291" i="1"/>
  <c r="AG291" i="1"/>
  <c r="AH291" i="1"/>
  <c r="AI291" i="1"/>
  <c r="AJ291" i="1"/>
  <c r="AK291" i="1"/>
  <c r="AL291" i="1"/>
  <c r="AM291" i="1"/>
  <c r="AN291" i="1"/>
  <c r="AO291" i="1"/>
  <c r="AP291" i="1"/>
  <c r="AF292" i="1"/>
  <c r="AG292" i="1"/>
  <c r="AH292" i="1"/>
  <c r="AI292" i="1"/>
  <c r="AJ292" i="1"/>
  <c r="AK292" i="1"/>
  <c r="AL292" i="1"/>
  <c r="AM292" i="1"/>
  <c r="AN292" i="1"/>
  <c r="AO292" i="1"/>
  <c r="AP292" i="1"/>
  <c r="AF293" i="1"/>
  <c r="AG293" i="1"/>
  <c r="AH293" i="1"/>
  <c r="AI293" i="1"/>
  <c r="AJ293" i="1"/>
  <c r="AK293" i="1"/>
  <c r="AL293" i="1"/>
  <c r="AM293" i="1"/>
  <c r="AN293" i="1"/>
  <c r="AO293" i="1"/>
  <c r="AP293" i="1"/>
  <c r="AF294" i="1"/>
  <c r="AG294" i="1"/>
  <c r="AH294" i="1"/>
  <c r="AI294" i="1"/>
  <c r="AJ294" i="1"/>
  <c r="AK294" i="1"/>
  <c r="AL294" i="1"/>
  <c r="AM294" i="1"/>
  <c r="AN294" i="1"/>
  <c r="AO294" i="1"/>
  <c r="AP294" i="1"/>
  <c r="AF295" i="1"/>
  <c r="AG295" i="1"/>
  <c r="AH295" i="1"/>
  <c r="AI295" i="1"/>
  <c r="AJ295" i="1"/>
  <c r="AK295" i="1"/>
  <c r="AL295" i="1"/>
  <c r="AM295" i="1"/>
  <c r="AN295" i="1"/>
  <c r="AO295" i="1"/>
  <c r="AP295" i="1"/>
  <c r="AF296" i="1"/>
  <c r="AG296" i="1"/>
  <c r="AH296" i="1"/>
  <c r="AI296" i="1"/>
  <c r="AJ296" i="1"/>
  <c r="AK296" i="1"/>
  <c r="AL296" i="1"/>
  <c r="AM296" i="1"/>
  <c r="AN296" i="1"/>
  <c r="AO296" i="1"/>
  <c r="AP296" i="1"/>
  <c r="AF297" i="1"/>
  <c r="AG297" i="1"/>
  <c r="AH297" i="1"/>
  <c r="AI297" i="1"/>
  <c r="AJ297" i="1"/>
  <c r="AK297" i="1"/>
  <c r="AL297" i="1"/>
  <c r="AM297" i="1"/>
  <c r="AN297" i="1"/>
  <c r="AO297" i="1"/>
  <c r="AP297" i="1"/>
  <c r="AF298" i="1"/>
  <c r="AG298" i="1"/>
  <c r="AH298" i="1"/>
  <c r="AI298" i="1"/>
  <c r="AJ298" i="1"/>
  <c r="AK298" i="1"/>
  <c r="AL298" i="1"/>
  <c r="AM298" i="1"/>
  <c r="AN298" i="1"/>
  <c r="AO298" i="1"/>
  <c r="AP298" i="1"/>
  <c r="AF299" i="1"/>
  <c r="AG299" i="1"/>
  <c r="AH299" i="1"/>
  <c r="AI299" i="1"/>
  <c r="AJ299" i="1"/>
  <c r="AK299" i="1"/>
  <c r="AL299" i="1"/>
  <c r="AM299" i="1"/>
  <c r="AN299" i="1"/>
  <c r="AO299" i="1"/>
  <c r="AP299" i="1"/>
  <c r="AF300" i="1"/>
  <c r="AG300" i="1"/>
  <c r="AH300" i="1"/>
  <c r="AI300" i="1"/>
  <c r="AJ300" i="1"/>
  <c r="AK300" i="1"/>
  <c r="AL300" i="1"/>
  <c r="AM300" i="1"/>
  <c r="AN300" i="1"/>
  <c r="AO300" i="1"/>
  <c r="AP300" i="1"/>
  <c r="AF301" i="1"/>
  <c r="AG301" i="1"/>
  <c r="AH301" i="1"/>
  <c r="AI301" i="1"/>
  <c r="AJ301" i="1"/>
  <c r="AK301" i="1"/>
  <c r="AL301" i="1"/>
  <c r="AM301" i="1"/>
  <c r="AN301" i="1"/>
  <c r="AO301" i="1"/>
  <c r="AP301" i="1"/>
  <c r="AF302" i="1"/>
  <c r="AG302" i="1"/>
  <c r="AH302" i="1"/>
  <c r="AI302" i="1"/>
  <c r="AJ302" i="1"/>
  <c r="AK302" i="1"/>
  <c r="AL302" i="1"/>
  <c r="AM302" i="1"/>
  <c r="AN302" i="1"/>
  <c r="AO302" i="1"/>
  <c r="AP302" i="1"/>
  <c r="AF303" i="1"/>
  <c r="AG303" i="1"/>
  <c r="AH303" i="1"/>
  <c r="AI303" i="1"/>
  <c r="AJ303" i="1"/>
  <c r="AK303" i="1"/>
  <c r="AL303" i="1"/>
  <c r="AM303" i="1"/>
  <c r="AN303" i="1"/>
  <c r="AO303" i="1"/>
  <c r="AP303" i="1"/>
  <c r="AF304" i="1"/>
  <c r="AG304" i="1"/>
  <c r="AH304" i="1"/>
  <c r="AI304" i="1"/>
  <c r="AJ304" i="1"/>
  <c r="AK304" i="1"/>
  <c r="AL304" i="1"/>
  <c r="AM304" i="1"/>
  <c r="AN304" i="1"/>
  <c r="AO304" i="1"/>
  <c r="AP304" i="1"/>
  <c r="AF305" i="1"/>
  <c r="AG305" i="1"/>
  <c r="AH305" i="1"/>
  <c r="AI305" i="1"/>
  <c r="AJ305" i="1"/>
  <c r="AK305" i="1"/>
  <c r="AL305" i="1"/>
  <c r="AM305" i="1"/>
  <c r="AN305" i="1"/>
  <c r="AO305" i="1"/>
  <c r="AP305" i="1"/>
  <c r="AF306" i="1"/>
  <c r="AG306" i="1"/>
  <c r="AH306" i="1"/>
  <c r="AI306" i="1"/>
  <c r="AJ306" i="1"/>
  <c r="AK306" i="1"/>
  <c r="AL306" i="1"/>
  <c r="AM306" i="1"/>
  <c r="AN306" i="1"/>
  <c r="AO306" i="1"/>
  <c r="AP306" i="1"/>
  <c r="AF307" i="1"/>
  <c r="AG307" i="1"/>
  <c r="AH307" i="1"/>
  <c r="AI307" i="1"/>
  <c r="AJ307" i="1"/>
  <c r="AK307" i="1"/>
  <c r="AL307" i="1"/>
  <c r="AM307" i="1"/>
  <c r="AN307" i="1"/>
  <c r="AO307" i="1"/>
  <c r="AP307" i="1"/>
  <c r="AF308" i="1"/>
  <c r="AG308" i="1"/>
  <c r="AH308" i="1"/>
  <c r="AI308" i="1"/>
  <c r="AJ308" i="1"/>
  <c r="AK308" i="1"/>
  <c r="AL308" i="1"/>
  <c r="AM308" i="1"/>
  <c r="AN308" i="1"/>
  <c r="AO308" i="1"/>
  <c r="AP308" i="1"/>
  <c r="AF309" i="1"/>
  <c r="AG309" i="1"/>
  <c r="AH309" i="1"/>
  <c r="AI309" i="1"/>
  <c r="AJ309" i="1"/>
  <c r="AK309" i="1"/>
  <c r="AL309" i="1"/>
  <c r="AM309" i="1"/>
  <c r="AN309" i="1"/>
  <c r="AO309" i="1"/>
  <c r="AP309" i="1"/>
  <c r="AF310" i="1"/>
  <c r="AG310" i="1"/>
  <c r="AH310" i="1"/>
  <c r="AI310" i="1"/>
  <c r="AJ310" i="1"/>
  <c r="AK310" i="1"/>
  <c r="AL310" i="1"/>
  <c r="AM310" i="1"/>
  <c r="AN310" i="1"/>
  <c r="AO310" i="1"/>
  <c r="AP310" i="1"/>
  <c r="AF311" i="1"/>
  <c r="AG311" i="1"/>
  <c r="AH311" i="1"/>
  <c r="AI311" i="1"/>
  <c r="AJ311" i="1"/>
  <c r="AK311" i="1"/>
  <c r="AL311" i="1"/>
  <c r="AM311" i="1"/>
  <c r="AN311" i="1"/>
  <c r="AO311" i="1"/>
  <c r="AP311" i="1"/>
  <c r="AF312" i="1"/>
  <c r="AG312" i="1"/>
  <c r="AH312" i="1"/>
  <c r="AI312" i="1"/>
  <c r="AJ312" i="1"/>
  <c r="AK312" i="1"/>
  <c r="AL312" i="1"/>
  <c r="AM312" i="1"/>
  <c r="AN312" i="1"/>
  <c r="AO312" i="1"/>
  <c r="AP312" i="1"/>
  <c r="AF313" i="1"/>
  <c r="AG313" i="1"/>
  <c r="AH313" i="1"/>
  <c r="AI313" i="1"/>
  <c r="AJ313" i="1"/>
  <c r="AK313" i="1"/>
  <c r="AL313" i="1"/>
  <c r="AM313" i="1"/>
  <c r="AN313" i="1"/>
  <c r="AO313" i="1"/>
  <c r="AP313" i="1"/>
  <c r="AF314" i="1"/>
  <c r="AG314" i="1"/>
  <c r="AH314" i="1"/>
  <c r="AI314" i="1"/>
  <c r="AJ314" i="1"/>
  <c r="AK314" i="1"/>
  <c r="AL314" i="1"/>
  <c r="AM314" i="1"/>
  <c r="AN314" i="1"/>
  <c r="AO314" i="1"/>
  <c r="AP314" i="1"/>
  <c r="AF315" i="1"/>
  <c r="AG315" i="1"/>
  <c r="AH315" i="1"/>
  <c r="AI315" i="1"/>
  <c r="AJ315" i="1"/>
  <c r="AK315" i="1"/>
  <c r="AL315" i="1"/>
  <c r="AM315" i="1"/>
  <c r="AN315" i="1"/>
  <c r="AO315" i="1"/>
  <c r="AP315" i="1"/>
  <c r="AF316" i="1"/>
  <c r="AG316" i="1"/>
  <c r="AH316" i="1"/>
  <c r="AI316" i="1"/>
  <c r="AJ316" i="1"/>
  <c r="AK316" i="1"/>
  <c r="AL316" i="1"/>
  <c r="AM316" i="1"/>
  <c r="AN316" i="1"/>
  <c r="AO316" i="1"/>
  <c r="AP316" i="1"/>
  <c r="AF317" i="1"/>
  <c r="AG317" i="1"/>
  <c r="AH317" i="1"/>
  <c r="AI317" i="1"/>
  <c r="AJ317" i="1"/>
  <c r="AK317" i="1"/>
  <c r="AL317" i="1"/>
  <c r="AM317" i="1"/>
  <c r="AN317" i="1"/>
  <c r="AO317" i="1"/>
  <c r="AP317" i="1"/>
  <c r="AF318" i="1"/>
  <c r="AG318" i="1"/>
  <c r="AH318" i="1"/>
  <c r="AI318" i="1"/>
  <c r="AJ318" i="1"/>
  <c r="AK318" i="1"/>
  <c r="AL318" i="1"/>
  <c r="AM318" i="1"/>
  <c r="AN318" i="1"/>
  <c r="AO318" i="1"/>
  <c r="AP318" i="1"/>
  <c r="AF319" i="1"/>
  <c r="AG319" i="1"/>
  <c r="AH319" i="1"/>
  <c r="AI319" i="1"/>
  <c r="AJ319" i="1"/>
  <c r="AK319" i="1"/>
  <c r="AL319" i="1"/>
  <c r="AM319" i="1"/>
  <c r="AN319" i="1"/>
  <c r="AO319" i="1"/>
  <c r="AP319" i="1"/>
  <c r="AF320" i="1"/>
  <c r="AG320" i="1"/>
  <c r="AH320" i="1"/>
  <c r="AI320" i="1"/>
  <c r="AJ320" i="1"/>
  <c r="AK320" i="1"/>
  <c r="AL320" i="1"/>
  <c r="AM320" i="1"/>
  <c r="AN320" i="1"/>
  <c r="AO320" i="1"/>
  <c r="AP320" i="1"/>
  <c r="AF321" i="1"/>
  <c r="AG321" i="1"/>
  <c r="AH321" i="1"/>
  <c r="AI321" i="1"/>
  <c r="AJ321" i="1"/>
  <c r="AK321" i="1"/>
  <c r="AL321" i="1"/>
  <c r="AM321" i="1"/>
  <c r="AN321" i="1"/>
  <c r="AO321" i="1"/>
  <c r="AP321" i="1"/>
  <c r="AG322" i="1"/>
  <c r="AH322" i="1"/>
  <c r="AI322" i="1"/>
  <c r="AJ322" i="1"/>
  <c r="AK322" i="1"/>
  <c r="AL322" i="1"/>
  <c r="AM322" i="1"/>
  <c r="AN322" i="1"/>
  <c r="AO322" i="1"/>
  <c r="AP322" i="1"/>
  <c r="AF322" i="1"/>
</calcChain>
</file>

<file path=xl/sharedStrings.xml><?xml version="1.0" encoding="utf-8"?>
<sst xmlns="http://schemas.openxmlformats.org/spreadsheetml/2006/main" count="29397" uniqueCount="5494">
  <si>
    <t>resources</t>
  </si>
  <si>
    <t>recipes</t>
  </si>
  <si>
    <t>none</t>
  </si>
  <si>
    <t>i:id</t>
  </si>
  <si>
    <t>i:Number of Reward Sets</t>
  </si>
  <si>
    <t>s:Number of Rewards per Set</t>
  </si>
  <si>
    <t>i:Paytable DID</t>
  </si>
  <si>
    <t>i:Recipe DID</t>
  </si>
  <si>
    <t>s:Set Type 1</t>
  </si>
  <si>
    <t>i:Set 1 Reward DID 1</t>
  </si>
  <si>
    <t>i:Set 1 Reward DID 2</t>
  </si>
  <si>
    <t>i:Set 1 Reward DID 3</t>
  </si>
  <si>
    <t>i:Set 1 Reward DID 4</t>
  </si>
  <si>
    <t>i:Set 1 Reward DID 5</t>
  </si>
  <si>
    <t>i:Set 1 Reward DID 6</t>
  </si>
  <si>
    <t>i:Set 1 Reward DID 7</t>
  </si>
  <si>
    <t>i:Set 1 Reward DID 8</t>
  </si>
  <si>
    <t>i:Set 1 Reward DID 9</t>
  </si>
  <si>
    <t>i:Set 1 Reward DID 10</t>
  </si>
  <si>
    <t>i:Set 1 Reward DID 11</t>
  </si>
  <si>
    <t>i:Set 1 Reward Amount 1</t>
  </si>
  <si>
    <t>i:Set 1 Reward Amount 2</t>
  </si>
  <si>
    <t>i:Set 1 Reward Amount 3</t>
  </si>
  <si>
    <t>i:Set 1 Reward Amount 4</t>
  </si>
  <si>
    <t>i:Set 1 Reward Amount 5</t>
  </si>
  <si>
    <t>i:Set 1 Reward Amount 6</t>
  </si>
  <si>
    <t>i:Set 1 Reward Amount 7</t>
  </si>
  <si>
    <t>i:Set 1 Reward Amount 8</t>
  </si>
  <si>
    <t>i:Set 1 Reward Amount 9</t>
  </si>
  <si>
    <t>i:Set 1 Reward Amount 10</t>
  </si>
  <si>
    <t>i:Set 1 Reward Amount 11</t>
  </si>
  <si>
    <t>s:Set Type 2</t>
  </si>
  <si>
    <t>i:Set 2 Reward DID 1</t>
  </si>
  <si>
    <t>i:Set 2 Reward Amount 1</t>
  </si>
  <si>
    <t>f:Set Odds 1</t>
  </si>
  <si>
    <t>f:Set 1 Reward Odds 1</t>
  </si>
  <si>
    <t>f:Set 1 Reward Odds 2</t>
  </si>
  <si>
    <t>f:Set 1 Reward Odds 3</t>
  </si>
  <si>
    <t>f:Set 1 Reward Odds 4</t>
  </si>
  <si>
    <t>f:Set 1 Reward Odds 5</t>
  </si>
  <si>
    <t>f:Set 1 Reward Odds 6</t>
  </si>
  <si>
    <t>f:Set 1 Reward Odds 7</t>
  </si>
  <si>
    <t>f:Set 1 Reward Odds 8</t>
  </si>
  <si>
    <t>f:Set 1 Reward Odds 9</t>
  </si>
  <si>
    <t>f:Set 1 Reward Odds 10</t>
  </si>
  <si>
    <t>f:Set 1 Reward Odds 11</t>
  </si>
  <si>
    <t>f:Set Odds 2</t>
  </si>
  <si>
    <t>f:Set 2 Reward Odds 1</t>
  </si>
  <si>
    <t>!!FOOD_BAKED_FERRYCHERRYCHEESECAKE</t>
  </si>
  <si>
    <t>ferrycherrycheesecake</t>
  </si>
  <si>
    <t>recipe</t>
  </si>
  <si>
    <t>!!CRAFT_BAKING</t>
  </si>
  <si>
    <t>BakedItemStarted</t>
  </si>
  <si>
    <t>BakedItemReady</t>
  </si>
  <si>
    <t>!!FOOD_KETCHUP</t>
  </si>
  <si>
    <t>ketchup</t>
  </si>
  <si>
    <t>!!CRAFT_MAKING</t>
  </si>
  <si>
    <t>GardenCropStarted</t>
  </si>
  <si>
    <t>GardenCropReady</t>
  </si>
  <si>
    <t>n/a</t>
  </si>
  <si>
    <t>tomato_seed</t>
  </si>
  <si>
    <t>tomato_baby</t>
  </si>
  <si>
    <t>tomato_fullgrown</t>
  </si>
  <si>
    <t>s:Type</t>
  </si>
  <si>
    <t>s:Tag</t>
  </si>
  <si>
    <t>s:Craft  Description</t>
  </si>
  <si>
    <t>i:DID</t>
  </si>
  <si>
    <t>i:Building ID</t>
  </si>
  <si>
    <t>i:Ingredient ID 1</t>
  </si>
  <si>
    <t>i:Ingredient ID 2</t>
  </si>
  <si>
    <t>i:Ingredient ID 3</t>
  </si>
  <si>
    <t>i:Ingredient ID 4</t>
  </si>
  <si>
    <t>i:Ingredient ID 5</t>
  </si>
  <si>
    <t>i:Ingredient ID 6</t>
  </si>
  <si>
    <t>i:Ingredient Amount 1</t>
  </si>
  <si>
    <t>i:Ingredient Amount 2</t>
  </si>
  <si>
    <t>i:Ingredient Amount 3</t>
  </si>
  <si>
    <t>i:Ingredient Amount 4</t>
  </si>
  <si>
    <t>i:Ingredient Amount 5</t>
  </si>
  <si>
    <t>i:Ingredient Amount 6</t>
  </si>
  <si>
    <t>i:Craft Time</t>
  </si>
  <si>
    <t>s:Start Sound</t>
  </si>
  <si>
    <t>s:Ready Sound</t>
  </si>
  <si>
    <t>i:Minimum Level</t>
  </si>
  <si>
    <t>s:Product Group</t>
  </si>
  <si>
    <t>i:Group Order</t>
  </si>
  <si>
    <t>s:Garden Display Started</t>
  </si>
  <si>
    <t>s:Garden Display Half</t>
  </si>
  <si>
    <t>s:Garden Display Done</t>
  </si>
  <si>
    <t>!!FOOD_JENNYS_NUMBER</t>
  </si>
  <si>
    <t>rez_bun</t>
  </si>
  <si>
    <t>SandyPortrait.png</t>
  </si>
  <si>
    <t>BakedItemCollected</t>
  </si>
  <si>
    <t>BakedItemEaten</t>
  </si>
  <si>
    <t>!!RESOURCE_ECTOPLASM</t>
  </si>
  <si>
    <t>rez_ecto</t>
  </si>
  <si>
    <t>IconEctoplasm.png</t>
  </si>
  <si>
    <t>JellyFishJuiceCollected</t>
  </si>
  <si>
    <t>JellyFishJuiceEaten</t>
  </si>
  <si>
    <t>halloween_currency</t>
  </si>
  <si>
    <t>TapFallenItem</t>
  </si>
  <si>
    <t>!!RESOURCE_TOYS</t>
  </si>
  <si>
    <t>rez_toy</t>
  </si>
  <si>
    <t>ChristmasCoins_ThinBranches_Origin.png</t>
  </si>
  <si>
    <t>ChristmasCurrencyCollected</t>
  </si>
  <si>
    <t>christmas_currency</t>
  </si>
  <si>
    <t>!!RESOURCE_HEARTS</t>
  </si>
  <si>
    <t>rez_hearts</t>
  </si>
  <si>
    <t>valentine_heartIcon.png</t>
  </si>
  <si>
    <t>valentines_currency</t>
  </si>
  <si>
    <t>!!FOOD_KRABBYPATTY</t>
  </si>
  <si>
    <t>rez_krabby_patty</t>
  </si>
  <si>
    <t>KrabbyPatty.png</t>
  </si>
  <si>
    <t>GrilledItemCollected</t>
  </si>
  <si>
    <t>GrilledItemEaten</t>
  </si>
  <si>
    <t>!!RESOURCE_JJ</t>
  </si>
  <si>
    <t>rez_jj</t>
  </si>
  <si>
    <t>IconJellyfishJelly.png</t>
  </si>
  <si>
    <t>hard_currency</t>
  </si>
  <si>
    <t>!!RESOURCE_MONEY</t>
  </si>
  <si>
    <t>rez_gold</t>
  </si>
  <si>
    <t>IconMoney_1.png</t>
  </si>
  <si>
    <t>MoneyCollected</t>
  </si>
  <si>
    <t>MoneyEaten</t>
  </si>
  <si>
    <t>soft_currency</t>
  </si>
  <si>
    <t>!!RESOURCE_LEVEL</t>
  </si>
  <si>
    <t>rez_level</t>
  </si>
  <si>
    <t>level</t>
  </si>
  <si>
    <t>!!RESOURCE_XP</t>
  </si>
  <si>
    <t>rez_xp</t>
  </si>
  <si>
    <t>IconXP_1.png</t>
  </si>
  <si>
    <t>XPCollected</t>
  </si>
  <si>
    <t>xp</t>
  </si>
  <si>
    <t>!!FOOD_BUN</t>
  </si>
  <si>
    <t>Bun.png</t>
  </si>
  <si>
    <t>Meat</t>
  </si>
  <si>
    <t>rez_meat</t>
  </si>
  <si>
    <t>!!FOOD_LETTUCE</t>
  </si>
  <si>
    <t>rez_lettuce</t>
  </si>
  <si>
    <t>Ready_Lettuce.png</t>
  </si>
  <si>
    <t>GardenCropCollected</t>
  </si>
  <si>
    <t>GardenCropEaten</t>
  </si>
  <si>
    <t>Cheese</t>
  </si>
  <si>
    <t>rez_cheese</t>
  </si>
  <si>
    <t>!!FOOD_TOMATO</t>
  </si>
  <si>
    <t>rez_tomato</t>
  </si>
  <si>
    <t>Ready_Tomato.png</t>
  </si>
  <si>
    <t>Sauce</t>
  </si>
  <si>
    <t>rez_sauce</t>
  </si>
  <si>
    <t>!!FOOD_ONION</t>
  </si>
  <si>
    <t>rez_onion</t>
  </si>
  <si>
    <t>onion.png</t>
  </si>
  <si>
    <t>!!FOOD_POTATO</t>
  </si>
  <si>
    <t>rez_potato</t>
  </si>
  <si>
    <t>potato.png</t>
  </si>
  <si>
    <t>!!FOOD_KELP</t>
  </si>
  <si>
    <t>rez_kelp</t>
  </si>
  <si>
    <t>kelp.png</t>
  </si>
  <si>
    <t>!!FOOD_CRYJOHNNY</t>
  </si>
  <si>
    <t>rez_cryjohnny</t>
  </si>
  <si>
    <t>CryingJohnny.png</t>
  </si>
  <si>
    <t>!!FOOD_DUTCHDOUBLE</t>
  </si>
  <si>
    <t>rez_dutchdouble</t>
  </si>
  <si>
    <t>Dutchman'sDouble.png</t>
  </si>
  <si>
    <t>!!FOOD_6NUGGETS</t>
  </si>
  <si>
    <t>rez_6nuggets</t>
  </si>
  <si>
    <t>Neptune'sNuggets.png</t>
  </si>
  <si>
    <t>FriedItemCollected</t>
  </si>
  <si>
    <t>FriedItemEaten</t>
  </si>
  <si>
    <t>!!FOOD_KELPFRIES</t>
  </si>
  <si>
    <t>rez_kelpfries</t>
  </si>
  <si>
    <t>KelpFries.png</t>
  </si>
  <si>
    <t>!!FOOD_KELPCAKE</t>
  </si>
  <si>
    <t>rez_kelpcake</t>
  </si>
  <si>
    <t>Captain'sCajunKelpCakes.png</t>
  </si>
  <si>
    <t>!!FOOD_KELPRINGS</t>
  </si>
  <si>
    <t>rez_kelprings</t>
  </si>
  <si>
    <t>KelpRings.png</t>
  </si>
  <si>
    <t>!!FOOD_KELPDOG</t>
  </si>
  <si>
    <t>rez_kelpdog</t>
  </si>
  <si>
    <t>KrustyDog.png</t>
  </si>
  <si>
    <t>!!FOOD_SEAWEEDSALAD</t>
  </si>
  <si>
    <t>rez_seaweedsalad</t>
  </si>
  <si>
    <t>SeaweedSalad.png</t>
  </si>
  <si>
    <t>VeggieItemCollected</t>
  </si>
  <si>
    <t>VeggieItemEaten</t>
  </si>
  <si>
    <t>!!FOOD_KELPKLT</t>
  </si>
  <si>
    <t>rez_kelpklt</t>
  </si>
  <si>
    <t>KLT.png</t>
  </si>
  <si>
    <t>!!FOOD_KELPJERKY</t>
  </si>
  <si>
    <t>rez_kelpjerky</t>
  </si>
  <si>
    <t>KelpJerky.png</t>
  </si>
  <si>
    <t>!!FOOD_SAILORS</t>
  </si>
  <si>
    <t>rez_sailors</t>
  </si>
  <si>
    <t>SailorsSurprise.png</t>
  </si>
  <si>
    <t>SoupItemCollected</t>
  </si>
  <si>
    <t>SoupItemEaten</t>
  </si>
  <si>
    <t>!!FOOD_GNOCCHI</t>
  </si>
  <si>
    <t>rez_gnocchi</t>
  </si>
  <si>
    <t>MarinaraGnocchi.png</t>
  </si>
  <si>
    <t>!!FOOD_BRUSCHETTA</t>
  </si>
  <si>
    <t>rez_brushcetta</t>
  </si>
  <si>
    <t>Bruschetta.png</t>
  </si>
  <si>
    <t>!!FOOD_BISQUE</t>
  </si>
  <si>
    <t>rez_bisque</t>
  </si>
  <si>
    <t>TomatoBisque.png</t>
  </si>
  <si>
    <t>!!FOOD_SALSATACO</t>
  </si>
  <si>
    <t>rez_salsataco</t>
  </si>
  <si>
    <t>SalsaTacos.png</t>
  </si>
  <si>
    <t>!!FOOD_HUSHPUPPY</t>
  </si>
  <si>
    <t>rez_hushpuppy</t>
  </si>
  <si>
    <t>HushPuppies.png</t>
  </si>
  <si>
    <t>!!FOOD_CAESAR_SALAD</t>
  </si>
  <si>
    <t>rez_caesar_salad</t>
  </si>
  <si>
    <t>CaesarSalad.png</t>
  </si>
  <si>
    <t>!!FOOD_JELLYPATTY</t>
  </si>
  <si>
    <t>rez_jellypatty</t>
  </si>
  <si>
    <t>JellyPatty.png</t>
  </si>
  <si>
    <t>AB Tests</t>
  </si>
  <si>
    <t>rez_jj_abtest</t>
  </si>
  <si>
    <t>!!FOOD_FRENCHBREAD</t>
  </si>
  <si>
    <t>rez_frenchbread</t>
  </si>
  <si>
    <t>GarlicBread.png</t>
  </si>
  <si>
    <t>!!FOOD_TORTILLA</t>
  </si>
  <si>
    <t>rez_tortilla</t>
  </si>
  <si>
    <t>Tortillas.png</t>
  </si>
  <si>
    <t>!!FOOD_HOTDOGROLL</t>
  </si>
  <si>
    <t>rez_hotdogroll</t>
  </si>
  <si>
    <t>HotDogRoll.png</t>
  </si>
  <si>
    <t>!!FOOD_DELIROLL</t>
  </si>
  <si>
    <t>rez_deliroll</t>
  </si>
  <si>
    <t>DeliRoll.png</t>
  </si>
  <si>
    <t>!!FOOD_BREADBOWL</t>
  </si>
  <si>
    <t>rez_breadbowl</t>
  </si>
  <si>
    <t>BreadBowl.png</t>
  </si>
  <si>
    <t>!!FOOD_VEGGIEPATTY</t>
  </si>
  <si>
    <t>rez_veggiepatty</t>
  </si>
  <si>
    <t>VeggiePatty.png</t>
  </si>
  <si>
    <t>!!FOOD_GARLICBREAD</t>
  </si>
  <si>
    <t>rez_garlicbread</t>
  </si>
  <si>
    <t>!!FOOD_ULTIMATEANEMONE</t>
  </si>
  <si>
    <t>rez_ult_anemone</t>
  </si>
  <si>
    <t>!!FOOD_TOSTADA</t>
  </si>
  <si>
    <t>rez_tostada</t>
  </si>
  <si>
    <t>Tostada.png</t>
  </si>
  <si>
    <t>!!FOOD_VEGGIEWRAP</t>
  </si>
  <si>
    <t>rez_veggiewrap</t>
  </si>
  <si>
    <t>VeggieWrap.png</t>
  </si>
  <si>
    <t>!!FOOD_FOOTLONG</t>
  </si>
  <si>
    <t>rez+footlong</t>
  </si>
  <si>
    <t>FootlongHotDog.png</t>
  </si>
  <si>
    <t>!!FOOD_SALAD</t>
  </si>
  <si>
    <t>rez_salad</t>
  </si>
  <si>
    <t>Salad.png</t>
  </si>
  <si>
    <t>!!FOOD_CARPFREEKP</t>
  </si>
  <si>
    <t>rez_carpfreekp</t>
  </si>
  <si>
    <t>!!FOOD_PATTY</t>
  </si>
  <si>
    <t>rez_patty</t>
  </si>
  <si>
    <t>Patty.png</t>
  </si>
  <si>
    <t>!!FOOD_TOAST</t>
  </si>
  <si>
    <t>rez_toast</t>
  </si>
  <si>
    <t>Toast.png</t>
  </si>
  <si>
    <t>!!FOOD_CROUTONS</t>
  </si>
  <si>
    <t>rez_croutons</t>
  </si>
  <si>
    <t>Crutons.png</t>
  </si>
  <si>
    <t>rez_ketchup</t>
  </si>
  <si>
    <t>KetchupPacket.png</t>
  </si>
  <si>
    <t>!!FOOD_CUBEDKETCHUPKABOBS</t>
  </si>
  <si>
    <t>rez_cubedketchupkabobs</t>
  </si>
  <si>
    <t>KetchupCubeSkewer.png</t>
  </si>
  <si>
    <t>!!FOOD_JELLIEDTOAST</t>
  </si>
  <si>
    <t>rez_jelliedtoast</t>
  </si>
  <si>
    <t>Toast_Jam.png</t>
  </si>
  <si>
    <t>!!FOOD_PICODEGALLO</t>
  </si>
  <si>
    <t>rez_picodegallo</t>
  </si>
  <si>
    <t>PicoDeGallo.png</t>
  </si>
  <si>
    <t>!!FOOD_PIPSQUEAKPATTY</t>
  </si>
  <si>
    <t>rez_pipsqueak_patty</t>
  </si>
  <si>
    <t>PipsqueakPatty.png</t>
  </si>
  <si>
    <t>!!FOOD_VANILLA</t>
  </si>
  <si>
    <t>rez_vanilla</t>
  </si>
  <si>
    <t>VanillaBean.png</t>
  </si>
  <si>
    <t>!!FOOD_CORALBITS</t>
  </si>
  <si>
    <t>rez_coralbits</t>
  </si>
  <si>
    <t>CoralBits.png</t>
  </si>
  <si>
    <t>!!FOOD_GARLIC</t>
  </si>
  <si>
    <t>rez_garlic</t>
  </si>
  <si>
    <t>GarlicClove.png</t>
  </si>
  <si>
    <t>!!FOOD_RUSTYS_BARK_CHOP_SANDWICH</t>
  </si>
  <si>
    <t>rez_bark_chop_sandwich</t>
  </si>
  <si>
    <t>BarkChopSandwich.png</t>
  </si>
  <si>
    <t>!!FOOD_RUSTYS_BARKING_BRISKET</t>
  </si>
  <si>
    <t>rez_barking_brisket</t>
  </si>
  <si>
    <t>BarkingMadBrisket.png</t>
  </si>
  <si>
    <t>!!INGREDIENT_BBQ_SAUCE</t>
  </si>
  <si>
    <t>rez_bbq_sauce</t>
  </si>
  <si>
    <t>BarbecueSauce.png</t>
  </si>
  <si>
    <t>!!INGREDIENT_DISTILLED_VINEGAR</t>
  </si>
  <si>
    <t>rez_distilled_vinegar</t>
  </si>
  <si>
    <t>DistilledVinegar.png</t>
  </si>
  <si>
    <t>!!INGREDIENT_DRIFTWOOD</t>
  </si>
  <si>
    <t>rez_driftwood</t>
  </si>
  <si>
    <t>Driftwood.png</t>
  </si>
  <si>
    <t>!!INGREDIENT_MUSTARD_SEED</t>
  </si>
  <si>
    <t>rez_mustard_seed</t>
  </si>
  <si>
    <t>MustardSeed.png</t>
  </si>
  <si>
    <t>!!INGREDIENT_NATURAL_FLAVORS</t>
  </si>
  <si>
    <t>rez_natural_flavors</t>
  </si>
  <si>
    <t>NaturalFlavors.png</t>
  </si>
  <si>
    <t>!!INGREDIENT_PAPRIKA</t>
  </si>
  <si>
    <t>rez_paprika</t>
  </si>
  <si>
    <t>Paprika.png</t>
  </si>
  <si>
    <t>!!INGREDIENT_SALT</t>
  </si>
  <si>
    <t>rez_salt</t>
  </si>
  <si>
    <t>Salt.png</t>
  </si>
  <si>
    <t>!!INGREDIENT_SHELLAC</t>
  </si>
  <si>
    <t>rez_shellac</t>
  </si>
  <si>
    <t>Shellac.png</t>
  </si>
  <si>
    <t>!!INGREDIENT_SPACKLE</t>
  </si>
  <si>
    <t>rez_spackle</t>
  </si>
  <si>
    <t>Spackle.png</t>
  </si>
  <si>
    <t>!!INGREDIENT_TUMERIC</t>
  </si>
  <si>
    <t>rez_tumeric</t>
  </si>
  <si>
    <t>Tumeric.png</t>
  </si>
  <si>
    <t>!!FOOD_RUSTYS_MESQUITE_RIBS</t>
  </si>
  <si>
    <t>rez_mesquite_ribs</t>
  </si>
  <si>
    <t>MesquiteRoastedRibs.png</t>
  </si>
  <si>
    <t>!!FOOD_RUSTYS_PULLED_PULP_SANDWICH</t>
  </si>
  <si>
    <t>rez_pulled_pulp_sandwich</t>
  </si>
  <si>
    <t>PulledPulpSandwich.png</t>
  </si>
  <si>
    <t>!!FOOD_RUSTYS_RUSTY_ON_RYE</t>
  </si>
  <si>
    <t>rez_rusty_on_rye</t>
  </si>
  <si>
    <t>RustyOnRye.png</t>
  </si>
  <si>
    <t>!!FOOD_RUSTYS_SPICY_SPACKLE_SAUCE</t>
  </si>
  <si>
    <t>rez_spicy_spackle_sauce</t>
  </si>
  <si>
    <t>SpiceySpackleSauce.png</t>
  </si>
  <si>
    <t>!!FOOD_RUSTYS_SPLINTERED_SLAW</t>
  </si>
  <si>
    <t>rez_spilintered_slaw</t>
  </si>
  <si>
    <t>SplinteredSlaw.png</t>
  </si>
  <si>
    <t>!!FOOD_RUSTYS_RIBEYE_SANDWICH</t>
  </si>
  <si>
    <t>rez_ribeye_sandwich</t>
  </si>
  <si>
    <t>RibEyeSandwich.png</t>
  </si>
  <si>
    <t>!!FOOD_MUSTARD</t>
  </si>
  <si>
    <t>rez_mustard</t>
  </si>
  <si>
    <t>Mustard.png</t>
  </si>
  <si>
    <t>!!FOOD_HOLIDAY_CHEER</t>
  </si>
  <si>
    <t>rez_holiday_cheer</t>
  </si>
  <si>
    <t>HolidayCheer_Origin.png</t>
  </si>
  <si>
    <t>!!FOOD_SNICKERDOODLE</t>
  </si>
  <si>
    <t>snickerdoodle</t>
  </si>
  <si>
    <t>sb_item_snickerdoodle.png</t>
  </si>
  <si>
    <t>!!FOOD_ROASTED_CHESTNUT</t>
  </si>
  <si>
    <t>roasted_chestnut</t>
  </si>
  <si>
    <t>sb_item_roasted_chestnuts.png</t>
  </si>
  <si>
    <t>!!FOOD_PEANUT_BRITTLE</t>
  </si>
  <si>
    <t>peanut_brittle</t>
  </si>
  <si>
    <t>sb_item_peanutbrittle.png</t>
  </si>
  <si>
    <t>!!FOOD_BREAD_PUDDING</t>
  </si>
  <si>
    <t>bread_pudding</t>
  </si>
  <si>
    <t>sb_item_breadpudding.png</t>
  </si>
  <si>
    <t>!!FOOD_YULE_LOG_CAKE</t>
  </si>
  <si>
    <t>yule_log_cake</t>
  </si>
  <si>
    <t>sb_item_yule_log_cake.png</t>
  </si>
  <si>
    <t>!!INGREDIENT_DOUGH</t>
  </si>
  <si>
    <t>dough</t>
  </si>
  <si>
    <t>sb_item_dough.png</t>
  </si>
  <si>
    <t>!!INGREDIENT_SUGAR</t>
  </si>
  <si>
    <t>sugar</t>
  </si>
  <si>
    <t>sb_item_sugar.png</t>
  </si>
  <si>
    <t>!!INGREDIENT_CINNAMON</t>
  </si>
  <si>
    <t>cinnamon</t>
  </si>
  <si>
    <t>sb_item_cinnamon.png</t>
  </si>
  <si>
    <t>!!INGREDIENT_CHOCOLATE</t>
  </si>
  <si>
    <t>chocolate</t>
  </si>
  <si>
    <t>sb_item_chocolate.png</t>
  </si>
  <si>
    <t>!!INGREDIENT_CLOVES</t>
  </si>
  <si>
    <t>cloves</t>
  </si>
  <si>
    <t>sb_item_cloves.png</t>
  </si>
  <si>
    <t>!!INGREDIENT_GINGER</t>
  </si>
  <si>
    <t>ginger</t>
  </si>
  <si>
    <t>sb_item_ginger.png</t>
  </si>
  <si>
    <t>!!INGREDIENT_ICING</t>
  </si>
  <si>
    <t>icing</t>
  </si>
  <si>
    <t>sb_item_icing.png</t>
  </si>
  <si>
    <t>!!INGREDIENT_MARSHMALLOW</t>
  </si>
  <si>
    <t>marshmallow</t>
  </si>
  <si>
    <t>sb_item_marshmallow.png</t>
  </si>
  <si>
    <t>!!INGREDIENT_NUTMEG</t>
  </si>
  <si>
    <t>nutmeg</t>
  </si>
  <si>
    <t>sb_item_nutmeg.png</t>
  </si>
  <si>
    <t>!!INGREDIENT_PEANUTS</t>
  </si>
  <si>
    <t>peanuts</t>
  </si>
  <si>
    <t>sb_item_peanuts.png</t>
  </si>
  <si>
    <t>!!INGREDIENT_PEPPERMINT</t>
  </si>
  <si>
    <t>peppermint</t>
  </si>
  <si>
    <t>sb_item_peppermint.png</t>
  </si>
  <si>
    <t>!!INGREDIENT_VANILLA</t>
  </si>
  <si>
    <t>vanilla</t>
  </si>
  <si>
    <t>sb_item_vanilla.png</t>
  </si>
  <si>
    <t>!!INGREDIENT_WHIPPED_CREAM</t>
  </si>
  <si>
    <t>whipped_cream</t>
  </si>
  <si>
    <t>sb_item_whippedcream.png</t>
  </si>
  <si>
    <t>!!FOOD_CHRISTMAS_COOKIE</t>
  </si>
  <si>
    <t>christmas_cookie</t>
  </si>
  <si>
    <t>sb_item_christmas_cookie.png</t>
  </si>
  <si>
    <t>!!FOOD_APPLE_CIDER</t>
  </si>
  <si>
    <t>apple_cider</t>
  </si>
  <si>
    <t>sb_item_applecider.png</t>
  </si>
  <si>
    <t>!!FOOD_GINGERBREAD_ELF</t>
  </si>
  <si>
    <t>gingerbread_elf</t>
  </si>
  <si>
    <t>sb_item_gingerbreadman.png</t>
  </si>
  <si>
    <t>!!FOOD_CRANBERRY_SAUCE</t>
  </si>
  <si>
    <t>cranberry_sauce</t>
  </si>
  <si>
    <t>sb_item_cranberry_sauce.png</t>
  </si>
  <si>
    <t>!!FOOD_HOT_CHOCOLATE</t>
  </si>
  <si>
    <t>hot_chocolate</t>
  </si>
  <si>
    <t>sb_item_hotchocolate.png</t>
  </si>
  <si>
    <t>!!FOOD_CANDY_CANE</t>
  </si>
  <si>
    <t>candy_cane</t>
  </si>
  <si>
    <t>sb_item_candycane.png</t>
  </si>
  <si>
    <t>!!FOOD_ENGLISH_TOFFEE</t>
  </si>
  <si>
    <t>english_toffee</t>
  </si>
  <si>
    <t>sb_item_english_toffee.png</t>
  </si>
  <si>
    <t>!!FOOD_FUDGE</t>
  </si>
  <si>
    <t>fudge</t>
  </si>
  <si>
    <t>sb_item_fudge.png</t>
  </si>
  <si>
    <t>!!FOOD_SUGAR_PLUM</t>
  </si>
  <si>
    <t>sugar_plum</t>
  </si>
  <si>
    <t>sb_item_sugar_plum.png</t>
  </si>
  <si>
    <t>!!INGREDIENT_CORN</t>
  </si>
  <si>
    <t>corn</t>
  </si>
  <si>
    <t>valentines_Ready_Corn.png</t>
  </si>
  <si>
    <t>!!FOOD_CHOCOLATES</t>
  </si>
  <si>
    <t>chocolates</t>
  </si>
  <si>
    <t>valentines_Chocolates.png</t>
  </si>
  <si>
    <t>!!FOOD_POPCORN</t>
  </si>
  <si>
    <t>popcorn</t>
  </si>
  <si>
    <t>valentines_popcorn.png</t>
  </si>
  <si>
    <t>!!FOOD_TRUFFLES</t>
  </si>
  <si>
    <t>truffles</t>
  </si>
  <si>
    <t>valentines_Truffles.png</t>
  </si>
  <si>
    <t>!!FOOD_COTTON_CANDY</t>
  </si>
  <si>
    <t>cotton_candy</t>
  </si>
  <si>
    <t>valentines_CottonCandy.png</t>
  </si>
  <si>
    <t>!!FOOD_CANDY_HEART_ON_STICK</t>
  </si>
  <si>
    <t>candy_heart_on_stick</t>
  </si>
  <si>
    <t>valentines_CandyHeart.png</t>
  </si>
  <si>
    <t>!!FOOD_BANANA</t>
  </si>
  <si>
    <t>rez_banana</t>
  </si>
  <si>
    <t>Banana.png</t>
  </si>
  <si>
    <t>!!FOOD_APPLE</t>
  </si>
  <si>
    <t>rez_apple</t>
  </si>
  <si>
    <t>Apple.png</t>
  </si>
  <si>
    <t>!!FOOD_CHERRY</t>
  </si>
  <si>
    <t>rez_cherry</t>
  </si>
  <si>
    <t>Cherry.png</t>
  </si>
  <si>
    <t>!!FOOD_COCONUT</t>
  </si>
  <si>
    <t>rez_coconut</t>
  </si>
  <si>
    <t>Coconut.png</t>
  </si>
  <si>
    <t>!!FOOD_LEMON</t>
  </si>
  <si>
    <t>rez_lemon</t>
  </si>
  <si>
    <t>Lemon.png</t>
  </si>
  <si>
    <t>!!FOOD_LIME</t>
  </si>
  <si>
    <t>rez_lime</t>
  </si>
  <si>
    <t>Lime.png</t>
  </si>
  <si>
    <t>!!FOOD_ORANGE</t>
  </si>
  <si>
    <t>rez_orange</t>
  </si>
  <si>
    <t>Orange.png</t>
  </si>
  <si>
    <t>!!FOOD_PEACH</t>
  </si>
  <si>
    <t>rez_peach</t>
  </si>
  <si>
    <t>Peach.png</t>
  </si>
  <si>
    <t>!!FOOD_STRAWBERRY</t>
  </si>
  <si>
    <t>rez_strawberry</t>
  </si>
  <si>
    <t>Strawberry.png</t>
  </si>
  <si>
    <t>!!FOOD_BLUEBERRY</t>
  </si>
  <si>
    <t>rez_blueberry</t>
  </si>
  <si>
    <t>Blueberry.png</t>
  </si>
  <si>
    <t>!!FOOD_CHESTNUT</t>
  </si>
  <si>
    <t>rez_chestnut</t>
  </si>
  <si>
    <t>sb_item_chestnut.png</t>
  </si>
  <si>
    <t>!!INGREDIENT_CRANBERRIES</t>
  </si>
  <si>
    <t>rez_cranberry</t>
  </si>
  <si>
    <t>sb_item_cranberries.png</t>
  </si>
  <si>
    <t>!!JUICE_APPLE</t>
  </si>
  <si>
    <t>rez_juice_applejuice</t>
  </si>
  <si>
    <t>AppleJuice.png</t>
  </si>
  <si>
    <t>LiquidSlurp</t>
  </si>
  <si>
    <t>!!JUICE_LEMONADE</t>
  </si>
  <si>
    <t>rez_juice_lemonade</t>
  </si>
  <si>
    <t>Lemonade.png</t>
  </si>
  <si>
    <t>!!JUICE_LIMEADE</t>
  </si>
  <si>
    <t>rez_juice_limeade</t>
  </si>
  <si>
    <t>Limeade.png</t>
  </si>
  <si>
    <t>!!JUICE_ORANGE</t>
  </si>
  <si>
    <t>rez_juice_orangejuice</t>
  </si>
  <si>
    <t>OrangeJuice.png</t>
  </si>
  <si>
    <t>!!JUICE_PEACHNECTAR</t>
  </si>
  <si>
    <t>rez_juice_peachnectar</t>
  </si>
  <si>
    <t>PeachNectar.png</t>
  </si>
  <si>
    <t>!!SMOOTHIE_BANANA_BREAKER</t>
  </si>
  <si>
    <t>rez_smoothie_banana_breaker</t>
  </si>
  <si>
    <t>BananaBreakerSmoothie.png</t>
  </si>
  <si>
    <t>!!SMOOTHIE_BERRY_BLAST</t>
  </si>
  <si>
    <t>rez_smoothie_berry_blast</t>
  </si>
  <si>
    <t>BerryBlastSmoothie.png</t>
  </si>
  <si>
    <t>!!SMOOTHIE_CHERRY_SLURVEY</t>
  </si>
  <si>
    <t>rez_smoothie_cherry_slurvey</t>
  </si>
  <si>
    <t>CherrySlurveySmoothie.png</t>
  </si>
  <si>
    <t>!!SMOOTHIE_CHERRYADE_CHILLER</t>
  </si>
  <si>
    <t>rez_smoothie_cherryade_chiller</t>
  </si>
  <si>
    <t>CherryAideChillerSmoothie.png</t>
  </si>
  <si>
    <t>!!SMOOTHIE_CITRUS_SLURVEY</t>
  </si>
  <si>
    <t>rez_smoothie_citrus_slurvey</t>
  </si>
  <si>
    <t>CitrusSlurveySmoothie.png</t>
  </si>
  <si>
    <t>!!SMOOTHIE_HANG_8</t>
  </si>
  <si>
    <t>rez_smoothie_hang_8</t>
  </si>
  <si>
    <t>Hang8Smoothie.png</t>
  </si>
  <si>
    <t>!!SMOOTHIE_LIQUID_COBBLER</t>
  </si>
  <si>
    <t>rez_smoothie_liquid_cobbler</t>
  </si>
  <si>
    <t>LiquidCobblerSmoothie.png</t>
  </si>
  <si>
    <t>!!SMOOTHIE_NANNAS_C_SERENADE</t>
  </si>
  <si>
    <t>rez_smoothie_nannas_c_serenade</t>
  </si>
  <si>
    <t>NanasCSerenadeSmoothie.png</t>
  </si>
  <si>
    <t>!!SMOOTHIE_ORANGE_NUT</t>
  </si>
  <si>
    <t>rez_smoothie_orange_nut</t>
  </si>
  <si>
    <t>OrangeNutSmoothie.png</t>
  </si>
  <si>
    <t>!!SMOOTHIE_STRAWBERRY_SQUEEZE</t>
  </si>
  <si>
    <t>rez_smoothie_strawberry_squeeze</t>
  </si>
  <si>
    <t>StrawberrySqueezeSmoothie.png</t>
  </si>
  <si>
    <t>!!SMOOTHIE_STRAWNANA_TSUNAMI</t>
  </si>
  <si>
    <t>rez_smoothie_strawnana_tsunami</t>
  </si>
  <si>
    <t>StrawberryTsunamiSmoothie.png</t>
  </si>
  <si>
    <t>!!SMOOTHIE_WANNANANA</t>
  </si>
  <si>
    <t>rez_smoothie_wannanana</t>
  </si>
  <si>
    <t>WanananaSmoothie.png</t>
  </si>
  <si>
    <t>!!ICECREAM_BANANA</t>
  </si>
  <si>
    <t>rez_icecream_banana</t>
  </si>
  <si>
    <t>BananaIceCream.png</t>
  </si>
  <si>
    <t>IceCreamEaten</t>
  </si>
  <si>
    <t>!!ICECREAM_BANANA_SPLIT</t>
  </si>
  <si>
    <t>rez_icecream_banana_split</t>
  </si>
  <si>
    <t>BananaSplit.png</t>
  </si>
  <si>
    <t>!!ICECREAM_BERRY_SCOOPS</t>
  </si>
  <si>
    <t>rez_icecream_berry_scoops</t>
  </si>
  <si>
    <t>BerryScoopsIceCream.png</t>
  </si>
  <si>
    <t>!!ICECREAM_CARAMEL</t>
  </si>
  <si>
    <t>rez_icecream_caramel</t>
  </si>
  <si>
    <t>CaramelIceCream.png</t>
  </si>
  <si>
    <t>!!ICECREAM_CORAL_BITS</t>
  </si>
  <si>
    <t>rez_icecream_coralbits</t>
  </si>
  <si>
    <t>CoralBitsIceCream.png</t>
  </si>
  <si>
    <t>!!ICECREAM_LEMON_GELATO</t>
  </si>
  <si>
    <t>rez_icecream_lemongelato</t>
  </si>
  <si>
    <t>LemonGelatoIceCream.png</t>
  </si>
  <si>
    <t>!!ICECREAM_SEASALT</t>
  </si>
  <si>
    <t>rez_icecream_seasalt</t>
  </si>
  <si>
    <t>SeaSaltIceCream.png</t>
  </si>
  <si>
    <t>!!ICECREAM_STRAWBERRY</t>
  </si>
  <si>
    <t>rez_icecream_strawberry</t>
  </si>
  <si>
    <t>StrawberryIceCream.png</t>
  </si>
  <si>
    <t>!!ICECREAM_VANILLA</t>
  </si>
  <si>
    <t>rez_icecream_vanilla</t>
  </si>
  <si>
    <t>VanillaIceCream.png</t>
  </si>
  <si>
    <t>!!SHAKE_BANANAS_N_BITS</t>
  </si>
  <si>
    <t>rez_shake_bananasnbits</t>
  </si>
  <si>
    <t>BananasandBitsMilkshake.png</t>
  </si>
  <si>
    <t>!!SHAKE_BERRY_BLISS</t>
  </si>
  <si>
    <t>rez_shake_berrybliss</t>
  </si>
  <si>
    <t>BerryBlissMilkshake.png</t>
  </si>
  <si>
    <t>!!SHAKE_CORAL_CRUSH</t>
  </si>
  <si>
    <t>rez_shake_chocolatecrush</t>
  </si>
  <si>
    <t>CoralCrushMilkshake.png</t>
  </si>
  <si>
    <t>!!SHAKE_FRUTIY_BREEZE</t>
  </si>
  <si>
    <t>rez_shake_fruitybreeze</t>
  </si>
  <si>
    <t>FruityBreezeMilkshake.png</t>
  </si>
  <si>
    <t>!!SHAKE_SALTY_BANANA</t>
  </si>
  <si>
    <t>rez_shake_saltybanana</t>
  </si>
  <si>
    <t>SaltyBananaMilkshake.png</t>
  </si>
  <si>
    <t>!!SHAKE_STRAWBERRY_RIPTIDE</t>
  </si>
  <si>
    <t>rez_shake_strawberryriptide</t>
  </si>
  <si>
    <t>StrawberryRiptideMilkshake.png</t>
  </si>
  <si>
    <t>!!SHAKE_TARTBERRY_TWIST</t>
  </si>
  <si>
    <t>rez_shake_tartberrytwist</t>
  </si>
  <si>
    <t>TartberryTwistMilkshake.png</t>
  </si>
  <si>
    <t>!!SHAKE_VANILLA_BLAST</t>
  </si>
  <si>
    <t>rez_shake_vanillablast</t>
  </si>
  <si>
    <t>VanillaBlastMilkshake.png</t>
  </si>
  <si>
    <t>!!FLOWERCORAL_BRANCHCORAL</t>
  </si>
  <si>
    <t>rez_flowercoral_branchcoral</t>
  </si>
  <si>
    <t>BranchCoral.png</t>
  </si>
  <si>
    <t>!!FLOWERCORAL_CUPCORAL</t>
  </si>
  <si>
    <t>rez_flowercoral_cupcoral</t>
  </si>
  <si>
    <t>CupCoralFlower.png</t>
  </si>
  <si>
    <t>!!FLOWERCORAL_FLOWER</t>
  </si>
  <si>
    <t>rez_flowercoral_flower</t>
  </si>
  <si>
    <t>Flower.png</t>
  </si>
  <si>
    <t>!!FLOWERCORAL_STINKYSEAROSE</t>
  </si>
  <si>
    <t>rez_flowercoral_stinkysearose</t>
  </si>
  <si>
    <t>StinkingSeaRose.png</t>
  </si>
  <si>
    <t>!!FLOWERCORAL_TUBECORAL</t>
  </si>
  <si>
    <t>rez_flowercoral_tubecoral</t>
  </si>
  <si>
    <t>TubeCoral.png</t>
  </si>
  <si>
    <t>!!DECO_FLOWERCORAL_BLISSGARDEN</t>
  </si>
  <si>
    <t>rez_deco_flowercoral_blissgarden</t>
  </si>
  <si>
    <t>Flowers_blue.png</t>
  </si>
  <si>
    <t>!!DECO_FLOWERCORAL_BRANCHCORALBOUQUET</t>
  </si>
  <si>
    <t>rez_deco_flowercoral_branchcoralbouquet</t>
  </si>
  <si>
    <t>!!DECO_FLOWERCORAL_CORALCASTLE</t>
  </si>
  <si>
    <t>rez_deco_flowercoral_coralcastle</t>
  </si>
  <si>
    <t>!!DECO_FLOWERCORAL_CUPCORALBED</t>
  </si>
  <si>
    <t>rez_deco_flowercoral_cupcoralbed</t>
  </si>
  <si>
    <t>!!DECO_FLOWERCORAL_FLOWERBED</t>
  </si>
  <si>
    <t>rez_deco_flowercoral_flowerbed</t>
  </si>
  <si>
    <t>!!DECO_FLOWERCORAL_REEFPATCH</t>
  </si>
  <si>
    <t>rez_deco_flowercoral_reefpatch</t>
  </si>
  <si>
    <t>!!DECO_FLOWERCORAL_SMELLYMEDLEY</t>
  </si>
  <si>
    <t>rez_deco_flowercoral_smellymedly</t>
  </si>
  <si>
    <t>!!DECO_FLOWERCORAL_STINKYSEACOLLECTION</t>
  </si>
  <si>
    <t>rez_deco_flowercoral_stinkyseacollection</t>
  </si>
  <si>
    <t>!!DECO_FLOWERCORAL_TUBESQUARE</t>
  </si>
  <si>
    <t>rez_deco_flowercoral_tubesquare</t>
  </si>
  <si>
    <t>!!BOUQUET_FLOWERCORAL_FRIENDLYFLOWER</t>
  </si>
  <si>
    <t>rez_bouquet_flowercoral_friendlyflower</t>
  </si>
  <si>
    <t>FriendlyFlowerBouquet.png</t>
  </si>
  <si>
    <t>FlowersGiven</t>
  </si>
  <si>
    <t>!!BOUQUET_FLOWERCORAL_CUPN2FLOWERS</t>
  </si>
  <si>
    <t>rez_bouquet_flowercoral_cupn2flowers</t>
  </si>
  <si>
    <t>CupN2Flowers.png</t>
  </si>
  <si>
    <t>!!BOUQUET_FLOWERCORAL_BUNCHOBRANCHES</t>
  </si>
  <si>
    <t>rez_bouquet_flowercoral_bunchobranches</t>
  </si>
  <si>
    <t>BunchOBranchesBouquet.png</t>
  </si>
  <si>
    <t>!!BOUQUET_FLOWERCORAL_CUPCORALTREE</t>
  </si>
  <si>
    <t>rez_bouquet_flowercoral_cupcoraltree</t>
  </si>
  <si>
    <t>CupCoralTreeBouquet.png</t>
  </si>
  <si>
    <t>!!BOUQUET_FLOWERCORAL_CORALPARADISE</t>
  </si>
  <si>
    <t>rez_bouquet_flowercoral_coralparadise</t>
  </si>
  <si>
    <t>CoralParadiseBouquet.png</t>
  </si>
  <si>
    <t>!!PERFUME_4OFCUPS</t>
  </si>
  <si>
    <t>rez_perfume_4ofcups</t>
  </si>
  <si>
    <t>Perfume1.png</t>
  </si>
  <si>
    <t>PerfumeGiven</t>
  </si>
  <si>
    <t>!!PERFUME_CAPSIZEFORHER</t>
  </si>
  <si>
    <t>rez_perfume_capsizeforher</t>
  </si>
  <si>
    <t>Perfume2.png</t>
  </si>
  <si>
    <t>!!PERFUME_CAPSIZEFORHIM</t>
  </si>
  <si>
    <t>rez_perfume_capsizeforhim</t>
  </si>
  <si>
    <t>CapsizeForHim.png</t>
  </si>
  <si>
    <t>!!PERFUME_CHUMODERANT</t>
  </si>
  <si>
    <t>rez_perfume_chumoderant</t>
  </si>
  <si>
    <t>RecipeIcon.png</t>
  </si>
  <si>
    <t>!!PERFUME_CHUMSNIFF</t>
  </si>
  <si>
    <t>rez_perfume_chumsniff</t>
  </si>
  <si>
    <t>!!PERFUME_CORALBREEZE</t>
  </si>
  <si>
    <t>rez_perfume_coralbreeze</t>
  </si>
  <si>
    <t>Perfume3.png</t>
  </si>
  <si>
    <t>!!PERFUME_FISHERMANSFLOWERS</t>
  </si>
  <si>
    <t>rez_perfume_fishermansflowers</t>
  </si>
  <si>
    <t>Perfume4.png</t>
  </si>
  <si>
    <t>!!PERFUME_LAMPREYAWAY</t>
  </si>
  <si>
    <t>rez_perfume_lampreyaway</t>
  </si>
  <si>
    <t>LampreyAway.png</t>
  </si>
  <si>
    <t>!!PERFUME_SCENTOSAILOR</t>
  </si>
  <si>
    <t>rez_perfume_scentosailor</t>
  </si>
  <si>
    <t>ScentOSailor.png</t>
  </si>
  <si>
    <t>!!PERFUME_SEASHANTY</t>
  </si>
  <si>
    <t>rez_perfume_seashanty</t>
  </si>
  <si>
    <t>SeaShanty.png</t>
  </si>
  <si>
    <t>!!PERFUME_THATSSOCORAL</t>
  </si>
  <si>
    <t>rez_perfume_thatssocoral</t>
  </si>
  <si>
    <t>Perfume6.png</t>
  </si>
  <si>
    <t>!!PERFUME_THEDUMP</t>
  </si>
  <si>
    <t>rez_perfume_thedump</t>
  </si>
  <si>
    <t>TheDump.png</t>
  </si>
  <si>
    <t>!!FOOD_BAKED_BANANABANANABREAD</t>
  </si>
  <si>
    <t>rez_baked_bananabananabread</t>
  </si>
  <si>
    <t>BananaBananaBread.png</t>
  </si>
  <si>
    <t>!!FOOD_BAKED_CHERRIESGARY</t>
  </si>
  <si>
    <t>rez_baked_cherriesgary</t>
  </si>
  <si>
    <t>CherriesGary.png</t>
  </si>
  <si>
    <t>!!FOOD_BAKED_COCONUTCOBBLER</t>
  </si>
  <si>
    <t>rez_baked_coconutcobbler</t>
  </si>
  <si>
    <t>CoconutCobbler.png</t>
  </si>
  <si>
    <t>!!FOOD_BAKED_CORALCRUMBLE</t>
  </si>
  <si>
    <t>rez_baked_coralcrumble</t>
  </si>
  <si>
    <t>CoralCrumbleCake.png</t>
  </si>
  <si>
    <t>!!FOOD_BAKED_DUTCHMANSDUTCHAPPLEPIE</t>
  </si>
  <si>
    <t>rez_baked_dutchmansdutchapplepie</t>
  </si>
  <si>
    <t>Dutchman'sDutchPie.png</t>
  </si>
  <si>
    <t>!!FOOD_BAKED_EVERYVILLAINISLEMONBAR</t>
  </si>
  <si>
    <t>rez_baked_everyvillainislemonbar</t>
  </si>
  <si>
    <t>EveryVillianIsLemonBar.png</t>
  </si>
  <si>
    <t>rez_baked_ferrycherrycheesecake</t>
  </si>
  <si>
    <t>FerryCherryCheesecake.png</t>
  </si>
  <si>
    <t>!!FOOD_BAKED_KELPYCRUST</t>
  </si>
  <si>
    <t>rez_baked_kelpycrust</t>
  </si>
  <si>
    <t>KelpyCrust.png</t>
  </si>
  <si>
    <t>!!FOOD_BAKED_LIFESABEACHPEACHCOBBLER</t>
  </si>
  <si>
    <t>rez_baked_lifesabeachoeachcobbler</t>
  </si>
  <si>
    <t>PeachCobbler.png</t>
  </si>
  <si>
    <t>!!FOOD_BAKED_MAROONEDMACAROONS</t>
  </si>
  <si>
    <t>rez_baked_maroonedmacaroons</t>
  </si>
  <si>
    <t>MaroonedMacaroon.png</t>
  </si>
  <si>
    <t>!!FOOD_BAKED_MERINGUELEMANRAY</t>
  </si>
  <si>
    <t>rez_baked_meringuelemanray</t>
  </si>
  <si>
    <t>MeringueLeManRayPie.png</t>
  </si>
  <si>
    <t>!!FOOD_BAKED_PUFFERPASTRYTART</t>
  </si>
  <si>
    <t>rez_baked_pufferpastrytart</t>
  </si>
  <si>
    <t>PufferPastryTart.png</t>
  </si>
  <si>
    <t>!!FOOD_BAKED_SANDYSTEXASTWOBERRYTART</t>
  </si>
  <si>
    <t>rez_baked_sandystexastwoberrytart</t>
  </si>
  <si>
    <t>SandysTexasTwoBerryTart.png</t>
  </si>
  <si>
    <t>!!FOOD_BAKED_SEALIMEPIE</t>
  </si>
  <si>
    <t>rez_baked_sealimepie</t>
  </si>
  <si>
    <t>SeaLimePie.png</t>
  </si>
  <si>
    <t>!!FOOD_BAKED_SHELDONSSTRAWBERRYSHORTCAKE</t>
  </si>
  <si>
    <t>rez_baked_sheldonsstrawberryshortcake</t>
  </si>
  <si>
    <t>Sheldon'sStrawberryShortcake.png</t>
  </si>
  <si>
    <t>!!FOOD_BAKED_SPONGECAKESQUAREBAKE</t>
  </si>
  <si>
    <t>rez_baked_spongecakesquarebake</t>
  </si>
  <si>
    <t>SpongeCakeSquareBake.png</t>
  </si>
  <si>
    <t>!!FOOD_BAKED_THEAPPLEFANCYSON</t>
  </si>
  <si>
    <t>rez_baked_theapplefancyson</t>
  </si>
  <si>
    <t>AppleFancyson.png</t>
  </si>
  <si>
    <t>s:Name</t>
  </si>
  <si>
    <t>s:Texture</t>
  </si>
  <si>
    <t>s:Collected Sound</t>
  </si>
  <si>
    <t>s:Eaten Sound</t>
  </si>
  <si>
    <t>f:Jelly Conversion</t>
  </si>
  <si>
    <t>i:Expected Order</t>
  </si>
  <si>
    <t>i:Max Amount</t>
  </si>
  <si>
    <t>s:Tap Sound</t>
  </si>
  <si>
    <t>s:Recipe Name</t>
  </si>
  <si>
    <t>i:Set 2 Reward DID 2</t>
  </si>
  <si>
    <t>i:Set 2 Reward DID 3</t>
  </si>
  <si>
    <t>f:Set 2 Reward Odds 2</t>
  </si>
  <si>
    <t>f:Set 2 Reward Odds 3</t>
  </si>
  <si>
    <t>i:Set 2 Reward Amount 2</t>
  </si>
  <si>
    <t>i:Set 2 Reward Amount 3</t>
  </si>
  <si>
    <t>f:Set Odds 3</t>
  </si>
  <si>
    <t>s:Set Type 3</t>
  </si>
  <si>
    <t>i:Set 3 Reward DID 1</t>
  </si>
  <si>
    <t>i:Set 3 Reward DID 2</t>
  </si>
  <si>
    <t>i:Set 3 Reward DID 3</t>
  </si>
  <si>
    <t>f:Set 3 Reward Odds 1</t>
  </si>
  <si>
    <t>f:Set 3 Reward Odds 2</t>
  </si>
  <si>
    <t>f:Set 3 Reward Odds 3</t>
  </si>
  <si>
    <t>i:Set 3 Reward DID 4</t>
  </si>
  <si>
    <t>f:Set 3 Reward Odds 4</t>
  </si>
  <si>
    <t>i:Set 3 Reward Amount 1</t>
  </si>
  <si>
    <t>i:Set 3 Reward Amount 2</t>
  </si>
  <si>
    <t>i:Set 3 Reward Amount 3</t>
  </si>
  <si>
    <t>i:Set 3 Reward Amount 4</t>
  </si>
  <si>
    <t>11|3|4</t>
  </si>
  <si>
    <t>s:Paytable Name</t>
  </si>
  <si>
    <t>bananabananabread</t>
  </si>
  <si>
    <t>cherriesgary</t>
  </si>
  <si>
    <t>coconutcobbler</t>
  </si>
  <si>
    <t>coralcrumble</t>
  </si>
  <si>
    <t>dutchmansdutchapplepie</t>
  </si>
  <si>
    <t>everyvillainislemonbar</t>
  </si>
  <si>
    <t>kelpycrust</t>
  </si>
  <si>
    <t>lifesabeachpeachcobbler</t>
  </si>
  <si>
    <t>maroonedmacaroons</t>
  </si>
  <si>
    <t>meringuelemanray</t>
  </si>
  <si>
    <t>pufferpastrytart</t>
  </si>
  <si>
    <t>sandystexastwoberrytart</t>
  </si>
  <si>
    <t>sealimepie</t>
  </si>
  <si>
    <t>sheldonsstrawberryshortcake</t>
  </si>
  <si>
    <t>spongecakesquarebake</t>
  </si>
  <si>
    <t>theapplefancyson</t>
  </si>
  <si>
    <t>bruschetta</t>
  </si>
  <si>
    <t>bun</t>
  </si>
  <si>
    <t>coralbits</t>
  </si>
  <si>
    <t>!!CRAFT_GROWING</t>
  </si>
  <si>
    <t>potato_seed</t>
  </si>
  <si>
    <t>potato_baby</t>
  </si>
  <si>
    <t>potato_fullgrown</t>
  </si>
  <si>
    <t>croutons</t>
  </si>
  <si>
    <t>cryingjohnny</t>
  </si>
  <si>
    <t>Global_GrilledItemStarted</t>
  </si>
  <si>
    <t>Global_GrilledItemReady</t>
  </si>
  <si>
    <t>cubedketchupkabobs</t>
  </si>
  <si>
    <t>dutchmansdouble</t>
  </si>
  <si>
    <t>seaflower</t>
  </si>
  <si>
    <t>FlowerItemStarted</t>
  </si>
  <si>
    <t>FlowerItemReady</t>
  </si>
  <si>
    <t>stinkysearose</t>
  </si>
  <si>
    <t>StinkyItemStarted</t>
  </si>
  <si>
    <t>StinkyItemReady</t>
  </si>
  <si>
    <t>apple</t>
  </si>
  <si>
    <t>VeggieItemReady</t>
  </si>
  <si>
    <t>banana</t>
  </si>
  <si>
    <t>blueberry</t>
  </si>
  <si>
    <t>cherry</t>
  </si>
  <si>
    <t>coconut</t>
  </si>
  <si>
    <t>lemon</t>
  </si>
  <si>
    <t>lime</t>
  </si>
  <si>
    <t>orange</t>
  </si>
  <si>
    <t>peach</t>
  </si>
  <si>
    <t>strawberry</t>
  </si>
  <si>
    <t>garlic</t>
  </si>
  <si>
    <t>garlicbread</t>
  </si>
  <si>
    <t>barkchopsandwich</t>
  </si>
  <si>
    <t>barkingbrisket</t>
  </si>
  <si>
    <t>toast</t>
  </si>
  <si>
    <t>krabbyonrye</t>
  </si>
  <si>
    <t>mesquiteribs</t>
  </si>
  <si>
    <t>pulledpulpsandwich</t>
  </si>
  <si>
    <t>ribeyesandwich</t>
  </si>
  <si>
    <t>rustyonrye</t>
  </si>
  <si>
    <t>spicyspacklesauce</t>
  </si>
  <si>
    <t>splinteredslaw</t>
  </si>
  <si>
    <t>hotdogroll</t>
  </si>
  <si>
    <t>bananaicecream</t>
  </si>
  <si>
    <t>bananasplit</t>
  </si>
  <si>
    <t>berryscoops</t>
  </si>
  <si>
    <t>caramelicecream</t>
  </si>
  <si>
    <t>coralbitsicecream</t>
  </si>
  <si>
    <t>lemongelato</t>
  </si>
  <si>
    <t>seasalticecream</t>
  </si>
  <si>
    <t>strawberryicecream</t>
  </si>
  <si>
    <t>vanillaicecream</t>
  </si>
  <si>
    <t>jelliedtoast</t>
  </si>
  <si>
    <t>jellypatty</t>
  </si>
  <si>
    <t>applejuice</t>
  </si>
  <si>
    <t>lemonade</t>
  </si>
  <si>
    <t>limeade</t>
  </si>
  <si>
    <t>orangejuice</t>
  </si>
  <si>
    <t>peachnectar</t>
  </si>
  <si>
    <t>kelp</t>
  </si>
  <si>
    <t>kelp_seed</t>
  </si>
  <si>
    <t>kelp_baby</t>
  </si>
  <si>
    <t>kelp_fullgrown</t>
  </si>
  <si>
    <t>kelpcakes</t>
  </si>
  <si>
    <t>FriedItemStarted</t>
  </si>
  <si>
    <t>FriedItemReady</t>
  </si>
  <si>
    <t>kelpdog</t>
  </si>
  <si>
    <t>kelpfries</t>
  </si>
  <si>
    <t>klt</t>
  </si>
  <si>
    <t>krabbypatty</t>
  </si>
  <si>
    <t>KP_GrilledItemStarted</t>
  </si>
  <si>
    <t>KP_GrilledItemReady</t>
  </si>
  <si>
    <t>SB_KrabbyPatty</t>
  </si>
  <si>
    <t>Silence</t>
  </si>
  <si>
    <t>lettuce</t>
  </si>
  <si>
    <t>SB_Lettuce</t>
  </si>
  <si>
    <t>lettuce_seed</t>
  </si>
  <si>
    <t>lettuce_baby</t>
  </si>
  <si>
    <t>lettuce_fullgrown</t>
  </si>
  <si>
    <t>onion</t>
  </si>
  <si>
    <t>onion_seed</t>
  </si>
  <si>
    <t>onion_baby</t>
  </si>
  <si>
    <t>onion_fullgrown</t>
  </si>
  <si>
    <t>patty</t>
  </si>
  <si>
    <t>4ofcups</t>
  </si>
  <si>
    <t>PerfumeItemStarted</t>
  </si>
  <si>
    <t>PerfumeItemReady</t>
  </si>
  <si>
    <t>capsizeforher</t>
  </si>
  <si>
    <t>capsizeforhim</t>
  </si>
  <si>
    <t>coralbreeze</t>
  </si>
  <si>
    <t>fishermansflowers</t>
  </si>
  <si>
    <t>lampreyaway</t>
  </si>
  <si>
    <t>scentosailor</t>
  </si>
  <si>
    <t>seashanty</t>
  </si>
  <si>
    <t>thatssocoral</t>
  </si>
  <si>
    <t>thedump</t>
  </si>
  <si>
    <t>picodegallo</t>
  </si>
  <si>
    <t>potato</t>
  </si>
  <si>
    <t>salad</t>
  </si>
  <si>
    <t>VeggieItemStarted</t>
  </si>
  <si>
    <t>caesarsalad</t>
  </si>
  <si>
    <t>seaweedsalad</t>
  </si>
  <si>
    <t>bananasnbits</t>
  </si>
  <si>
    <t>berrybliss</t>
  </si>
  <si>
    <t>coralcrush</t>
  </si>
  <si>
    <t>fruitybreeze</t>
  </si>
  <si>
    <t>saltybanana</t>
  </si>
  <si>
    <t>strawberryriptide</t>
  </si>
  <si>
    <t>tartberrytwist</t>
  </si>
  <si>
    <t>vanillablast</t>
  </si>
  <si>
    <t>bananabreaker</t>
  </si>
  <si>
    <t>berryblast</t>
  </si>
  <si>
    <t>cherryslurvey</t>
  </si>
  <si>
    <t>cherryadechiller</t>
  </si>
  <si>
    <t>citrusslurvey</t>
  </si>
  <si>
    <t>hang8</t>
  </si>
  <si>
    <t>liquidcobbler</t>
  </si>
  <si>
    <t>nannascsernade</t>
  </si>
  <si>
    <t>orangenut</t>
  </si>
  <si>
    <t>strawberrysqueeze</t>
  </si>
  <si>
    <t>straberrysqueeze</t>
  </si>
  <si>
    <t>strawnanatsunami</t>
  </si>
  <si>
    <t>wannanana</t>
  </si>
  <si>
    <t>tomato</t>
  </si>
  <si>
    <t>SB_Tomato</t>
  </si>
  <si>
    <t>tomatobisque</t>
  </si>
  <si>
    <t>SoupItemStarted</t>
  </si>
  <si>
    <t>SoupItemReady</t>
  </si>
  <si>
    <t>veggiepatty</t>
  </si>
  <si>
    <t>s:Ready Sound Beat</t>
  </si>
  <si>
    <t>s:Start Sound Beat</t>
  </si>
  <si>
    <t>s:Building Name</t>
  </si>
  <si>
    <t>i:XP Reward</t>
  </si>
  <si>
    <t>i:Amount Crafted</t>
  </si>
  <si>
    <t>i:Building DID</t>
  </si>
  <si>
    <t>i:Starting Slots</t>
  </si>
  <si>
    <t>i:Slot Cost 1</t>
  </si>
  <si>
    <t>i:Slot Cost 2</t>
  </si>
  <si>
    <t>i:Slot Cost 3</t>
  </si>
  <si>
    <t>i:Slot Cost 4</t>
  </si>
  <si>
    <t>i:Slot Cost 5</t>
  </si>
  <si>
    <t>i:Slot Cost 6</t>
  </si>
  <si>
    <t>i:Slot Cost 7</t>
  </si>
  <si>
    <t>i:Currency Type 1</t>
  </si>
  <si>
    <t>i:Currency Type 2</t>
  </si>
  <si>
    <t>i:Currency Type 3</t>
  </si>
  <si>
    <t>i:Currency Type 4</t>
  </si>
  <si>
    <t>i:Currency Type 5</t>
  </si>
  <si>
    <t>i:Currency Type 6</t>
  </si>
  <si>
    <t>i:Currency Type 7</t>
  </si>
  <si>
    <t>i:Product ID</t>
  </si>
  <si>
    <t>Dialog_Craft_Bakery</t>
  </si>
  <si>
    <t>BakeryCancel.png</t>
  </si>
  <si>
    <t>BakeryTitle.png</t>
  </si>
  <si>
    <t>BakerySlot.png</t>
  </si>
  <si>
    <t>BakeryTitleIcon.png</t>
  </si>
  <si>
    <t>null</t>
  </si>
  <si>
    <t>!!PREFAB_BAKE</t>
  </si>
  <si>
    <t>OpenMenu</t>
  </si>
  <si>
    <t>CloseMenu</t>
  </si>
  <si>
    <t>Dialog_Craft_FLowerShop</t>
  </si>
  <si>
    <t>GreenCancelButton.png</t>
  </si>
  <si>
    <t>FlowerShopTitle.png</t>
  </si>
  <si>
    <t>FlowerShopSlot.png</t>
  </si>
  <si>
    <t>FlowerShopTitleIcon.png</t>
  </si>
  <si>
    <t>!!PREFAB_MAKE</t>
  </si>
  <si>
    <t>Dialog_Craft_Garden</t>
  </si>
  <si>
    <t>SeedStoreTitle.png</t>
  </si>
  <si>
    <t>SeedStoreSlot.png</t>
  </si>
  <si>
    <t>SeedStoreTitleIcon.png</t>
  </si>
  <si>
    <t>!!PREFAB_GROW</t>
  </si>
  <si>
    <t>OpenGardenMenu</t>
  </si>
  <si>
    <t>SeedStore</t>
  </si>
  <si>
    <t>CraftingScreen_Holiday_Cheer</t>
  </si>
  <si>
    <t>RustysRibeyeTitle.png</t>
  </si>
  <si>
    <t>RustysRibeyeSlot.png</t>
  </si>
  <si>
    <t>RustysRibeyeIcon.png</t>
  </si>
  <si>
    <t>Dialog_Craft_IceCreamShop</t>
  </si>
  <si>
    <t>BrownCancelButton.png</t>
  </si>
  <si>
    <t>IceCreamShopTitle.png</t>
  </si>
  <si>
    <t>IceCreamShopSlot.png</t>
  </si>
  <si>
    <t>IceCreamShopTitleIcon.png</t>
  </si>
  <si>
    <t>Dialog_Craft_JuiceBar</t>
  </si>
  <si>
    <t>JuiceBarTitle.png</t>
  </si>
  <si>
    <t>JuiceBarSlot.png</t>
  </si>
  <si>
    <t>JuiceBarTitleIcon.png</t>
  </si>
  <si>
    <t>Dialog_Craft_GalleyGrub</t>
  </si>
  <si>
    <t>CancelButton.png</t>
  </si>
  <si>
    <t>GalleyGrubTitle.png</t>
  </si>
  <si>
    <t>GalleyGrubSlot1.png</t>
  </si>
  <si>
    <t>GalleyGrubTitleIcon.png</t>
  </si>
  <si>
    <t>RecipeSpatula.png</t>
  </si>
  <si>
    <t>OpenGalleyGrubMenu</t>
  </si>
  <si>
    <t>CloseGalleyGrubMenu</t>
  </si>
  <si>
    <t>GalleyGrub</t>
  </si>
  <si>
    <t>Dialog_Craft_PerfumeShop</t>
  </si>
  <si>
    <t>PinkCancelButton.png</t>
  </si>
  <si>
    <t>PerfumeShopTitle.png</t>
  </si>
  <si>
    <t>PerfumeShopSlot.png</t>
  </si>
  <si>
    <t>PerfumeShopTitleIcon.png</t>
  </si>
  <si>
    <t>CraftingScreen_RustysRibyeye</t>
  </si>
  <si>
    <t>TreatShopTitle_Origin.png</t>
  </si>
  <si>
    <t>TreatShopTitleIcon_Origin.png</t>
  </si>
  <si>
    <t>TreatShopSelect</t>
  </si>
  <si>
    <t>Dialog_Craft_Tree</t>
  </si>
  <si>
    <t>s:Session Action ID</t>
  </si>
  <si>
    <t>bunchobranches</t>
  </si>
  <si>
    <t>coralparadise</t>
  </si>
  <si>
    <t>cupcoraltree</t>
  </si>
  <si>
    <t>cupn2flowers</t>
  </si>
  <si>
    <t>friendlyflower</t>
  </si>
  <si>
    <t>holiday_cheer</t>
  </si>
  <si>
    <t>branchcoral</t>
  </si>
  <si>
    <t>cupcoral</t>
  </si>
  <si>
    <t>tubecoral</t>
  </si>
  <si>
    <t>chestnut</t>
  </si>
  <si>
    <t>cranberry</t>
  </si>
  <si>
    <t>pipsqueakpatty</t>
  </si>
  <si>
    <t>i:Coral Bits Amount 1</t>
  </si>
  <si>
    <t>i:Coral Bits Amount 2</t>
  </si>
  <si>
    <t>i:Coral Bits Amount 3</t>
  </si>
  <si>
    <t>i:Ignore Random Recipe Quest</t>
  </si>
  <si>
    <t>i:Ignore Recipe Cap</t>
  </si>
  <si>
    <t>f:Coral Bits Odds 1</t>
  </si>
  <si>
    <t>f:Coral Bits Odds 2</t>
  </si>
  <si>
    <t>f:Coral Bits Odds 3</t>
  </si>
  <si>
    <t>mustard</t>
  </si>
  <si>
    <t>i:Background Color R</t>
  </si>
  <si>
    <t>i:Background Color G</t>
  </si>
  <si>
    <t>i:Background Color B</t>
  </si>
  <si>
    <t>s:Cancel Button Texture</t>
  </si>
  <si>
    <t>s:Title Texture</t>
  </si>
  <si>
    <t>s:Slot Texture</t>
  </si>
  <si>
    <t>s:Title Icon Texture</t>
  </si>
  <si>
    <t>s:Button Icon</t>
  </si>
  <si>
    <t>s:Button Label</t>
  </si>
  <si>
    <t>s:Open Sound</t>
  </si>
  <si>
    <t>s:Close Sound</t>
  </si>
  <si>
    <t>s:Music</t>
  </si>
  <si>
    <t>i:Recipe 1</t>
  </si>
  <si>
    <t>i:Recipe 2</t>
  </si>
  <si>
    <t>i:Recipe 3</t>
  </si>
  <si>
    <t>i:Recipe 4</t>
  </si>
  <si>
    <t>i:Recipe 5</t>
  </si>
  <si>
    <t>i:Recipe 6</t>
  </si>
  <si>
    <t>i:Recipe 7</t>
  </si>
  <si>
    <t>i:Recipe 8</t>
  </si>
  <si>
    <t>i:Recipe 9</t>
  </si>
  <si>
    <t>i:Recipe 10</t>
  </si>
  <si>
    <t>i:Recipe 11</t>
  </si>
  <si>
    <t>i:Recipe 12</t>
  </si>
  <si>
    <t>i:Recipe 13</t>
  </si>
  <si>
    <t>i:Recipe 14</t>
  </si>
  <si>
    <t>i:Recipe 15</t>
  </si>
  <si>
    <t>i:Recipe 16</t>
  </si>
  <si>
    <t>i:Recipe 17</t>
  </si>
  <si>
    <t>i:Recipe 18</t>
  </si>
  <si>
    <t>i:Recipe 19</t>
  </si>
  <si>
    <t>i:Recipe 20</t>
  </si>
  <si>
    <t>i:Recipe 21</t>
  </si>
  <si>
    <t>i:Recipe 22</t>
  </si>
  <si>
    <t>i:Recipe 23</t>
  </si>
  <si>
    <t>i:Recipe 24</t>
  </si>
  <si>
    <t>i:Recipe 25</t>
  </si>
  <si>
    <t>i:Recipe 26</t>
  </si>
  <si>
    <t>i:Recipe 27</t>
  </si>
  <si>
    <t>i:Recipe 28</t>
  </si>
  <si>
    <t>i:Recipe 29</t>
  </si>
  <si>
    <t>i:Recipe 30</t>
  </si>
  <si>
    <t>i:Recipe 31</t>
  </si>
  <si>
    <t>i:Recipe 32</t>
  </si>
  <si>
    <t>i:Recipe 33</t>
  </si>
  <si>
    <t>i:Recipe 34</t>
  </si>
  <si>
    <t>i:Recipe 35</t>
  </si>
  <si>
    <t>i:Recipe 36</t>
  </si>
  <si>
    <t>i:Recipe 37</t>
  </si>
  <si>
    <t>i:Recipe 38</t>
  </si>
  <si>
    <t>i:Recipe 39</t>
  </si>
  <si>
    <t>i:Recipe 40</t>
  </si>
  <si>
    <t>type</t>
  </si>
  <si>
    <t>allow_driftwood</t>
  </si>
  <si>
    <t>allow_driftwood_tutorial</t>
  </si>
  <si>
    <t>Sell</t>
  </si>
  <si>
    <t>allow_treasure</t>
  </si>
  <si>
    <t>i:Recipe Columns</t>
  </si>
  <si>
    <t>i:Total Slots</t>
  </si>
  <si>
    <t>name</t>
  </si>
  <si>
    <t>did</t>
  </si>
  <si>
    <t>spicerez_cinnamon</t>
  </si>
  <si>
    <t>!!INGREDIENT_CINNAMON_DESC</t>
  </si>
  <si>
    <t>spicerez_cloves</t>
  </si>
  <si>
    <t>!!INGREDIENT_CLOVES_DESC</t>
  </si>
  <si>
    <t>spicerez_ginger</t>
  </si>
  <si>
    <t>!!INGREDIENT_GINGER_DESC</t>
  </si>
  <si>
    <t>spicerez_nutmeg</t>
  </si>
  <si>
    <t>!!INGREDIENT_NUTMEG_DESC</t>
  </si>
  <si>
    <t>spicerez_peppermint</t>
  </si>
  <si>
    <t>!!INGREDIENT_PEPPERMINT_DESC</t>
  </si>
  <si>
    <t>spicerez_sugar</t>
  </si>
  <si>
    <t>!!INGREDIENT_SUGAR_DESC</t>
  </si>
  <si>
    <t>spicerez_vanilla</t>
  </si>
  <si>
    <t>!!INGREDIENT_VANILLA_DESC</t>
  </si>
  <si>
    <t>bargnrez_bbq_sauce</t>
  </si>
  <si>
    <t>!!INGREDIENT_BBQ_SAUCE_DESC</t>
  </si>
  <si>
    <t>bargnrez_distilled_vinegar</t>
  </si>
  <si>
    <t>!!INGREDIENT_DISTILLED_VINEGAR_DESC</t>
  </si>
  <si>
    <t>bargnrez_driftwood</t>
  </si>
  <si>
    <t>!!INGREDIENT_DRIFTWOOD_DESC</t>
  </si>
  <si>
    <t>bargnrez_mustard_seed</t>
  </si>
  <si>
    <t>!!INGREDIENT_MUSTARD_SEED_DESC</t>
  </si>
  <si>
    <t>bargnrez_natural_flavors</t>
  </si>
  <si>
    <t>!!INGREDIENT_NATURAL_FLAVORS_DESC</t>
  </si>
  <si>
    <t>bargnrez_paprika</t>
  </si>
  <si>
    <t>!!INGREDIENT_PAPRIKA_DESC</t>
  </si>
  <si>
    <t>bargnrez_salt</t>
  </si>
  <si>
    <t>!!INGREDIENT_SALT_DESC</t>
  </si>
  <si>
    <t>bargnrez_shellac</t>
  </si>
  <si>
    <t>!!INGREDIENT_SHELLAC_DESC</t>
  </si>
  <si>
    <t>bargnrez_spackle</t>
  </si>
  <si>
    <t>!!INGREDIENT_SPACKLE_DESC</t>
  </si>
  <si>
    <t>bargnrez_tumeric</t>
  </si>
  <si>
    <t>!!INGREDIENT_TUMERIC_DESC</t>
  </si>
  <si>
    <t>!!BLDG_NAME_BLUE_GRILL</t>
  </si>
  <si>
    <t>bargdeco_itemofday_bluegrill</t>
  </si>
  <si>
    <t>!!BLDG_NAME_BLUE_GRILL_DESC</t>
  </si>
  <si>
    <t>Grill_blue_Portrait.png</t>
  </si>
  <si>
    <t>!!BLDG_NAME_MAILBOX</t>
  </si>
  <si>
    <t>bargdeco_itemofday_mailbox</t>
  </si>
  <si>
    <t>!!BLDG_NAME_MAILBOX_DESC</t>
  </si>
  <si>
    <t>Mailbox1_Portrait.png</t>
  </si>
  <si>
    <t>!!BLDG_NAME_ORANGE_BENCH</t>
  </si>
  <si>
    <t>bargdeco_itemofday_orangebench</t>
  </si>
  <si>
    <t>!!BLDG_NAME_ORANGE_BENCH_DESC</t>
  </si>
  <si>
    <t>Bench_orange_Portrait.png</t>
  </si>
  <si>
    <t>!!BLDG_NAME_ORANGE_PINE</t>
  </si>
  <si>
    <t>bargdeco_itemofday_orangepine</t>
  </si>
  <si>
    <t>!!BLDG_NAME_ORANGE_PINE_DESC</t>
  </si>
  <si>
    <t>PineTree_orange_Portrait.png</t>
  </si>
  <si>
    <t>!!BLDG_NAME_PHONEBOOTH</t>
  </si>
  <si>
    <t>bargdeco_itemofday_payphone</t>
  </si>
  <si>
    <t>!!BLDG_NAME_PHONEBOOTH_DESC</t>
  </si>
  <si>
    <t>PhoneBooth_Portrait.png</t>
  </si>
  <si>
    <t>!!BLDG_NAME_PURPLE_BENCH</t>
  </si>
  <si>
    <t>bargdeco_itemofday_purpbench</t>
  </si>
  <si>
    <t>!!BLDG_NAME_PURPLE_BENCH_DESC</t>
  </si>
  <si>
    <t>Bench_purple_Portrait.png</t>
  </si>
  <si>
    <t>!!BLDG_NAME_PURPLE_PINE</t>
  </si>
  <si>
    <t>bargdeco_itemofday_purppine</t>
  </si>
  <si>
    <t>!!BLDG_NAME_PURPLE_PINE_DESC</t>
  </si>
  <si>
    <t>PineTree_purple_Portrait.png</t>
  </si>
  <si>
    <t>!!BLDG_NAME_RED_BENCH</t>
  </si>
  <si>
    <t>bargdeco_itemofday_redbench</t>
  </si>
  <si>
    <t>!!BLDG_NAME_RED_BENCH_DESC</t>
  </si>
  <si>
    <t>Bench_red_Portrait.png</t>
  </si>
  <si>
    <t>!!BLDG_NAME_RED_GRILL</t>
  </si>
  <si>
    <t>bargdeco_itemofday_redgrill</t>
  </si>
  <si>
    <t>!!BLDG_NAME_RED_GRILL_DESC</t>
  </si>
  <si>
    <t>Grill_red_Portrait.png</t>
  </si>
  <si>
    <t>!!BLDG_NAME_TIKI_PAIR</t>
  </si>
  <si>
    <t>bargdeco_itemofday_tikipair</t>
  </si>
  <si>
    <t>!!BLDG_NAME_TIKI_PAIR_DESC</t>
  </si>
  <si>
    <t>TikiTorch_dual_Portrait.png</t>
  </si>
  <si>
    <t>s:Touch Sound</t>
  </si>
  <si>
    <t>s:Description</t>
  </si>
  <si>
    <t>s:Icon</t>
  </si>
  <si>
    <t>i:Required Recipe</t>
  </si>
  <si>
    <t>i:Max Instances</t>
  </si>
  <si>
    <t>i:Max Costs</t>
  </si>
  <si>
    <t>i:Min Level</t>
  </si>
  <si>
    <t>i:Cost Type 1</t>
  </si>
  <si>
    <t>i:Cost Type 2</t>
  </si>
  <si>
    <t>i:Cost Type 3</t>
  </si>
  <si>
    <t>i:Cost Type 4</t>
  </si>
  <si>
    <t>i:Cost Type 5</t>
  </si>
  <si>
    <t>i:Cost Type 6</t>
  </si>
  <si>
    <t>i:Cost Type 7</t>
  </si>
  <si>
    <t>i:Cost Type 8</t>
  </si>
  <si>
    <t>i:Cost Type 9</t>
  </si>
  <si>
    <t>i:Cost Type 10</t>
  </si>
  <si>
    <t>i:Instance 1</t>
  </si>
  <si>
    <t>i:Instance 2</t>
  </si>
  <si>
    <t>i:Instance 3</t>
  </si>
  <si>
    <t>i:Instance 4</t>
  </si>
  <si>
    <t>i:Instance 5</t>
  </si>
  <si>
    <t>i:Instance 6</t>
  </si>
  <si>
    <t>i:Instance 7</t>
  </si>
  <si>
    <t>i:Instance 8</t>
  </si>
  <si>
    <t>i:Cost 1</t>
  </si>
  <si>
    <t>i:Cost 2</t>
  </si>
  <si>
    <t>i:Cost 3</t>
  </si>
  <si>
    <t>i:Cost 4</t>
  </si>
  <si>
    <t>i:Cost 5</t>
  </si>
  <si>
    <t>i:Cost 6</t>
  </si>
  <si>
    <t>i:Cost 7</t>
  </si>
  <si>
    <t>i:Cost 8</t>
  </si>
  <si>
    <t>i:Cost 9</t>
  </si>
  <si>
    <t>i:Cost 10</t>
  </si>
  <si>
    <t>Dialog_Vend_BargNMart</t>
  </si>
  <si>
    <t>BargNMartTitle.png</t>
  </si>
  <si>
    <t>BargNMartTitleIcon.png</t>
  </si>
  <si>
    <t>!!PREFAB_BUY</t>
  </si>
  <si>
    <t>Dialog_Vend_SpiceShack</t>
  </si>
  <si>
    <t>SpiceShackTitle.png</t>
  </si>
  <si>
    <t>SpiceShackTitleIcon.png</t>
  </si>
  <si>
    <t>SpiceShackSelect</t>
  </si>
  <si>
    <t>i:Jelly Restock Cost</t>
  </si>
  <si>
    <t>i:General Item DID 1</t>
  </si>
  <si>
    <t>i:General Item DID 2</t>
  </si>
  <si>
    <t>i:General Item DID 3</t>
  </si>
  <si>
    <t>i:General Item DID 4</t>
  </si>
  <si>
    <t>i:General Item DID 5</t>
  </si>
  <si>
    <t>i:General Item DID 6</t>
  </si>
  <si>
    <t>i:General Item DID 7</t>
  </si>
  <si>
    <t>i:General Item DID 8</t>
  </si>
  <si>
    <t>i:General Item DID 9</t>
  </si>
  <si>
    <t>i:Special Item DID 1</t>
  </si>
  <si>
    <t>i:General Items</t>
  </si>
  <si>
    <t>i:Special Item DID 2</t>
  </si>
  <si>
    <t>i:Special Item DID 3</t>
  </si>
  <si>
    <t>i:Special Item DID 4</t>
  </si>
  <si>
    <t>i:Special Item DID 5</t>
  </si>
  <si>
    <t>i:Special Item DID 6</t>
  </si>
  <si>
    <t>i:Special Item DID 7</t>
  </si>
  <si>
    <t>i:Special Item DID 8</t>
  </si>
  <si>
    <t>i:Special Item DID 9</t>
  </si>
  <si>
    <t>i:Special Item DID 10</t>
  </si>
  <si>
    <t>i:Special Items</t>
  </si>
  <si>
    <t>s:Start Date</t>
  </si>
  <si>
    <t>s:End Date</t>
  </si>
  <si>
    <t>i:did</t>
  </si>
  <si>
    <t>s:name</t>
  </si>
  <si>
    <t>empty</t>
  </si>
  <si>
    <t>Valentine Day Event</t>
  </si>
  <si>
    <t>s:Item Name</t>
  </si>
  <si>
    <t>individual</t>
  </si>
  <si>
    <t>The Mitten</t>
  </si>
  <si>
    <t>Popcorn</t>
  </si>
  <si>
    <t>Balloon Cart</t>
  </si>
  <si>
    <t>Truffles</t>
  </si>
  <si>
    <t>Kissing Booth</t>
  </si>
  <si>
    <t>Toss a Clam</t>
  </si>
  <si>
    <t>Cotton Candy</t>
  </si>
  <si>
    <t>Glovey Glove Mascot</t>
  </si>
  <si>
    <t>Fun House</t>
  </si>
  <si>
    <t>Candy Heart on Stick</t>
  </si>
  <si>
    <t>Buddy Bounce</t>
  </si>
  <si>
    <t>Saucer Ride</t>
  </si>
  <si>
    <t>Merry-Go-Round</t>
  </si>
  <si>
    <t>community</t>
  </si>
  <si>
    <t>Ferris Wheel</t>
  </si>
  <si>
    <t>Heart-a-Whirl</t>
  </si>
  <si>
    <t>Fiery Fist O' Pain</t>
  </si>
  <si>
    <t>i:Lifetime Contribution Cap</t>
  </si>
  <si>
    <t>s:Event Button Texture</t>
  </si>
  <si>
    <t>i:Tabs</t>
  </si>
  <si>
    <t>s:Tab Texture 1</t>
  </si>
  <si>
    <t>s:Tab Texture 2</t>
  </si>
  <si>
    <t>Valentines_MenuButton.png</t>
  </si>
  <si>
    <t>TabIcon_Individual.png</t>
  </si>
  <si>
    <t>TabIcon_Community.png</t>
  </si>
  <si>
    <t>s:Header Texture</t>
  </si>
  <si>
    <t>s:Title Backing Texture</t>
  </si>
  <si>
    <t>s:Title</t>
  </si>
  <si>
    <t>HeartBanner_left.png</t>
  </si>
  <si>
    <t>Pink_Stretchy_Ribbon.png</t>
  </si>
  <si>
    <t>!!EVENT_BANNER_TITLE</t>
  </si>
  <si>
    <t>!!EVENT_BANNER_DESC</t>
  </si>
  <si>
    <t>s:Individual Tab Footer</t>
  </si>
  <si>
    <t>!!EVENT_INDIVIDUAL_FOOTER</t>
  </si>
  <si>
    <t>s:Individual Tab Header</t>
  </si>
  <si>
    <t>!!EVENT_COMMUNITY_HEADER</t>
  </si>
  <si>
    <t>!!EVENT_COMMUNITY_FOOTER</t>
  </si>
  <si>
    <t>s:Community Tab Header</t>
  </si>
  <si>
    <t>s:Community Tab Footer</t>
  </si>
  <si>
    <t>s:Community Tab Footer Texture</t>
  </si>
  <si>
    <t>BeMineHeart.png</t>
  </si>
  <si>
    <t>i:Currency Type</t>
  </si>
  <si>
    <t>s:Reward Type</t>
  </si>
  <si>
    <t>building</t>
  </si>
  <si>
    <t>width</t>
  </si>
  <si>
    <t>height</t>
  </si>
  <si>
    <t>valentines_TheMitten_Icon.png</t>
  </si>
  <si>
    <t>valentines_BalloonCart_Icon.png</t>
  </si>
  <si>
    <t>Love Apples Stand</t>
  </si>
  <si>
    <t>valentines_LoveApplesStand_Icon.png</t>
  </si>
  <si>
    <t>valentines_KissingBooth_Icon.png</t>
  </si>
  <si>
    <t>valentines_TossAClam_Icon.png</t>
  </si>
  <si>
    <t>valentines_GloveyGlove_Icon.png</t>
  </si>
  <si>
    <t>valentines_FunHouse_Icon.png</t>
  </si>
  <si>
    <t>valentines_BuddyBounce_Icon.png</t>
  </si>
  <si>
    <t>valentines_SaucerRide_Icon.png</t>
  </si>
  <si>
    <t>valentines_MerryGoRound_Icon.png</t>
  </si>
  <si>
    <t>valentines_FerrisWheel_Icon.png</t>
  </si>
  <si>
    <t>valentines_heart-a-whirl_Icon.png</t>
  </si>
  <si>
    <t>valentines_rollercoaster_Icon.png</t>
  </si>
  <si>
    <t>i:Width</t>
  </si>
  <si>
    <t>i:Height</t>
  </si>
  <si>
    <t>i:Threshold</t>
  </si>
  <si>
    <t>i:Event DID</t>
  </si>
  <si>
    <t>build_time</t>
  </si>
  <si>
    <t>build_timer_duration</t>
  </si>
  <si>
    <t>portrait</t>
  </si>
  <si>
    <t>rent_time</t>
  </si>
  <si>
    <t>rent_timer_duration</t>
  </si>
  <si>
    <t>display|model_type</t>
  </si>
  <si>
    <t>display.default|texture</t>
  </si>
  <si>
    <t>display.default|name</t>
  </si>
  <si>
    <t>thought_display|model_type</t>
  </si>
  <si>
    <t>thought_display|hit_area|center|x</t>
  </si>
  <si>
    <t>thought_display|hit_area|center|y</t>
  </si>
  <si>
    <t>thought_display|hit_area|width</t>
  </si>
  <si>
    <t>thought_display|hit_area|height</t>
  </si>
  <si>
    <t>thought_display|position_offset|x</t>
  </si>
  <si>
    <t>thought_display|position_offset|y</t>
  </si>
  <si>
    <t>resident</t>
  </si>
  <si>
    <t>level_min</t>
  </si>
  <si>
    <t>completion_sound</t>
  </si>
  <si>
    <t>point_of_interest|facing</t>
  </si>
  <si>
    <t>point_of_interest|x</t>
  </si>
  <si>
    <t>point_of_interest|y</t>
  </si>
  <si>
    <t>completion_reward|resources|5</t>
  </si>
  <si>
    <t>product|resources|3</t>
  </si>
  <si>
    <t>product|resources|5</t>
  </si>
  <si>
    <t>instance_limit|1</t>
  </si>
  <si>
    <t>display_lr|model_type</t>
  </si>
  <si>
    <t>display_lr|width</t>
  </si>
  <si>
    <t>display_lr|height</t>
  </si>
  <si>
    <t>display|width</t>
  </si>
  <si>
    <t>display|height</t>
  </si>
  <si>
    <t>instance_limit|5</t>
  </si>
  <si>
    <t>instance_limit|6</t>
  </si>
  <si>
    <t>instance_limit|7</t>
  </si>
  <si>
    <t>instance_limit|8</t>
  </si>
  <si>
    <t>instance_limit|9</t>
  </si>
  <si>
    <t>instance_limit|13</t>
  </si>
  <si>
    <t>instance_limit|14</t>
  </si>
  <si>
    <t>instance_limit|15</t>
  </si>
  <si>
    <t>instance_limit|22</t>
  </si>
  <si>
    <t>instance_limit|23</t>
  </si>
  <si>
    <t>instance_limit|24</t>
  </si>
  <si>
    <t>instance_limit|10</t>
  </si>
  <si>
    <t>instance_limit|25</t>
  </si>
  <si>
    <t>instance_limit|26</t>
  </si>
  <si>
    <t>instance_limit|11</t>
  </si>
  <si>
    <t>instance_limit|30</t>
  </si>
  <si>
    <t>instance_limit|31</t>
  </si>
  <si>
    <t>instance_limit|29</t>
  </si>
  <si>
    <t>instance_limit|19</t>
  </si>
  <si>
    <t>instance_limit|20</t>
  </si>
  <si>
    <t>instance_limit|21</t>
  </si>
  <si>
    <t>instance_limit|18</t>
  </si>
  <si>
    <t>instance_limit|12</t>
  </si>
  <si>
    <t>instance_limit|27</t>
  </si>
  <si>
    <t>instance_limit|28</t>
  </si>
  <si>
    <t>instance_limit|16</t>
  </si>
  <si>
    <t>instance_limit|17</t>
  </si>
  <si>
    <t>flippable</t>
  </si>
  <si>
    <t>blueprint</t>
  </si>
  <si>
    <t>crafting_menu</t>
  </si>
  <si>
    <t>crafted_icon</t>
  </si>
  <si>
    <t>crafting_timer_duration</t>
  </si>
  <si>
    <t>is_waypoint</t>
  </si>
  <si>
    <t>sound_on_select</t>
  </si>
  <si>
    <t>vendor_id</t>
  </si>
  <si>
    <t>has_move_in</t>
  </si>
  <si>
    <t>rent_rushable</t>
  </si>
  <si>
    <t>residents</t>
  </si>
  <si>
    <t>shunts_crafting</t>
  </si>
  <si>
    <t>hub_info|did</t>
  </si>
  <si>
    <t>instance_limit|4</t>
  </si>
  <si>
    <t>hub</t>
  </si>
  <si>
    <t>accept_placement_sound</t>
  </si>
  <si>
    <t>stashable</t>
  </si>
  <si>
    <t>instance_limit|3</t>
  </si>
  <si>
    <t>completion_reward|resources|3</t>
  </si>
  <si>
    <t>worker_spawner</t>
  </si>
  <si>
    <t>cost|3</t>
  </si>
  <si>
    <t>clear_time</t>
  </si>
  <si>
    <t>timer_duration</t>
  </si>
  <si>
    <t>display|position_offset|x</t>
  </si>
  <si>
    <t>display|position_offset|y</t>
  </si>
  <si>
    <t>FishHome1_Blue_Portrait.png</t>
  </si>
  <si>
    <t>!!BLDG_NAME_1022_DAVES_HOUSE</t>
  </si>
  <si>
    <t>sprite</t>
  </si>
  <si>
    <t>FishHouse1.png</t>
  </si>
  <si>
    <t>default</t>
  </si>
  <si>
    <t>paperdoll</t>
  </si>
  <si>
    <t>SB_Neighbor</t>
  </si>
  <si>
    <t>southeast</t>
  </si>
  <si>
    <t>FishHome1_Rust_Portrait.png</t>
  </si>
  <si>
    <t>!!BLDG_NAME_1023_JUDYS_HOUSE</t>
  </si>
  <si>
    <t>SB_SomeoneNew</t>
  </si>
  <si>
    <t>FishHome2_Green_Portrait.png</t>
  </si>
  <si>
    <t>!!BLDG_NAME_1031_BILLS_HOUSE</t>
  </si>
  <si>
    <t>FishHouse2.png</t>
  </si>
  <si>
    <t>FishHome3_Yellow_Portrait.png</t>
  </si>
  <si>
    <t>!!BLDG_NAME_1050_LENNYS_HOUSE_YELLOW</t>
  </si>
  <si>
    <t>FishHome5_Purple_Portrait.png</t>
  </si>
  <si>
    <t>!!BLDG_NAME_1051_BOBS_HOUSE</t>
  </si>
  <si>
    <t>FishHome5_Yellow_Portrait.png</t>
  </si>
  <si>
    <t>!!BLDG_NAME_9000_TOMMYS_HOUSE</t>
  </si>
  <si>
    <t>FishHome3_LightBlue_Portrait.png</t>
  </si>
  <si>
    <t>!!BLDG_NAME_9001_JOHNS_HOUSE_LIGHTBLUE</t>
  </si>
  <si>
    <t>FishHome4_Green_Portrait.png</t>
  </si>
  <si>
    <t>!!BLDG_NAME_9002_HARRYS_HOUSE_GREEN</t>
  </si>
  <si>
    <t>FishHome3_Orange_Portrait.png</t>
  </si>
  <si>
    <t>!!BLDG_NAME_9003_SUSIES_HOUSE_ORANGE</t>
  </si>
  <si>
    <t>FishHome4_LightBlue_Portrait.png</t>
  </si>
  <si>
    <t>!!BLDG_NAME_9004_TYLERS_HOUSE_LIGHTBLUE</t>
  </si>
  <si>
    <t>FishHome2_Red_Portrait.png</t>
  </si>
  <si>
    <t>!!BLDG_NAME_9005_SOPHIES_HOUSE</t>
  </si>
  <si>
    <t>FishHome1_Mustard_Portrait.png</t>
  </si>
  <si>
    <t>!!BLDG_NAME_9006_MARTHAS_HOUSE</t>
  </si>
  <si>
    <t>FishHome2_Purple_Portrait.png</t>
  </si>
  <si>
    <t>!!BLDG_NAME_9009_FRANKS_HOUSE</t>
  </si>
  <si>
    <t>FishHome1_Green_Portrait.png</t>
  </si>
  <si>
    <t>!!BLDG_NAME_9015_GREEN_HOUSE</t>
  </si>
  <si>
    <t>FishHome1_Purple_Portrait.png</t>
  </si>
  <si>
    <t>!!BLDG_NAME_9017_PURPLE_HOUSE</t>
  </si>
  <si>
    <t>FishHome1_Red_Portrait.png</t>
  </si>
  <si>
    <t>!!BLDG_NAME_9018_RED_HOUSE</t>
  </si>
  <si>
    <t>FishHome4_Blue_Portrait.png</t>
  </si>
  <si>
    <t>!!BLDG_NAME_9019_BLUE_HOUSE_4</t>
  </si>
  <si>
    <t>FishHome2_Gray_Portrait.png</t>
  </si>
  <si>
    <t>!!BLDG_NAME_9020_GRAY_HOUSE</t>
  </si>
  <si>
    <t>FishHome2_Mustard_Portrait.png</t>
  </si>
  <si>
    <t>!!BLDG_NAME_9021_MUSTARD_HOUSE</t>
  </si>
  <si>
    <t>FishHome2_Rust_Portrait.png</t>
  </si>
  <si>
    <t>!!BLDG_NAME_9022_RUST_HOUSE</t>
  </si>
  <si>
    <t>FishHome3_Blue_Portrait.png</t>
  </si>
  <si>
    <t>!!BLDG_NAME_9023_BLUE_HOUSE</t>
  </si>
  <si>
    <t>FishHome3_Green_Portrait.png</t>
  </si>
  <si>
    <t>!!BLDG_NAME_9024_GREEN_HOUSE_3</t>
  </si>
  <si>
    <t>FishHome1_Gray_Portrait.png</t>
  </si>
  <si>
    <t>!!BLDG_NAME_9025_GRAY_HOUSE_2</t>
  </si>
  <si>
    <t>FishHome3_Purple_Portrait.png</t>
  </si>
  <si>
    <t>!!BLDG_NAME_9026_PURPLE_HOUSE_2</t>
  </si>
  <si>
    <t>FishHome2_Blue_Portrait.png</t>
  </si>
  <si>
    <t>!!BLDG_NAME_9027_BLUE_HOUSE_3</t>
  </si>
  <si>
    <t>FishHome4_Orange_Portrait.png</t>
  </si>
  <si>
    <t>!!BLDG_NAME_9028_ORANGE_HOUSE</t>
  </si>
  <si>
    <t>FishHome4_Purple_Portrait.png</t>
  </si>
  <si>
    <t>!!BLDG_NAME_9029_PURPLE_HOUSE_3</t>
  </si>
  <si>
    <t>FishHome4_Yellow_Portrait.png</t>
  </si>
  <si>
    <t>!!BLDG_NAME_9030_YELLOW_HOUSE</t>
  </si>
  <si>
    <t>FishHome5_Blue_Portrait.png</t>
  </si>
  <si>
    <t>!!BLDG_NAME_9031_BLUE_HOUSE_5</t>
  </si>
  <si>
    <t>FishHome5_Green_Portrait.png</t>
  </si>
  <si>
    <t>!!BLDG_NAME_9032_GREEN_HOUSE_2</t>
  </si>
  <si>
    <t>FishHome5_LightBlue_Portrait.png</t>
  </si>
  <si>
    <t>!!BLDG_NAME_9033_BLUE_HOUSE_2</t>
  </si>
  <si>
    <t>FishHome5_Orange_Portrait.png</t>
  </si>
  <si>
    <t>!!BLDG_NAME_9034_ORANGE_HOUSE_2</t>
  </si>
  <si>
    <t>Bakery_Portrait.png</t>
  </si>
  <si>
    <t>!!BLDG_NAME_BAKERY</t>
  </si>
  <si>
    <t>BreadBasket.png</t>
  </si>
  <si>
    <t>SB_OpenForBusiness</t>
  </si>
  <si>
    <t>Bakery</t>
  </si>
  <si>
    <t>BakerySelect</t>
  </si>
  <si>
    <t>BargNMart_Portrait.png</t>
  </si>
  <si>
    <t>!!BLDG_NAME_BARGN</t>
  </si>
  <si>
    <t>BargNMart.png</t>
  </si>
  <si>
    <t>SB_Establishment</t>
  </si>
  <si>
    <t>BargnmartSelect</t>
  </si>
  <si>
    <t>PirateBootyShip_Portrait.png</t>
  </si>
  <si>
    <t>!!BLDG_NAME_BOOTYSHIP</t>
  </si>
  <si>
    <t>SB_Sweet</t>
  </si>
  <si>
    <t>ElfApartment_Portrait.png</t>
  </si>
  <si>
    <t>!!BLDG_NAME_ELF_APARTMENTS</t>
  </si>
  <si>
    <t>LoadingDockAndVechicle_Origin.png</t>
  </si>
  <si>
    <t>!!BLDG_NAME_LOADING_DOCK</t>
  </si>
  <si>
    <t>SB_SendFriendsGifts</t>
  </si>
  <si>
    <t>SpiceShackSnowy_Portrait.png</t>
  </si>
  <si>
    <t>!!BLDG_NAME_SPICE_SHACK</t>
  </si>
  <si>
    <t>ToyFactory_Portrait.png</t>
  </si>
  <si>
    <t>!!BLDG_NAME_TOY_FACTORY</t>
  </si>
  <si>
    <t>SB_WeGotPresents</t>
  </si>
  <si>
    <t>TreatShop_Portrait.png</t>
  </si>
  <si>
    <t>!!BLDG_NAME_TREAT_SHOP</t>
  </si>
  <si>
    <t>TreatShopIcon.png</t>
  </si>
  <si>
    <t>annex</t>
  </si>
  <si>
    <t>GardenPlot_Portrait.png</t>
  </si>
  <si>
    <t>!!BLDG_NAME_FLOWERPOT</t>
  </si>
  <si>
    <t>VeggieCarton.png</t>
  </si>
  <si>
    <t>FlowerShop_Portrait.png</t>
  </si>
  <si>
    <t>!!BLDG_NAME_FLOWERSHOP</t>
  </si>
  <si>
    <t>FlowerShopBasket.png</t>
  </si>
  <si>
    <t>FryCookMuseum_Portrait.png</t>
  </si>
  <si>
    <t>!!BLDG_NAME_FRYCOOK</t>
  </si>
  <si>
    <t>FryCookMuseum.png</t>
  </si>
  <si>
    <t>KingNeptune_MoveIn</t>
  </si>
  <si>
    <t>FryCookMuseumSelect</t>
  </si>
  <si>
    <t>!!BLDG_NAME_GARDEN</t>
  </si>
  <si>
    <t>89045714-3ab8-49ca-93ad-e290f3a7b648</t>
  </si>
  <si>
    <t>AcceptPlacementGarden</t>
  </si>
  <si>
    <t>GoldenSpatula_Portrait.png</t>
  </si>
  <si>
    <t>!!BLDG_NAME_GOLDENSPATULA</t>
  </si>
  <si>
    <t>Gym_Portrait.png</t>
  </si>
  <si>
    <t>!!BLDG_NAME_GYM</t>
  </si>
  <si>
    <t>Gym.png</t>
  </si>
  <si>
    <t>LL_MoveIn</t>
  </si>
  <si>
    <t>GymSelect</t>
  </si>
  <si>
    <t>AnglerFishHouse_Portrait.png</t>
  </si>
  <si>
    <t>!!BLDG_NAME_ANGLER_HOUSE</t>
  </si>
  <si>
    <t>FortuneTellersTent_Portrait.png</t>
  </si>
  <si>
    <t>!!BLDG_NAME_FORTUNE_TELLER_TENT</t>
  </si>
  <si>
    <t>HauntedFishHouse_Portrait.png</t>
  </si>
  <si>
    <t>!!BLDG_NAME_HAUNTED_FISH_HOUSE</t>
  </si>
  <si>
    <t>HauntedHouse_Portrait.png</t>
  </si>
  <si>
    <t>!!BLDG_NAME_HAUNTED_HOUSE</t>
  </si>
  <si>
    <t>HillBillyHouse_Portrait.png</t>
  </si>
  <si>
    <t>!!BLDG_NAME_HILLBILLY_HOUSE</t>
  </si>
  <si>
    <t>RustysRibEye_Portrait.png</t>
  </si>
  <si>
    <t>!!BLDG_NAME_RUSTYS_RIB_EYE</t>
  </si>
  <si>
    <t>TakeOutBag.png</t>
  </si>
  <si>
    <t>SlasherMcGeeHouse_Portrait.png</t>
  </si>
  <si>
    <t>!!BLDG_NAME_SLASHERS_HOUSE</t>
  </si>
  <si>
    <t>Highschool_Portrait.png</t>
  </si>
  <si>
    <t>!!BLDG_NAME_BIKINIHS</t>
  </si>
  <si>
    <t>HighSchool.png</t>
  </si>
  <si>
    <t>SB_MoreFun</t>
  </si>
  <si>
    <t>HighSchoolSelect</t>
  </si>
  <si>
    <t>Hospital_Portrait.png</t>
  </si>
  <si>
    <t>!!BLDG_NAME_HOSPITAL</t>
  </si>
  <si>
    <t>Hospital.png</t>
  </si>
  <si>
    <t>MM_MoveIn</t>
  </si>
  <si>
    <t>HospitalSelect</t>
  </si>
  <si>
    <t>IceCreamStore_Portrait.png</t>
  </si>
  <si>
    <t>!!BLDG_NAME_ICECREAMSHOP</t>
  </si>
  <si>
    <t>IceCreamShopHolder.png</t>
  </si>
  <si>
    <t>Jail_Portrait.png</t>
  </si>
  <si>
    <t>!!BLDG_NAME_JAIL</t>
  </si>
  <si>
    <t>Jail.png</t>
  </si>
  <si>
    <t>MR_MoveIn</t>
  </si>
  <si>
    <t>JailSelect</t>
  </si>
  <si>
    <t>JellyspottersStand_Portrait.png</t>
  </si>
  <si>
    <t>!!BLDG_NAME_JELLYSTD</t>
  </si>
  <si>
    <t>JellySpottersStand.png</t>
  </si>
  <si>
    <t>Kevin_MoveIn</t>
  </si>
  <si>
    <t>JellyspottersStandSelect</t>
  </si>
  <si>
    <t>JuiceBar_Portrait.png</t>
  </si>
  <si>
    <t>!!BLDG_NAME_JUICEBAR</t>
  </si>
  <si>
    <t>JuiceBarBox.png</t>
  </si>
  <si>
    <t>KrustyKrab_Portrait.png</t>
  </si>
  <si>
    <t>!!BLDG_NAME_KK</t>
  </si>
  <si>
    <t>KrustyKrab.png</t>
  </si>
  <si>
    <t>KrustyKrabHappyMeal.png</t>
  </si>
  <si>
    <t>KK_Select</t>
  </si>
  <si>
    <t>MrKrabs_Portrait.png</t>
  </si>
  <si>
    <t>!!BLDG_NAME_MRKRAB</t>
  </si>
  <si>
    <t>MrKrabsHouse.png</t>
  </si>
  <si>
    <t>PK_MoveIn</t>
  </si>
  <si>
    <t>MrKrabsHouseSelect</t>
  </si>
  <si>
    <t>MrsPuff'sHouse_Portrait.png</t>
  </si>
  <si>
    <t>!!BLDG_NAME_MSPUFF</t>
  </si>
  <si>
    <t>MrsPuffsHouse.png</t>
  </si>
  <si>
    <t>SB_MrsPuffIsTheBest</t>
  </si>
  <si>
    <t>MrsPuffsHouseSelect</t>
  </si>
  <si>
    <t>Patrick'sRock_Portrait.png</t>
  </si>
  <si>
    <t>!!BLDG_NAME_PATRICK</t>
  </si>
  <si>
    <t>PatricksRock.png</t>
  </si>
  <si>
    <t>P_MoveIn</t>
  </si>
  <si>
    <t>PerfumeShop_Portrait.png</t>
  </si>
  <si>
    <t>!!BLDG_NAME_PERFUMESHOP</t>
  </si>
  <si>
    <t>PerfumeShopBag.png</t>
  </si>
  <si>
    <t>PineappleHouse_Portrait.png</t>
  </si>
  <si>
    <t>!!BLDG_NAME_SB</t>
  </si>
  <si>
    <t>PineappleHouse.png</t>
  </si>
  <si>
    <t>PineappleSelect</t>
  </si>
  <si>
    <t>PoliceStation_Portrait.png</t>
  </si>
  <si>
    <t>!!BLDG_NAME_POLICE</t>
  </si>
  <si>
    <t>PoliceStation.png</t>
  </si>
  <si>
    <t>SB_MrPoliceman</t>
  </si>
  <si>
    <t>PoliceStationSelect</t>
  </si>
  <si>
    <t>ReefCinema_Portrait.png</t>
  </si>
  <si>
    <t>!!BLDG_NAME_THEREEF</t>
  </si>
  <si>
    <t>GS_MoveIn</t>
  </si>
  <si>
    <t>ReefSelect</t>
  </si>
  <si>
    <t>SaltySpitoon_Portrait.png</t>
  </si>
  <si>
    <t>!!BLDG_NAME_SPITOON</t>
  </si>
  <si>
    <t>SaltySpitoon.png</t>
  </si>
  <si>
    <t>Reg_MoveIn</t>
  </si>
  <si>
    <t>SaltySpitoonSelect</t>
  </si>
  <si>
    <t>SeedStore_Portrait.png</t>
  </si>
  <si>
    <t>!!BLDG_NAME_SEEDSTORE</t>
  </si>
  <si>
    <t>SeedshopSelect</t>
  </si>
  <si>
    <t>WorkersShack_Portrait.png</t>
  </si>
  <si>
    <t>!!BLDG_NAME_WORKSHACK</t>
  </si>
  <si>
    <t>southwest</t>
  </si>
  <si>
    <t>ShadyShoals_Portrait.png</t>
  </si>
  <si>
    <t>!!BLDG_NAME_SHOALS</t>
  </si>
  <si>
    <t>ShadyShoals.png</t>
  </si>
  <si>
    <t>BB_MoveIn</t>
  </si>
  <si>
    <t>ShadyShoalsSelect</t>
  </si>
  <si>
    <t>Squidward'sHouse_Portrait.png</t>
  </si>
  <si>
    <t>!!BLDG_NAME_EASTER</t>
  </si>
  <si>
    <t>EasterIslandHouse.png</t>
  </si>
  <si>
    <t>Squidward_MoveIn</t>
  </si>
  <si>
    <t>Squilliam'sHouse_Portrait.png</t>
  </si>
  <si>
    <t>!!BLDG_NAME_SQUILL</t>
  </si>
  <si>
    <t>SquilliamsHouse.png</t>
  </si>
  <si>
    <t>Squilliam_MoveIn</t>
  </si>
  <si>
    <t>SquilliamsTowerSelect</t>
  </si>
  <si>
    <t>TreeDome_Portrait.png</t>
  </si>
  <si>
    <t>!!BLDG_NAME_TREEDOME</t>
  </si>
  <si>
    <t>Treedome.png</t>
  </si>
  <si>
    <t>Sandy_MoveIn</t>
  </si>
  <si>
    <t>TreedomeSelect</t>
  </si>
  <si>
    <t>debris</t>
  </si>
  <si>
    <t>!!DEBRIS_BOARDWALK_1</t>
  </si>
  <si>
    <t>!!DEBRIS_BOARDWALK_10</t>
  </si>
  <si>
    <t>!!DEBRIS_BOARDWALK_2</t>
  </si>
  <si>
    <t>!!DEBRIS_BOARDWALK_3</t>
  </si>
  <si>
    <t>!!DEBRIS_BOARDWALK_4</t>
  </si>
  <si>
    <t>!!DEBRIS_BOARDWALK_5</t>
  </si>
  <si>
    <t>!!DEBRIS_BOARDWALK_6</t>
  </si>
  <si>
    <t>!!DEBRIS_BOARDWALK_7</t>
  </si>
  <si>
    <t>!!DEBRIS_BOARDWALK_8</t>
  </si>
  <si>
    <t>!!DEBRIS_BOARDWALK_9</t>
  </si>
  <si>
    <t>!!DEBRIS_BROWNPIPE_MEDIUM</t>
  </si>
  <si>
    <t>!!DEBRIS_BUMPYPLANT1_MEDIUM</t>
  </si>
  <si>
    <t>!!DEBRIS_BUMPYPLANT2_MEDIUM</t>
  </si>
  <si>
    <t>!!DEBRIS_BUMPYPLANT3_MEDIUM</t>
  </si>
  <si>
    <t>!!DEBRIS_PLANT3_MEDIUM</t>
  </si>
  <si>
    <t>!!DEBRIS_KELP1_MEDIUM</t>
  </si>
  <si>
    <t>!!DEBRIS_KELP2_MEDIUM</t>
  </si>
  <si>
    <t>!!DEBRIS_KELP3_MEDIUM</t>
  </si>
  <si>
    <t>!!DEBRIS_KELP4_MEDIUM</t>
  </si>
  <si>
    <t>!!DEBRIS_KELP5_MEDIUM</t>
  </si>
  <si>
    <t>!!DEBRIS_KELP6_MEDIUM</t>
  </si>
  <si>
    <t>!!DEBRIS_LOG_MEDIUM</t>
  </si>
  <si>
    <t>!!DEBRIS_STEELPIPE2_MEDIUM</t>
  </si>
  <si>
    <t>!!DEBRIS_PLANT1_MEDIUM</t>
  </si>
  <si>
    <t>!!DEBRIS_PLANT2_MEDIUM</t>
  </si>
  <si>
    <t>clearing_reward|resources|2|1</t>
  </si>
  <si>
    <t>clearing_reward|resources|5</t>
  </si>
  <si>
    <t>clearing_reward|thought_icon</t>
  </si>
  <si>
    <t>clearing_reward|resources|2|2</t>
  </si>
  <si>
    <t>clearing_reward|resources|2|3</t>
  </si>
  <si>
    <t>clearing_reward|resources|2|4</t>
  </si>
  <si>
    <t>clearing_reward|resources|2|6</t>
  </si>
  <si>
    <t>rent</t>
  </si>
  <si>
    <t>!!DEBRIS_PLANT4_MEDIUM</t>
  </si>
  <si>
    <t>!!DEBRIS_PLANT5_MEDIUM</t>
  </si>
  <si>
    <t>!!DEBRIS_ROCKPIECE_LARGE</t>
  </si>
  <si>
    <t>!!DEBRIS_ROCKPIECE_MEDIUM</t>
  </si>
  <si>
    <t>!!DEBRIS_SEAGRASS_SMALL</t>
  </si>
  <si>
    <t>!!DEBRIS_SEAPLANT1_TALL</t>
  </si>
  <si>
    <t>!!DEBRIS_SEAPLANT2_TALL</t>
  </si>
  <si>
    <t>!!DEBRIS_SEAWEED_BLUE_MEDIUM</t>
  </si>
  <si>
    <t>!!DEBRIS_SEAWEED_DARKGREEN_MEDIUM</t>
  </si>
  <si>
    <t>!!DEBRIS_SEAWEED_GREEN_MEDIUM</t>
  </si>
  <si>
    <t>SeaWeed_Medium.png</t>
  </si>
  <si>
    <t>!!DEBRIS_SEAWEED_TEAL_MEDIUM</t>
  </si>
  <si>
    <t>!!DEBRIS_SEAWEED_DARKGREEN_SMALL</t>
  </si>
  <si>
    <t>!!DEBRIS_SEAWEED_GREEN_SMALL</t>
  </si>
  <si>
    <t>!!DEBRIS_SHEETMETAL1_MEDIUM</t>
  </si>
  <si>
    <t>!!DEBRIS_SHEETMETAL2_MEDIUM</t>
  </si>
  <si>
    <t>!!DEBRIS_SHELL_SMALL</t>
  </si>
  <si>
    <t>!!DEBRIS_WHITEFLOWER_SMALL</t>
  </si>
  <si>
    <t>!!DEBRIS_WOODPLANK1_MEDIUM</t>
  </si>
  <si>
    <t>!!DEBRIS_WOODPLANK2_MEDIUM</t>
  </si>
  <si>
    <t>!!BLDG_NAME_BARREL_CLOSED</t>
  </si>
  <si>
    <t>Barrel_Closed_Portrait.png</t>
  </si>
  <si>
    <t>UnveilBuilding</t>
  </si>
  <si>
    <t>AcceptPlacementDecoration</t>
  </si>
  <si>
    <t>!!BLDG_NAME_BARREL_OPEN</t>
  </si>
  <si>
    <t>Barrel_Open_Portrait.png</t>
  </si>
  <si>
    <t>!!BLDG_NAME_BEACHCHAIR</t>
  </si>
  <si>
    <t>BeachChair_Portrait.png</t>
  </si>
  <si>
    <t>!!BLDG_NAME_BEACHUMBRELLA</t>
  </si>
  <si>
    <t>BeachUmbrella_Portrait.png</t>
  </si>
  <si>
    <t>!!BLDG_NAME_BILLBOARD</t>
  </si>
  <si>
    <t>Billboard_Portrait.png</t>
  </si>
  <si>
    <t>!!BLDG_NAME_BLACK_GRILL</t>
  </si>
  <si>
    <t>Grill_black_Portrait.png</t>
  </si>
  <si>
    <t>!!BLDG_NAME_PB_ANCHOR</t>
  </si>
  <si>
    <t>Anchor_Portrait.png</t>
  </si>
  <si>
    <t>!!BLDG_NAME_PB_SHIPINBOTTLE</t>
  </si>
  <si>
    <t>BoatInBottle_Portrait.png</t>
  </si>
  <si>
    <t>!!BLDG_NAME_PB_PIRATESCOPE</t>
  </si>
  <si>
    <t>TelescopeBoneTripod_Portrait.png</t>
  </si>
  <si>
    <t>!!BLDG_NAME_PB_CANNON</t>
  </si>
  <si>
    <t>Cannon_Portrait.png</t>
  </si>
  <si>
    <t>!!BLDG_NAME_PB_COMPASS</t>
  </si>
  <si>
    <t>Compass_Portrait.png</t>
  </si>
  <si>
    <t>!!BLDG_NAME_PB_CROWSNEST</t>
  </si>
  <si>
    <t>CrowsNest_Portrait.png</t>
  </si>
  <si>
    <t>!!BLDG_NAME_PB_FLAG</t>
  </si>
  <si>
    <t>FlagNPole_Portrait.png</t>
  </si>
  <si>
    <t>!!BLDG_NAME_PB_HAMMOCK</t>
  </si>
  <si>
    <t>PalmTreeHammock_Portrait.png</t>
  </si>
  <si>
    <t>!!BLDG_NAME_PB_LANTERN</t>
  </si>
  <si>
    <t>Lantern_Portrait.png</t>
  </si>
  <si>
    <t>!!BLDG_NAME_PB_LIFEPRESERVER</t>
  </si>
  <si>
    <t>LifePreserver_Portrait.png</t>
  </si>
  <si>
    <t>!!BLDG_NAME_PB_ROWBOAT</t>
  </si>
  <si>
    <t>RowBoat_Portrait.png</t>
  </si>
  <si>
    <t>!!BLDG_NAME_PB_RUBBERDUCK</t>
  </si>
  <si>
    <t>RubberDuck_Portrait.png</t>
  </si>
  <si>
    <t>!!BLDG_NAME_PB_HELM</t>
  </si>
  <si>
    <t>ShipsWheel_Portrait.png</t>
  </si>
  <si>
    <t>!!BLDG_NAME_PB_SKULLONPOLE</t>
  </si>
  <si>
    <t>SkullPole_Portrait.png</t>
  </si>
  <si>
    <t>!!BLDG_NAME_PB_TREASUREMAP</t>
  </si>
  <si>
    <t>TreasureMap_Portrait.png</t>
  </si>
  <si>
    <t>!!BLDG_NAME_PB_SPYGLASS</t>
  </si>
  <si>
    <t>Telescope_Portrait.png</t>
  </si>
  <si>
    <t>!!BLDG_NAME_PB_TREASUREBARREL</t>
  </si>
  <si>
    <t>TreasureBarrel_Portrait.png</t>
  </si>
  <si>
    <t>!!BLDG_NAME_BROWN_BENCH</t>
  </si>
  <si>
    <t>Bench_brown_Portrait.png</t>
  </si>
  <si>
    <t>!!BLDG_NAME_BUCKET</t>
  </si>
  <si>
    <t>Bucket_Portrait.png</t>
  </si>
  <si>
    <t>!!BLDG_NAME_CANDY_CANE_ARCH</t>
  </si>
  <si>
    <t>CandyCaneArch_Portrait.png</t>
  </si>
  <si>
    <t>!!BLDG_NAME_CHRISTMAS_TREE</t>
  </si>
  <si>
    <t>ChristmasTreeWithStarfish_Portrait.png</t>
  </si>
  <si>
    <t>!!BLDG_NAME_GARLAND_WRAPPED_POLE</t>
  </si>
  <si>
    <t>GarlandWrappedPole_Portrait.png</t>
  </si>
  <si>
    <t>!!BLDG_NAME_HOLIDAY_CANDLE</t>
  </si>
  <si>
    <t>HalidayCandleInBellJar_Portrait.png</t>
  </si>
  <si>
    <t>!!BLDG_NAME_HUG_ME_TIGHT_ELF_DOLL</t>
  </si>
  <si>
    <t>MechaSpongebobTrap_Portrait.png</t>
  </si>
  <si>
    <t>!!BLDG_NAME_KELP_CHRISTMAS_TREE</t>
  </si>
  <si>
    <t>KelpChristmasTree_Portrait.png</t>
  </si>
  <si>
    <t>!!BLDG_NAME_LARGE_SNOW_GLOBE</t>
  </si>
  <si>
    <t>LargeSnowGlobe_Portrait.png</t>
  </si>
  <si>
    <t>!!BLDG_NAME_LAWN_REINDEER</t>
  </si>
  <si>
    <t>LawnReindeer_Portrait.png</t>
  </si>
  <si>
    <t>!!BLDG_NAME_MAGIC_ANALYZER</t>
  </si>
  <si>
    <t>MagicAnalyzer_Portrait.png</t>
  </si>
  <si>
    <t>!!BLDG_NAME_MASSIVE_WREATH</t>
  </si>
  <si>
    <t>MassiveWreath_Portrait.png</t>
  </si>
  <si>
    <t>!!BLDG_NAME_MISTLETOE</t>
  </si>
  <si>
    <t>Mistletoe_Portrait.png</t>
  </si>
  <si>
    <t>!!BLDG_NAME_NORTH_POLE</t>
  </si>
  <si>
    <t>NorthPole_Portrait.png</t>
  </si>
  <si>
    <t>!!BLDG_NAME_NUTCRACKER_1</t>
  </si>
  <si>
    <t>Nutcracker1_Portrait.png</t>
  </si>
  <si>
    <t>!!BLDG_NAME_NUTCRACKER_2</t>
  </si>
  <si>
    <t>Nutcracker2_Portrait.png</t>
  </si>
  <si>
    <t>!!BLDG_NAME_NUTCRACKER_3</t>
  </si>
  <si>
    <t>Nutcracker3_Portrait.png</t>
  </si>
  <si>
    <t>!!BLDG_NAME_ORNAMENT_1</t>
  </si>
  <si>
    <t>Ornament1_Portrait.png</t>
  </si>
  <si>
    <t>!!BLDG_NAME_ORNAMENT_2</t>
  </si>
  <si>
    <t>Ornament2_Portrait.png</t>
  </si>
  <si>
    <t>!!BLDG_NAME_ORNAMENT_3</t>
  </si>
  <si>
    <t>Ornament3_Portrait.png</t>
  </si>
  <si>
    <t>!!BLDG_NAME_ORNAMENT_4</t>
  </si>
  <si>
    <t>Ornament4_Portrait.png</t>
  </si>
  <si>
    <t>!!BLDG_NAME_ORNAMENT_5</t>
  </si>
  <si>
    <t>Ornament5_Portrait.png</t>
  </si>
  <si>
    <t>!!BLDG_NAME_PATRICKS_SANTA_TRAP</t>
  </si>
  <si>
    <t>PatricksSantaTrap_Portrait.png</t>
  </si>
  <si>
    <t>!!BLDG_NAME_PLASTIC_CHRISTMAS_TREE</t>
  </si>
  <si>
    <t>PlasticChristmasTree_Portrait.png</t>
  </si>
  <si>
    <t>!!BLDG_NAME_POINSETTIA</t>
  </si>
  <si>
    <t>Poinsettia_Portrait.png</t>
  </si>
  <si>
    <t>!!BLDG_NAME_SAD_CHRISTMAS_TREE</t>
  </si>
  <si>
    <t>SadChristmasTree_Portrait.png</t>
  </si>
  <si>
    <t>!!BLDG_NAME_SANTAS_SLEIGH</t>
  </si>
  <si>
    <t>SantasSleigh_Portrait.png</t>
  </si>
  <si>
    <t>!!BLDG_NAME_SILVER_CHRISTMAS_TREE</t>
  </si>
  <si>
    <t>SilverChristmasTree_Portrait.png</t>
  </si>
  <si>
    <t>!!BLDG_NAME_SNOW_SNORKELER</t>
  </si>
  <si>
    <t>SnowSnorkeler_Portrait.png</t>
  </si>
  <si>
    <t>!!BLDG_NAME_SNOWFLAKE_BUSHES</t>
  </si>
  <si>
    <t>SnowflakeBushes_Portrait.png</t>
  </si>
  <si>
    <t>!!BLDG_NAME_SNOWMAN</t>
  </si>
  <si>
    <t>Snowman_Portrait.png</t>
  </si>
  <si>
    <t>!!BLDG_NAME_STACK_GIFTS_1</t>
  </si>
  <si>
    <t>StacksOfGifts1_Portrait.png</t>
  </si>
  <si>
    <t>!!BLDG_NAME_STACK_GIFTS_2</t>
  </si>
  <si>
    <t>StacksOfGifts2_Portrait.png</t>
  </si>
  <si>
    <t>!!BLDG_NAME_STACK_GIFTS_3</t>
  </si>
  <si>
    <t>StacksOfGifts3_Portrait.png</t>
  </si>
  <si>
    <t>!!BLDG_NAME_TINSEL_WRAPPED_POLE</t>
  </si>
  <si>
    <t>TinselWrappedPole_Portrait.png</t>
  </si>
  <si>
    <t>!!BLDG_NAME_WILD_CHRISTMAS_TREE</t>
  </si>
  <si>
    <t>WildChristmasTree_Portrait.png</t>
  </si>
  <si>
    <t>!!BLDG_NAME_WINTRY_PLANT_1</t>
  </si>
  <si>
    <t>WintryPlantlife1_Portrait.png</t>
  </si>
  <si>
    <t>!!BLDG_NAME_WINTRY_PLANT_2</t>
  </si>
  <si>
    <t>WintryPlantlife2_Portrait.png</t>
  </si>
  <si>
    <t>!!BLDG_NAME_WINTRY_PLANT_3</t>
  </si>
  <si>
    <t>WintryPlantlife3_Portrait.png</t>
  </si>
  <si>
    <t>!!BLDG_NAME_WINTRY_PLANT_4</t>
  </si>
  <si>
    <t>WintryPlantlife4_Portrait.png</t>
  </si>
  <si>
    <t>!!BLDG_NAME_WINTRY_PLANT_5</t>
  </si>
  <si>
    <t>WintryPlantlife5_Portrait.png</t>
  </si>
  <si>
    <t>!!BLDG_NAME_WINTRY_PLANT_6</t>
  </si>
  <si>
    <t>WintryPlantlife6_Portrait.png</t>
  </si>
  <si>
    <t>!!BLDG_NAME_WREATH</t>
  </si>
  <si>
    <t>WreathOnTripod_Portrait.png</t>
  </si>
  <si>
    <t>!!BLDG_NAME_CORAL_PURPLE_1</t>
  </si>
  <si>
    <t>Coral_Purple_Shape1_Portrait.png</t>
  </si>
  <si>
    <t>!!BLDG_NAME_CORAL_PURPLE_2</t>
  </si>
  <si>
    <t>Coral_Purple_Shape2_Portrait.png</t>
  </si>
  <si>
    <t>!!BLDG_NAME_CORAL_PURPLE_3</t>
  </si>
  <si>
    <t>Coral_Purple_Shape3_Portrait.png</t>
  </si>
  <si>
    <t>!!BLDG_NAME_CORAL_PURPLE_4</t>
  </si>
  <si>
    <t>Coral_Purple_Shape4_Portrait.png</t>
  </si>
  <si>
    <t>!!BLDG_NAME_CORAL_PURPLE_5</t>
  </si>
  <si>
    <t>Coral_Purple_Shape5_Portrait.png</t>
  </si>
  <si>
    <t>!!BLDG_NAME_DAVEYJONESLOCKER</t>
  </si>
  <si>
    <t>DaveyJonesLocker_Portrait.png</t>
  </si>
  <si>
    <t>!!BLDG_NAME_DREAMINVADER</t>
  </si>
  <si>
    <t>DreamInvader_Portrait.png</t>
  </si>
  <si>
    <t>!!BLDG_NAME_DUMPSTER_EMPTY</t>
  </si>
  <si>
    <t>Dumpster_Empty_Portrait.png</t>
  </si>
  <si>
    <t>!!BLDG_NAME_DUMPSTER_FULL</t>
  </si>
  <si>
    <t>Dumpster_full_Portrait.png</t>
  </si>
  <si>
    <t>!!BLDG_NAME_HYDRANT</t>
  </si>
  <si>
    <t>FireHydrant_Portrait.png</t>
  </si>
  <si>
    <t>Flowers_blue_Portrait.png</t>
  </si>
  <si>
    <t>shareable_space</t>
  </si>
  <si>
    <t>display|display_scale|x</t>
  </si>
  <si>
    <t>display|display_scale|y</t>
  </si>
  <si>
    <t>display|display_scale|z</t>
  </si>
  <si>
    <t>GiantClam_Portrait.png</t>
  </si>
  <si>
    <t>!!BLDG_NAME_GIANTCLAM</t>
  </si>
  <si>
    <t>GiantOyster_Closed_Portrait.png</t>
  </si>
  <si>
    <t>!!BLDG_NAME_GIANTOYSTER_CLOSED</t>
  </si>
  <si>
    <t>GiantOyster_Open_Portrait.png</t>
  </si>
  <si>
    <t>!!BLDG_NAME_GIANTOYSTER_OPEN</t>
  </si>
  <si>
    <t>GloveWorldBalloon_Portrait.png</t>
  </si>
  <si>
    <t>!!BLDG_NAME_GLOVEWORLDBALLOON</t>
  </si>
  <si>
    <t>Bench_green_Portrait.png</t>
  </si>
  <si>
    <t>!!BLDG_NAME_GREEN_BENCH</t>
  </si>
  <si>
    <t>PineTree_green_Portrait.png</t>
  </si>
  <si>
    <t>!!BLDG_NAME_GREEN_PINE</t>
  </si>
  <si>
    <t>BlackCat_Portrait.png</t>
  </si>
  <si>
    <t>!!BLDG_NAME_BLACK_CAT</t>
  </si>
  <si>
    <t>BrokenDownAirBoat_Portrait.png</t>
  </si>
  <si>
    <t>!!BLDG_NAME_BROKE_BOAT</t>
  </si>
  <si>
    <t>ClockTower_Portrait.png</t>
  </si>
  <si>
    <t>!!BLDG_NAME_CLOCK_TOWER</t>
  </si>
  <si>
    <t>FortuneTellerTable_Portrait.png</t>
  </si>
  <si>
    <t>!!BLDG_NAME_FORTUNE_TELLERS_TABLE</t>
  </si>
  <si>
    <t>BigJackOLantern_Portrait.png</t>
  </si>
  <si>
    <t>!!BLDG_NAME_JACK_O_LANTERN</t>
  </si>
  <si>
    <t>GraveStone1_Portrait.png</t>
  </si>
  <si>
    <t>!!BLDG_NAME_GRAVE_STONE1</t>
  </si>
  <si>
    <t>GraveStone2_Portrait.png</t>
  </si>
  <si>
    <t>!!BLDG_NAME_GRAVE_STONE2</t>
  </si>
  <si>
    <t>GraveStone3_Portrait.png</t>
  </si>
  <si>
    <t>!!BLDG_NAME_GRAVE_STONE3</t>
  </si>
  <si>
    <t>HauntedOuthouse_Portrait.png</t>
  </si>
  <si>
    <t>!!BLDG_NAME_HAUNTED_OUTHOUSE</t>
  </si>
  <si>
    <t>PumpkinPatch_Portrait.png</t>
  </si>
  <si>
    <t>!!BLDG_NAME_PUMPKIN_PATCH</t>
  </si>
  <si>
    <t>SardineCoffin1_Portrait.png</t>
  </si>
  <si>
    <t>!!BLDG_NAME_COFFIN1</t>
  </si>
  <si>
    <t>SardineCoffin2_Portrait.png</t>
  </si>
  <si>
    <t>!!BLDG_NAME_COFFIN2</t>
  </si>
  <si>
    <t>SardineCoffin3_Portrait.png</t>
  </si>
  <si>
    <t>!!BLDG_NAME_COFFIN3</t>
  </si>
  <si>
    <t>ScareCrow_Portrait.png</t>
  </si>
  <si>
    <t>!!BLDG_NAME_SCARECROW</t>
  </si>
  <si>
    <t>ScaryTree1_Portrait.png</t>
  </si>
  <si>
    <t>!!BLDG_NAME_SCARY_TREE1</t>
  </si>
  <si>
    <t>ScaryTree2_Portrait.png</t>
  </si>
  <si>
    <t>!!BLDG_NAME_SCARY_TREE2</t>
  </si>
  <si>
    <t>ScaryTree3_Portrait.png</t>
  </si>
  <si>
    <t>!!BLDG_NAME_SCARY_TREE3</t>
  </si>
  <si>
    <t>SkullRock_Portrait.png</t>
  </si>
  <si>
    <t>!!BLDG_NAME_SKULL_ROCK</t>
  </si>
  <si>
    <t>SlimedPicnicTable_Portrait.png</t>
  </si>
  <si>
    <t>!!BLDG_NAME_SLIMED_PICNIC_TABLE</t>
  </si>
  <si>
    <t>SpookyGasLamp_Portrait.png</t>
  </si>
  <si>
    <t>!!BLDG_NAME_GAS_LAMP</t>
  </si>
  <si>
    <t>SubmergedWagonWheel_Portrait.png</t>
  </si>
  <si>
    <t>!!BLDG_NAME_WAGON_WHEEL</t>
  </si>
  <si>
    <t>SunkenSkellyShip_Portrait.png</t>
  </si>
  <si>
    <t>!!BLDG_NAME_SUNKEN_SHIP</t>
  </si>
  <si>
    <t>TornPicnicUmbrella_Portrait.png</t>
  </si>
  <si>
    <t>!!BLDG_NAME_TORN_UMBRELLA</t>
  </si>
  <si>
    <t>WitchesCauldron_Portrait.png</t>
  </si>
  <si>
    <t>!!BLDG_NAME_WITCHS_CAULDRON</t>
  </si>
  <si>
    <t>Jukebox_Portrait.png</t>
  </si>
  <si>
    <t>!!BLDG_NAME_JUKEBOX</t>
  </si>
  <si>
    <t>Mailbox2_Portrait.png</t>
  </si>
  <si>
    <t>Mailbox3_Portrait.png</t>
  </si>
  <si>
    <t>PostalMailbox_Portrait.png</t>
  </si>
  <si>
    <t>!!BLDG_NAME_POSTBOX</t>
  </si>
  <si>
    <t>MopTopTree_Red_Portrait.png</t>
  </si>
  <si>
    <t>!!BLDG_NAME_MOPTOPTREE_RED</t>
  </si>
  <si>
    <t>NewspaperVendingMachine_Portrait.png</t>
  </si>
  <si>
    <t>!!BLDG_NAME_NEWSSTAND</t>
  </si>
  <si>
    <t>Rock_Blue_Portrait.png</t>
  </si>
  <si>
    <t>!!BLDG_NAME_ROCK_BLUE</t>
  </si>
  <si>
    <t>Rock_Gray_Portrait.png</t>
  </si>
  <si>
    <t>!!BLDG_NAME_ROCK_GREY</t>
  </si>
  <si>
    <t>Rock_Green_Portrait.png</t>
  </si>
  <si>
    <t>!!BLDG_NAME_ROCK_GREEN</t>
  </si>
  <si>
    <t>Rock_Grouping_Gray_Portrait.png</t>
  </si>
  <si>
    <t>!!BLDG_NAME_ROCK_GROUPING_GREY</t>
  </si>
  <si>
    <t>Rock_Grouping_Tan_Portrait.png</t>
  </si>
  <si>
    <t>!!BLDG_NAME_ROCK_GROUPING_TAN</t>
  </si>
  <si>
    <t>Rock_Purple_Portrait.png</t>
  </si>
  <si>
    <t>!!BLDG_NAME_ROCK_PURPLE</t>
  </si>
  <si>
    <t>Rock_Purple_Gray_Green_Portrait.png</t>
  </si>
  <si>
    <t>!!BLDG_NAME_ROCK_PURPLE_GREY_GREEN</t>
  </si>
  <si>
    <t>RockPiece_Large_Portrait.png</t>
  </si>
  <si>
    <t>!!BLDG_NAME_ROCK_LARGE</t>
  </si>
  <si>
    <t>RockPiece_Medium_Portrait.png</t>
  </si>
  <si>
    <t>!!BLDG_NAME_ROCK_MED</t>
  </si>
  <si>
    <t>RockPiece_Small_Portrait.png</t>
  </si>
  <si>
    <t>!!BLDG_NAME_ROCK_SMALL</t>
  </si>
  <si>
    <t>SandCastle_Portrait.png</t>
  </si>
  <si>
    <t>!!BLDG_NAME_SANDCASTLE</t>
  </si>
  <si>
    <t>SandCastle_Tower1_Portrait.png</t>
  </si>
  <si>
    <t>!!BLDG_NAME_SANDCASTLE_TOWER_1</t>
  </si>
  <si>
    <t>SandCastle_Tower2_Portrait.png</t>
  </si>
  <si>
    <t>!!BLDG_NAME_SANDCASTLE_TOWER_2</t>
  </si>
  <si>
    <t>SeaWeed_Medium_Portrait.png</t>
  </si>
  <si>
    <t>!!BLDG_NAME_SEAWEED_MED</t>
  </si>
  <si>
    <t>SeaWeed_Small_Portrait.png</t>
  </si>
  <si>
    <t>!!BLDG_NAME_SEAWEED_SMALL</t>
  </si>
  <si>
    <t>SquidwardStatue_Portrait.png</t>
  </si>
  <si>
    <t>!!BLDG_NAME_SQUIDWARDSTATUE</t>
  </si>
  <si>
    <t>StreetLight_Portrait.png</t>
  </si>
  <si>
    <t>!!BLDG_NAME_STREETLIGHT</t>
  </si>
  <si>
    <t>TikiTorch_single_Portrait.png</t>
  </si>
  <si>
    <t>!!BLDG_NAME_TIKI</t>
  </si>
  <si>
    <t>Trashcan1_empty_Portrait.png</t>
  </si>
  <si>
    <t>!!BLDG_NAME_TRASHCAN1</t>
  </si>
  <si>
    <t>Trashcan1_full_Portrait.png</t>
  </si>
  <si>
    <t>!!BLDG_NAME_FULL_TRASHCAN</t>
  </si>
  <si>
    <t>Trashcan2_Portrait.png</t>
  </si>
  <si>
    <t>!!BLDG_NAME_TRASHCAN2</t>
  </si>
  <si>
    <t>!!BLDG_NAME_BALLOON_CART</t>
  </si>
  <si>
    <t>!!BLDG_NAME_BUDDY_BOUNCE</t>
  </si>
  <si>
    <t>valentines_CarnivalTicketKiosk_Icon.png</t>
  </si>
  <si>
    <t>!!BLDG_NAME_CARNIVAL_ENTRANCE</t>
  </si>
  <si>
    <t>!!BLDG_NAME_FERRIS_WHEEL</t>
  </si>
  <si>
    <t>!!BLDG_NAME_FIERY_FIST_O_PAIN</t>
  </si>
  <si>
    <t>!!BLDG_NAME_FUN_HOUSE</t>
  </si>
  <si>
    <t>!!BLDG_NAME_GLOVEY_GLOVE_MASCOT</t>
  </si>
  <si>
    <t>!!BLDG_NAME_HEART_A_WHIRL</t>
  </si>
  <si>
    <t>!!BLDG_NAME_KISSING_BOOTH</t>
  </si>
  <si>
    <t>!!BLDG_NAME_LOVE_APPLES_STAND</t>
  </si>
  <si>
    <t>!!BLDG_NAME_MERRY_GO_ROUND</t>
  </si>
  <si>
    <t>!!BLDG_NAME_SAUCER_RIDE</t>
  </si>
  <si>
    <t>valentines_TentA_Icon.png</t>
  </si>
  <si>
    <t>!!BLDG_NAME_TENT_1</t>
  </si>
  <si>
    <t>valentines_TentB_Icon.png</t>
  </si>
  <si>
    <t>!!BLDG_NAME_TENT_2</t>
  </si>
  <si>
    <t>valentines_TentC_Icon.png</t>
  </si>
  <si>
    <t>!!BLDG_NAME_TENT_3</t>
  </si>
  <si>
    <t>!!BLDG_NAME_THE_MITTEN</t>
  </si>
  <si>
    <t>!!BLDG_NAME_TOSS_A_CLAM</t>
  </si>
  <si>
    <t>Weights_Bench_Portrait.png</t>
  </si>
  <si>
    <t>!!BLDG_NAME_WEIGHTS_BENCH</t>
  </si>
  <si>
    <t>Weights_Bench.png</t>
  </si>
  <si>
    <t>Weights_Large_Portrait.png</t>
  </si>
  <si>
    <t>!!BLDG_NAME_WEIGHTS_LARGE</t>
  </si>
  <si>
    <t>Weights_Small_Portrait.png</t>
  </si>
  <si>
    <t>!!BLDG_NAME_WEIGHTS_SMALL</t>
  </si>
  <si>
    <t>Weights_StuffedAnimal_Portrait.png</t>
  </si>
  <si>
    <t>!!BLDG_NAME_WEIGHTS_STUFFEDANIMAL</t>
  </si>
  <si>
    <t>PineTree_yellow_Portrait.png</t>
  </si>
  <si>
    <t>!!BLDG_NAME_YELLOW_PINE</t>
  </si>
  <si>
    <t>landmark</t>
  </si>
  <si>
    <t>!!LANDMARK_BLUEROCK_LARGE</t>
  </si>
  <si>
    <t>!!LANDMARK_BLUEROCK_MEDIUM</t>
  </si>
  <si>
    <t>!!LANDMARK_BLUEROCK_SMALL</t>
  </si>
  <si>
    <t>!!LANDMARK_RAILING</t>
  </si>
  <si>
    <t>speed</t>
  </si>
  <si>
    <t>disabled</t>
  </si>
  <si>
    <t>dropshadow_diameter</t>
  </si>
  <si>
    <t>sound_on_touch</t>
  </si>
  <si>
    <t>thought_display|quad|width</t>
  </si>
  <si>
    <t>thought_display|quad|height</t>
  </si>
  <si>
    <t>time.hungry</t>
  </si>
  <si>
    <t>match_bonus_paytables</t>
  </si>
  <si>
    <t>wish_pool</t>
  </si>
  <si>
    <t>wishing|wish_cooldown_min</t>
  </si>
  <si>
    <t>wishing|wish_cooldown_max</t>
  </si>
  <si>
    <t>wishing|wish_duration</t>
  </si>
  <si>
    <t>idle|cooldown|min</t>
  </si>
  <si>
    <t>idle|cooldown|max</t>
  </si>
  <si>
    <t>idle|duration|min</t>
  </si>
  <si>
    <t>idle|duration|max</t>
  </si>
  <si>
    <t>display_lr|display_scale|x</t>
  </si>
  <si>
    <t>display_lr|display_scale|y</t>
  </si>
  <si>
    <t>display_lr|display_scale|z</t>
  </si>
  <si>
    <t>display_lr|position_offset|x</t>
  </si>
  <si>
    <t>display_lr|position_offset|y</t>
  </si>
  <si>
    <t>!!LANDMARK_HILL_DOUBLE</t>
  </si>
  <si>
    <t>!!LANDMARK_HILL_SINGLE</t>
  </si>
  <si>
    <t>!!LANDMARK_HILL_TALL</t>
  </si>
  <si>
    <t>!!LANDMARK_JF_HIVE</t>
  </si>
  <si>
    <t>!!LANDMARK_JFF_SIGN</t>
  </si>
  <si>
    <t>!!LANDMARK_PURPLEROCK_LARGE</t>
  </si>
  <si>
    <t>!!LANDMARK_PURPLEROCK_MEDIUM</t>
  </si>
  <si>
    <t>!!LANDMARK_PURPLEROCK_SMALL</t>
  </si>
  <si>
    <t>!!LANDMARK_WHITEFLOWER_LARGE</t>
  </si>
  <si>
    <t>!!LANDMARK_WHITEFLOWER_MEDIUM</t>
  </si>
  <si>
    <t>!!LANDMARK_WHITEFLOWER_SMALL</t>
  </si>
  <si>
    <t>unit</t>
  </si>
  <si>
    <t>!!RESIDENT_BB</t>
  </si>
  <si>
    <t>BB_Touch</t>
  </si>
  <si>
    <t>!!RESIDENT_CITIZEN</t>
  </si>
  <si>
    <t>Citizen_Touch</t>
  </si>
  <si>
    <t>!!RESIDENT_ELF_WORKER</t>
  </si>
  <si>
    <t>jerky</t>
  </si>
  <si>
    <t>!!RESIDENT_ELF_FOREMAN_STAN</t>
  </si>
  <si>
    <t>!!RESIDENT_ELF_UNION_REP_FRAN</t>
  </si>
  <si>
    <t>!!RESIDENT_GENE</t>
  </si>
  <si>
    <t>Gene_Touch</t>
  </si>
  <si>
    <t>!!RESIDENT_KEVIN</t>
  </si>
  <si>
    <t>Kevin_Touch</t>
  </si>
  <si>
    <t>!!RESIDENT_NEPTUNE</t>
  </si>
  <si>
    <t>Neptune_Touch</t>
  </si>
  <si>
    <t>!!RESIDENT_LARRY</t>
  </si>
  <si>
    <t>LL_Touch</t>
  </si>
  <si>
    <t>!!RESIDENT_MANRAY</t>
  </si>
  <si>
    <t>MR_Touch</t>
  </si>
  <si>
    <t>!!RESIDENT_MERMAN</t>
  </si>
  <si>
    <t>MM_Touch</t>
  </si>
  <si>
    <t>!!RESIDENT_MRKRAB</t>
  </si>
  <si>
    <t>MK_Touch</t>
  </si>
  <si>
    <t>!!RESIDENT_MRSPUFF</t>
  </si>
  <si>
    <t>Generic_Touch</t>
  </si>
  <si>
    <t>!!RESIDENT_PATRICK</t>
  </si>
  <si>
    <t>P_Touch</t>
  </si>
  <si>
    <t>!!RESIDENT_PEARL</t>
  </si>
  <si>
    <t>PK_Touch</t>
  </si>
  <si>
    <t>!!RESIDENT_POLICEFISH</t>
  </si>
  <si>
    <t>!!RESIDENT_REG</t>
  </si>
  <si>
    <t>Reg_Touch</t>
  </si>
  <si>
    <t>!!RESIDENT_SANDY</t>
  </si>
  <si>
    <t>Sandy_Touch</t>
  </si>
  <si>
    <t>!!RESIDENT_SB</t>
  </si>
  <si>
    <t>SB_Touch</t>
  </si>
  <si>
    <t>!!RESIDENT_SQUID</t>
  </si>
  <si>
    <t>Squidward_Touch</t>
  </si>
  <si>
    <t>!!RESIDENT_SQUILL</t>
  </si>
  <si>
    <t>Squilliam_Touch</t>
  </si>
  <si>
    <t>treasure</t>
  </si>
  <si>
    <t>!!TASK_MRKRABS_HUNTTREASURE</t>
  </si>
  <si>
    <t>!!TREE_NAME_APPLE</t>
  </si>
  <si>
    <t>!!TREE_NAME_BANANA</t>
  </si>
  <si>
    <t>!!TREE_NAME_CHERRY</t>
  </si>
  <si>
    <t>!!TREE_NAME_CHESTNUT</t>
  </si>
  <si>
    <t>!!TREE_NAME_CRANBERRY</t>
  </si>
  <si>
    <t>sb_item_cranberry_bush.png</t>
  </si>
  <si>
    <t>!!TREE_NAME_COCONUT</t>
  </si>
  <si>
    <t>!!TREE_NAME_LEMON</t>
  </si>
  <si>
    <t>!!TREE_NAME_LIME</t>
  </si>
  <si>
    <t>!!TREE_NAME_ORANGE</t>
  </si>
  <si>
    <t>!!TREE_NAME_PEACH</t>
  </si>
  <si>
    <t>wanderer</t>
  </si>
  <si>
    <t>worker</t>
  </si>
  <si>
    <t>!!RESIDENT_WORKER</t>
  </si>
  <si>
    <t>join_paytables</t>
  </si>
  <si>
    <t>go_home_exempt</t>
  </si>
  <si>
    <t>quick_clear</t>
  </si>
  <si>
    <t>product|summary|resources|10001</t>
  </si>
  <si>
    <t>instance_limit|32</t>
  </si>
  <si>
    <t>hide_duration</t>
  </si>
  <si>
    <t>disable_if_will_flee</t>
  </si>
  <si>
    <t>AppleTree_Portrait.png</t>
  </si>
  <si>
    <t>UnveilTree</t>
  </si>
  <si>
    <t>AcceptPlacementTree</t>
  </si>
  <si>
    <t>BananaTree_Portrait.png</t>
  </si>
  <si>
    <t>CherryTree_Portrait.png</t>
  </si>
  <si>
    <t>sbmi_holiday_ChestnutTree_Portrait.png</t>
  </si>
  <si>
    <t>CoconutTree_Portrait.png</t>
  </si>
  <si>
    <t>LemonTree_Portrait.png</t>
  </si>
  <si>
    <t>LimeTree_Portrait.png</t>
  </si>
  <si>
    <t>OrangeTree_Portrait.png</t>
  </si>
  <si>
    <t>PeachTree_Portrait.png</t>
  </si>
  <si>
    <t>id</t>
  </si>
  <si>
    <t>f:Cost Odds 1</t>
  </si>
  <si>
    <t>f:Cost Odds 2</t>
  </si>
  <si>
    <t>f:Cost Odds 3</t>
  </si>
  <si>
    <t>f:Cost Odds 4</t>
  </si>
  <si>
    <t>f:Cost Odds 5</t>
  </si>
  <si>
    <t>f:Cost Odds 6</t>
  </si>
  <si>
    <t>f:Cost Odds 7</t>
  </si>
  <si>
    <t>f:Cost Odds 8</t>
  </si>
  <si>
    <t>f:Cost Odds 9</t>
  </si>
  <si>
    <t>f:Cost Odds 10</t>
  </si>
  <si>
    <t>s:Character Model Type</t>
  </si>
  <si>
    <t>i:Character Model Width</t>
  </si>
  <si>
    <t>i:Character Model Height</t>
  </si>
  <si>
    <t>f:Character Model Scale X</t>
  </si>
  <si>
    <t>f:Character Model Scale Y</t>
  </si>
  <si>
    <t>f:Character Model Scale Z</t>
  </si>
  <si>
    <t>i:Character Model Offset X</t>
  </si>
  <si>
    <t>i:Character Model Offset Y</t>
  </si>
  <si>
    <t>s:Low Res Character Model Type</t>
  </si>
  <si>
    <t>i:Low Res Character Model Width</t>
  </si>
  <si>
    <t>i:Low Res Character Model Height</t>
  </si>
  <si>
    <t>f:Low Res Character Model Scale X</t>
  </si>
  <si>
    <t>f:Low Res Character Model Scale Y</t>
  </si>
  <si>
    <t>f:Low Res Character Model Scale Z</t>
  </si>
  <si>
    <t>i:Low Res Character Model Offset X</t>
  </si>
  <si>
    <t>i:Low Res Character Model Offset Y</t>
  </si>
  <si>
    <t>s:Thought Model Type</t>
  </si>
  <si>
    <t>i:Thought Model Offset X</t>
  </si>
  <si>
    <t>i:Thought Model Offset Y</t>
  </si>
  <si>
    <t>i:Thought Quad Width</t>
  </si>
  <si>
    <t>i:Thought Quad Height</t>
  </si>
  <si>
    <t>i:Thought Tapbox Center X</t>
  </si>
  <si>
    <t>i:Thought Tapbox Center Y</t>
  </si>
  <si>
    <t>i:Thought Tapbox Width</t>
  </si>
  <si>
    <t>i:Thought Tapbox Height</t>
  </si>
  <si>
    <t>f:Speed</t>
  </si>
  <si>
    <t>i:Disabled</t>
  </si>
  <si>
    <t>i:Drop Shadow Diameter</t>
  </si>
  <si>
    <t>i:Timer Duration</t>
  </si>
  <si>
    <t>s:Sound on Touch</t>
  </si>
  <si>
    <t>i:Hungry Timer</t>
  </si>
  <si>
    <t>i:Max Paytables</t>
  </si>
  <si>
    <t>i:Bonus Paytable DID 1</t>
  </si>
  <si>
    <t>i:Bonus Paytable DID 2</t>
  </si>
  <si>
    <t>i:Bonus Paytable DID 3</t>
  </si>
  <si>
    <t>i:Bonus Paytable DID 4</t>
  </si>
  <si>
    <t>i:Max Wishes</t>
  </si>
  <si>
    <t>i:Wish DID 1</t>
  </si>
  <si>
    <t>i:Wish DID 2</t>
  </si>
  <si>
    <t>i:Wish DID 3</t>
  </si>
  <si>
    <t>i:Wish DID 4</t>
  </si>
  <si>
    <t>i:Wish DID 5</t>
  </si>
  <si>
    <t>i:Wish DID 6</t>
  </si>
  <si>
    <t>i:Wish DID 7</t>
  </si>
  <si>
    <t>i:Wish DID 8</t>
  </si>
  <si>
    <t>i:Wish DID 9</t>
  </si>
  <si>
    <t>i:Wish DID 10</t>
  </si>
  <si>
    <t>i:Wish DID 11</t>
  </si>
  <si>
    <t>i:Wish DID 12</t>
  </si>
  <si>
    <t>i:Wish DID 13</t>
  </si>
  <si>
    <t>i:Wish DID 14</t>
  </si>
  <si>
    <t>i:Wish DID 15</t>
  </si>
  <si>
    <t>i:Wish DID 16</t>
  </si>
  <si>
    <t>i:Wish DID 17</t>
  </si>
  <si>
    <t>i:Wish DID 18</t>
  </si>
  <si>
    <t>i:Wish DID 19</t>
  </si>
  <si>
    <t>f:Wish Odds 1</t>
  </si>
  <si>
    <t>f:Wish Odds 2</t>
  </si>
  <si>
    <t>f:Wish Odds 3</t>
  </si>
  <si>
    <t>f:Wish Odds 4</t>
  </si>
  <si>
    <t>f:Wish Odds 5</t>
  </si>
  <si>
    <t>f:Wish Odds 6</t>
  </si>
  <si>
    <t>f:Wish Odds 7</t>
  </si>
  <si>
    <t>f:Wish Odds 8</t>
  </si>
  <si>
    <t>f:Wish Odds 9</t>
  </si>
  <si>
    <t>f:Wish Odds 10</t>
  </si>
  <si>
    <t>f:Wish Odds 11</t>
  </si>
  <si>
    <t>f:Wish Odds 12</t>
  </si>
  <si>
    <t>f:Wish Odds 13</t>
  </si>
  <si>
    <t>f:Wish Odds 14</t>
  </si>
  <si>
    <t>f:Wish Odds 15</t>
  </si>
  <si>
    <t>f:Wish Odds 16</t>
  </si>
  <si>
    <t>f:Wish Odds 17</t>
  </si>
  <si>
    <t>f:Wish Odds 18</t>
  </si>
  <si>
    <t>f:Wish Odds 19</t>
  </si>
  <si>
    <t>i:Wish Cooldown Min</t>
  </si>
  <si>
    <t>i:Wish Cooldown Max</t>
  </si>
  <si>
    <t>i:Wish Duration</t>
  </si>
  <si>
    <t>i:Idle Cooldown Min</t>
  </si>
  <si>
    <t>i:Idle Cooldown Max</t>
  </si>
  <si>
    <t>i:Idle Duration Min</t>
  </si>
  <si>
    <t>i:Join Paytables</t>
  </si>
  <si>
    <t>i:Won't Go Home</t>
  </si>
  <si>
    <t>i:Hide Duration</t>
  </si>
  <si>
    <t>i:Disable If Will Flee</t>
  </si>
  <si>
    <t>i:ID</t>
  </si>
  <si>
    <t>i:Is Waypoint</t>
  </si>
  <si>
    <t>i:Clear Time</t>
  </si>
  <si>
    <t>i:Quick Clear</t>
  </si>
  <si>
    <t>i:Level Min</t>
  </si>
  <si>
    <t>s:Point Of Interest Facing</t>
  </si>
  <si>
    <t>i:Point Of Interest X</t>
  </si>
  <si>
    <t>i:Point Of Interest Y</t>
  </si>
  <si>
    <t>s:Display Model Type</t>
  </si>
  <si>
    <t>i:Clearing Reward Sets</t>
  </si>
  <si>
    <t>i:Clearing Reward 1 Columns</t>
  </si>
  <si>
    <t>i:Clearing Reward 1 Amount 1</t>
  </si>
  <si>
    <t>i:Clearing Reward 1 Amount 2</t>
  </si>
  <si>
    <t>i:Clearing Reward 1 Amount 3</t>
  </si>
  <si>
    <t>i:Clearing Reward 1 Amount 4</t>
  </si>
  <si>
    <t>i:Clearing Reward 1 Amount 5</t>
  </si>
  <si>
    <t>f:Clearing Reward 1 Odds 1</t>
  </si>
  <si>
    <t>f:Clearing Reward 1 Odds 2</t>
  </si>
  <si>
    <t>f:Clearing Reward 1 Odds 3</t>
  </si>
  <si>
    <t>f:Clearing Reward 1 Odds 4</t>
  </si>
  <si>
    <t>f:Clearing Reward 1 Odds 5</t>
  </si>
  <si>
    <t>i:Clearing Reward 2 Columns</t>
  </si>
  <si>
    <t>i:Clearing Reward 2 Amount 1</t>
  </si>
  <si>
    <t>i:Clearing Reward 2 Amount 2</t>
  </si>
  <si>
    <t>i:Clearing Reward 2 Amount 3</t>
  </si>
  <si>
    <t>i:Clearing Reward 2 Amount 4</t>
  </si>
  <si>
    <t>i:Clearing Reward 2 Amount 5</t>
  </si>
  <si>
    <t>s:Display Default Texture</t>
  </si>
  <si>
    <t>s:Display Default Name</t>
  </si>
  <si>
    <t>i:Cost Gold</t>
  </si>
  <si>
    <t>i:Clearing Reward XP</t>
  </si>
  <si>
    <t>i:Clearing Jelly Reward Columns</t>
  </si>
  <si>
    <t>i:Clearing Jelly Reward Amount 1</t>
  </si>
  <si>
    <t>i:Clearing Jelly Reward Amount 2</t>
  </si>
  <si>
    <t>i:Clearing Jelly Reward Amount 3</t>
  </si>
  <si>
    <t>i:Clearing Jelly Reward Amount 4</t>
  </si>
  <si>
    <t>i:Clearing Jelly Reward Amount 5</t>
  </si>
  <si>
    <t>f:Clearing Jelly Reward Odds 1</t>
  </si>
  <si>
    <t>f:Clearing Jelly Reward Odds 2</t>
  </si>
  <si>
    <t>f:Clearing Jelly Reward Odds 3</t>
  </si>
  <si>
    <t>f:Clearing Jelly Reward Odds 4</t>
  </si>
  <si>
    <t>f:Clearing Jelly Reward Odds 5</t>
  </si>
  <si>
    <t>i:Display Width</t>
  </si>
  <si>
    <t>i:Display Height</t>
  </si>
  <si>
    <t>s:Portrait</t>
  </si>
  <si>
    <t>i:Flippable</t>
  </si>
  <si>
    <t>i:Shareable Space</t>
  </si>
  <si>
    <t>i:Completion Reward XP</t>
  </si>
  <si>
    <t>s:Completion Sound</t>
  </si>
  <si>
    <t>s:Accept Placement Sound</t>
  </si>
  <si>
    <t>i:Build Time</t>
  </si>
  <si>
    <t>i:Rent Time</t>
  </si>
  <si>
    <t>i:Resident</t>
  </si>
  <si>
    <t>i:Build Timer Duration</t>
  </si>
  <si>
    <t>i:Rent Timer Duration</t>
  </si>
  <si>
    <t>i:Crafting Menu</t>
  </si>
  <si>
    <t>i:Crafting Timer Duration</t>
  </si>
  <si>
    <t>s:Blueprint</t>
  </si>
  <si>
    <t>s:Crafted Icon</t>
  </si>
  <si>
    <t>s:Sound On Select</t>
  </si>
  <si>
    <t>i:Vendor ID</t>
  </si>
  <si>
    <t>i:Has Move In</t>
  </si>
  <si>
    <t>i:Residents</t>
  </si>
  <si>
    <t>i:Shunts Crafting</t>
  </si>
  <si>
    <t>i:Stashable</t>
  </si>
  <si>
    <t>i:Completion Reward Resources XP</t>
  </si>
  <si>
    <t>i:Idle Duration Max</t>
  </si>
  <si>
    <t>i:Rent Rushable</t>
  </si>
  <si>
    <t>i:Worker Spawner</t>
  </si>
  <si>
    <t>i:Product Resources Gold</t>
  </si>
  <si>
    <t>i:Product Resources XP</t>
  </si>
  <si>
    <t>i:Instance Limit Level 1</t>
  </si>
  <si>
    <t>i:Instance Limit Level 2</t>
  </si>
  <si>
    <t>i:Instance Limit Level 3</t>
  </si>
  <si>
    <t>i:Instance Limit Level 4</t>
  </si>
  <si>
    <t>i:Instance Limit Level 5</t>
  </si>
  <si>
    <t>i:Instance Limit Level 6</t>
  </si>
  <si>
    <t>i:Instance Limit Level 7</t>
  </si>
  <si>
    <t>i:Instance Limit Level 8</t>
  </si>
  <si>
    <t>i:Instance Limit Level 9</t>
  </si>
  <si>
    <t>i:Instance Limit Level 10</t>
  </si>
  <si>
    <t>i:Instance Limit Level 11</t>
  </si>
  <si>
    <t>i:Instance Limit Level 12</t>
  </si>
  <si>
    <t>i:Instance Limit Level 13</t>
  </si>
  <si>
    <t>i:Instance Limit Level 14</t>
  </si>
  <si>
    <t>i:Instance Limit Level 15</t>
  </si>
  <si>
    <t>i:Instance Limit Level 16</t>
  </si>
  <si>
    <t>i:Instance Limit Level 17</t>
  </si>
  <si>
    <t>i:Instance Limit Level 18</t>
  </si>
  <si>
    <t>i:Instance Limit Level 19</t>
  </si>
  <si>
    <t>i:Instance Limit Level 20</t>
  </si>
  <si>
    <t>i:Instance Limit Level 21</t>
  </si>
  <si>
    <t>i:Instance Limit Level 22</t>
  </si>
  <si>
    <t>i:Instance Limit Level 23</t>
  </si>
  <si>
    <t>i:Instance Limit Level 24</t>
  </si>
  <si>
    <t>i:Instance Limit Level 25</t>
  </si>
  <si>
    <t>i:Instance Limit Level 26</t>
  </si>
  <si>
    <t>i:Instance Limit Level 27</t>
  </si>
  <si>
    <t>i:Instance Limit Level 28</t>
  </si>
  <si>
    <t>i:Instance Limit Level 29</t>
  </si>
  <si>
    <t>i:Instance Limit Level 30</t>
  </si>
  <si>
    <t>i:Instance Limit Level 31</t>
  </si>
  <si>
    <t>i:Instance Limit Level 32</t>
  </si>
  <si>
    <t>s:Completion Reward Thought Icon</t>
  </si>
  <si>
    <t>i:Hub Info DID</t>
  </si>
  <si>
    <t>s:Hub</t>
  </si>
  <si>
    <t>i:Fruit DID</t>
  </si>
  <si>
    <t>i:Product Sets</t>
  </si>
  <si>
    <t>f:Product Odds 1</t>
  </si>
  <si>
    <t>f:Product Odds 2</t>
  </si>
  <si>
    <t>f:Product Odds 3</t>
  </si>
  <si>
    <t>f:Product Odds 4</t>
  </si>
  <si>
    <t>f:Product Odds 5</t>
  </si>
  <si>
    <t>i:Product Fruit 1</t>
  </si>
  <si>
    <t>i:Product Fruit 2</t>
  </si>
  <si>
    <t>i:Product Fruit 3</t>
  </si>
  <si>
    <t>i:Product Fruit 4</t>
  </si>
  <si>
    <t>i:Product Fruit 5</t>
  </si>
  <si>
    <t>i:Product XP 1</t>
  </si>
  <si>
    <t>i:Product XP 2</t>
  </si>
  <si>
    <t>i:Product XP 3</t>
  </si>
  <si>
    <t>i:Product XP 4</t>
  </si>
  <si>
    <t>i:Product XP 5</t>
  </si>
  <si>
    <t>i:Product Summary</t>
  </si>
  <si>
    <t>i:Instance Limit 1</t>
  </si>
  <si>
    <t>i:Instance Limit 3</t>
  </si>
  <si>
    <t>i:Instance Limit 4</t>
  </si>
  <si>
    <t>i:Instance Limit 5</t>
  </si>
  <si>
    <t>i:Instance Limit 6</t>
  </si>
  <si>
    <t>i:Instance Limit 7</t>
  </si>
  <si>
    <t>i:Instance Limit 8</t>
  </si>
  <si>
    <t>i:Instance Limit 9</t>
  </si>
  <si>
    <t>i:Instance Limit 10</t>
  </si>
  <si>
    <t>i:Instance Limit 11</t>
  </si>
  <si>
    <t>i:Instance Limit 12</t>
  </si>
  <si>
    <t>i:Instance Limit 13</t>
  </si>
  <si>
    <t>i:Instance Limit 14</t>
  </si>
  <si>
    <t>i:Instance Limit 15</t>
  </si>
  <si>
    <t>i:Instance Limit 16</t>
  </si>
  <si>
    <t>i:Instance Limit 17</t>
  </si>
  <si>
    <t>i:Instance Limit 18</t>
  </si>
  <si>
    <t>i:Instance Limit 19</t>
  </si>
  <si>
    <t>i:Instance Limit 20</t>
  </si>
  <si>
    <t>i:Instance Limit 21</t>
  </si>
  <si>
    <t>i:Instance Limit 22</t>
  </si>
  <si>
    <t>i:Instance Limit 23</t>
  </si>
  <si>
    <t>i:Instance Limit 24</t>
  </si>
  <si>
    <t>i:Instance Limit 25</t>
  </si>
  <si>
    <t>i:Instance Limit 26</t>
  </si>
  <si>
    <t>i:Instance Limit 27</t>
  </si>
  <si>
    <t>i:Instance Limit 28</t>
  </si>
  <si>
    <t>i:Instance Limit 29</t>
  </si>
  <si>
    <t>i:Instance Limit 30</t>
  </si>
  <si>
    <t>i:Instance Limit 31</t>
  </si>
  <si>
    <t>i:Instance Limit 32</t>
  </si>
  <si>
    <t>s:Clearing Reward Thought Icon</t>
  </si>
  <si>
    <t>i:Num Residents</t>
  </si>
  <si>
    <t>i:Resident 1</t>
  </si>
  <si>
    <t>i:Resident 2</t>
  </si>
  <si>
    <t>i:Resident 3</t>
  </si>
  <si>
    <t>i:Resident 4</t>
  </si>
  <si>
    <t>i:Resident 5</t>
  </si>
  <si>
    <t>i:Completion Reward Resources Gold</t>
  </si>
  <si>
    <t>buildings</t>
  </si>
  <si>
    <t>!!MARKETLABEL_RESIDENTS</t>
  </si>
  <si>
    <t>tab_resident</t>
  </si>
  <si>
    <t>buildings_no_resident</t>
  </si>
  <si>
    <t>!!MARKETLABEL_BLDG</t>
  </si>
  <si>
    <t>tab_non_resident</t>
  </si>
  <si>
    <t>production_buildings</t>
  </si>
  <si>
    <t>!!MARKETLABEL_PRODBLDG</t>
  </si>
  <si>
    <t>tab_production</t>
  </si>
  <si>
    <t>decorations</t>
  </si>
  <si>
    <t>!!MARKETLABEL_DECOR</t>
  </si>
  <si>
    <t>tab_decoration</t>
  </si>
  <si>
    <t>trees</t>
  </si>
  <si>
    <t>!!MARKETLABEL_TREES</t>
  </si>
  <si>
    <t>tab_trees</t>
  </si>
  <si>
    <t>rmt</t>
  </si>
  <si>
    <t>!!MARKETLABEL_JJ</t>
  </si>
  <si>
    <t>tab_currency</t>
  </si>
  <si>
    <t>!!INVENTORY_BUILDING_TAB</t>
  </si>
  <si>
    <t>movies</t>
  </si>
  <si>
    <t>movie</t>
  </si>
  <si>
    <t>!!INVENTORY_MOVIE_TAB</t>
  </si>
  <si>
    <t>tab_movie</t>
  </si>
  <si>
    <t>i:Name</t>
  </si>
  <si>
    <t>s:Label</t>
  </si>
  <si>
    <t>s:Display Material</t>
  </si>
  <si>
    <t>i:Item DID 1</t>
  </si>
  <si>
    <t>i:Items</t>
  </si>
  <si>
    <t>i:Item DID 2</t>
  </si>
  <si>
    <t>i:Item DID 3</t>
  </si>
  <si>
    <t>i:Item DID 4</t>
  </si>
  <si>
    <t>i:Item DID 5</t>
  </si>
  <si>
    <t>i:Item DID 6</t>
  </si>
  <si>
    <t>i:Item DID 7</t>
  </si>
  <si>
    <t>i:Item DID 8</t>
  </si>
  <si>
    <t>i:Item DID 9</t>
  </si>
  <si>
    <t>i:Item DID 10</t>
  </si>
  <si>
    <t>i:Item DID 11</t>
  </si>
  <si>
    <t>i:Item DID 12</t>
  </si>
  <si>
    <t>i:Item DID 13</t>
  </si>
  <si>
    <t>i:Item DID 14</t>
  </si>
  <si>
    <t>i:Item DID 15</t>
  </si>
  <si>
    <t>i:Item DID 16</t>
  </si>
  <si>
    <t>i:Item DID 17</t>
  </si>
  <si>
    <t>i:Item DID 18</t>
  </si>
  <si>
    <t>i:Item DID 19</t>
  </si>
  <si>
    <t>i:Item DID 20</t>
  </si>
  <si>
    <t>i:Item DID 21</t>
  </si>
  <si>
    <t>i:Item DID 22</t>
  </si>
  <si>
    <t>i:Item DID 23</t>
  </si>
  <si>
    <t>i:Item DID 24</t>
  </si>
  <si>
    <t>i:Item DID 25</t>
  </si>
  <si>
    <t>i:Item DID 26</t>
  </si>
  <si>
    <t>i:Item DID 27</t>
  </si>
  <si>
    <t>i:Item DID 28</t>
  </si>
  <si>
    <t>i:Item DID 29</t>
  </si>
  <si>
    <t>i:Item DID 30</t>
  </si>
  <si>
    <t>i:Item DID 31</t>
  </si>
  <si>
    <t>i:Item DID 32</t>
  </si>
  <si>
    <t>i:Category ID</t>
  </si>
  <si>
    <t>!!BLDG_NAME_GARDEN_DESC</t>
  </si>
  <si>
    <t>!!BLDG_NAME_BAKERY_DESC</t>
  </si>
  <si>
    <t>!!BLDG_NAME_TREAT_SHOP_DESC</t>
  </si>
  <si>
    <t>!!BLDG_NAME_SPICE_SHACK_DESC</t>
  </si>
  <si>
    <t>!!BLDG_NAME_JUICEBAR_DESC</t>
  </si>
  <si>
    <t>!!BLDG_NAME_FLOWERSHOP_DESC</t>
  </si>
  <si>
    <t>!!BLDG_NAME_ICECREAMSHOP_DESC</t>
  </si>
  <si>
    <t>!!BLDG_NAME_PERFUMESHOP_DESC</t>
  </si>
  <si>
    <t>!!PATH_TILE1_DESC</t>
  </si>
  <si>
    <t>!!PATH_TILE1_TITLE</t>
  </si>
  <si>
    <t>tab_path</t>
  </si>
  <si>
    <t>!!BLDG_NAME_BROWN_BENCH_DESC</t>
  </si>
  <si>
    <t>!!BLDG_NAME_GREEN_PINE_DESC</t>
  </si>
  <si>
    <t>!!BLDG_NAME_STREETLIGHT_DESC</t>
  </si>
  <si>
    <t>!!BLDG_NAME_BEACHCHAIR_DESC</t>
  </si>
  <si>
    <t>!!BLDG_NAME_BEACHUMBRELLA_DESC</t>
  </si>
  <si>
    <t>!!BLDG_NAME_TRASHCAN1_DESC</t>
  </si>
  <si>
    <t>!!BLDG_NAME_FULL_TRASHCAN_DESC</t>
  </si>
  <si>
    <t>!!BLDG_NAME_NEWSSTAND_DESC</t>
  </si>
  <si>
    <t>!!BLDG_NAME_GREEN_BENCH_DESC</t>
  </si>
  <si>
    <t>!!BLDG_NAME_POSTBOX_DESC</t>
  </si>
  <si>
    <t>!!BLDG_NAME_HYDRANT_DESC</t>
  </si>
  <si>
    <t>!!BLDG_NAME_DUMPSTER_EMPTY_DESC</t>
  </si>
  <si>
    <t>!!BLDG_NAME_DUMPSTER_FULL_DESC</t>
  </si>
  <si>
    <t>!!BLDG_NAME_YELLOW_PINE_DESC</t>
  </si>
  <si>
    <t>!!BLDG_NAME_BLACK_GRILL_DESC</t>
  </si>
  <si>
    <t>!!BLDG_NAME_TRASHCAN2_DESC</t>
  </si>
  <si>
    <t>!!BLDG_NAME_TIKI_DESC</t>
  </si>
  <si>
    <t>!!BLDG_NAME_ROCK_PURPLE_GREY_GREEN_DESC</t>
  </si>
  <si>
    <t>!!BLDG_NAME_BILLBOARD_DESC</t>
  </si>
  <si>
    <t>!!MARKETLABEL_JJ_OFFER1_DESC</t>
  </si>
  <si>
    <t>!!MARKETLABEL_JJ_OFFER1_TITLE</t>
  </si>
  <si>
    <t>JellyfishJellyShortStack_Icon.png</t>
  </si>
  <si>
    <t>resource</t>
  </si>
  <si>
    <t>com.mtvn.SBMI.jellybundle1</t>
  </si>
  <si>
    <t>!!MARKETLABEL_JJ_OFFER2_DESC</t>
  </si>
  <si>
    <t>!!MARKETLABEL_JJ_OFFER2_TITLE</t>
  </si>
  <si>
    <t>JellyfishJellyCrateTower_Icon.png</t>
  </si>
  <si>
    <t>com.mtvn.SBMI.jellybundle2</t>
  </si>
  <si>
    <t>!!MARKETLABEL_JJ_OFFER3_DESC</t>
  </si>
  <si>
    <t>!!MARKETLABEL_JJ_OFFER3_TITLE</t>
  </si>
  <si>
    <t>JellyfishJellyCrateTowers_Icon.png</t>
  </si>
  <si>
    <t>com.mtvn.SBMI.jellybundle3</t>
  </si>
  <si>
    <t>!!MARKETLABEL_JJ_OFFER4_DESC</t>
  </si>
  <si>
    <t>!!MARKETLABEL_JJ_OFFER4_TITLE</t>
  </si>
  <si>
    <t>JellyfishJellyCratePyramid_Icon.png</t>
  </si>
  <si>
    <t>com.mtvn.SBMI.jellybundle4</t>
  </si>
  <si>
    <t>!!MARKETLABEL_JJ_OFFER5_DESC</t>
  </si>
  <si>
    <t>!!MARKETLABEL_JJ_OFFER5_TITLE</t>
  </si>
  <si>
    <t>JellyfishJellyBoat_Icon.png</t>
  </si>
  <si>
    <t>com.mtvn.SBMI.jellybundle5</t>
  </si>
  <si>
    <t>!!MARKETLABEL_JJ_OFFER6_DESC</t>
  </si>
  <si>
    <t>!!MARKETLABEL_JJ_OFFER6_TITLE</t>
  </si>
  <si>
    <t>JellyfishJellyTower_Icon.png</t>
  </si>
  <si>
    <t>com.mtvn.SBMI.jellybundle6</t>
  </si>
  <si>
    <t>!!MARKETLABEL_COIN_OFFER1_DESC</t>
  </si>
  <si>
    <t>!!MARKETLABEL_COIN_OFFER1_TITLE</t>
  </si>
  <si>
    <t>CoinStack_Portrait.png</t>
  </si>
  <si>
    <t>com.mtvn.SBMI.bag1</t>
  </si>
  <si>
    <t>!!MARKETLABEL_COIN_OFFER2_DESC</t>
  </si>
  <si>
    <t>!!MARKETLABEL_COIN_OFFER2_TITLE</t>
  </si>
  <si>
    <t>CoinBarrel_Portrait.png</t>
  </si>
  <si>
    <t>com.mtvn.SBMI.bag2</t>
  </si>
  <si>
    <t>!!MARKETLABEL_COIN_OFFER3_DESC</t>
  </si>
  <si>
    <t>!!MARKETLABEL_COIN_OFFER3_TITLE</t>
  </si>
  <si>
    <t>CoinChest_Portrait.png</t>
  </si>
  <si>
    <t>com.mtvn.SBMI.bag3</t>
  </si>
  <si>
    <t>!!MARKETLABEL_COIN_OFFER4_DESC</t>
  </si>
  <si>
    <t>!!MARKETLABEL_COIN_OFFER4_TITLE</t>
  </si>
  <si>
    <t>CoinWheelbarrel_Portrait.png</t>
  </si>
  <si>
    <t>com.mtvn.SBMI.bag4</t>
  </si>
  <si>
    <t>i:Item DID</t>
  </si>
  <si>
    <t>i:Cost Jelly</t>
  </si>
  <si>
    <t>i:Sell Cost Gold</t>
  </si>
  <si>
    <t>i:Sell Cost Jelly</t>
  </si>
  <si>
    <t>i:Cost Special DID</t>
  </si>
  <si>
    <t>i:Cost Special Amount</t>
  </si>
  <si>
    <t>i:IAP DID</t>
  </si>
  <si>
    <t>s:Result Type</t>
  </si>
  <si>
    <t>s:IAP Code</t>
  </si>
  <si>
    <t>i:Gold Amount</t>
  </si>
  <si>
    <t>i:Jelly Amount</t>
  </si>
  <si>
    <t>jit_resource</t>
  </si>
  <si>
    <t>fullness</t>
  </si>
  <si>
    <t>construction</t>
  </si>
  <si>
    <t>s:Conversion Type</t>
  </si>
  <si>
    <t>f:Time Factor</t>
  </si>
  <si>
    <t>f:Compression Base</t>
  </si>
  <si>
    <t>vegetable</t>
  </si>
  <si>
    <t>bread</t>
  </si>
  <si>
    <t>burger</t>
  </si>
  <si>
    <t>pasta</t>
  </si>
  <si>
    <t>deep_fried</t>
  </si>
  <si>
    <t>soup</t>
  </si>
  <si>
    <t>mexican</t>
  </si>
  <si>
    <t>hotdog</t>
  </si>
  <si>
    <t>sandwich</t>
  </si>
  <si>
    <t>wrap</t>
  </si>
  <si>
    <t>fruit</t>
  </si>
  <si>
    <t>juice</t>
  </si>
  <si>
    <t>smoothies</t>
  </si>
  <si>
    <t>icecream</t>
  </si>
  <si>
    <t>shakes</t>
  </si>
  <si>
    <t>flowercoral</t>
  </si>
  <si>
    <t>perfume</t>
  </si>
  <si>
    <t>baked_desserts</t>
  </si>
  <si>
    <t>rusty_ribeye</t>
  </si>
  <si>
    <t>deliroll</t>
  </si>
  <si>
    <t>frenchbread</t>
  </si>
  <si>
    <t>breadbowl</t>
  </si>
  <si>
    <t>carpfreekp</t>
  </si>
  <si>
    <t>gnocchi</t>
  </si>
  <si>
    <t>hushpuppies</t>
  </si>
  <si>
    <t>neptunesnuggets</t>
  </si>
  <si>
    <t>ultimateanemone</t>
  </si>
  <si>
    <t>kelprings</t>
  </si>
  <si>
    <t>sailorssurprise</t>
  </si>
  <si>
    <t>tostada</t>
  </si>
  <si>
    <t>salsatacos</t>
  </si>
  <si>
    <t>tortilla</t>
  </si>
  <si>
    <t>footlong</t>
  </si>
  <si>
    <t>kelpjerky</t>
  </si>
  <si>
    <t>veggiewrap</t>
  </si>
  <si>
    <t>blissgarden</t>
  </si>
  <si>
    <t>branchcoralbouquet</t>
  </si>
  <si>
    <t>coralcastle</t>
  </si>
  <si>
    <t>cupcoralbed</t>
  </si>
  <si>
    <t>flowerbed</t>
  </si>
  <si>
    <t>reefpatch</t>
  </si>
  <si>
    <t>smellymedly</t>
  </si>
  <si>
    <t>stinkyseacollection</t>
  </si>
  <si>
    <t>tubesquare</t>
  </si>
  <si>
    <t>chumoderant</t>
  </si>
  <si>
    <t>chumsniff</t>
  </si>
  <si>
    <t>s:Category</t>
  </si>
  <si>
    <t>s:Item 1</t>
  </si>
  <si>
    <t>s:Item 2</t>
  </si>
  <si>
    <t>s:Item 3</t>
  </si>
  <si>
    <t>s:Item 4</t>
  </si>
  <si>
    <t>s:Item 5</t>
  </si>
  <si>
    <t>s:Item 6</t>
  </si>
  <si>
    <t>s:Item 7</t>
  </si>
  <si>
    <t>s:Item 8</t>
  </si>
  <si>
    <t>s:Item 9</t>
  </si>
  <si>
    <t>s:Item 10</t>
  </si>
  <si>
    <t>s:Item 11</t>
  </si>
  <si>
    <t>s:Item 12</t>
  </si>
  <si>
    <t>s:Item 13</t>
  </si>
  <si>
    <t>s:Item 14</t>
  </si>
  <si>
    <t>s:Item 15</t>
  </si>
  <si>
    <t>s:Item 16</t>
  </si>
  <si>
    <t>s:Item 17</t>
  </si>
  <si>
    <t>s:Item 18</t>
  </si>
  <si>
    <t>s:Item 19</t>
  </si>
  <si>
    <t>s:Item 20</t>
  </si>
  <si>
    <t>s:Item 21</t>
  </si>
  <si>
    <t>s:Item 22</t>
  </si>
  <si>
    <t>s:Item 23</t>
  </si>
  <si>
    <t>s:Item 24</t>
  </si>
  <si>
    <t>s:Item 25</t>
  </si>
  <si>
    <t>s:Item 26</t>
  </si>
  <si>
    <t>s:Item 27</t>
  </si>
  <si>
    <t>s:Item 28</t>
  </si>
  <si>
    <t>s:Item 29</t>
  </si>
  <si>
    <t>s:Item 30</t>
  </si>
  <si>
    <t>s:Item 31</t>
  </si>
  <si>
    <t>s:Item 32</t>
  </si>
  <si>
    <t>s:Item 33</t>
  </si>
  <si>
    <t>s:Item 34</t>
  </si>
  <si>
    <t>s:Item 35</t>
  </si>
  <si>
    <t>s:Item 36</t>
  </si>
  <si>
    <t>s:Item 37</t>
  </si>
  <si>
    <t>s:Item 38</t>
  </si>
  <si>
    <t>s:Item 39</t>
  </si>
  <si>
    <t>i:Reward Gold</t>
  </si>
  <si>
    <t>i:Reward Jelly</t>
  </si>
  <si>
    <t>i:Fullness Time</t>
  </si>
  <si>
    <t>i:Ignore Wish Duration</t>
  </si>
  <si>
    <t>i:Force Wish Match</t>
  </si>
  <si>
    <t>i:Force No Wish Payout</t>
  </si>
  <si>
    <t>voice_over</t>
  </si>
  <si>
    <t>!!LEVEL_UP_HEADLINE_2</t>
  </si>
  <si>
    <t>Textures/GUI/LevelUpScreen/headlines/level_02</t>
  </si>
  <si>
    <t>Dialog_LevelUp_SB01</t>
  </si>
  <si>
    <t>!!LEVEL_UP_HEADLINE_3</t>
  </si>
  <si>
    <t>Textures/GUI/LevelUpScreen/headlines/level_03</t>
  </si>
  <si>
    <t>!!LEVEL_UP_HEADLINE_4</t>
  </si>
  <si>
    <t>Textures/GUI/LevelUpScreen/headlines/level_04</t>
  </si>
  <si>
    <t>!!LEVEL_UP_HEADLINE_5</t>
  </si>
  <si>
    <t>Textures/GUI/LevelUpScreen/headlines/level_05</t>
  </si>
  <si>
    <t>!!LEVEL_UP_HEADLINE_6</t>
  </si>
  <si>
    <t>!!LEVEL_UP_HEADLINE_7</t>
  </si>
  <si>
    <t>Textures/GUI/LevelUpScreen/headlines/level_07</t>
  </si>
  <si>
    <t>!!LEVEL_UP_HEADLINE_8</t>
  </si>
  <si>
    <t>Textures/GUI/LevelUpScreen/headlines/level_08</t>
  </si>
  <si>
    <t>!!LEVEL_UP_HEADLINE_9</t>
  </si>
  <si>
    <t>Textures/GUI/LevelUpScreen/headlines/level_06</t>
  </si>
  <si>
    <t>!!LEVEL_UP_HEADLINE_10</t>
  </si>
  <si>
    <t>Textures/GUI/LevelUpScreen/headlines/level_10</t>
  </si>
  <si>
    <t>!!LEVEL_UP_HEADLINE_11</t>
  </si>
  <si>
    <t>!!LEVEL_UP_HEADLINE_12</t>
  </si>
  <si>
    <t>Textures/GUI/LevelUpScreen/headlines/level_12</t>
  </si>
  <si>
    <t>!!LEVEL_UP_HEADLINE_13</t>
  </si>
  <si>
    <t>Textures/GUI/LevelUpScreen/headlines/level_13</t>
  </si>
  <si>
    <t>!!LEVEL_UP_HEADLINE_14</t>
  </si>
  <si>
    <t>Textures/GUI/LevelUpScreen/headlines/level_14</t>
  </si>
  <si>
    <t>!!LEVEL_UP_HEADLINE_15</t>
  </si>
  <si>
    <t>Textures/GUI/LevelUpScreen/headlines/level_15</t>
  </si>
  <si>
    <t>!!LEVEL_UP_HEADLINE_16</t>
  </si>
  <si>
    <t>Textures/GUI/LevelUpScreen/headlines/level_16</t>
  </si>
  <si>
    <t>!!LEVEL_UP_HEADLINE_17</t>
  </si>
  <si>
    <t>Textures/GUI/LevelUpScreen/headlines/level_17</t>
  </si>
  <si>
    <t>!!LEVEL_UP_HEADLINE_18</t>
  </si>
  <si>
    <t>Textures/GUI/LevelUpScreen/headlines/level_18</t>
  </si>
  <si>
    <t>!!LEVEL_UP_HEADLINE_19</t>
  </si>
  <si>
    <t>Textures/GUI/LevelUpScreen/headlines/level_19</t>
  </si>
  <si>
    <t>!!LEVEL_UP_HEADLINE_20</t>
  </si>
  <si>
    <t>Textures/GUI/LevelUpScreen/headlines/level_20</t>
  </si>
  <si>
    <t>!!LEVEL_UP_HEADLINE_21</t>
  </si>
  <si>
    <t>!!LEVEL_UP_HEADLINE_22</t>
  </si>
  <si>
    <t>Textures/GUI/LevelUpScreen/headlines/level_22</t>
  </si>
  <si>
    <t>!!LEVEL_UP_HEADLINE_23</t>
  </si>
  <si>
    <t>Textures/GUI/LevelUpScreen/headlines/level_23</t>
  </si>
  <si>
    <t>!!LEVEL_UP_HEADLINE_24</t>
  </si>
  <si>
    <t>!!LEVEL_UP_HEADLINE_25</t>
  </si>
  <si>
    <t>Textures/GUI/LevelUpScreen/headlines/level_25</t>
  </si>
  <si>
    <t>!!LEVEL_UP_HEADLINE_26</t>
  </si>
  <si>
    <t>Textures/GUI/LevelUpScreen/headlines/level_26</t>
  </si>
  <si>
    <t>!!LEVEL_UP_HEADLINE_27</t>
  </si>
  <si>
    <t>Textures/GUI/LevelUpScreen/headlines/level_27</t>
  </si>
  <si>
    <t>!!LEVEL_UP_HEADLINE_28</t>
  </si>
  <si>
    <t>Textures/GUI/LevelUpScreen/headlines/level_28</t>
  </si>
  <si>
    <t>!!LEVEL_UP_HEADLINE_29</t>
  </si>
  <si>
    <t>!!LEVEL_UP_HEADLINE_30</t>
  </si>
  <si>
    <t>Textures/GUI/LevelUpScreen/headlines/level_30</t>
  </si>
  <si>
    <t>!!LEVEL_UP_HEADLINE_GENERIC</t>
  </si>
  <si>
    <t>Textures/GUI/LevelUpScreen/headlines/level_31</t>
  </si>
  <si>
    <t>Textures/GUI/LevelUpScreen/headlines/level_32</t>
  </si>
  <si>
    <t>Textures/GUI/LevelUpScreen/headlines/level_33</t>
  </si>
  <si>
    <t>Textures/GUI/LevelUpScreen/headlines/level_34</t>
  </si>
  <si>
    <t>Textures/GUI/LevelUpScreen/headlines/level_35</t>
  </si>
  <si>
    <t>s:Reward Special Type</t>
  </si>
  <si>
    <t>i:Reward Special DID</t>
  </si>
  <si>
    <t>i:Reward Special Amount</t>
  </si>
  <si>
    <t>i:Level</t>
  </si>
  <si>
    <t>i:XP</t>
  </si>
  <si>
    <t>s:Headline</t>
  </si>
  <si>
    <t>3cb55f46-3258-5301-3005-df9567707d63</t>
  </si>
  <si>
    <t>3cb55f46-3258-5301-0019-df9567707d63</t>
  </si>
  <si>
    <t>96f439b2-3dcd-0001-4005-4ec4bed146d2</t>
  </si>
  <si>
    <t>96f439b2-3dcd-0002-4005-4ec4bed146d2</t>
  </si>
  <si>
    <t>96f439b2-3dcd-0003-4005-4ec4bed146d2</t>
  </si>
  <si>
    <t>96f439b2-3dcd-0004-4005-4ec4bed146d2</t>
  </si>
  <si>
    <t>96f439b2-3dcd-0006-4005-4ec4bed146d2</t>
  </si>
  <si>
    <t>96f439b2-3dcd-0007-4005-4ec4bed146d2</t>
  </si>
  <si>
    <t>96f439b2-3dcd-0001-4008-4ec4bed146d2</t>
  </si>
  <si>
    <t>96f439b2-3dcd-0003-4008-4ec4bed146d2</t>
  </si>
  <si>
    <t>96f439b2-3dcd-0004-4008-4ec4bed146d2</t>
  </si>
  <si>
    <t>3cb55f46-3258-5301-0005-df9567707d63</t>
  </si>
  <si>
    <t>0d9036d0-3270-1027-0001-3ea760b8bdda</t>
  </si>
  <si>
    <t>0d9036d0-3270-1027-0002-3ea760b8bdda</t>
  </si>
  <si>
    <t>0d9036d0-3270-1027-0003-3ea760b8bdda</t>
  </si>
  <si>
    <t>units</t>
  </si>
  <si>
    <t>s:Residence</t>
  </si>
  <si>
    <t>i:Position X</t>
  </si>
  <si>
    <t>i:Position Y</t>
  </si>
  <si>
    <t>i:Extensions</t>
  </si>
  <si>
    <t>i:Flip</t>
  </si>
  <si>
    <t>i:Amount Earned</t>
  </si>
  <si>
    <t>i:Amount Purchased</t>
  </si>
  <si>
    <t>i:Amount Spent</t>
  </si>
  <si>
    <t>i:Column</t>
  </si>
  <si>
    <t>i:Row</t>
  </si>
  <si>
    <t>expansions</t>
  </si>
  <si>
    <t>quests</t>
  </si>
  <si>
    <t>!!NOTIFY_CONSTRUCTION_DONE</t>
  </si>
  <si>
    <t>SB693_HAHA_EN.wav</t>
  </si>
  <si>
    <t>start_building</t>
  </si>
  <si>
    <t>s:Message</t>
  </si>
  <si>
    <t>s:Notification Sound</t>
  </si>
  <si>
    <t>i:Condition ID</t>
  </si>
  <si>
    <t>s:Condition Type</t>
  </si>
  <si>
    <t>s:Condition Simulated Type</t>
  </si>
  <si>
    <t>treasure_spawn_26666</t>
  </si>
  <si>
    <t>treasure_spawn_26667</t>
  </si>
  <si>
    <t>time_to_spawn</t>
  </si>
  <si>
    <t>i:Items to Spawn</t>
  </si>
  <si>
    <t>s:Persist Name</t>
  </si>
  <si>
    <t>s:Feature Lock</t>
  </si>
  <si>
    <t>i:Spawn Limit</t>
  </si>
  <si>
    <t>i:Min Time</t>
  </si>
  <si>
    <t>i:Max Time</t>
  </si>
  <si>
    <t>tier</t>
  </si>
  <si>
    <t>i:Sector Row</t>
  </si>
  <si>
    <t>i:Sector Column</t>
  </si>
  <si>
    <t>5|7</t>
  </si>
  <si>
    <t>7|7</t>
  </si>
  <si>
    <t>7|9</t>
  </si>
  <si>
    <t>5|9</t>
  </si>
  <si>
    <t>7|8</t>
  </si>
  <si>
    <t>8|8</t>
  </si>
  <si>
    <t>8|9</t>
  </si>
  <si>
    <t>8|7</t>
  </si>
  <si>
    <t>7|6</t>
  </si>
  <si>
    <t>8|6</t>
  </si>
  <si>
    <t>6|6</t>
  </si>
  <si>
    <t>6|7</t>
  </si>
  <si>
    <t>5|6</t>
  </si>
  <si>
    <t>4|6</t>
  </si>
  <si>
    <t>4|7</t>
  </si>
  <si>
    <t>5|8</t>
  </si>
  <si>
    <t>4|8</t>
  </si>
  <si>
    <t>4|9</t>
  </si>
  <si>
    <t>8|5</t>
  </si>
  <si>
    <t>9|5</t>
  </si>
  <si>
    <t>9|6</t>
  </si>
  <si>
    <t>7|5</t>
  </si>
  <si>
    <t>6|5</t>
  </si>
  <si>
    <t>5|5</t>
  </si>
  <si>
    <t>4|5</t>
  </si>
  <si>
    <t>3|5</t>
  </si>
  <si>
    <t>3|6</t>
  </si>
  <si>
    <t>3|7</t>
  </si>
  <si>
    <t>3|8</t>
  </si>
  <si>
    <t>3|9</t>
  </si>
  <si>
    <t>8|4</t>
  </si>
  <si>
    <t>9|4</t>
  </si>
  <si>
    <t>7|4</t>
  </si>
  <si>
    <t>6|4</t>
  </si>
  <si>
    <t>5|4</t>
  </si>
  <si>
    <t>4|4</t>
  </si>
  <si>
    <t>3|4</t>
  </si>
  <si>
    <t>2|4</t>
  </si>
  <si>
    <t>2|5</t>
  </si>
  <si>
    <t>2|6</t>
  </si>
  <si>
    <t>2|7</t>
  </si>
  <si>
    <t>2|8</t>
  </si>
  <si>
    <t>2|9</t>
  </si>
  <si>
    <t>4|10</t>
  </si>
  <si>
    <t>3|10</t>
  </si>
  <si>
    <t>5|10</t>
  </si>
  <si>
    <t>6|9</t>
  </si>
  <si>
    <t>6|10</t>
  </si>
  <si>
    <t>7|10</t>
  </si>
  <si>
    <t>8|10</t>
  </si>
  <si>
    <t>9|9</t>
  </si>
  <si>
    <t>9|10</t>
  </si>
  <si>
    <t>2|10</t>
  </si>
  <si>
    <t>3|11</t>
  </si>
  <si>
    <t>2|11</t>
  </si>
  <si>
    <t>4|11</t>
  </si>
  <si>
    <t>5|11</t>
  </si>
  <si>
    <t>6|11</t>
  </si>
  <si>
    <t>7|11</t>
  </si>
  <si>
    <t>8|11</t>
  </si>
  <si>
    <t>10|6</t>
  </si>
  <si>
    <t>10|9</t>
  </si>
  <si>
    <t>s:Outline Corner 1</t>
  </si>
  <si>
    <t>s:Outline Corner 2</t>
  </si>
  <si>
    <t>s:Outline Corner 3</t>
  </si>
  <si>
    <t>s:Outline Corner 4</t>
  </si>
  <si>
    <t>11|24</t>
  </si>
  <si>
    <t>-1|2|3|4</t>
  </si>
  <si>
    <t>s:Required Slots</t>
  </si>
  <si>
    <t>i:Cost Multiplier</t>
  </si>
  <si>
    <t>96f439b2-3dcd-0201-4002-4ec4bed146d2</t>
  </si>
  <si>
    <t>96f439b2-3dcd-0202-4002-4ec4bed146d2</t>
  </si>
  <si>
    <t>96f439b2-3dcd-0203-4002-4ec4bed146d2</t>
  </si>
  <si>
    <t>96f439b2-3dcd-0201-4005-4ec4bed146d2</t>
  </si>
  <si>
    <t>96f439b2-3dcd-0202-4005-4ec4bed146d2</t>
  </si>
  <si>
    <t>96f439b2-3dcd-0203-4005-4ec4bed146d2</t>
  </si>
  <si>
    <t>96f439b2-3dcd-0201-4045-4ec4bed146d2</t>
  </si>
  <si>
    <t>96f439b2-3dcd-0202-4045-4ec4bed146d2</t>
  </si>
  <si>
    <t>96f439b2-3dcd-0201-4008-4ec4bed146d2</t>
  </si>
  <si>
    <t>96f439b2-3dcd-0202-4008-4ec4bed146d2</t>
  </si>
  <si>
    <t>96f439b2-3dcd-0201-4007-4ec4bed146d2</t>
  </si>
  <si>
    <t>96f439b2-3dcd-0202-4007-4ec4bed146d2</t>
  </si>
  <si>
    <t>96f439b2-3dcd-0201-4004-4ec4bed146d2</t>
  </si>
  <si>
    <t>96f439b2-3dcd-0202-4004-4ec4bed146d2</t>
  </si>
  <si>
    <t>96f439b2-3dcd-0201-4009-4ec4bed146d2</t>
  </si>
  <si>
    <t>96f439b2-3dcd-0202-4009-4ec4bed146d2</t>
  </si>
  <si>
    <t>96f439b2-3dcd-0201-4044-4ec4bed146d2</t>
  </si>
  <si>
    <t>96f439b2-3dcd-0202-4044-4ec4bed146d2</t>
  </si>
  <si>
    <t>96f439b2-3dcd-0201-4011-4ec4bed146d2</t>
  </si>
  <si>
    <t>96f439b2-3dcd-0201-4013-4ec4bed146d2</t>
  </si>
  <si>
    <t>96f439b2-3dcd-0301-4002-4ec4bed146d2</t>
  </si>
  <si>
    <t>96f439b2-3dcd-0302-4002-4ec4bed146d2</t>
  </si>
  <si>
    <t>96f439b2-3dcd-0303-4002-4ec4bed146d2</t>
  </si>
  <si>
    <t>96f439b2-3dcd-0301-4005-4ec4bed146d2</t>
  </si>
  <si>
    <t>96f439b2-3dcd-0302-4005-4ec4bed146d2</t>
  </si>
  <si>
    <t>96f439b2-3dcd-0303-4005-4ec4bed146d2</t>
  </si>
  <si>
    <t>96f439b2-3dcd-0301-4045-4ec4bed146d2</t>
  </si>
  <si>
    <t>96f439b2-3dcd-0302-4045-4ec4bed146d2</t>
  </si>
  <si>
    <t>96f439b2-3dcd-0301-4008-4ec4bed146d2</t>
  </si>
  <si>
    <t>96f439b2-3dcd-0302-4008-4ec4bed146d2</t>
  </si>
  <si>
    <t>96f439b2-3dcd-0301-4007-4ec4bed146d2</t>
  </si>
  <si>
    <t>96f439b2-3dcd-0302-4007-4ec4bed146d2</t>
  </si>
  <si>
    <t>96f439b2-3dcd-0301-4004-4ec4bed146d2</t>
  </si>
  <si>
    <t>96f439b2-3dcd-0302-4004-4ec4bed146d2</t>
  </si>
  <si>
    <t>96f439b2-3dcd-0301-4009-4ec4bed146d2</t>
  </si>
  <si>
    <t>96f439b2-3dcd-0302-4009-4ec4bed146d2</t>
  </si>
  <si>
    <t>96f439b2-3dcd-0301-4044-4ec4bed146d2</t>
  </si>
  <si>
    <t>96f439b2-3dcd-0302-4044-4ec4bed146d2</t>
  </si>
  <si>
    <t>96f439b2-3dcd-0301-4011-4ec4bed146d2</t>
  </si>
  <si>
    <t>96f439b2-3dcd-0301-4013-4ec4bed146d2</t>
  </si>
  <si>
    <t>96f439b2-3dcd-0401-4002-4ec4bed146d2</t>
  </si>
  <si>
    <t>96f439b2-3dcd-0402-4002-4ec4bed146d2</t>
  </si>
  <si>
    <t>96f439b2-3dcd-0403-4002-4ec4bed146d2</t>
  </si>
  <si>
    <t>96f439b2-3dcd-0401-4005-4ec4bed146d2</t>
  </si>
  <si>
    <t>96f439b2-3dcd-0402-4005-4ec4bed146d2</t>
  </si>
  <si>
    <t>96f439b2-3dcd-0403-4005-4ec4bed146d2</t>
  </si>
  <si>
    <t>96f439b2-3dcd-0401-4045-4ec4bed146d2</t>
  </si>
  <si>
    <t>96f439b2-3dcd-0402-4045-4ec4bed146d2</t>
  </si>
  <si>
    <t>96f439b2-3dcd-0401-4008-4ec4bed146d2</t>
  </si>
  <si>
    <t>96f439b2-3dcd-0402-4008-4ec4bed146d2</t>
  </si>
  <si>
    <t>96f439b2-3dcd-0401-4007-4ec4bed146d2</t>
  </si>
  <si>
    <t>96f439b2-3dcd-0402-4007-4ec4bed146d2</t>
  </si>
  <si>
    <t>96f439b2-3dcd-0401-4004-4ec4bed146d2</t>
  </si>
  <si>
    <t>96f439b2-3dcd-0402-4004-4ec4bed146d2</t>
  </si>
  <si>
    <t>96f439b2-3dcd-0401-4009-4ec4bed146d2</t>
  </si>
  <si>
    <t>96f439b2-3dcd-0402-4009-4ec4bed146d2</t>
  </si>
  <si>
    <t>96f439b2-3dcd-0401-4044-4ec4bed146d2</t>
  </si>
  <si>
    <t>96f439b2-3dcd-0402-4044-4ec4bed146d2</t>
  </si>
  <si>
    <t>96f439b2-3dcd-0401-4011-4ec4bed146d2</t>
  </si>
  <si>
    <t>96f439b2-3dcd-0401-4013-4ec4bed146d2</t>
  </si>
  <si>
    <t>96f439b2-3dcd-0501-4002-4ec4bed146d2</t>
  </si>
  <si>
    <t>96f439b2-3dcd-0502-4002-4ec4bed146d2</t>
  </si>
  <si>
    <t>96f439b2-3dcd-0503-4002-4ec4bed146d2</t>
  </si>
  <si>
    <t>96f439b2-3dcd-0501-4005-4ec4bed146d2</t>
  </si>
  <si>
    <t>96f439b2-3dcd-0502-4005-4ec4bed146d2</t>
  </si>
  <si>
    <t>96f439b2-3dcd-0503-4005-4ec4bed146d2</t>
  </si>
  <si>
    <t>96f439b2-3dcd-0501-4045-4ec4bed146d2</t>
  </si>
  <si>
    <t>96f439b2-3dcd-0502-4045-4ec4bed146d2</t>
  </si>
  <si>
    <t>96f439b2-3dcd-0501-4008-4ec4bed146d2</t>
  </si>
  <si>
    <t>96f439b2-3dcd-0502-4008-4ec4bed146d2</t>
  </si>
  <si>
    <t>96f439b2-3dcd-0501-4007-4ec4bed146d2</t>
  </si>
  <si>
    <t>96f439b2-3dcd-0502-4007-4ec4bed146d2</t>
  </si>
  <si>
    <t>96f439b2-3dcd-0501-4004-4ec4bed146d2</t>
  </si>
  <si>
    <t>96f439b2-3dcd-0502-4004-4ec4bed146d2</t>
  </si>
  <si>
    <t>96f439b2-3dcd-0501-4009-4ec4bed146d2</t>
  </si>
  <si>
    <t>96f439b2-3dcd-0502-4009-4ec4bed146d2</t>
  </si>
  <si>
    <t>96f439b2-3dcd-0501-4044-4ec4bed146d2</t>
  </si>
  <si>
    <t>96f439b2-3dcd-0502-4044-4ec4bed146d2</t>
  </si>
  <si>
    <t>96f439b2-3dcd-0501-4011-4ec4bed146d2</t>
  </si>
  <si>
    <t>96f439b2-3dcd-0501-4013-4ec4bed146d2</t>
  </si>
  <si>
    <t>96f439b2-3dcd-0601-4002-4ec4bed146d2</t>
  </si>
  <si>
    <t>96f439b2-3dcd-0602-4002-4ec4bed146d2</t>
  </si>
  <si>
    <t>96f439b2-3dcd-0603-4002-4ec4bed146d2</t>
  </si>
  <si>
    <t>96f439b2-3dcd-0601-4005-4ec4bed146d2</t>
  </si>
  <si>
    <t>96f439b2-3dcd-0602-4005-4ec4bed146d2</t>
  </si>
  <si>
    <t>96f439b2-3dcd-0603-4005-4ec4bed146d2</t>
  </si>
  <si>
    <t>96f439b2-3dcd-0601-4045-4ec4bed146d2</t>
  </si>
  <si>
    <t>96f439b2-3dcd-0602-4045-4ec4bed146d2</t>
  </si>
  <si>
    <t>96f439b2-3dcd-0601-4008-4ec4bed146d2</t>
  </si>
  <si>
    <t>96f439b2-3dcd-0602-4008-4ec4bed146d2</t>
  </si>
  <si>
    <t>96f439b2-3dcd-0601-4007-4ec4bed146d2</t>
  </si>
  <si>
    <t>96f439b2-3dcd-0602-4007-4ec4bed146d2</t>
  </si>
  <si>
    <t>96f439b2-3dcd-0601-4004-4ec4bed146d2</t>
  </si>
  <si>
    <t>96f439b2-3dcd-0602-4004-4ec4bed146d2</t>
  </si>
  <si>
    <t>96f439b2-3dcd-0601-4009-4ec4bed146d2</t>
  </si>
  <si>
    <t>96f439b2-3dcd-0602-4009-4ec4bed146d2</t>
  </si>
  <si>
    <t>96f439b2-3dcd-0601-4044-4ec4bed146d2</t>
  </si>
  <si>
    <t>96f439b2-3dcd-0602-4044-4ec4bed146d2</t>
  </si>
  <si>
    <t>96f439b2-3dcd-0601-4011-4ec4bed146d2</t>
  </si>
  <si>
    <t>96f439b2-3dcd-0601-4013-4ec4bed146d2</t>
  </si>
  <si>
    <t>96f439b2-3dcd-0601-4014-4ec4bed146d2</t>
  </si>
  <si>
    <t>96f439b2-3dcd-0701-4002-4ec4bed146d2</t>
  </si>
  <si>
    <t>96f439b2-3dcd-0702-4002-4ec4bed146d2</t>
  </si>
  <si>
    <t>96f439b2-3dcd-0703-4002-4ec4bed146d2</t>
  </si>
  <si>
    <t>96f439b2-3dcd-0701-4005-4ec4bed146d2</t>
  </si>
  <si>
    <t>96f439b2-3dcd-0702-4005-4ec4bed146d2</t>
  </si>
  <si>
    <t>96f439b2-3dcd-0703-4005-4ec4bed146d2</t>
  </si>
  <si>
    <t>96f439b2-3dcd-0701-4045-4ec4bed146d2</t>
  </si>
  <si>
    <t>96f439b2-3dcd-0702-4045-4ec4bed146d2</t>
  </si>
  <si>
    <t>96f439b2-3dcd-0701-4008-4ec4bed146d2</t>
  </si>
  <si>
    <t>96f439b2-3dcd-0702-4008-4ec4bed146d2</t>
  </si>
  <si>
    <t>96f439b2-3dcd-0701-4007-4ec4bed146d2</t>
  </si>
  <si>
    <t>96f439b2-3dcd-0702-4007-4ec4bed146d2</t>
  </si>
  <si>
    <t>96f439b2-3dcd-0701-4004-4ec4bed146d2</t>
  </si>
  <si>
    <t>96f439b2-3dcd-0702-4004-4ec4bed146d2</t>
  </si>
  <si>
    <t>96f439b2-3dcd-0701-4009-4ec4bed146d2</t>
  </si>
  <si>
    <t>96f439b2-3dcd-0702-4009-4ec4bed146d2</t>
  </si>
  <si>
    <t>96f439b2-3dcd-0701-4044-4ec4bed146d2</t>
  </si>
  <si>
    <t>96f439b2-3dcd-0702-4044-4ec4bed146d2</t>
  </si>
  <si>
    <t>96f439b2-3dcd-0701-4011-4ec4bed146d2</t>
  </si>
  <si>
    <t>96f439b2-3dcd-0701-4013-4ec4bed146d2</t>
  </si>
  <si>
    <t>96f439b2-3dcd-0801-4005-4ec4bed146d2</t>
  </si>
  <si>
    <t>96f439b2-3dcd-0802-4005-4ec4bed146d2</t>
  </si>
  <si>
    <t>96f439b2-3dcd-0803-4005-4ec4bed146d2</t>
  </si>
  <si>
    <t>96f439b2-3dcd-0801-4095-4ec4bed146d2</t>
  </si>
  <si>
    <t>96f439b2-3dcd-0801-4008-4ec4bed146d2</t>
  </si>
  <si>
    <t>96f439b2-3dcd-0802-4008-4ec4bed146d2</t>
  </si>
  <si>
    <t>96f439b2-3dcd-0803-4008-4ec4bed146d2</t>
  </si>
  <si>
    <t>96f439b2-3dcd-0901-4002-4ec4bed146d2</t>
  </si>
  <si>
    <t>96f439b2-3dcd-0902-4002-4ec4bed146d2</t>
  </si>
  <si>
    <t>96f439b2-3dcd-0903-4002-4ec4bed146d2</t>
  </si>
  <si>
    <t>96f439b2-3dcd-0904-4002-4ec4bed146d2</t>
  </si>
  <si>
    <t>96f439b2-3dcd-0901-4005-4ec4bed146d2</t>
  </si>
  <si>
    <t>96f439b2-3dcd-0902-4005-4ec4bed146d2</t>
  </si>
  <si>
    <t>96f439b2-3dcd-0903-4005-4ec4bed146d2</t>
  </si>
  <si>
    <t>96f439b2-3dcd-0901-4045-4ec4bed146d2</t>
  </si>
  <si>
    <t>96f439b2-3dcd-0902-4045-4ec4bed146d2</t>
  </si>
  <si>
    <t>96f439b2-3dcd-0903-4045-4ec4bed146d2</t>
  </si>
  <si>
    <t>96f439b2-3dcd-0901-4008-4ec4bed146d2</t>
  </si>
  <si>
    <t>96f439b2-3dcd-0902-4008-4ec4bed146d2</t>
  </si>
  <si>
    <t>96f439b2-3dcd-0901-4007-4ec4bed146d2</t>
  </si>
  <si>
    <t>96f439b2-3dcd-1101-4002-4ec4bed146d2</t>
  </si>
  <si>
    <t>96f439b2-3dcd-1102-4002-4ec4bed146d2</t>
  </si>
  <si>
    <t>96f439b2-3dcd-1101-4005-4ec4bed146d2</t>
  </si>
  <si>
    <t>96f439b2-3dcd-1102-4005-4ec4bed146d2</t>
  </si>
  <si>
    <t>96f439b2-3dcd-1101-4045-4ec4bed146d2</t>
  </si>
  <si>
    <t>96f439b2-3dcd-1101-4008-4ec4bed146d2</t>
  </si>
  <si>
    <t>96f439b2-3dcd-1101-4007-4ec4bed146d2</t>
  </si>
  <si>
    <t>96f439b2-3dcd-1101-4004-4ec4bed146d2</t>
  </si>
  <si>
    <t>96f439b2-3dcd-1102-4004-4ec4bed146d2</t>
  </si>
  <si>
    <t>96f439b2-3dcd-1103-4004-4ec4bed146d2</t>
  </si>
  <si>
    <t>96f439b2-3dcd-1101-4009-4ec4bed146d2</t>
  </si>
  <si>
    <t>96f439b2-3dcd-1102-4009-4ec4bed146d2</t>
  </si>
  <si>
    <t>96f439b2-3dcd-1103-4009-4ec4bed146d2</t>
  </si>
  <si>
    <t>96f439b2-3dcd-1101-4044-4ec4bed146d2</t>
  </si>
  <si>
    <t>96f439b2-3dcd-1102-4044-4ec4bed146d2</t>
  </si>
  <si>
    <t>96f439b2-3dcd-1103-4044-4ec4bed146d2</t>
  </si>
  <si>
    <t>96f439b2-3dcd-1101-4011-4ec4bed146d2</t>
  </si>
  <si>
    <t>96f439b2-3dcd-1102-4011-4ec4bed146d2</t>
  </si>
  <si>
    <t>96f439b2-3dcd-1101-4013-4ec4bed146d2</t>
  </si>
  <si>
    <t>96f439b2-3dcd-1102-4013-4ec4bed146d2</t>
  </si>
  <si>
    <t>96f439b2-3dcd-1201-4002-4ec4bed146d2</t>
  </si>
  <si>
    <t>96f439b2-3dcd-1202-4002-4ec4bed146d2</t>
  </si>
  <si>
    <t>96f439b2-3dcd-1201-4005-4ec4bed146d2</t>
  </si>
  <si>
    <t>96f439b2-3dcd-1202-4005-4ec4bed146d2</t>
  </si>
  <si>
    <t>96f439b2-3dcd-1201-4045-4ec4bed146d2</t>
  </si>
  <si>
    <t>96f439b2-3dcd-1201-4008-4ec4bed146d2</t>
  </si>
  <si>
    <t>96f439b2-3dcd-1201-4007-4ec4bed146d2</t>
  </si>
  <si>
    <t>96f439b2-3dcd-1201-4004-4ec4bed146d2</t>
  </si>
  <si>
    <t>96f439b2-3dcd-1202-4004-4ec4bed146d2</t>
  </si>
  <si>
    <t>96f439b2-3dcd-1203-4004-4ec4bed146d2</t>
  </si>
  <si>
    <t>96f439b2-3dcd-1201-4009-4ec4bed146d2</t>
  </si>
  <si>
    <t>96f439b2-3dcd-1202-4009-4ec4bed146d2</t>
  </si>
  <si>
    <t>96f439b2-3dcd-1203-4009-4ec4bed146d2</t>
  </si>
  <si>
    <t>96f439b2-3dcd-1201-4044-4ec4bed146d2</t>
  </si>
  <si>
    <t>96f439b2-3dcd-1202-4044-4ec4bed146d2</t>
  </si>
  <si>
    <t>96f439b2-3dcd-1203-4044-4ec4bed146d2</t>
  </si>
  <si>
    <t>96f439b2-3dcd-1201-4011-4ec4bed146d2</t>
  </si>
  <si>
    <t>96f439b2-3dcd-1202-4011-4ec4bed146d2</t>
  </si>
  <si>
    <t>96f439b2-3dcd-1201-4013-4ec4bed146d2</t>
  </si>
  <si>
    <t>96f439b2-3dcd-1202-4013-4ec4bed146d2</t>
  </si>
  <si>
    <t>96f439b2-3dcd-1301-4002-4ec4bed146d2</t>
  </si>
  <si>
    <t>96f439b2-3dcd-1302-4002-4ec4bed146d2</t>
  </si>
  <si>
    <t>96f439b2-3dcd-1301-4005-4ec4bed146d2</t>
  </si>
  <si>
    <t>96f439b2-3dcd-1302-4005-4ec4bed146d2</t>
  </si>
  <si>
    <t>96f439b2-3dcd-1301-4045-4ec4bed146d2</t>
  </si>
  <si>
    <t>96f439b2-3dcd-1301-4008-4ec4bed146d2</t>
  </si>
  <si>
    <t>96f439b2-3dcd-1301-4007-4ec4bed146d2</t>
  </si>
  <si>
    <t>96f439b2-3dcd-1301-4004-4ec4bed146d2</t>
  </si>
  <si>
    <t>96f439b2-3dcd-1302-4004-4ec4bed146d2</t>
  </si>
  <si>
    <t>96f439b2-3dcd-1303-4004-4ec4bed146d2</t>
  </si>
  <si>
    <t>96f439b2-3dcd-1301-4009-4ec4bed146d2</t>
  </si>
  <si>
    <t>96f439b2-3dcd-1302-4009-4ec4bed146d2</t>
  </si>
  <si>
    <t>96f439b2-3dcd-1303-4009-4ec4bed146d2</t>
  </si>
  <si>
    <t>96f439b2-3dcd-1301-4044-4ec4bed146d2</t>
  </si>
  <si>
    <t>96f439b2-3dcd-1302-4044-4ec4bed146d2</t>
  </si>
  <si>
    <t>96f439b2-3dcd-1303-4044-4ec4bed146d2</t>
  </si>
  <si>
    <t>96f439b2-3dcd-1301-4011-4ec4bed146d2</t>
  </si>
  <si>
    <t>96f439b2-3dcd-1302-4011-4ec4bed146d2</t>
  </si>
  <si>
    <t>96f439b2-3dcd-1301-4013-4ec4bed146d2</t>
  </si>
  <si>
    <t>96f439b2-3dcd-1302-4013-4ec4bed146d2</t>
  </si>
  <si>
    <t>96f439b2-3dcd-1401-4002-4ec4bed146d2</t>
  </si>
  <si>
    <t>96f439b2-3dcd-1402-4002-4ec4bed146d2</t>
  </si>
  <si>
    <t>96f439b2-3dcd-1401-4005-4ec4bed146d2</t>
  </si>
  <si>
    <t>96f439b2-3dcd-1402-4005-4ec4bed146d2</t>
  </si>
  <si>
    <t>96f439b2-3dcd-1401-4045-4ec4bed146d2</t>
  </si>
  <si>
    <t>96f439b2-3dcd-1401-4008-4ec4bed146d2</t>
  </si>
  <si>
    <t>96f439b2-3dcd-1401-4007-4ec4bed146d2</t>
  </si>
  <si>
    <t>96f439b2-3dcd-1401-4004-4ec4bed146d2</t>
  </si>
  <si>
    <t>96f439b2-3dcd-1402-4004-4ec4bed146d2</t>
  </si>
  <si>
    <t>96f439b2-3dcd-1403-4004-4ec4bed146d2</t>
  </si>
  <si>
    <t>96f439b2-3dcd-1401-4009-4ec4bed146d2</t>
  </si>
  <si>
    <t>96f439b2-3dcd-1402-4009-4ec4bed146d2</t>
  </si>
  <si>
    <t>96f439b2-3dcd-1403-4009-4ec4bed146d2</t>
  </si>
  <si>
    <t>96f439b2-3dcd-1401-4044-4ec4bed146d2</t>
  </si>
  <si>
    <t>96f439b2-3dcd-1402-4044-4ec4bed146d2</t>
  </si>
  <si>
    <t>96f439b2-3dcd-1403-4044-4ec4bed146d2</t>
  </si>
  <si>
    <t>96f439b2-3dcd-1401-4011-4ec4bed146d2</t>
  </si>
  <si>
    <t>96f439b2-3dcd-1402-4011-4ec4bed146d2</t>
  </si>
  <si>
    <t>96f439b2-3dcd-1401-4013-4ec4bed146d2</t>
  </si>
  <si>
    <t>96f439b2-3dcd-1402-4013-4ec4bed146d2</t>
  </si>
  <si>
    <t>96f439b2-3dcd-1501-4002-4ec4bed146d2</t>
  </si>
  <si>
    <t>96f439b2-3dcd-1502-4002-4ec4bed146d2</t>
  </si>
  <si>
    <t>96f439b2-3dcd-1501-4005-4ec4bed146d2</t>
  </si>
  <si>
    <t>96f439b2-3dcd-1502-4005-4ec4bed146d2</t>
  </si>
  <si>
    <t>96f439b2-3dcd-1501-4045-4ec4bed146d2</t>
  </si>
  <si>
    <t>96f439b2-3dcd-1501-4008-4ec4bed146d2</t>
  </si>
  <si>
    <t>96f439b2-3dcd-1501-4007-4ec4bed146d2</t>
  </si>
  <si>
    <t>96f439b2-3dcd-1501-4004-4ec4bed146d2</t>
  </si>
  <si>
    <t>96f439b2-3dcd-1502-4004-4ec4bed146d2</t>
  </si>
  <si>
    <t>96f439b2-3dcd-1503-4004-4ec4bed146d2</t>
  </si>
  <si>
    <t>96f439b2-3dcd-1501-4009-4ec4bed146d2</t>
  </si>
  <si>
    <t>96f439b2-3dcd-1502-4009-4ec4bed146d2</t>
  </si>
  <si>
    <t>96f439b2-3dcd-1503-4009-4ec4bed146d2</t>
  </si>
  <si>
    <t>96f439b2-3dcd-1501-4044-4ec4bed146d2</t>
  </si>
  <si>
    <t>96f439b2-3dcd-1502-4044-4ec4bed146d2</t>
  </si>
  <si>
    <t>96f439b2-3dcd-1503-4044-4ec4bed146d2</t>
  </si>
  <si>
    <t>96f439b2-3dcd-1501-4011-4ec4bed146d2</t>
  </si>
  <si>
    <t>96f439b2-3dcd-1502-4011-4ec4bed146d2</t>
  </si>
  <si>
    <t>96f439b2-3dcd-1501-4013-4ec4bed146d2</t>
  </si>
  <si>
    <t>96f439b2-3dcd-1502-4013-4ec4bed146d2</t>
  </si>
  <si>
    <t>96f439b2-3dcd-1601-4002-4ec4bed146d2</t>
  </si>
  <si>
    <t>96f439b2-3dcd-1602-4002-4ec4bed146d2</t>
  </si>
  <si>
    <t>96f439b2-3dcd-1601-4005-4ec4bed146d2</t>
  </si>
  <si>
    <t>96f439b2-3dcd-1602-4005-4ec4bed146d2</t>
  </si>
  <si>
    <t>96f439b2-3dcd-1601-4045-4ec4bed146d2</t>
  </si>
  <si>
    <t>96f439b2-3dcd-1601-4008-4ec4bed146d2</t>
  </si>
  <si>
    <t>96f439b2-3dcd-1601-4007-4ec4bed146d2</t>
  </si>
  <si>
    <t>96f439b2-3dcd-1601-4004-4ec4bed146d2</t>
  </si>
  <si>
    <t>96f439b2-3dcd-1602-4004-4ec4bed146d2</t>
  </si>
  <si>
    <t>96f439b2-3dcd-1603-4004-4ec4bed146d2</t>
  </si>
  <si>
    <t>96f439b2-3dcd-1601-4009-4ec4bed146d2</t>
  </si>
  <si>
    <t>96f439b2-3dcd-1602-4009-4ec4bed146d2</t>
  </si>
  <si>
    <t>96f439b2-3dcd-1603-4009-4ec4bed146d2</t>
  </si>
  <si>
    <t>96f439b2-3dcd-1601-4044-4ec4bed146d2</t>
  </si>
  <si>
    <t>96f439b2-3dcd-1602-4044-4ec4bed146d2</t>
  </si>
  <si>
    <t>96f439b2-3dcd-1603-4044-4ec4bed146d2</t>
  </si>
  <si>
    <t>96f439b2-3dcd-1601-4011-4ec4bed146d2</t>
  </si>
  <si>
    <t>96f439b2-3dcd-1602-4011-4ec4bed146d2</t>
  </si>
  <si>
    <t>96f439b2-3dcd-1601-4013-4ec4bed146d2</t>
  </si>
  <si>
    <t>96f439b2-3dcd-1602-4013-4ec4bed146d2</t>
  </si>
  <si>
    <t>96f439b2-3dcd-1701-4002-4ec4bed146d2</t>
  </si>
  <si>
    <t>96f439b2-3dcd-1702-4002-4ec4bed146d2</t>
  </si>
  <si>
    <t>96f439b2-3dcd-1701-4005-4ec4bed146d2</t>
  </si>
  <si>
    <t>96f439b2-3dcd-1702-4005-4ec4bed146d2</t>
  </si>
  <si>
    <t>96f439b2-3dcd-1701-4045-4ec4bed146d2</t>
  </si>
  <si>
    <t>96f439b2-3dcd-1701-4008-4ec4bed146d2</t>
  </si>
  <si>
    <t>96f439b2-3dcd-1701-4007-4ec4bed146d2</t>
  </si>
  <si>
    <t>96f439b2-3dcd-1701-4004-4ec4bed146d2</t>
  </si>
  <si>
    <t>96f439b2-3dcd-1702-4004-4ec4bed146d2</t>
  </si>
  <si>
    <t>96f439b2-3dcd-1703-4004-4ec4bed146d2</t>
  </si>
  <si>
    <t>96f439b2-3dcd-1701-4009-4ec4bed146d2</t>
  </si>
  <si>
    <t>96f439b2-3dcd-1702-4009-4ec4bed146d2</t>
  </si>
  <si>
    <t>96f439b2-3dcd-1703-4009-4ec4bed146d2</t>
  </si>
  <si>
    <t>96f439b2-3dcd-1701-4044-4ec4bed146d2</t>
  </si>
  <si>
    <t>96f439b2-3dcd-1702-4044-4ec4bed146d2</t>
  </si>
  <si>
    <t>96f439b2-3dcd-1703-4044-4ec4bed146d2</t>
  </si>
  <si>
    <t>96f439b2-3dcd-1701-4011-4ec4bed146d2</t>
  </si>
  <si>
    <t>96f439b2-3dcd-1702-4011-4ec4bed146d2</t>
  </si>
  <si>
    <t>96f439b2-3dcd-1701-4013-4ec4bed146d2</t>
  </si>
  <si>
    <t>96f439b2-3dcd-1702-4013-4ec4bed146d2</t>
  </si>
  <si>
    <t>96f439b2-3dcd-1801-4002-4ec4bed146d2</t>
  </si>
  <si>
    <t>96f439b2-3dcd-1802-4002-4ec4bed146d2</t>
  </si>
  <si>
    <t>96f439b2-3dcd-1801-4005-4ec4bed146d2</t>
  </si>
  <si>
    <t>96f439b2-3dcd-1802-4005-4ec4bed146d2</t>
  </si>
  <si>
    <t>96f439b2-3dcd-1801-4045-4ec4bed146d2</t>
  </si>
  <si>
    <t>96f439b2-3dcd-1801-4008-4ec4bed146d2</t>
  </si>
  <si>
    <t>96f439b2-3dcd-1801-4007-4ec4bed146d2</t>
  </si>
  <si>
    <t>96f439b2-3dcd-1801-4004-4ec4bed146d2</t>
  </si>
  <si>
    <t>96f439b2-3dcd-1802-4004-4ec4bed146d2</t>
  </si>
  <si>
    <t>96f439b2-3dcd-1803-4004-4ec4bed146d2</t>
  </si>
  <si>
    <t>96f439b2-3dcd-1801-4009-4ec4bed146d2</t>
  </si>
  <si>
    <t>96f439b2-3dcd-1802-4009-4ec4bed146d2</t>
  </si>
  <si>
    <t>96f439b2-3dcd-1803-4009-4ec4bed146d2</t>
  </si>
  <si>
    <t>96f439b2-3dcd-1801-4044-4ec4bed146d2</t>
  </si>
  <si>
    <t>96f439b2-3dcd-1802-4044-4ec4bed146d2</t>
  </si>
  <si>
    <t>96f439b2-3dcd-1803-4044-4ec4bed146d2</t>
  </si>
  <si>
    <t>96f439b2-3dcd-1801-4011-4ec4bed146d2</t>
  </si>
  <si>
    <t>96f439b2-3dcd-1802-4011-4ec4bed146d2</t>
  </si>
  <si>
    <t>96f439b2-3dcd-1801-4013-4ec4bed146d2</t>
  </si>
  <si>
    <t>96f439b2-3dcd-1802-4013-4ec4bed146d2</t>
  </si>
  <si>
    <t>96f439b2-3dcd-1901-4002-4ec4bed146d2</t>
  </si>
  <si>
    <t>96f439b2-3dcd-1902-4002-4ec4bed146d2</t>
  </si>
  <si>
    <t>96f439b2-3dcd-1901-4005-4ec4bed146d2</t>
  </si>
  <si>
    <t>96f439b2-3dcd-1902-4005-4ec4bed146d2</t>
  </si>
  <si>
    <t>96f439b2-3dcd-1901-4045-4ec4bed146d2</t>
  </si>
  <si>
    <t>96f439b2-3dcd-1901-4008-4ec4bed146d2</t>
  </si>
  <si>
    <t>96f439b2-3dcd-1901-4007-4ec4bed146d2</t>
  </si>
  <si>
    <t>96f439b2-3dcd-1901-4004-4ec4bed146d2</t>
  </si>
  <si>
    <t>96f439b2-3dcd-1902-4004-4ec4bed146d2</t>
  </si>
  <si>
    <t>96f439b2-3dcd-1903-4004-4ec4bed146d2</t>
  </si>
  <si>
    <t>96f439b2-3dcd-1901-4009-4ec4bed146d2</t>
  </si>
  <si>
    <t>96f439b2-3dcd-1902-4009-4ec4bed146d2</t>
  </si>
  <si>
    <t>96f439b2-3dcd-1903-4009-4ec4bed146d2</t>
  </si>
  <si>
    <t>96f439b2-3dcd-1901-4044-4ec4bed146d2</t>
  </si>
  <si>
    <t>96f439b2-3dcd-1902-4044-4ec4bed146d2</t>
  </si>
  <si>
    <t>96f439b2-3dcd-1903-4044-4ec4bed146d2</t>
  </si>
  <si>
    <t>96f439b2-3dcd-1901-4011-4ec4bed146d2</t>
  </si>
  <si>
    <t>96f439b2-3dcd-1902-4011-4ec4bed146d2</t>
  </si>
  <si>
    <t>96f439b2-3dcd-1901-4013-4ec4bed146d2</t>
  </si>
  <si>
    <t>96f439b2-3dcd-1902-4013-4ec4bed146d2</t>
  </si>
  <si>
    <t>96f439b2-3dcd-2101-4002-4ec4bed146d2</t>
  </si>
  <si>
    <t>96f439b2-3dcd-2101-4005-4ec4bed146d2</t>
  </si>
  <si>
    <t>96f439b2-3dcd-2101-4007-4ec4bed146d2</t>
  </si>
  <si>
    <t>96f439b2-3dcd-2101-4004-4ec4bed146d2</t>
  </si>
  <si>
    <t>96f439b2-3dcd-2102-4004-4ec4bed146d2</t>
  </si>
  <si>
    <t>96f439b2-3dcd-2103-4004-4ec4bed146d2</t>
  </si>
  <si>
    <t>96f439b2-3dcd-2101-4009-4ec4bed146d2</t>
  </si>
  <si>
    <t>96f439b2-3dcd-2102-4009-4ec4bed146d2</t>
  </si>
  <si>
    <t>96f439b2-3dcd-2103-4009-4ec4bed146d2</t>
  </si>
  <si>
    <t>96f439b2-3dcd-2101-4044-4ec4bed146d2</t>
  </si>
  <si>
    <t>96f439b2-3dcd-2102-4044-4ec4bed146d2</t>
  </si>
  <si>
    <t>96f439b2-3dcd-2103-4044-4ec4bed146d2</t>
  </si>
  <si>
    <t>96f439b2-3dcd-2101-4011-4ec4bed146d2</t>
  </si>
  <si>
    <t>96f439b2-3dcd-2102-4011-4ec4bed146d2</t>
  </si>
  <si>
    <t>96f439b2-3dcd-2103-4011-4ec4bed146d2</t>
  </si>
  <si>
    <t>96f439b2-3dcd-2101-4013-4ec4bed146d2</t>
  </si>
  <si>
    <t>96f439b2-3dcd-2102-4013-4ec4bed146d2</t>
  </si>
  <si>
    <t>96f439b2-3dcd-2103-4013-4ec4bed146d2</t>
  </si>
  <si>
    <t>96f439b2-3dcd-2201-4002-4ec4bed146d2</t>
  </si>
  <si>
    <t>96f439b2-3dcd-2201-4005-4ec4bed146d2</t>
  </si>
  <si>
    <t>96f439b2-3dcd-2201-4007-4ec4bed146d2</t>
  </si>
  <si>
    <t>96f439b2-3dcd-2201-4004-4ec4bed146d2</t>
  </si>
  <si>
    <t>96f439b2-3dcd-2202-4004-4ec4bed146d2</t>
  </si>
  <si>
    <t>96f439b2-3dcd-2203-4004-4ec4bed146d2</t>
  </si>
  <si>
    <t>96f439b2-3dcd-2201-4009-4ec4bed146d2</t>
  </si>
  <si>
    <t>96f439b2-3dcd-2202-4009-4ec4bed146d2</t>
  </si>
  <si>
    <t>96f439b2-3dcd-2203-4009-4ec4bed146d2</t>
  </si>
  <si>
    <t>96f439b2-3dcd-2201-4044-4ec4bed146d2</t>
  </si>
  <si>
    <t>96f439b2-3dcd-2202-4044-4ec4bed146d2</t>
  </si>
  <si>
    <t>96f439b2-3dcd-2203-4044-4ec4bed146d2</t>
  </si>
  <si>
    <t>96f439b2-3dcd-2201-4011-4ec4bed146d2</t>
  </si>
  <si>
    <t>96f439b2-3dcd-2202-4011-4ec4bed146d2</t>
  </si>
  <si>
    <t>96f439b2-3dcd-2203-4011-4ec4bed146d2</t>
  </si>
  <si>
    <t>96f439b2-3dcd-2201-4013-4ec4bed146d2</t>
  </si>
  <si>
    <t>96f439b2-3dcd-2202-4013-4ec4bed146d2</t>
  </si>
  <si>
    <t>96f439b2-3dcd-2203-4013-4ec4bed146d2</t>
  </si>
  <si>
    <t>96f439b2-3dcd-2301-4002-4ec4bed146d2</t>
  </si>
  <si>
    <t>96f439b2-3dcd-2301-4005-4ec4bed146d2</t>
  </si>
  <si>
    <t>96f439b2-3dcd-2301-4007-4ec4bed146d2</t>
  </si>
  <si>
    <t>96f439b2-3dcd-2301-4004-4ec4bed146d2</t>
  </si>
  <si>
    <t>96f439b2-3dcd-2302-4004-4ec4bed146d2</t>
  </si>
  <si>
    <t>96f439b2-3dcd-2303-4004-4ec4bed146d2</t>
  </si>
  <si>
    <t>96f439b2-3dcd-2301-4009-4ec4bed146d2</t>
  </si>
  <si>
    <t>96f439b2-3dcd-2302-4009-4ec4bed146d2</t>
  </si>
  <si>
    <t>96f439b2-3dcd-2303-4009-4ec4bed146d2</t>
  </si>
  <si>
    <t>96f439b2-3dcd-2301-4044-4ec4bed146d2</t>
  </si>
  <si>
    <t>96f439b2-3dcd-2302-4044-4ec4bed146d2</t>
  </si>
  <si>
    <t>96f439b2-3dcd-2303-4044-4ec4bed146d2</t>
  </si>
  <si>
    <t>96f439b2-3dcd-2301-4011-4ec4bed146d2</t>
  </si>
  <si>
    <t>96f439b2-3dcd-2302-4011-4ec4bed146d2</t>
  </si>
  <si>
    <t>96f439b2-3dcd-2303-4011-4ec4bed146d2</t>
  </si>
  <si>
    <t>96f439b2-3dcd-2301-4013-4ec4bed146d2</t>
  </si>
  <si>
    <t>96f439b2-3dcd-2302-4013-4ec4bed146d2</t>
  </si>
  <si>
    <t>96f439b2-3dcd-2303-4013-4ec4bed146d2</t>
  </si>
  <si>
    <t>96f439b2-3dcd-2401-4002-4ec4bed146d2</t>
  </si>
  <si>
    <t>96f439b2-3dcd-2401-4005-4ec4bed146d2</t>
  </si>
  <si>
    <t>96f439b2-3dcd-2401-4007-4ec4bed146d2</t>
  </si>
  <si>
    <t>96f439b2-3dcd-2401-4004-4ec4bed146d2</t>
  </si>
  <si>
    <t>96f439b2-3dcd-2402-4004-4ec4bed146d2</t>
  </si>
  <si>
    <t>96f439b2-3dcd-2403-4004-4ec4bed146d2</t>
  </si>
  <si>
    <t>96f439b2-3dcd-2401-4009-4ec4bed146d2</t>
  </si>
  <si>
    <t>96f439b2-3dcd-2402-4009-4ec4bed146d2</t>
  </si>
  <si>
    <t>96f439b2-3dcd-2403-4009-4ec4bed146d2</t>
  </si>
  <si>
    <t>96f439b2-3dcd-2401-4044-4ec4bed146d2</t>
  </si>
  <si>
    <t>96f439b2-3dcd-2402-4044-4ec4bed146d2</t>
  </si>
  <si>
    <t>96f439b2-3dcd-2403-4044-4ec4bed146d2</t>
  </si>
  <si>
    <t>96f439b2-3dcd-2401-4011-4ec4bed146d2</t>
  </si>
  <si>
    <t>96f439b2-3dcd-2402-4011-4ec4bed146d2</t>
  </si>
  <si>
    <t>96f439b2-3dcd-2403-4011-4ec4bed146d2</t>
  </si>
  <si>
    <t>96f439b2-3dcd-2401-4013-4ec4bed146d2</t>
  </si>
  <si>
    <t>96f439b2-3dcd-2402-4013-4ec4bed146d2</t>
  </si>
  <si>
    <t>96f439b2-3dcd-2403-4013-4ec4bed146d2</t>
  </si>
  <si>
    <t>96f439b2-3dcd-2501-4002-4ec4bed146d2</t>
  </si>
  <si>
    <t>96f439b2-3dcd-2501-4005-4ec4bed146d2</t>
  </si>
  <si>
    <t>96f439b2-3dcd-2501-4007-4ec4bed146d2</t>
  </si>
  <si>
    <t>96f439b2-3dcd-2501-4004-4ec4bed146d2</t>
  </si>
  <si>
    <t>96f439b2-3dcd-2502-4004-4ec4bed146d2</t>
  </si>
  <si>
    <t>96f439b2-3dcd-2503-4004-4ec4bed146d2</t>
  </si>
  <si>
    <t>96f439b2-3dcd-2501-4009-4ec4bed146d2</t>
  </si>
  <si>
    <t>96f439b2-3dcd-2502-4009-4ec4bed146d2</t>
  </si>
  <si>
    <t>96f439b2-3dcd-2503-4009-4ec4bed146d2</t>
  </si>
  <si>
    <t>96f439b2-3dcd-2501-4044-4ec4bed146d2</t>
  </si>
  <si>
    <t>96f439b2-3dcd-2502-4044-4ec4bed146d2</t>
  </si>
  <si>
    <t>96f439b2-3dcd-2503-4044-4ec4bed146d2</t>
  </si>
  <si>
    <t>96f439b2-3dcd-2501-4011-4ec4bed146d2</t>
  </si>
  <si>
    <t>96f439b2-3dcd-2502-4011-4ec4bed146d2</t>
  </si>
  <si>
    <t>96f439b2-3dcd-2503-4011-4ec4bed146d2</t>
  </si>
  <si>
    <t>96f439b2-3dcd-2501-4013-4ec4bed146d2</t>
  </si>
  <si>
    <t>96f439b2-3dcd-2502-4013-4ec4bed146d2</t>
  </si>
  <si>
    <t>96f439b2-3dcd-2503-4013-4ec4bed146d2</t>
  </si>
  <si>
    <t>96f439b2-3dcd-2601-4002-4ec4bed146d2</t>
  </si>
  <si>
    <t>96f439b2-3dcd-2601-4005-4ec4bed146d2</t>
  </si>
  <si>
    <t>96f439b2-3dcd-2601-4007-4ec4bed146d2</t>
  </si>
  <si>
    <t>96f439b2-3dcd-2601-4004-4ec4bed146d2</t>
  </si>
  <si>
    <t>96f439b2-3dcd-2602-4004-4ec4bed146d2</t>
  </si>
  <si>
    <t>96f439b2-3dcd-2603-4004-4ec4bed146d2</t>
  </si>
  <si>
    <t>96f439b2-3dcd-2601-4009-4ec4bed146d2</t>
  </si>
  <si>
    <t>96f439b2-3dcd-2602-4009-4ec4bed146d2</t>
  </si>
  <si>
    <t>96f439b2-3dcd-2603-4009-4ec4bed146d2</t>
  </si>
  <si>
    <t>96f439b2-3dcd-2601-4044-4ec4bed146d2</t>
  </si>
  <si>
    <t>96f439b2-3dcd-2602-4044-4ec4bed146d2</t>
  </si>
  <si>
    <t>96f439b2-3dcd-2603-4044-4ec4bed146d2</t>
  </si>
  <si>
    <t>96f439b2-3dcd-2601-4011-4ec4bed146d2</t>
  </si>
  <si>
    <t>96f439b2-3dcd-2602-4011-4ec4bed146d2</t>
  </si>
  <si>
    <t>96f439b2-3dcd-2603-4011-4ec4bed146d2</t>
  </si>
  <si>
    <t>96f439b2-3dcd-2601-4013-4ec4bed146d2</t>
  </si>
  <si>
    <t>96f439b2-3dcd-2602-4013-4ec4bed146d2</t>
  </si>
  <si>
    <t>96f439b2-3dcd-2603-4013-4ec4bed146d2</t>
  </si>
  <si>
    <t>96f439b2-3dcd-2701-4002-4ec4bed146d2</t>
  </si>
  <si>
    <t>96f439b2-3dcd-2701-4005-4ec4bed146d2</t>
  </si>
  <si>
    <t>96f439b2-3dcd-2701-4007-4ec4bed146d2</t>
  </si>
  <si>
    <t>96f439b2-3dcd-2701-4004-4ec4bed146d2</t>
  </si>
  <si>
    <t>96f439b2-3dcd-2702-4004-4ec4bed146d2</t>
  </si>
  <si>
    <t>96f439b2-3dcd-2703-4004-4ec4bed146d2</t>
  </si>
  <si>
    <t>96f439b2-3dcd-2701-4009-4ec4bed146d2</t>
  </si>
  <si>
    <t>96f439b2-3dcd-2702-4009-4ec4bed146d2</t>
  </si>
  <si>
    <t>96f439b2-3dcd-2703-4009-4ec4bed146d2</t>
  </si>
  <si>
    <t>96f439b2-3dcd-2701-4044-4ec4bed146d2</t>
  </si>
  <si>
    <t>96f439b2-3dcd-2702-4044-4ec4bed146d2</t>
  </si>
  <si>
    <t>96f439b2-3dcd-2703-4044-4ec4bed146d2</t>
  </si>
  <si>
    <t>96f439b2-3dcd-2701-4011-4ec4bed146d2</t>
  </si>
  <si>
    <t>96f439b2-3dcd-2702-4011-4ec4bed146d2</t>
  </si>
  <si>
    <t>96f439b2-3dcd-2703-4011-4ec4bed146d2</t>
  </si>
  <si>
    <t>96f439b2-3dcd-2701-4013-4ec4bed146d2</t>
  </si>
  <si>
    <t>96f439b2-3dcd-2702-4013-4ec4bed146d2</t>
  </si>
  <si>
    <t>96f439b2-3dcd-2703-4013-4ec4bed146d2</t>
  </si>
  <si>
    <t>96f439b2-3dcd-2801-4002-4ec4bed146d2</t>
  </si>
  <si>
    <t>96f439b2-3dcd-2801-4005-4ec4bed146d2</t>
  </si>
  <si>
    <t>96f439b2-3dcd-2801-4007-4ec4bed146d2</t>
  </si>
  <si>
    <t>96f439b2-3dcd-2801-4004-4ec4bed146d2</t>
  </si>
  <si>
    <t>96f439b2-3dcd-2802-4004-4ec4bed146d2</t>
  </si>
  <si>
    <t>96f439b2-3dcd-2803-4004-4ec4bed146d2</t>
  </si>
  <si>
    <t>96f439b2-3dcd-2801-4009-4ec4bed146d2</t>
  </si>
  <si>
    <t>96f439b2-3dcd-2802-4009-4ec4bed146d2</t>
  </si>
  <si>
    <t>96f439b2-3dcd-2803-4009-4ec4bed146d2</t>
  </si>
  <si>
    <t>96f439b2-3dcd-2801-4044-4ec4bed146d2</t>
  </si>
  <si>
    <t>96f439b2-3dcd-2802-4044-4ec4bed146d2</t>
  </si>
  <si>
    <t>96f439b2-3dcd-2803-4044-4ec4bed146d2</t>
  </si>
  <si>
    <t>96f439b2-3dcd-2801-4011-4ec4bed146d2</t>
  </si>
  <si>
    <t>96f439b2-3dcd-2802-4011-4ec4bed146d2</t>
  </si>
  <si>
    <t>96f439b2-3dcd-2803-4011-4ec4bed146d2</t>
  </si>
  <si>
    <t>96f439b2-3dcd-2801-4013-4ec4bed146d2</t>
  </si>
  <si>
    <t>96f439b2-3dcd-2802-4013-4ec4bed146d2</t>
  </si>
  <si>
    <t>96f439b2-3dcd-2803-4013-4ec4bed146d2</t>
  </si>
  <si>
    <t>96f439b2-3dcd-2901-4002-4ec4bed146d2</t>
  </si>
  <si>
    <t>96f439b2-3dcd-2901-4005-4ec4bed146d2</t>
  </si>
  <si>
    <t>96f439b2-3dcd-2901-4007-4ec4bed146d2</t>
  </si>
  <si>
    <t>96f439b2-3dcd-2901-4004-4ec4bed146d2</t>
  </si>
  <si>
    <t>96f439b2-3dcd-2902-4004-4ec4bed146d2</t>
  </si>
  <si>
    <t>96f439b2-3dcd-2903-4004-4ec4bed146d2</t>
  </si>
  <si>
    <t>96f439b2-3dcd-2901-4009-4ec4bed146d2</t>
  </si>
  <si>
    <t>96f439b2-3dcd-2902-4009-4ec4bed146d2</t>
  </si>
  <si>
    <t>96f439b2-3dcd-2903-4009-4ec4bed146d2</t>
  </si>
  <si>
    <t>96f439b2-3dcd-2901-4044-4ec4bed146d2</t>
  </si>
  <si>
    <t>96f439b2-3dcd-2902-4044-4ec4bed146d2</t>
  </si>
  <si>
    <t>96f439b2-3dcd-2903-4044-4ec4bed146d2</t>
  </si>
  <si>
    <t>96f439b2-3dcd-2901-4011-4ec4bed146d2</t>
  </si>
  <si>
    <t>96f439b2-3dcd-2902-4011-4ec4bed146d2</t>
  </si>
  <si>
    <t>96f439b2-3dcd-2903-4011-4ec4bed146d2</t>
  </si>
  <si>
    <t>96f439b2-3dcd-2901-4013-4ec4bed146d2</t>
  </si>
  <si>
    <t>96f439b2-3dcd-2902-4013-4ec4bed146d2</t>
  </si>
  <si>
    <t>96f439b2-3dcd-2903-4013-4ec4bed146d2</t>
  </si>
  <si>
    <t>96f439b2-3dcd-3001-4002-4ec4bed146d2</t>
  </si>
  <si>
    <t>96f439b2-3dcd-3001-4005-4ec4bed146d2</t>
  </si>
  <si>
    <t>96f439b2-3dcd-3001-4007-4ec4bed146d2</t>
  </si>
  <si>
    <t>96f439b2-3dcd-3001-4004-4ec4bed146d2</t>
  </si>
  <si>
    <t>96f439b2-3dcd-3002-4004-4ec4bed146d2</t>
  </si>
  <si>
    <t>96f439b2-3dcd-3003-4004-4ec4bed146d2</t>
  </si>
  <si>
    <t>96f439b2-3dcd-3001-4009-4ec4bed146d2</t>
  </si>
  <si>
    <t>96f439b2-3dcd-3002-4009-4ec4bed146d2</t>
  </si>
  <si>
    <t>96f439b2-3dcd-3003-4009-4ec4bed146d2</t>
  </si>
  <si>
    <t>96f439b2-3dcd-3001-4044-4ec4bed146d2</t>
  </si>
  <si>
    <t>96f439b2-3dcd-3002-4044-4ec4bed146d2</t>
  </si>
  <si>
    <t>96f439b2-3dcd-3003-4044-4ec4bed146d2</t>
  </si>
  <si>
    <t>96f439b2-3dcd-3001-4011-4ec4bed146d2</t>
  </si>
  <si>
    <t>96f439b2-3dcd-3002-4011-4ec4bed146d2</t>
  </si>
  <si>
    <t>96f439b2-3dcd-3003-4011-4ec4bed146d2</t>
  </si>
  <si>
    <t>96f439b2-3dcd-3001-4013-4ec4bed146d2</t>
  </si>
  <si>
    <t>96f439b2-3dcd-3002-4013-4ec4bed146d2</t>
  </si>
  <si>
    <t>96f439b2-3dcd-3003-4013-4ec4bed146d2</t>
  </si>
  <si>
    <t>96f439b2-3dcd-3101-4002-4ec4bed146d2</t>
  </si>
  <si>
    <t>96f439b2-3dcd-3101-4005-4ec4bed146d2</t>
  </si>
  <si>
    <t>96f439b2-3dcd-3101-4007-4ec4bed146d2</t>
  </si>
  <si>
    <t>96f439b2-3dcd-3101-4004-4ec4bed146d2</t>
  </si>
  <si>
    <t>96f439b2-3dcd-3102-4004-4ec4bed146d2</t>
  </si>
  <si>
    <t>96f439b2-3dcd-3103-4004-4ec4bed146d2</t>
  </si>
  <si>
    <t>96f439b2-3dcd-3101-4009-4ec4bed146d2</t>
  </si>
  <si>
    <t>96f439b2-3dcd-3102-4009-4ec4bed146d2</t>
  </si>
  <si>
    <t>96f439b2-3dcd-3103-4009-4ec4bed146d2</t>
  </si>
  <si>
    <t>96f439b2-3dcd-3101-4044-4ec4bed146d2</t>
  </si>
  <si>
    <t>96f439b2-3dcd-3102-4044-4ec4bed146d2</t>
  </si>
  <si>
    <t>96f439b2-3dcd-3103-4044-4ec4bed146d2</t>
  </si>
  <si>
    <t>96f439b2-3dcd-3101-4011-4ec4bed146d2</t>
  </si>
  <si>
    <t>96f439b2-3dcd-3102-4011-4ec4bed146d2</t>
  </si>
  <si>
    <t>96f439b2-3dcd-3103-4011-4ec4bed146d2</t>
  </si>
  <si>
    <t>96f439b2-3dcd-3101-4013-4ec4bed146d2</t>
  </si>
  <si>
    <t>96f439b2-3dcd-3102-4013-4ec4bed146d2</t>
  </si>
  <si>
    <t>96f439b2-3dcd-3103-4013-4ec4bed146d2</t>
  </si>
  <si>
    <t>96f439b2-3dcd-3201-4002-4ec4bed146d2</t>
  </si>
  <si>
    <t>96f439b2-3dcd-3201-4005-4ec4bed146d2</t>
  </si>
  <si>
    <t>96f439b2-3dcd-3201-4007-4ec4bed146d2</t>
  </si>
  <si>
    <t>96f439b2-3dcd-3201-4004-4ec4bed146d2</t>
  </si>
  <si>
    <t>96f439b2-3dcd-3202-4004-4ec4bed146d2</t>
  </si>
  <si>
    <t>96f439b2-3dcd-3203-4004-4ec4bed146d2</t>
  </si>
  <si>
    <t>96f439b2-3dcd-3201-4009-4ec4bed146d2</t>
  </si>
  <si>
    <t>96f439b2-3dcd-3202-4009-4ec4bed146d2</t>
  </si>
  <si>
    <t>96f439b2-3dcd-3203-4009-4ec4bed146d2</t>
  </si>
  <si>
    <t>96f439b2-3dcd-3201-4044-4ec4bed146d2</t>
  </si>
  <si>
    <t>96f439b2-3dcd-3202-4044-4ec4bed146d2</t>
  </si>
  <si>
    <t>96f439b2-3dcd-3203-4044-4ec4bed146d2</t>
  </si>
  <si>
    <t>96f439b2-3dcd-3201-4011-4ec4bed146d2</t>
  </si>
  <si>
    <t>96f439b2-3dcd-3202-4011-4ec4bed146d2</t>
  </si>
  <si>
    <t>96f439b2-3dcd-3203-4011-4ec4bed146d2</t>
  </si>
  <si>
    <t>96f439b2-3dcd-3201-4013-4ec4bed146d2</t>
  </si>
  <si>
    <t>96f439b2-3dcd-3202-4013-4ec4bed146d2</t>
  </si>
  <si>
    <t>96f439b2-3dcd-3203-4013-4ec4bed146d2</t>
  </si>
  <si>
    <t>96f439b2-3dcd-3301-4002-4ec4bed146d2</t>
  </si>
  <si>
    <t>96f439b2-3dcd-3301-4005-4ec4bed146d2</t>
  </si>
  <si>
    <t>96f439b2-3dcd-3301-4007-4ec4bed146d2</t>
  </si>
  <si>
    <t>96f439b2-3dcd-3301-4004-4ec4bed146d2</t>
  </si>
  <si>
    <t>96f439b2-3dcd-3302-4004-4ec4bed146d2</t>
  </si>
  <si>
    <t>96f439b2-3dcd-3303-4004-4ec4bed146d2</t>
  </si>
  <si>
    <t>96f439b2-3dcd-3301-4009-4ec4bed146d2</t>
  </si>
  <si>
    <t>96f439b2-3dcd-3302-4009-4ec4bed146d2</t>
  </si>
  <si>
    <t>96f439b2-3dcd-3303-4009-4ec4bed146d2</t>
  </si>
  <si>
    <t>96f439b2-3dcd-3301-4044-4ec4bed146d2</t>
  </si>
  <si>
    <t>96f439b2-3dcd-3302-4044-4ec4bed146d2</t>
  </si>
  <si>
    <t>96f439b2-3dcd-3303-4044-4ec4bed146d2</t>
  </si>
  <si>
    <t>96f439b2-3dcd-3301-4011-4ec4bed146d2</t>
  </si>
  <si>
    <t>96f439b2-3dcd-3302-4011-4ec4bed146d2</t>
  </si>
  <si>
    <t>96f439b2-3dcd-3303-4011-4ec4bed146d2</t>
  </si>
  <si>
    <t>96f439b2-3dcd-3301-4013-4ec4bed146d2</t>
  </si>
  <si>
    <t>96f439b2-3dcd-3302-4013-4ec4bed146d2</t>
  </si>
  <si>
    <t>96f439b2-3dcd-3303-4013-4ec4bed146d2</t>
  </si>
  <si>
    <t>96f439b2-3dcd-3401-4002-4ec4bed146d2</t>
  </si>
  <si>
    <t>96f439b2-3dcd-3402-4002-4ec4bed146d2</t>
  </si>
  <si>
    <t>96f439b2-3dcd-3401-4005-4ec4bed146d2</t>
  </si>
  <si>
    <t>96f439b2-3dcd-3402-4005-4ec4bed146d2</t>
  </si>
  <si>
    <t>96f439b2-3dcd-3401-4045-4ec4bed146d2</t>
  </si>
  <si>
    <t>96f439b2-3dcd-3401-4008-4ec4bed146d2</t>
  </si>
  <si>
    <t>96f439b2-3dcd-3401-4007-4ec4bed146d2</t>
  </si>
  <si>
    <t>96f439b2-3dcd-3401-4004-4ec4bed146d2</t>
  </si>
  <si>
    <t>96f439b2-3dcd-3402-4004-4ec4bed146d2</t>
  </si>
  <si>
    <t>96f439b2-3dcd-3403-4004-4ec4bed146d2</t>
  </si>
  <si>
    <t>96f439b2-3dcd-3401-4009-4ec4bed146d2</t>
  </si>
  <si>
    <t>96f439b2-3dcd-3402-4009-4ec4bed146d2</t>
  </si>
  <si>
    <t>96f439b2-3dcd-3403-4009-4ec4bed146d2</t>
  </si>
  <si>
    <t>96f439b2-3dcd-3401-4044-4ec4bed146d2</t>
  </si>
  <si>
    <t>96f439b2-3dcd-3402-4044-4ec4bed146d2</t>
  </si>
  <si>
    <t>96f439b2-3dcd-3403-4044-4ec4bed146d2</t>
  </si>
  <si>
    <t>96f439b2-3dcd-3401-4011-4ec4bed146d2</t>
  </si>
  <si>
    <t>96f439b2-3dcd-3402-4011-4ec4bed146d2</t>
  </si>
  <si>
    <t>96f439b2-3dcd-3401-4013-4ec4bed146d2</t>
  </si>
  <si>
    <t>96f439b2-3dcd-3402-4013-4ec4bed146d2</t>
  </si>
  <si>
    <t>96f439b2-3dcd-3501-4002-4ec4bed146d2</t>
  </si>
  <si>
    <t>96f439b2-3dcd-3502-4002-4ec4bed146d2</t>
  </si>
  <si>
    <t>96f439b2-3dcd-3503-4002-4ec4bed146d2</t>
  </si>
  <si>
    <t>96f439b2-3dcd-3501-4005-4ec4bed146d2</t>
  </si>
  <si>
    <t>96f439b2-3dcd-3502-4005-4ec4bed146d2</t>
  </si>
  <si>
    <t>96f439b2-3dcd-3503-4005-4ec4bed146d2</t>
  </si>
  <si>
    <t>96f439b2-3dcd-3501-4045-4ec4bed146d2</t>
  </si>
  <si>
    <t>96f439b2-3dcd-3502-4045-4ec4bed146d2</t>
  </si>
  <si>
    <t>96f439b2-3dcd-3501-4008-4ec4bed146d2</t>
  </si>
  <si>
    <t>96f439b2-3dcd-3502-4008-4ec4bed146d2</t>
  </si>
  <si>
    <t>96f439b2-3dcd-3501-4007-4ec4bed146d2</t>
  </si>
  <si>
    <t>96f439b2-3dcd-3502-4007-4ec4bed146d2</t>
  </si>
  <si>
    <t>96f439b2-3dcd-3501-4004-4ec4bed146d2</t>
  </si>
  <si>
    <t>96f439b2-3dcd-3502-4004-4ec4bed146d2</t>
  </si>
  <si>
    <t>96f439b2-3dcd-3501-4009-4ec4bed146d2</t>
  </si>
  <si>
    <t>96f439b2-3dcd-3502-4009-4ec4bed146d2</t>
  </si>
  <si>
    <t>96f439b2-3dcd-3501-4044-4ec4bed146d2</t>
  </si>
  <si>
    <t>96f439b2-3dcd-3502-4044-4ec4bed146d2</t>
  </si>
  <si>
    <t>96f439b2-3dcd-3501-4011-4ec4bed146d2</t>
  </si>
  <si>
    <t>96f439b2-3dcd-3501-4013-4ec4bed146d2</t>
  </si>
  <si>
    <t>96f439b2-3dcd-3601-4002-4ec4bed146d2</t>
  </si>
  <si>
    <t>96f439b2-3dcd-3602-4002-4ec4bed146d2</t>
  </si>
  <si>
    <t>96f439b2-3dcd-3603-4002-4ec4bed146d2</t>
  </si>
  <si>
    <t>96f439b2-3dcd-3601-4005-4ec4bed146d2</t>
  </si>
  <si>
    <t>96f439b2-3dcd-3602-4005-4ec4bed146d2</t>
  </si>
  <si>
    <t>96f439b2-3dcd-3603-4005-4ec4bed146d2</t>
  </si>
  <si>
    <t>96f439b2-3dcd-3601-4045-4ec4bed146d2</t>
  </si>
  <si>
    <t>96f439b2-3dcd-3602-4045-4ec4bed146d2</t>
  </si>
  <si>
    <t>96f439b2-3dcd-3601-4008-4ec4bed146d2</t>
  </si>
  <si>
    <t>96f439b2-3dcd-3602-4008-4ec4bed146d2</t>
  </si>
  <si>
    <t>96f439b2-3dcd-3601-4007-4ec4bed146d2</t>
  </si>
  <si>
    <t>96f439b2-3dcd-3602-4007-4ec4bed146d2</t>
  </si>
  <si>
    <t>96f439b2-3dcd-3601-4004-4ec4bed146d2</t>
  </si>
  <si>
    <t>96f439b2-3dcd-3602-4004-4ec4bed146d2</t>
  </si>
  <si>
    <t>96f439b2-3dcd-3601-4009-4ec4bed146d2</t>
  </si>
  <si>
    <t>96f439b2-3dcd-3602-4009-4ec4bed146d2</t>
  </si>
  <si>
    <t>96f439b2-3dcd-3601-4044-4ec4bed146d2</t>
  </si>
  <si>
    <t>96f439b2-3dcd-3602-4044-4ec4bed146d2</t>
  </si>
  <si>
    <t>96f439b2-3dcd-3601-4011-4ec4bed146d2</t>
  </si>
  <si>
    <t>96f439b2-3dcd-3601-4013-4ec4bed146d2</t>
  </si>
  <si>
    <t>96f439b2-3dcd-3701-4002-4ec4bed146d2</t>
  </si>
  <si>
    <t>96f439b2-3dcd-3702-4002-4ec4bed146d2</t>
  </si>
  <si>
    <t>96f439b2-3dcd-3703-4002-4ec4bed146d2</t>
  </si>
  <si>
    <t>96f439b2-3dcd-3701-4005-4ec4bed146d2</t>
  </si>
  <si>
    <t>96f439b2-3dcd-3702-4005-4ec4bed146d2</t>
  </si>
  <si>
    <t>96f439b2-3dcd-3703-4005-4ec4bed146d2</t>
  </si>
  <si>
    <t>96f439b2-3dcd-3701-4045-4ec4bed146d2</t>
  </si>
  <si>
    <t>96f439b2-3dcd-3702-4045-4ec4bed146d2</t>
  </si>
  <si>
    <t>96f439b2-3dcd-3701-4008-4ec4bed146d2</t>
  </si>
  <si>
    <t>96f439b2-3dcd-3702-4008-4ec4bed146d2</t>
  </si>
  <si>
    <t>96f439b2-3dcd-3701-4007-4ec4bed146d2</t>
  </si>
  <si>
    <t>96f439b2-3dcd-3702-4007-4ec4bed146d2</t>
  </si>
  <si>
    <t>96f439b2-3dcd-3701-4004-4ec4bed146d2</t>
  </si>
  <si>
    <t>96f439b2-3dcd-3702-4004-4ec4bed146d2</t>
  </si>
  <si>
    <t>96f439b2-3dcd-3701-4009-4ec4bed146d2</t>
  </si>
  <si>
    <t>96f439b2-3dcd-3702-4009-4ec4bed146d2</t>
  </si>
  <si>
    <t>96f439b2-3dcd-3701-4044-4ec4bed146d2</t>
  </si>
  <si>
    <t>96f439b2-3dcd-3702-4044-4ec4bed146d2</t>
  </si>
  <si>
    <t>96f439b2-3dcd-3701-4011-4ec4bed146d2</t>
  </si>
  <si>
    <t>96f439b2-3dcd-3701-4013-4ec4bed146d2</t>
  </si>
  <si>
    <t>96f439b2-3dcd-3801-4002-4ec4bed146d2</t>
  </si>
  <si>
    <t>96f439b2-3dcd-3802-4002-4ec4bed146d2</t>
  </si>
  <si>
    <t>96f439b2-3dcd-3803-4002-4ec4bed146d2</t>
  </si>
  <si>
    <t>96f439b2-3dcd-3801-4005-4ec4bed146d2</t>
  </si>
  <si>
    <t>96f439b2-3dcd-3802-4005-4ec4bed146d2</t>
  </si>
  <si>
    <t>96f439b2-3dcd-3803-4005-4ec4bed146d2</t>
  </si>
  <si>
    <t>96f439b2-3dcd-3801-4045-4ec4bed146d2</t>
  </si>
  <si>
    <t>96f439b2-3dcd-3802-4045-4ec4bed146d2</t>
  </si>
  <si>
    <t>96f439b2-3dcd-3801-4008-4ec4bed146d2</t>
  </si>
  <si>
    <t>96f439b2-3dcd-3802-4008-4ec4bed146d2</t>
  </si>
  <si>
    <t>96f439b2-3dcd-3801-4007-4ec4bed146d2</t>
  </si>
  <si>
    <t>96f439b2-3dcd-3802-4007-4ec4bed146d2</t>
  </si>
  <si>
    <t>96f439b2-3dcd-3801-4004-4ec4bed146d2</t>
  </si>
  <si>
    <t>96f439b2-3dcd-3802-4004-4ec4bed146d2</t>
  </si>
  <si>
    <t>96f439b2-3dcd-3801-4009-4ec4bed146d2</t>
  </si>
  <si>
    <t>96f439b2-3dcd-3802-4009-4ec4bed146d2</t>
  </si>
  <si>
    <t>96f439b2-3dcd-3801-4044-4ec4bed146d2</t>
  </si>
  <si>
    <t>96f439b2-3dcd-3802-4044-4ec4bed146d2</t>
  </si>
  <si>
    <t>96f439b2-3dcd-3801-4011-4ec4bed146d2</t>
  </si>
  <si>
    <t>96f439b2-3dcd-3801-4013-4ec4bed146d2</t>
  </si>
  <si>
    <t>96f439b2-3dcd-3901-4002-4ec4bed146d2</t>
  </si>
  <si>
    <t>96f439b2-3dcd-3902-4002-4ec4bed146d2</t>
  </si>
  <si>
    <t>96f439b2-3dcd-3901-4005-4ec4bed146d2</t>
  </si>
  <si>
    <t>96f439b2-3dcd-3902-4005-4ec4bed146d2</t>
  </si>
  <si>
    <t>96f439b2-3dcd-3901-4045-4ec4bed146d2</t>
  </si>
  <si>
    <t>96f439b2-3dcd-3901-4008-4ec4bed146d2</t>
  </si>
  <si>
    <t>96f439b2-3dcd-3901-4007-4ec4bed146d2</t>
  </si>
  <si>
    <t>96f439b2-3dcd-3901-4004-4ec4bed146d2</t>
  </si>
  <si>
    <t>96f439b2-3dcd-3902-4004-4ec4bed146d2</t>
  </si>
  <si>
    <t>96f439b2-3dcd-3903-4004-4ec4bed146d2</t>
  </si>
  <si>
    <t>96f439b2-3dcd-3901-4009-4ec4bed146d2</t>
  </si>
  <si>
    <t>96f439b2-3dcd-3902-4009-4ec4bed146d2</t>
  </si>
  <si>
    <t>96f439b2-3dcd-3903-4009-4ec4bed146d2</t>
  </si>
  <si>
    <t>96f439b2-3dcd-3901-4044-4ec4bed146d2</t>
  </si>
  <si>
    <t>96f439b2-3dcd-3902-4044-4ec4bed146d2</t>
  </si>
  <si>
    <t>96f439b2-3dcd-3903-4044-4ec4bed146d2</t>
  </si>
  <si>
    <t>96f439b2-3dcd-3901-4011-4ec4bed146d2</t>
  </si>
  <si>
    <t>96f439b2-3dcd-3902-4011-4ec4bed146d2</t>
  </si>
  <si>
    <t>96f439b2-3dcd-3901-4013-4ec4bed146d2</t>
  </si>
  <si>
    <t>96f439b2-3dcd-3902-4013-4ec4bed146d2</t>
  </si>
  <si>
    <t>96f439b2-3dcd-4001-4002-4ec4bed146d2</t>
  </si>
  <si>
    <t>96f439b2-3dcd-4001-4005-4ec4bed146d2</t>
  </si>
  <si>
    <t>96f439b2-3dcd-4001-4007-4ec4bed146d2</t>
  </si>
  <si>
    <t>96f439b2-3dcd-4001-4004-4ec4bed146d2</t>
  </si>
  <si>
    <t>96f439b2-3dcd-4002-4004-4ec4bed146d2</t>
  </si>
  <si>
    <t>96f439b2-3dcd-4003-4004-4ec4bed146d2</t>
  </si>
  <si>
    <t>96f439b2-3dcd-4001-4009-4ec4bed146d2</t>
  </si>
  <si>
    <t>96f439b2-3dcd-4002-4009-4ec4bed146d2</t>
  </si>
  <si>
    <t>96f439b2-3dcd-4003-4009-4ec4bed146d2</t>
  </si>
  <si>
    <t>96f439b2-3dcd-4001-4044-4ec4bed146d2</t>
  </si>
  <si>
    <t>96f439b2-3dcd-4002-4044-4ec4bed146d2</t>
  </si>
  <si>
    <t>96f439b2-3dcd-4003-4044-4ec4bed146d2</t>
  </si>
  <si>
    <t>96f439b2-3dcd-4001-4011-4ec4bed146d2</t>
  </si>
  <si>
    <t>96f439b2-3dcd-4002-4011-4ec4bed146d2</t>
  </si>
  <si>
    <t>96f439b2-3dcd-4003-4011-4ec4bed146d2</t>
  </si>
  <si>
    <t>96f439b2-3dcd-4001-4013-4ec4bed146d2</t>
  </si>
  <si>
    <t>96f439b2-3dcd-4002-4013-4ec4bed146d2</t>
  </si>
  <si>
    <t>96f439b2-3dcd-4003-4013-4ec4bed146d2</t>
  </si>
  <si>
    <t>96f439b2-3dcd-1000-4002-4ecq4bqed1q46d2</t>
  </si>
  <si>
    <t>96f439b2-3dcd-1100-4002-4eqwc4bed1q46d2</t>
  </si>
  <si>
    <t>96f439b2-3dcd-1200-4002-4eceq4bed1q46d2</t>
  </si>
  <si>
    <t>96f439b2-3dcd-1300-4002-4erc4rbed14q6d2</t>
  </si>
  <si>
    <t>96f439b2-3dcd-1000-4005-4ecq4betdt146d2</t>
  </si>
  <si>
    <t>96f439b2-3dcd-1000-4007-4ec4bedf1qh46d2</t>
  </si>
  <si>
    <t>96f439b2-3dcd-1000-4004-4ec4gqbedg146d2</t>
  </si>
  <si>
    <t>96f439b2-3dcd-1100-4004-4ec4bedch146dq2</t>
  </si>
  <si>
    <t>96f439b2-3dcd-1200-4004-4ecq4bedkj146d2</t>
  </si>
  <si>
    <t>96f439b2-3dcd-1100-4005-4ec4bjked1q46d2</t>
  </si>
  <si>
    <t>96f439b2-3dcd-1200-4005-4ecf4qbedx146d2</t>
  </si>
  <si>
    <t>96f439b2-3dcd-1300-4005-4ecc4bcedq146d2</t>
  </si>
  <si>
    <t>96f439b2-3dcd-1012-4009-4ec4bvrqed146d2</t>
  </si>
  <si>
    <t>96f439b2-3dcd-1013-4009-4eqc4tbebd146d2</t>
  </si>
  <si>
    <t>96f439b2-3dcd-1014-4009-4ec4nedy146qd2</t>
  </si>
  <si>
    <t>96f439b2-3dcd-1015-4044-4ec4zbequd146d2</t>
  </si>
  <si>
    <t>96f439b2-3dcd-1016-4044-4eqcx4bedi146d2</t>
  </si>
  <si>
    <t>96f439b2-3dcd-1017-4044-4ec4bqed1oc46d2</t>
  </si>
  <si>
    <t>96f439b2-3dcd-1018-4045-4ecv4bed1qo46d2</t>
  </si>
  <si>
    <t>96f439b2-3dcd-1019-4045-4ec4bqednp146d2</t>
  </si>
  <si>
    <t>96f439b2-3dcd-1020-4011-4ec4baed1iq46d2</t>
  </si>
  <si>
    <t>96f439b2-3dcd-1021-4011-4ec4qubsed146d2</t>
  </si>
  <si>
    <t>96f439b2-3dcd-1022-4011-4ec4ybedd14q6d2</t>
  </si>
  <si>
    <t>96f439b2-3dcd-1023-4013-4ec4tqfbed146d2</t>
  </si>
  <si>
    <t>96f439b2-3dcd-1024-4013-4ec4byegdq146d2</t>
  </si>
  <si>
    <t>96f439b2-3dcd-1025-4013-4ec4beuhdq146d2</t>
  </si>
  <si>
    <t>96f439b2-3dcd-4200-2300-4ec4bed146d2</t>
  </si>
  <si>
    <t>96f439b2-3dcd-4201-2301-4ec4bed146d2</t>
  </si>
  <si>
    <t>96f439b2-3dcd-4202-2302-4ec4bed146d2</t>
  </si>
  <si>
    <t>96f439b2-3dcd-4203-2303-4ec4bed146d2</t>
  </si>
  <si>
    <t>96f439b2-3dcd-4204-2303-4ec4bed146d2</t>
  </si>
  <si>
    <t>96f439b2-3dcd-4205-2303-4ec4bed146d2</t>
  </si>
  <si>
    <t>96f439b2-3dcd-4206-2304-4ec4bed146d2</t>
  </si>
  <si>
    <t>96f439b2-3dcd-4207-2304-4ec4bed146d2</t>
  </si>
  <si>
    <t>96f439b2-3dcd-4208-2304-4ec4bed146d2</t>
  </si>
  <si>
    <t>96f439b2-3dcd-4209-2305-4ec4bed146d2</t>
  </si>
  <si>
    <t>96f439b2-3dcd-4210-2305-4ec4bed146d2</t>
  </si>
  <si>
    <t>96f439b2-3dcd-4211-2305-4ec4bed146d2</t>
  </si>
  <si>
    <t>96f439b2-3dcd-4212-2306-4ec4bed146d2</t>
  </si>
  <si>
    <t>96f439b2-3dcd-4213-2306-4ec4bed146d2</t>
  </si>
  <si>
    <t>96f439b2-3dcd-4214-2306-4ec4bed146d2</t>
  </si>
  <si>
    <t>96f439b2-3dcd-4215-2307-4ec4bed146d2</t>
  </si>
  <si>
    <t>96f439b2-3dcd-4216-2307-4ec4bed146d2</t>
  </si>
  <si>
    <t>96f439b2-3dcd-4217-2307-4ec4bed146d2</t>
  </si>
  <si>
    <t>96f439b2-3dcd-4300-2300-4ec4bed146d2</t>
  </si>
  <si>
    <t>96f439b2-3dcd-4301-2300-4ec4bed146d2</t>
  </si>
  <si>
    <t>96f439b2-3dcd-4302-2301-4ec4bed146d2</t>
  </si>
  <si>
    <t>96f439b2-3dcd-4303-2301-4ec4bed146d2</t>
  </si>
  <si>
    <t>96f439b2-3dcd-4304-2309-4ec4bed146d2</t>
  </si>
  <si>
    <t>96f439b2-3dcd-4305-2308-4ec4bed146d2</t>
  </si>
  <si>
    <t>96f439b2-3dcd-4306-2302-4ec4bed146d2</t>
  </si>
  <si>
    <t>96f439b2-3dcd-4307-2303-4ec4bed146d2</t>
  </si>
  <si>
    <t>96f439b2-3dcd-4308-2303-4ec4bed146d2</t>
  </si>
  <si>
    <t>96f439b2-3dcd-4309-2303-4ec4bed146d2</t>
  </si>
  <si>
    <t>96f439b2-3dcd-4310-2304-4ec4bed146d2</t>
  </si>
  <si>
    <t>96f439b2-3dcd-4311-2304-4ec4bed146d2</t>
  </si>
  <si>
    <t>96f439b2-3dcd-4312-2304-4ec4bed146d2</t>
  </si>
  <si>
    <t>96f439b2-3dcd-4313-2305-4ec4bed146d2</t>
  </si>
  <si>
    <t>96f439b2-3dcd-4314-2305-4ec4bed146d2</t>
  </si>
  <si>
    <t>96f439b2-3dcd-4315-2305-4ec4bed146d2</t>
  </si>
  <si>
    <t>96f439b2-3dcd-4316-2306-4ec4bed146d2</t>
  </si>
  <si>
    <t>96f439b2-3dcd-4317-2306-4ec4bed146d2</t>
  </si>
  <si>
    <t>96f439b2-3dcd-4318-2307-4ec4bed146d2</t>
  </si>
  <si>
    <t>96f439b2-3dcd-4319-2307-4ec4bed146d2</t>
  </si>
  <si>
    <t>96f439b2-3dcd-4400-2300-4ec4bed146d2</t>
  </si>
  <si>
    <t>96f439b2-3dcd-4401-2300-4ec4bed146d2</t>
  </si>
  <si>
    <t>96f439b2-3dcd-4402-2301-4ec4bed146d2</t>
  </si>
  <si>
    <t>96f439b2-3dcd-4403-2301-4ec4bed146d2</t>
  </si>
  <si>
    <t>96f439b2-3dcd-4404-2309-4ec4bed146d2</t>
  </si>
  <si>
    <t>96f439b2-3dcd-4405-2308-4ec4bed146d2</t>
  </si>
  <si>
    <t>96f439b2-3dcd-4406-2302-4ec4bed146d2</t>
  </si>
  <si>
    <t>96f439b2-3dcd-4407-2303-4ec4bed146d2</t>
  </si>
  <si>
    <t>96f439b2-3dcd-4408-2303-4ec4bed146d2</t>
  </si>
  <si>
    <t>96f439b2-3dcd-4409-2303-4ec4bed146d2</t>
  </si>
  <si>
    <t>96f439b2-3dcd-4410-2304-4ec4bed146d2</t>
  </si>
  <si>
    <t>96f439b2-3dcd-4411-2304-4ec4bed146d2</t>
  </si>
  <si>
    <t>96f439b2-3dcd-4412-2304-4ec4bed146d2</t>
  </si>
  <si>
    <t>96f439b2-3dcd-4413-2305-4ec4bed146d2</t>
  </si>
  <si>
    <t>96f439b2-3dcd-4414-2305-4ec4bed146d2</t>
  </si>
  <si>
    <t>96f439b2-3dcd-4415-2305-4ec4bed146d2</t>
  </si>
  <si>
    <t>96f439b2-3dcd-4416-2306-4ec4bed146d2</t>
  </si>
  <si>
    <t>96f439b2-3dcd-4417-2306-4ec4bed146d2</t>
  </si>
  <si>
    <t>96f439b2-3dcd-4418-2307-4ec4bed146d2</t>
  </si>
  <si>
    <t>96f439b2-3dcd-4419-2307-4ec4bed146d2</t>
  </si>
  <si>
    <t>96f439b2-3dcd-4500-2300-4ec4bed146d2</t>
  </si>
  <si>
    <t>96f439b2-3dcd-4501-2300-4ec4bed146d2</t>
  </si>
  <si>
    <t>96f439b2-3dcd-4502-2301-4ec4bed146d2</t>
  </si>
  <si>
    <t>96f439b2-3dcd-4503-2301-4ec4bed146d2</t>
  </si>
  <si>
    <t>96f439b2-3dcd-4504-2309-4ec4bed146d2</t>
  </si>
  <si>
    <t>96f439b2-3dcd-4505-2308-4ec4bed146d2</t>
  </si>
  <si>
    <t>96f439b2-3dcd-4506-2302-4ec4bed146d2</t>
  </si>
  <si>
    <t>96f439b2-3dcd-4507-2303-4ec4bed146d2</t>
  </si>
  <si>
    <t>96f439b2-3dcd-4508-2303-4ec4bed146d2</t>
  </si>
  <si>
    <t>96f439b2-3dcd-4509-2303-4ec4bed146d2</t>
  </si>
  <si>
    <t>96f439b2-3dcd-4510-2304-4ec4bed146d2</t>
  </si>
  <si>
    <t>96f439b2-3dcd-4511-2304-4ec4bed146d2</t>
  </si>
  <si>
    <t>96f439b2-3dcd-4512-2304-4ec4bed146d2</t>
  </si>
  <si>
    <t>96f439b2-3dcd-4513-2305-4ec4bed146d2</t>
  </si>
  <si>
    <t>96f439b2-3dcd-4514-2305-4ec4bed146d2</t>
  </si>
  <si>
    <t>96f439b2-3dcd-4515-2305-4ec4bed146d2</t>
  </si>
  <si>
    <t>96f439b2-3dcd-4516-2306-4ec4bed146d2</t>
  </si>
  <si>
    <t>96f439b2-3dcd-4517-2306-4ec4bed146d2</t>
  </si>
  <si>
    <t>96f439b2-3dcd-4518-2307-4ec4bed146d2</t>
  </si>
  <si>
    <t>96f439b2-3dcd-4519-2307-4ec4bed146d2</t>
  </si>
  <si>
    <t>96f439b2-3dcd-4600-2300-4ec4bed146d2</t>
  </si>
  <si>
    <t>96f439b2-3dcd-4601-2300-4ec4bed146d2</t>
  </si>
  <si>
    <t>96f439b2-3dcd-4602-2301-4ec4bed146d2</t>
  </si>
  <si>
    <t>96f439b2-3dcd-4603-2301-4ec4bed146d2</t>
  </si>
  <si>
    <t>96f439b2-3dcd-4604-2309-4ec4bed146d2</t>
  </si>
  <si>
    <t>96f439b2-3dcd-4605-2308-4ec4bed146d2</t>
  </si>
  <si>
    <t>96f439b2-3dcd-4606-2302-4ec4bed146d2</t>
  </si>
  <si>
    <t>96f439b2-3dcd-4607-2303-4ec4bed146d2</t>
  </si>
  <si>
    <t>96f439b2-3dcd-4608-2303-4ec4bed146d2</t>
  </si>
  <si>
    <t>96f439b2-3dcd-4609-2303-4ec4bed146d2</t>
  </si>
  <si>
    <t>96f439b2-3dcd-4610-2304-4ec4bed146d2</t>
  </si>
  <si>
    <t>96f439b2-3dcd-4611-2304-4ec4bed146d2</t>
  </si>
  <si>
    <t>96f439b2-3dcd-4612-2304-4ec4bed146d2</t>
  </si>
  <si>
    <t>96f439b2-3dcd-4613-2305-4ec4bed146d2</t>
  </si>
  <si>
    <t>96f439b2-3dcd-4614-2305-4ec4bed146d2</t>
  </si>
  <si>
    <t>96f439b2-3dcd-4615-2305-4ec4bed146d2</t>
  </si>
  <si>
    <t>96f439b2-3dcd-4616-2306-4ec4bed146d2</t>
  </si>
  <si>
    <t>96f439b2-3dcd-4617-2306-4ec4bed146d2</t>
  </si>
  <si>
    <t>96f439b2-3dcd-4618-2307-4ec4bed146d2</t>
  </si>
  <si>
    <t>96f439b2-3dcd-4619-2307-4ec4bed146d2</t>
  </si>
  <si>
    <t>96f439b2-3dcd-4700-2300-4ec4bed146d2</t>
  </si>
  <si>
    <t>96f439b2-3dcd-4701-2300-4ec4bed146d2</t>
  </si>
  <si>
    <t>96f439b2-3dcd-4702-2301-4ec4bed146d2</t>
  </si>
  <si>
    <t>96f439b2-3dcd-4703-2301-4ec4bed146d2</t>
  </si>
  <si>
    <t>96f439b2-3dcd-4704-2309-4ec4bed146d2</t>
  </si>
  <si>
    <t>96f439b2-3dcd-4705-2308-4ec4bed146d2</t>
  </si>
  <si>
    <t>96f439b2-3dcd-4706-2302-4ec4bed146d2</t>
  </si>
  <si>
    <t>96f439b2-3dcd-4707-2303-4ec4bed146d2</t>
  </si>
  <si>
    <t>96f439b2-3dcd-4708-2303-4ec4bed146d2</t>
  </si>
  <si>
    <t>96f439b2-3dcd-4709-2303-4ec4bed146d2</t>
  </si>
  <si>
    <t>96f439b2-3dcd-4710-2304-4ec4bed146d2</t>
  </si>
  <si>
    <t>96f439b2-3dcd-4711-2304-4ec4bed146d2</t>
  </si>
  <si>
    <t>96f439b2-3dcd-4712-2304-4ec4bed146d2</t>
  </si>
  <si>
    <t>96f439b2-3dcd-4713-2305-4ec4bed146d2</t>
  </si>
  <si>
    <t>96f439b2-3dcd-4714-2305-4ec4bed146d2</t>
  </si>
  <si>
    <t>96f439b2-3dcd-4715-2305-4ec4bed146d2</t>
  </si>
  <si>
    <t>96f439b2-3dcd-4716-2306-4ec4bed146d2</t>
  </si>
  <si>
    <t>96f439b2-3dcd-4717-2306-4ec4bed146d2</t>
  </si>
  <si>
    <t>96f439b2-3dcd-4718-2307-4ec4bed146d2</t>
  </si>
  <si>
    <t>96f439b2-3dcd-4719-2307-4ec4bed146d2</t>
  </si>
  <si>
    <t>96f439b2-3dcd-1000-4002-4ec4bqqed1q46d2</t>
  </si>
  <si>
    <t>96f439b2-3dcd-1100-4002-4eqc4bewd1q46d2</t>
  </si>
  <si>
    <t>96f439b2-3dcd-1200-4002-4ecq4ebed1q46d2</t>
  </si>
  <si>
    <t>96f439b2-3dcd-1300-4002-4erc4bred14q6d2</t>
  </si>
  <si>
    <t>96f439b2-3dcd-1000-4005-4ecq4tbedt146d2</t>
  </si>
  <si>
    <t>96f439b2-3dcd-1000-4007-4ec4bedy1qh46d2</t>
  </si>
  <si>
    <t>96f439b2-3dcd-1000-4004-4ec4gqbeud146d2</t>
  </si>
  <si>
    <t>96f439b2-3dcd-1100-4004-4ec4bedci146dq2</t>
  </si>
  <si>
    <t>96f439b2-3dcd-1200-4004-4ecq4beodk146d2</t>
  </si>
  <si>
    <t>96f439b2-3dcd-1100-4005-4ec4bjedp1q46d2</t>
  </si>
  <si>
    <t>96f439b2-3dcd-1200-4005-4ec4aqbedx146d2</t>
  </si>
  <si>
    <t>96f439b2-3dcd-1300-4005-4ec4bcsedq146d2</t>
  </si>
  <si>
    <t>96f439b2-3dcd-1012-4009-4ec4bdrqed146d2</t>
  </si>
  <si>
    <t>96f439b2-3dcd-1013-4009-4eqc4tbfed146d2</t>
  </si>
  <si>
    <t>96f439b2-3dcd-1014-4009-4ec4bedgy146qd2</t>
  </si>
  <si>
    <t>96f439b2-3dcd-1015-4044-4ec4beqhud146d2</t>
  </si>
  <si>
    <t>96f439b2-3dcd-1016-4044-4eqc4bedji146d2</t>
  </si>
  <si>
    <t>96f439b2-3dcd-1017-4044-4ec4bqedk1o46d2</t>
  </si>
  <si>
    <t>96f439b2-3dcd-1018-4045-4ec4lbed1qo46d2</t>
  </si>
  <si>
    <t>96f439b2-3dcd-1019-4045-4ecz4bqedp146d2</t>
  </si>
  <si>
    <t>96f439b2-3dcd-1020-4011-4ec4baxed1q46d2</t>
  </si>
  <si>
    <t>96f439b2-3dcd-1021-4011-4ec4qbcsed146d2</t>
  </si>
  <si>
    <t>96f439b2-3dcd-1022-4011-4ec4bevdd14q6d2</t>
  </si>
  <si>
    <t>96f439b2-3dcd-1023-4013-4ec4qfbbed146d2</t>
  </si>
  <si>
    <t>96f439b2-3dcd-1024-4013-4ec4begdqn146d2</t>
  </si>
  <si>
    <t>96f439b2-3dcd-1025-4013-4ec4bmehdq146d2</t>
  </si>
  <si>
    <t>96f439b2-3dcd-1000-4002-4ec4bqed146d2</t>
  </si>
  <si>
    <t>96f439b2-3dcd-1100-4002-4ec4bed1q46d2</t>
  </si>
  <si>
    <t>96f439b2-3dcd-1200-4002-4ecq4bed146d2</t>
  </si>
  <si>
    <t>96f439b2-3dcd-1300-4002-4ec4bed14q6d2</t>
  </si>
  <si>
    <t>96f439b2-3dcd-1000-4005-4ecq4bed146d2</t>
  </si>
  <si>
    <t>96f439b2-3dcd-1000-4007-4ec4bed1q46d2</t>
  </si>
  <si>
    <t>96f439b2-3dcd-1000-4004-4ec4qbed146d2</t>
  </si>
  <si>
    <t>96f439b2-3dcd-1100-4004-4ec4bed146dq2</t>
  </si>
  <si>
    <t>96f439b2-3dcd-1200-4004-4ecq4bed146d2</t>
  </si>
  <si>
    <t>96f439b2-3dcd-1100-4005-4ec4bed1q46d2</t>
  </si>
  <si>
    <t>96f439b2-3dcd-1200-4005-4ec4qbed146d2</t>
  </si>
  <si>
    <t>96f439b2-3dcd-1300-4005-4ec4bedq146d2</t>
  </si>
  <si>
    <t>96f439b2-3dcd-1012-4009-4ec4bqed146d2</t>
  </si>
  <si>
    <t>96f439b2-3dcd-1013-4009-4eqc4bed146d2</t>
  </si>
  <si>
    <t>96f439b2-3dcd-1014-4009-4ec4bed146qd2</t>
  </si>
  <si>
    <t>96f439b2-3dcd-1015-4044-4ec4beqd146d2</t>
  </si>
  <si>
    <t>96f439b2-3dcd-1016-4044-4eqc4bed146d2</t>
  </si>
  <si>
    <t>96f439b2-3dcd-1017-4044-4ec4bqed146d2</t>
  </si>
  <si>
    <t>96f439b2-3dcd-1018-4045-4ec4bed1q46d2</t>
  </si>
  <si>
    <t>96f439b2-3dcd-1019-4045-4ec4bqed146d2</t>
  </si>
  <si>
    <t>96f439b2-3dcd-1020-4011-4ec4bed1q46d2</t>
  </si>
  <si>
    <t>96f439b2-3dcd-1021-4011-4ec4qbed146d2</t>
  </si>
  <si>
    <t>96f439b2-3dcd-1022-4011-4ec4bed14q6d2</t>
  </si>
  <si>
    <t>96f439b2-3dcd-1023-4013-4ec4qbed146d2</t>
  </si>
  <si>
    <t>96f439b2-3dcd-1024-4013-4ec4bedq146d2</t>
  </si>
  <si>
    <t>96f439b2-3dcd-1025-4013-4ec4bedq146d2</t>
  </si>
  <si>
    <t>96f439b2-3dcd-1026-4002-4eqc4bed146d2</t>
  </si>
  <si>
    <t>96f439b2-3dcd-1027-4002-4ec4bedq146d2</t>
  </si>
  <si>
    <t>96f439b2-3dcd-1028-4002-4ec4bed14q6d2</t>
  </si>
  <si>
    <t>96f439b2-3dcd-1029-4002-4ec4qbed146d2</t>
  </si>
  <si>
    <t>96f439b2-3dcd-1030-4005-4ec4bedq146d2</t>
  </si>
  <si>
    <t>96f439b2-3dcd-1031-4007-4ec4qbed146d2</t>
  </si>
  <si>
    <t>96f439b2-3dcd-1032-4004-4ec4bed1q46d2</t>
  </si>
  <si>
    <t>96f439b2-3dcd-1033-4004-4ec4bqed146d2</t>
  </si>
  <si>
    <t>96f439b2-3dcd-1034-4004-4ec4bed14q6d2</t>
  </si>
  <si>
    <t>96f439b2-3dcd-1035-4005-4ecq4bed146d2</t>
  </si>
  <si>
    <t>96f439b2-3dcd-1036-4005-4ec4qbed146d2</t>
  </si>
  <si>
    <t>96f439b2-3dcd-1037-4005-4ec4bed14q6d2</t>
  </si>
  <si>
    <t>96f439b2-3dcd-1038-4009-4ec4qbed146d2</t>
  </si>
  <si>
    <t>96f439b2-3dcd-1039-4009-4ec4bed1q46d2</t>
  </si>
  <si>
    <t>96f439b2-3dcd-1040-4009-4ec4bed146dq2</t>
  </si>
  <si>
    <t>96f439b2-3dcd-1041-4044-4qec4bed146d2</t>
  </si>
  <si>
    <t>96f439b2-3dcd-1042-4044-4ec4qbed146d2</t>
  </si>
  <si>
    <t>96f439b2-3dcd-1043-4044-4ec4beqd146d2</t>
  </si>
  <si>
    <t>96f439b2-3dcd-1044-4045-4ec4bed146dq2</t>
  </si>
  <si>
    <t>96f439b2-3dcd-1045-4045-4ec4bqed146d2</t>
  </si>
  <si>
    <t>96f439b2-3dcd-1046-4011-4eqc4bed146d2</t>
  </si>
  <si>
    <t>96f439b2-3dcd-1047-4011-4ec4bed14q6d2</t>
  </si>
  <si>
    <t>96f439b2-3dcd-1048-4011-4ec4qbed146d2</t>
  </si>
  <si>
    <t>96f439b2-3dcd-1049-4013-4ec4bqed146d2</t>
  </si>
  <si>
    <t>96f439b2-3dcd-1050-4013-4ec4bed146qd2</t>
  </si>
  <si>
    <t>96f439b2-3dcd-1051-4013-4eqc4bed146d2</t>
  </si>
  <si>
    <t>96f439b2-3dcd-1052-4002-4ec4bed146qd2</t>
  </si>
  <si>
    <t>96f439b2-3dcd-1053-4002-4ec4qbed146d2</t>
  </si>
  <si>
    <t>96f439b2-3dcd-1054-4002-4ec4bed14q6d2</t>
  </si>
  <si>
    <t>96f439b2-3dcd-1055-4002-4ec4bqed146d2</t>
  </si>
  <si>
    <t>96f439b2-3dcd-1056-4005-4ec4bed146d2</t>
  </si>
  <si>
    <t>96f439b2-3dcd-1057-4007-4ec4bed14q6d2</t>
  </si>
  <si>
    <t>96f439b2-3dcd-1058-4004-4ecq4bed146d2</t>
  </si>
  <si>
    <t>96f439b2-3dcd-1059-4004-4ec4bed1q46d2</t>
  </si>
  <si>
    <t>96f439b2-3dcd-1060-4004-4ec4bed146qd2</t>
  </si>
  <si>
    <t>96f439b2-3dcd-1061-4005-4ecq4bed146d2</t>
  </si>
  <si>
    <t>96f439b2-3dcd-1062-4005-4ec4bqed146d2</t>
  </si>
  <si>
    <t>96f439b2-3dcd-1063-4005-4ec4beqd146d2</t>
  </si>
  <si>
    <t>96f439b2-3dcd-1064-4009-4ec4bed1q46d2</t>
  </si>
  <si>
    <t>96f439b2-3dcd-1065-4009-4ec4bqed146d2</t>
  </si>
  <si>
    <t>96f439b2-3dcd-1066-4009-4eqc4bed146d2</t>
  </si>
  <si>
    <t>96f439b2-3dcd-1067-4044-4ec4bed1q46d2</t>
  </si>
  <si>
    <t>96f439b2-3dcd-1068-4044-4ec4bqed146d2</t>
  </si>
  <si>
    <t>96f439b2-3dcd-1069-4044-4ec4bed14q6d2</t>
  </si>
  <si>
    <t>96f439b2-3dcd-1070-4045-4ec4bqed146d2</t>
  </si>
  <si>
    <t>96f439b2-3dcd-1071-4045-4eqc4bed146d2</t>
  </si>
  <si>
    <t>96f439b2-3dcd-1072-4011-4ec4bed14q6d2</t>
  </si>
  <si>
    <t>96f439b2-3dcd-1073-4011-4ec4bedq146d2</t>
  </si>
  <si>
    <t>96f439b2-3dcd-1074-4011-4ec4bed146qd2</t>
  </si>
  <si>
    <t>96f439b2-3dcd-1075-4013-4ecq4bed146d2</t>
  </si>
  <si>
    <t>96f439b2-3dcd-1076-4013-4ec4bed1q46d2</t>
  </si>
  <si>
    <t>96f439b2-3dcd-1077-4013-4eqc4bed146d2</t>
  </si>
  <si>
    <t>96f439b2-3dcd-1078-4002-4ec4bed14q6d2</t>
  </si>
  <si>
    <t>96f439b2-3dcd-1079-4002-4ec4bedq146d2</t>
  </si>
  <si>
    <t>96f439b2-3dcd-1080-4002-4qec4bed146d2</t>
  </si>
  <si>
    <t>96f439b2-3dcd-1003-4002-4ec4bed146qd2</t>
  </si>
  <si>
    <t>96f439b2-3dcd-1003-4005-4ec4bqed146d2</t>
  </si>
  <si>
    <t>96f439b2-3dcd-1003-4007-4ec4bed14q6d2</t>
  </si>
  <si>
    <t>96f439b2-3dcd-1003-4004-4ecq4bed146d2</t>
  </si>
  <si>
    <t>96f439b2-3dcd-1103-4004-4ec4bed14q6d2</t>
  </si>
  <si>
    <t>96f439b2-3dcd-1203-4004-4qec4bed146d2</t>
  </si>
  <si>
    <t>96f439b2-3dcd-1103-4005-4ec4bed146qd2</t>
  </si>
  <si>
    <t>96f439b2-3dcd-1203-4005-4ec4beqd146d2</t>
  </si>
  <si>
    <t>96f439b2-3dcd-1303-4005-4ecq4bed146d2</t>
  </si>
  <si>
    <t>96f439b2-3dcd-1003-4009-4ec4bed14q6d2</t>
  </si>
  <si>
    <t>96f439b2-3dcd-1103-4009-4qec4bed146d2</t>
  </si>
  <si>
    <t>96f439b2-3dcd-1203-4009-4ec4beqd146d2</t>
  </si>
  <si>
    <t>96f439b2-3dcd-1003-4044-4ec4bed14q6d2</t>
  </si>
  <si>
    <t>96f439b2-3dcd-1103-4044-4ec4qbed146d2</t>
  </si>
  <si>
    <t>96f439b2-3dcd-1203-4044-4eqc4bed146d2</t>
  </si>
  <si>
    <t>96f439b2-3dcd-1303-4045-4ec4bed146dq2</t>
  </si>
  <si>
    <t>96f439b2-3dcd-1403-4045-4ec4beqd146d2</t>
  </si>
  <si>
    <t>96f439b2-3dcd-1003-4011-4ecq4bed146d2</t>
  </si>
  <si>
    <t>96f439b2-3dcd-1103-4011-4ec4bed146qd2</t>
  </si>
  <si>
    <t>96f439b2-3dcd-1203-4011-4ec4bed146dq2</t>
  </si>
  <si>
    <t>96f439b2-3dcd-1003-4013-4ec4beqd146d2</t>
  </si>
  <si>
    <t>96f439b2-3dcd-1103-4013-4qec4bed146d2</t>
  </si>
  <si>
    <t>96f439b2-3dcd-1203-4013-4ecq4bed146d2</t>
  </si>
  <si>
    <t>96f439b2-3dcd-1004-4002-4ec4bed146dq2</t>
  </si>
  <si>
    <t>96f439b2-3dcd-1104-4002-4ecq4bed146d2</t>
  </si>
  <si>
    <t>96f439b2-3dcd-1204-4002-4ec4bed14q6d2</t>
  </si>
  <si>
    <t>96f439b2-3dcd-1304-4002-4ec4bedq146d2</t>
  </si>
  <si>
    <t>96f439b2-3dcd-1004-4005-4eqc4bed146d2</t>
  </si>
  <si>
    <t>96f439b2-3dcd-1004-4007-4ec4bed146d2q</t>
  </si>
  <si>
    <t>96f439b2-3dcd-1004-4004-4ec4beqd146d2</t>
  </si>
  <si>
    <t>96f439b2-3dcd-1104-4004-4ecq4bed146d2</t>
  </si>
  <si>
    <t>96f439b2-3dcd-1204-4004-4ec4bed146qd2</t>
  </si>
  <si>
    <t>96f439b2-3dcd-1104-4005-4ec4bqed146d2</t>
  </si>
  <si>
    <t>96f439b2-3dcd-1204-4005-4eqc4bed146d2</t>
  </si>
  <si>
    <t>96f439b2-3dcd-1304-4005-4ec4bed146qqd2</t>
  </si>
  <si>
    <t>96f439b2-3dcd-1004-4009-4ec4beqd146d2</t>
  </si>
  <si>
    <t>96f439b2-3dcd-1104-4009-4ec4bqed146d2</t>
  </si>
  <si>
    <t>96f439b2-3dcd-1204-4009-4ec4beqd146d2</t>
  </si>
  <si>
    <t>96f439b2-3dcd-1004-4044-4ec4bed146qd2</t>
  </si>
  <si>
    <t>96f439b2-3dcd-1104-4044-4ec4qbed146d2</t>
  </si>
  <si>
    <t>96f439b2-3dcd-1204-4044-4qec4bed146d2</t>
  </si>
  <si>
    <t>96f439b2-3dcd-1004-4045-4ec4bed146qd2</t>
  </si>
  <si>
    <t>96f439b2-3dcd-1104-4045-4ec4bqed146d2</t>
  </si>
  <si>
    <t>96f439b2-3dcd-1004-4011-4ec4bed14q6d2</t>
  </si>
  <si>
    <t>96f439b2-3dcd-1104-4011-4eqc4bed146d2</t>
  </si>
  <si>
    <t>96f439b2-3dcd-1204-4011-4ec4bedq146d2</t>
  </si>
  <si>
    <t>96f439b2-3dcd-1004-4013-4ec4bed146qd2</t>
  </si>
  <si>
    <t>96f439b2-3dcd-1104-4013-4ec4bed146dq2</t>
  </si>
  <si>
    <t>96f439b2-3dcd-1204-4013-4ec4bqed146d2</t>
  </si>
  <si>
    <t>96f439b2-3dcd-1105-4002-4qec4bed146d2</t>
  </si>
  <si>
    <t>96f439b2-3dcd-1205-4002-4ec4beqd146d2</t>
  </si>
  <si>
    <t>96f439b2-3dcd-1305-4002-4ec4bed146dq2</t>
  </si>
  <si>
    <t>96f439b2-3dcd-1405-4002-4ec4bqed146d2</t>
  </si>
  <si>
    <t>96f439b2-3dcd-1005-4005-4ec4bed1q46d2</t>
  </si>
  <si>
    <t>96f439b2-3dcd-1005-4007-4ecq4bed146d2</t>
  </si>
  <si>
    <t>96f439b2-3dcd-1005-4004-4ec4bed1q46d2</t>
  </si>
  <si>
    <t>96f439b2-3dcd-1105-4004-4ec4bed146qd2</t>
  </si>
  <si>
    <t>96f439b2-3dcd-1205-4004-4ec4bed146dq2</t>
  </si>
  <si>
    <t>96f439b2-3dcd-1105-4005-4ec4bqed146d2</t>
  </si>
  <si>
    <t>96f439b2-3dcd-1205-4005-4qec4bed146d2</t>
  </si>
  <si>
    <t>96f439b2-3dcd-1305-4005-4ec4bed14q6d2</t>
  </si>
  <si>
    <t>96f439b2-3dcd-1005-4009-4ec4bqed146d2</t>
  </si>
  <si>
    <t>96f439b2-3dcd-1105-4009-4qec4bed146d2</t>
  </si>
  <si>
    <t>96f439b2-3dcd-1205-4009-4ec4bed146qd2</t>
  </si>
  <si>
    <t>96f439b2-3dcd-1005-4044-4ec4bed1q46d2</t>
  </si>
  <si>
    <t>96f439b2-3dcd-1105-4044-4ecq4bed146d2</t>
  </si>
  <si>
    <t>96f439b2-3dcd-1205-4044-4ec4bed1q46d2</t>
  </si>
  <si>
    <t>96f439b2-3dcd-1005-4045-4ec4bed14q6d2</t>
  </si>
  <si>
    <t>96f439b2-3dcd-1105-4045-4ec4bqed146d2</t>
  </si>
  <si>
    <t>96f439b2-3dcd-1005-4011-4eqc4bed146d2</t>
  </si>
  <si>
    <t>96f439b2-3dcd-1105-4011-4ec4bed146dq2</t>
  </si>
  <si>
    <t>96f439b2-3dcd-1205-4011-4ec4bqed146d2</t>
  </si>
  <si>
    <t>96f439b2-3dcd-1005-4013-4qec4bed146d2</t>
  </si>
  <si>
    <t>96f439b2-3dcd-1105-4013-4ecq4bed146d2</t>
  </si>
  <si>
    <t>96f439b2-3dcd-1205-4013-4ec4bedq146d2</t>
  </si>
  <si>
    <t>96f439b2-3dcd-1006-4002-4ec4bed14q6d2</t>
  </si>
  <si>
    <t>96f439b2-3dcd-1106-4002-4ec4bed146qd2</t>
  </si>
  <si>
    <t>96f439b2-3dcd-1206-4002-4ec4bqed146d2</t>
  </si>
  <si>
    <t>96f439b2-3dcd-1306-4002-4eqc4bed146d2</t>
  </si>
  <si>
    <t>96f439b2-3dcd-1006-4005-4ec4bed14q6d2</t>
  </si>
  <si>
    <t>96f439b2-3dcd-1006-4007-4ec4bedq146d2</t>
  </si>
  <si>
    <t>96f439b2-3dcd-1006-4004-4ecq4bed146d2</t>
  </si>
  <si>
    <t>96f439b2-3dcd-1106-4004-4ec4beqd146d2</t>
  </si>
  <si>
    <t>96f439b2-3dcd-1206-4004-4ec4bed146qd2</t>
  </si>
  <si>
    <t>96f439b2-3dcd-1106-4005-4ec4bedq146d2</t>
  </si>
  <si>
    <t>96f439b2-3dcd-1206-4005-4ecq4bed146d2</t>
  </si>
  <si>
    <t>96f439b2-3dcd-1306-4005-4ec4bedq146d2</t>
  </si>
  <si>
    <t>96f439b2-3dcd-1006-4009-4ec4bed146d2q</t>
  </si>
  <si>
    <t>96f439b2-3dcd-1106-4009-4ec4bed14q6d2</t>
  </si>
  <si>
    <t>96f439b2-3dcd-1206-4009-4ec4bqed146d2</t>
  </si>
  <si>
    <t>96f439b2-3dcd-1006-4044-4eqc4bed146d2</t>
  </si>
  <si>
    <t>96f439b2-3dcd-1106-4044-4ec4bqed146d2</t>
  </si>
  <si>
    <t>96f439b2-3dcd-1206-4044-4ec4bed14q6d2</t>
  </si>
  <si>
    <t>96f439b2-3dcd-1006-4045-4ec4bqed146d2</t>
  </si>
  <si>
    <t>96f439b2-3dcd-1106-4045-4qec4bed146d2</t>
  </si>
  <si>
    <t>96f439b2-3dcd-1006-4011-4ec4bqed146d2</t>
  </si>
  <si>
    <t>96f439b2-3dcd-1106-4011-4ec4bed1q46d2</t>
  </si>
  <si>
    <t>96f439b2-3dcd-1206-4011-4ec4bed146qd2</t>
  </si>
  <si>
    <t>96f439b2-3dcd-1006-4013-4ec4bed146d2q</t>
  </si>
  <si>
    <t>96f439b2-3dcd-1106-4013-4ec4beqd146d2</t>
  </si>
  <si>
    <t>96f439b2-3dcd-1206-4013-4eqc4bed146d2</t>
  </si>
  <si>
    <t>96f439b2-3dcd-1007-4002-4ec4bed1q46d2</t>
  </si>
  <si>
    <t>96f439b2-3dcd-1107-4002-4ec4bed1q46d2</t>
  </si>
  <si>
    <t>96f439b2-3dcd-1207-4002-4ecq4bed146d2</t>
  </si>
  <si>
    <t>96f439b2-3dcd-1307-4002-4ec4bedq146d2</t>
  </si>
  <si>
    <t>96f439b2-3dcd-1007-4005-4ec4bed14q6d2</t>
  </si>
  <si>
    <t>96f439b2-3dcd-1007-4007-4ec4bed146dq2</t>
  </si>
  <si>
    <t>96f439b2-3dcd-1007-4004-4qec4bed146d2</t>
  </si>
  <si>
    <t>96f439b2-3dcd-1107-4004-4ec4bqed146d2</t>
  </si>
  <si>
    <t>96f439b2-3dcd-1207-4004-4ec4bed14q6d2</t>
  </si>
  <si>
    <t>96f439b2-3dcd-1107-4005-4ec4bedq146d2</t>
  </si>
  <si>
    <t>96f439b2-3dcd-1207-4005-4ec4qbed146d2</t>
  </si>
  <si>
    <t>96f439b2-3dcd-1307-4005-4ec4beqd146d2</t>
  </si>
  <si>
    <t>96f439b2-3dcd-1007-4009-4ecq4bed146d2</t>
  </si>
  <si>
    <t>96f439b2-3dcd-1107-4009-4ec4bed14q6d2</t>
  </si>
  <si>
    <t>96f439b2-3dcd-1207-4009-4ec4bed146qd2</t>
  </si>
  <si>
    <t>96f439b2-3dcd-1007-4044-4ec4bqed146d2</t>
  </si>
  <si>
    <t>96f439b2-3dcd-1107-4044-4qec4bed146d2</t>
  </si>
  <si>
    <t>96f439b2-3dcd-1207-4044-4ec4bed14r6d2</t>
  </si>
  <si>
    <t>96f439b2-3dcd-1007-4045-4ecr4bed146d2</t>
  </si>
  <si>
    <t>96f439b2-3dcd-1107-4045-4ec4bedr146d2</t>
  </si>
  <si>
    <t>96f439b2-3dcd-1007-4011-4erc4bed146d2</t>
  </si>
  <si>
    <t>96f439b2-3dcd-1107-4011-4ec4bed14r6d2</t>
  </si>
  <si>
    <t>96f439b2-3dcd-1207-4011-4ec4bred146d2</t>
  </si>
  <si>
    <t>96f439b2-3dcd-1007-4013-4ec4bred146d2</t>
  </si>
  <si>
    <t>96f439b2-3dcd-1107-4013-4ec4bed14r6d2</t>
  </si>
  <si>
    <t>96f439b2-3dcd-1207-4013-4erc4bed146d2</t>
  </si>
  <si>
    <t>96f439b2-3dcd-1008-4002-4ec4bed1r46d2</t>
  </si>
  <si>
    <t>96f439b2-3dcd-1108-4002-4ec4bed146fd2</t>
  </si>
  <si>
    <t>96f439b2-3dcd-1208-4002-4ec4fbed146d2</t>
  </si>
  <si>
    <t>96f439b2-3dcd-1308-4002-4fec4bed146d2</t>
  </si>
  <si>
    <t>96f439b2-3dcd-1008-4005-4ec4bed1f46d2</t>
  </si>
  <si>
    <t>96f439b2-3dcd-1008-4007-4ecf4bed146d2</t>
  </si>
  <si>
    <t>96f439b2-3dcd-1008-4004-4ec4bed14f6d2</t>
  </si>
  <si>
    <t>96f439b2-3dcd-1108-4004-4ec4fbed146d2</t>
  </si>
  <si>
    <t>96f439b2-3dcd-1208-4004-4ec4bed1f46d2</t>
  </si>
  <si>
    <t>96f439b2-3dcd-1108-4005-4ec4bed146df2</t>
  </si>
  <si>
    <t>96f439b2-3dcd-1208-4005-4ec4befd146d2</t>
  </si>
  <si>
    <t>96f439b2-3dcd-1308-4005-4fec4bed146d2</t>
  </si>
  <si>
    <t>96f439b2-3dcd-1008-4009-4ec4bfed146d2</t>
  </si>
  <si>
    <t>96f439b2-3dcd-1108-4009-4ec4bed1f46d2</t>
  </si>
  <si>
    <t>96f439b2-3dcd-1208-4009-4ec4bed14g6d2</t>
  </si>
  <si>
    <t>96f439b2-3dcd-1008-4044-4ec4gbed146d2</t>
  </si>
  <si>
    <t>96f439b2-3dcd-1108-4044-4ec4bed1g46d2</t>
  </si>
  <si>
    <t>96f439b2-3dcd-1208-4044-4egc4bed146d2</t>
  </si>
  <si>
    <t>96f439b2-3dcd-1008-4045-4ec4bed146dg2</t>
  </si>
  <si>
    <t>96f439b2-3dcd-1108-4045-4gec4bed146d2</t>
  </si>
  <si>
    <t>96f439b2-3dcd-1008-4011-4ec4bged146d2</t>
  </si>
  <si>
    <t>96f439b2-3dcd-1108-4011-4ec4bedg146d2</t>
  </si>
  <si>
    <t>96f439b2-3dcd-1208-4011-4ec4bed14s6d2</t>
  </si>
  <si>
    <t>96f439b2-3dcd-1008-4013-4esc4bed146d2</t>
  </si>
  <si>
    <t>96f439b2-3dcd-1108-4013-4ec4bed1s46d2</t>
  </si>
  <si>
    <t>96f439b2-3dcd-1208-4013-4ec4bsed146d2</t>
  </si>
  <si>
    <t>96f439b2-3dcd-1009-4002-4ec4bed146ds2</t>
  </si>
  <si>
    <t>96f439b2-3dcd-1109-4002-4esc4bed146d2</t>
  </si>
  <si>
    <t>96f439b2-3dcd-1209-4002-4ec4besd146d2</t>
  </si>
  <si>
    <t>96f439b2-3dcd-1309-4002-4ec4bed14s6d2</t>
  </si>
  <si>
    <t>96f439b2-3dcd-1009-4005-4ec4bsed146d2</t>
  </si>
  <si>
    <t>96f439b2-3dcd-1009-4007-4sec4bed146d2</t>
  </si>
  <si>
    <t>96f439b2-3dcd-1009-4004-4ec4bedx146d2</t>
  </si>
  <si>
    <t>96f439b2-3dcd-1109-4004-4ec4bexd146d2</t>
  </si>
  <si>
    <t>96f439b2-3dcd-1209-4004-4ec4bexd146d2</t>
  </si>
  <si>
    <t>96f439b2-3dcd-1109-4005-4exc4bed146d2</t>
  </si>
  <si>
    <t>96f439b2-3dcd-1209-4005-4ec4bed146xd2</t>
  </si>
  <si>
    <t>96f439b2-3dcd-1309-4005-4ec4xbed146d2</t>
  </si>
  <si>
    <t>96f439b2-3dcd-1009-4009-4xec4bed146d2</t>
  </si>
  <si>
    <t>96f439b2-3dcd-1109-4009-4ec4bed14x6d2</t>
  </si>
  <si>
    <t>96f439b2-3dcd-1209-4009-4ec4bexd146d2</t>
  </si>
  <si>
    <t>96f439b2-3dcd-1009-4044-4exc4bed146d2</t>
  </si>
  <si>
    <t>96f439b2-3dcd-1109-4044-4ec4bed14x6d2</t>
  </si>
  <si>
    <t>96f439b2-3dcd-1209-4044-4ec4bxed146d2</t>
  </si>
  <si>
    <t>96f439b2-3dcd-1009-4045-4ec4bed146dx2</t>
  </si>
  <si>
    <t>96f439b2-3dcd-1109-4045-4ec4bxed146d2</t>
  </si>
  <si>
    <t>96f439b2-3dcd-1009-4011-4xec4bed146d2</t>
  </si>
  <si>
    <t>96f439b2-3dcd-1109-4011-4ec4bed14x6d2</t>
  </si>
  <si>
    <t>96f439b2-3dcd-1209-4011-4ec4bedx146d2</t>
  </si>
  <si>
    <t>96f439b2-3dcd-1009-4013-4ecx4bed146d2</t>
  </si>
  <si>
    <t>96f439b2-3dcd-1109-4013-4ec4bedx146d2</t>
  </si>
  <si>
    <t>96f439b2-3dcd-1209-4013-4ec4bed146dx2</t>
  </si>
  <si>
    <t>96f439b2-3dcd-1010-4002-4ec4xbed146d2</t>
  </si>
  <si>
    <t>96f439b2-3dcd-1110-4002-4ec4bedx146d2</t>
  </si>
  <si>
    <t>96f439b2-3dcd-1210-4002-4ec4bed1v46d2</t>
  </si>
  <si>
    <t>96f439b2-3dcd-1310-4002-4ec4bevd146d2</t>
  </si>
  <si>
    <t>96f439b2-3dcd-1010-4005-4ec4bevd146d2</t>
  </si>
  <si>
    <t>96f439b2-3dcd-1010-4007-4ec4bed146vd2</t>
  </si>
  <si>
    <t>96f439b2-3dcd-1110-4004-4ec4vbed146d2</t>
  </si>
  <si>
    <t>96f439b2-3dcd-1210-4004-4evc4bed146d2</t>
  </si>
  <si>
    <t>96f439b2-3dcd-1310-4004-4ec4bed146vd2</t>
  </si>
  <si>
    <t>96f439b2-3dcd-1110-4005-4ec4bevd146d2</t>
  </si>
  <si>
    <t>96f439b2-3dcd-1210-4005-4ecv4bed146d2</t>
  </si>
  <si>
    <t>96f439b2-3dcd-1310-4005-4ec4bed146dv2</t>
  </si>
  <si>
    <t>96f439b2-3dcd-1010-4009-4vec4bed146d2</t>
  </si>
  <si>
    <t>96f439b2-3dcd-1110-4009-4ec4bed1v46d2</t>
  </si>
  <si>
    <t>96f439b2-3dcd-1210-4009-4ec4bevd146d2</t>
  </si>
  <si>
    <t>96f439b2-3dcd-1010-4044-4evc4bed146d2</t>
  </si>
  <si>
    <t>96f439b2-3dcd-1110-4044-4ec4bed14v6d2</t>
  </si>
  <si>
    <t>96f439b2-3dcd-1210-4044-4ec4bved146d2</t>
  </si>
  <si>
    <t>96f439b2-3dcd-1010-4045-4ec4bed1n46d2</t>
  </si>
  <si>
    <t>96f439b2-3dcd-1110-4045-4ec4nbed146d2</t>
  </si>
  <si>
    <t>96f439b2-3dcd-1010-4011-4ec4bed146nd2</t>
  </si>
  <si>
    <t>96f439b2-3dcd-1110-4011-4enc4bed146d2</t>
  </si>
  <si>
    <t>96f439b2-3dcd-1210-4011-4ec4bedn146d2</t>
  </si>
  <si>
    <t>96f439b2-3dcd-1010-4013-4ec4nbed146d2</t>
  </si>
  <si>
    <t>96f439b2-3dcd-1110-4013-4ec4bed14n6d2</t>
  </si>
  <si>
    <t>96f439b2-3dcd-1210-4013-4ec4bned146d2</t>
  </si>
  <si>
    <t>96f439b2-3dcd-1011-4002-4nec4bed146d2</t>
  </si>
  <si>
    <t>96f439b2-3dcd-1111-4002-4ec4bed146dn2</t>
  </si>
  <si>
    <t>96f439b2-3dcd-1211-4002-4ec4bned146d2</t>
  </si>
  <si>
    <t>96f439b2-3dcd-1311-4002-4ec4bed146nd2</t>
  </si>
  <si>
    <t>96f439b2-3dcd-1011-4005-4enc4bed146d2</t>
  </si>
  <si>
    <t>96f439b2-3dcd-1011-4007-4ec4bedn146d2</t>
  </si>
  <si>
    <t>96f439b2-3dcd-1011-4004-4ec4bed14nj6d2</t>
  </si>
  <si>
    <t>96f439b2-3dcd-1111-4004-4ec4bed14j6d2</t>
  </si>
  <si>
    <t>96f439b2-3dcd-1211-4004-4ec4jbed146d2</t>
  </si>
  <si>
    <t>96f439b2-3dcd-1111-4005-4ecj4bed146d2</t>
  </si>
  <si>
    <t>96f439b2-3dcd-1211-4005-4ec4bejd146d2</t>
  </si>
  <si>
    <t>96f439b2-3dcd-1311-4005-4ec4bedj146d2</t>
  </si>
  <si>
    <t>96f439b2-3dcd-1011-4009-4ec4bed146jd2</t>
  </si>
  <si>
    <t>96f439b2-3dcd-1111-4009-4ecj4bed146d2</t>
  </si>
  <si>
    <t>96f439b2-3dcd-1211-4009-4ec4bejd146d2</t>
  </si>
  <si>
    <t>96f439b2-3dcd-1011-4044-4ec4bed14j6d2</t>
  </si>
  <si>
    <t>96f439b2-3dcd-1111-4044-4ec4bjed146d2</t>
  </si>
  <si>
    <t>96f439b2-3dcd-1211-4044-4ecj4bed146d2</t>
  </si>
  <si>
    <t>96f439b2-3dcd-1011-4045-4ec4bed1u46d2</t>
  </si>
  <si>
    <t>96f439b2-3dcd-1111-4045-4ec4ubed146d2</t>
  </si>
  <si>
    <t>96f439b2-3dcd-1011-4011-4ec4bed146du2</t>
  </si>
  <si>
    <t>96f439b2-3dcd-1111-4011-4ec4ubed146d2</t>
  </si>
  <si>
    <t>96f439b2-3dcd-1211-4011-4ec4bed14u6d2</t>
  </si>
  <si>
    <t>96f439b2-3dcd-1011-4013-4euc4bed146d2</t>
  </si>
  <si>
    <t>96f439b2-3dcd-1111-4013-4ec4bedu146d2</t>
  </si>
  <si>
    <t>96f439b2-3dcd-1211-4013-4ec4ubed146d2</t>
  </si>
  <si>
    <t>96f439b2-3dcd-1012-4002-4ec4bed146du2</t>
  </si>
  <si>
    <t>96f439b2-3dcd-1112-4002-4ec4bued146d2</t>
  </si>
  <si>
    <t>96f439b2-3dcd-1212-4002-4uec4bed146d2</t>
  </si>
  <si>
    <t>96f439b2-3dcd-1312-4002-4ec4bedu146d2</t>
  </si>
  <si>
    <t>96f439b2-3dcd-1012-4005-4ec4bed14u6d2</t>
  </si>
  <si>
    <t>96f439b2-3dcd-1012-4007-4ec4ubed146d2</t>
  </si>
  <si>
    <t>96f439b2-3dcd-1112-4004-4ec4bed14u6d2</t>
  </si>
  <si>
    <t>96f439b2-3dcd-1212-4004-4euc4bed146d2</t>
  </si>
  <si>
    <t>96f439b2-3dcd-1312-4004-4ec4bed1j46d2</t>
  </si>
  <si>
    <t>96f439b2-3dcd-1112-4005-4ec4jbed146d2</t>
  </si>
  <si>
    <t>96f439b2-3dcd-1212-4005-4ec4bedj146d2</t>
  </si>
  <si>
    <t>96f439b2-3dcd-1312-4005-4ec4bejd146d2</t>
  </si>
  <si>
    <t>96f439b2-3dcd-1012-4009-4ec4jbed146d2</t>
  </si>
  <si>
    <t>96f439b2-3dcd-1112-4009-4ec4bed146dj2</t>
  </si>
  <si>
    <t>96f439b2-3dcd-1212-4009-4ejc4bed146d2</t>
  </si>
  <si>
    <t>96f439b2-3dcd-1012-4044-4ec4bed1j46d2</t>
  </si>
  <si>
    <t>96f439b2-3dcd-1112-4044-4ec4bejd146d2</t>
  </si>
  <si>
    <t>96f439b2-3dcd-1212-4044-4jec4bed146d2</t>
  </si>
  <si>
    <t>96f439b2-3dcd-1012-4045-4ec4bed146dj2</t>
  </si>
  <si>
    <t>96f439b2-3dcd-1112-4045-4ec4bejd146d2</t>
  </si>
  <si>
    <t>96f439b2-3dcd-1012-4011-4ejc4bed146d2</t>
  </si>
  <si>
    <t>96f439b2-3dcd-1112-4011-4ec4bedj146d2</t>
  </si>
  <si>
    <t>96f439b2-3dcd-1212-4011-4ec4bed146jd2</t>
  </si>
  <si>
    <t>96f439b2-3dcd-1012-4013-4ec4bjed146d2</t>
  </si>
  <si>
    <t>96f439b2-3dcd-1112-4013-4ec4bedj146d2</t>
  </si>
  <si>
    <t>96f439b2-3dcd-1212-4013-4ec4bedj146d2</t>
  </si>
  <si>
    <t>96f439b2-3dcd-1012-4002-4ecz4bed146du2</t>
  </si>
  <si>
    <t>96f439b2-3dcd-1112-4002-4exc4bued146d2</t>
  </si>
  <si>
    <t>96f439b2-3dcd-1212-4002-4uec4bed1c46d2</t>
  </si>
  <si>
    <t>96f439b2-3dcd-1312-4002-4ecv4bedu146d2</t>
  </si>
  <si>
    <t>96f439b2-3dcd-1012-4005-4ec4bed14ub6d2</t>
  </si>
  <si>
    <t>96f439b2-3dcd-1012-4007-4ec4fubed146d2</t>
  </si>
  <si>
    <t>96f439b2-3dcd-1112-4004-4ec4bed1d4u6d2</t>
  </si>
  <si>
    <t>96f439b2-3dcd-1212-4004-4eeuc4bed146d2</t>
  </si>
  <si>
    <t>96f439b2-3dcd-1312-4004-4ec4bed1j4r6d2</t>
  </si>
  <si>
    <t>96f439b2-3dcd-1112-4005-4ec4jbetd146d2</t>
  </si>
  <si>
    <t>96f439b2-3dcd-1212-4005-4ecq4bedj146d2</t>
  </si>
  <si>
    <t>96f439b2-3dcd-1312-4005-4ec4baejd146d2</t>
  </si>
  <si>
    <t>96f439b2-3dcd-1012-4009-4ec4jzbed146d2</t>
  </si>
  <si>
    <t>96f439b2-3dcd-1112-4009-4ec4bedx146dj2</t>
  </si>
  <si>
    <t>96f439b2-3dcd-1212-4009-4ejc4bedy146d2</t>
  </si>
  <si>
    <t>96f439b2-3dcd-1012-4044-4ec4bed1ju46d2</t>
  </si>
  <si>
    <t>96f439b2-3dcd-1112-4044-4ect4bejd146d2</t>
  </si>
  <si>
    <t>96f439b2-3dcd-1212-4044-4jec4bed14u6d2</t>
  </si>
  <si>
    <t>96f439b2-3dcd-1012-4045-4ec4bed14j6dj2</t>
  </si>
  <si>
    <t>96f439b2-3dcd-1112-4045-4ec4bejd1n46d2</t>
  </si>
  <si>
    <t>96f439b2-3dcd-1012-4011-4ejc4bmed146d2</t>
  </si>
  <si>
    <t>96f439b2-3dcd-1112-4011-4ec4bedj14o6d2</t>
  </si>
  <si>
    <t>96f439b2-3dcd-1212-4011-4ec4bed14i6jd2</t>
  </si>
  <si>
    <t>96f439b2-3dcd-1012-4013-4ec4bjedu146d2</t>
  </si>
  <si>
    <t>96f439b2-3dcd-1112-4013-4ec4ybedj146d2</t>
  </si>
  <si>
    <t>96f439b2-3dcd-1212-4013-4ec4btedj146d2</t>
  </si>
  <si>
    <t>i:Debris DID</t>
  </si>
  <si>
    <t>i:Slot DID</t>
  </si>
  <si>
    <t>96f439b2-3dcd-4200-7000-4ec4bed146d2</t>
  </si>
  <si>
    <t>96f439b2-3dcd-4201-7000-4ec4bed146d2</t>
  </si>
  <si>
    <t>96f439b2-3dcd-4202-7000-4ec4bed146d2</t>
  </si>
  <si>
    <t>96f439b2-3dcd-4203-7000-4ec4bed146d2</t>
  </si>
  <si>
    <t>96f439b2-3dcd-4204-7000-4ec4bed146d2</t>
  </si>
  <si>
    <t>96f439b2-3dcd-4300-7000-4ec4bed146d2</t>
  </si>
  <si>
    <t>96f439b2-3dcd-4301-7000-4ec4bed146d2</t>
  </si>
  <si>
    <t>96f439b2-3dcd-4302-7000-4ec4bed146d2</t>
  </si>
  <si>
    <t>96f439b2-3dcd-4303-7000-4ec4bed146d2</t>
  </si>
  <si>
    <t>96f439b2-3dcd-4304-7000-4ec4bed146d2</t>
  </si>
  <si>
    <t>96f439b2-3dcd-4400-7000-4ec4bed146d2</t>
  </si>
  <si>
    <t>96f439b2-3dcd-4401-7000-4ec4bed146d2</t>
  </si>
  <si>
    <t>96f439b2-3dcd-4402-7000-4ec4bed146d2</t>
  </si>
  <si>
    <t>96f439b2-3dcd-4403-7000-4ec4bed146d2</t>
  </si>
  <si>
    <t>96f439b2-3dcd-4404-7000-4ec4bed146d2</t>
  </si>
  <si>
    <t>96f439b2-3dcd-4500-7000-4ec4bed146d2</t>
  </si>
  <si>
    <t>96f439b2-3dcd-4501-7000-4ec4bed146d2</t>
  </si>
  <si>
    <t>96f439b2-3dcd-4502-7000-4ec4bed146d2</t>
  </si>
  <si>
    <t>96f439b2-3dcd-4503-7000-4ec4bed146d2</t>
  </si>
  <si>
    <t>96f439b2-3dcd-4504-7000-4ec4bed146d2</t>
  </si>
  <si>
    <t>96f439b2-3dcd-4600-7000-4ec4bed146d2</t>
  </si>
  <si>
    <t>96f439b2-3dcd-4601-7000-4ec4bed146d2</t>
  </si>
  <si>
    <t>96f439b2-3dcd-4602-7000-4ec4bed146d2</t>
  </si>
  <si>
    <t>96f439b2-3dcd-4603-7000-4ec4bed146d2</t>
  </si>
  <si>
    <t>96f439b2-3dcd-4604-7000-4ec4bed146d2</t>
  </si>
  <si>
    <t>96f439b2-3dcd-4700-7000-4ec4bed146d2</t>
  </si>
  <si>
    <t>96f439b2-3dcd-4701-7000-4ec4bed146d2</t>
  </si>
  <si>
    <t>96f439b2-3dcd-4702-7000-4ec4bed146d2</t>
  </si>
  <si>
    <t>96f439b2-3dcd-4703-7000-4ec4bed146d2</t>
  </si>
  <si>
    <t>96f439b2-3dcd-4704-7000-4ec4bed146d2</t>
  </si>
  <si>
    <t>96f439b2-3dcd-9900-5014-4ec4bed146d2</t>
  </si>
  <si>
    <t>96f439b2-3dcd-9901-5001-4ec4bed146d2</t>
  </si>
  <si>
    <t>96f439b2-3dcd-9902-5001-4ec4bed146d2</t>
  </si>
  <si>
    <t>96f439b2-3dcd-9903-5001-4ec4bed146d2</t>
  </si>
  <si>
    <t>96f439b2-3dcd-9904-5001-4ec4bed146d2</t>
  </si>
  <si>
    <t>96f439b2-3dcd-9901-5011-4ec4bed146d2</t>
  </si>
  <si>
    <t>96f439b2-3dcd-9902-5011-4ec4bed146d2</t>
  </si>
  <si>
    <t>96f439b2-3dcd-9903-5011-4ec4bed146d2</t>
  </si>
  <si>
    <t>96f439b2-3dcd-9904-5011-4ec4bed146d2</t>
  </si>
  <si>
    <t>96f439b2-3dcd-9905-5011-4ec4bed146d2</t>
  </si>
  <si>
    <t>96f439b2-3dcd-9906-5011-4ec4bed146d2</t>
  </si>
  <si>
    <t>96f439b2-3dcd-9907-5011-4ec4bed146d2</t>
  </si>
  <si>
    <t>96f439b2-3dcd-9908-5011-4ec4bed146d2</t>
  </si>
  <si>
    <t>96f439b2-3dcd-9901-5012-4ec4bed146d2</t>
  </si>
  <si>
    <t>96f439b2-3dcd-9902-5012-4ec4bed146d2</t>
  </si>
  <si>
    <t>96f439b2-3dcd-9903-5012-4ec4bed146d2</t>
  </si>
  <si>
    <t>96f439b2-3dcd-9904-5012-4ec4bed146d2</t>
  </si>
  <si>
    <t>96f439b2-3dcd-9905-5012-4ec4bed146d2</t>
  </si>
  <si>
    <t>96f439b2-3dcd-9906-5012-4ec4bed146d2</t>
  </si>
  <si>
    <t>96f439b2-3dcd-9907-5012-4ec4bed146d2</t>
  </si>
  <si>
    <t>96f439b2-3dcd-9908-5012-4ec4bed146d2</t>
  </si>
  <si>
    <t>96f439b2-3dcd-9909-5012-4ec4bed146d2</t>
  </si>
  <si>
    <t>96f439b2-3dcd-9901-5002-4ec4bed146d2</t>
  </si>
  <si>
    <t>96f439b2-3dcd-9902-5002-4ec4bed146d2</t>
  </si>
  <si>
    <t>96f439b2-3dcd-9901-5004-4ec4bed146d2</t>
  </si>
  <si>
    <t>96f439b2-3dcd-9901-5005-4ec4bed146d2</t>
  </si>
  <si>
    <t>96f439b2-3dcd-9902-5005-4ec4bed146d2</t>
  </si>
  <si>
    <t>96f439b2-3dcd-9901-5008-4ec4bed146d2</t>
  </si>
  <si>
    <t>96f439b2-3dcd-9902-5008-4ec4bed146d2</t>
  </si>
  <si>
    <t>96f439b2-3dcd-9903-5008-4ec4bed146d2</t>
  </si>
  <si>
    <t>96f439b2-3dcd-9901-5010-4ec4bed146d2</t>
  </si>
  <si>
    <t>96f439b2-3dcd-9902-5010-4ec4bed146d2</t>
  </si>
  <si>
    <t>96f439b2-3dcd-9903-5010-4ec4bed146d2</t>
  </si>
  <si>
    <t>96f439b2-3dcd-100000-7001-4ec4bed146d2</t>
  </si>
  <si>
    <t>96f439b2-3dcd-100001-7001-4ec4bed146d2</t>
  </si>
  <si>
    <t>96f439b2-3dcd-100002-7001-4ec4bed146d2</t>
  </si>
  <si>
    <t>96f439b2-3dcd-100003-7001-4ec4bed146d2</t>
  </si>
  <si>
    <t>96f439b2-3dcd-100004-7001-4ec4bed146d2</t>
  </si>
  <si>
    <t>96f439b2-3dcd-100005-7002-4ec4bed146d2</t>
  </si>
  <si>
    <t>96f439b2-3dcd-100006-7002-4ec4bed146d2</t>
  </si>
  <si>
    <t>96f439b2-3dcd-100007-7002-4ec4bed146d2</t>
  </si>
  <si>
    <t>96f439b2-3dcd-100008-7002-4ec4bed146d2</t>
  </si>
  <si>
    <t>96f439b2-3dcd-100009-7002-4ec4bed146d2</t>
  </si>
  <si>
    <t>96f439b2-3dcd-100010-7003-4ec4bed146d2</t>
  </si>
  <si>
    <t>96f439b2-3dcd-100011-7003-4ec4bed146d2</t>
  </si>
  <si>
    <t>96f439b2-3dcd-1000012-7003-4ec4bed146d2</t>
  </si>
  <si>
    <t>96f439b2-3dcd-100013-7003-4ec4bed146d2</t>
  </si>
  <si>
    <t>96f439b2-3dcd-100014-7003-4ec4bed146d2</t>
  </si>
  <si>
    <t>96f439b2-3dcd-100015-7003-4ec4bed146d2</t>
  </si>
  <si>
    <t>96f439b2-3dcd-1000016-7003-4ec4bed146d2</t>
  </si>
  <si>
    <t>96f439b2-3dcd-100017-7003-4ec4bed146d2</t>
  </si>
  <si>
    <t>96f439b2-3dcd-100018-7003-4ec4bed146d2</t>
  </si>
  <si>
    <t>96f439b2-3dcd-100019-7003-4ec4bed146d2</t>
  </si>
  <si>
    <t>96f439b2-3dcd-1000020-7003-4ec4bed146d2</t>
  </si>
  <si>
    <t>96f439b2-3dcd-100021-7003-4ec4bed146d2</t>
  </si>
  <si>
    <t>96f439b2-3dcd-100022-7003-4ec4bed146d2</t>
  </si>
  <si>
    <t>96f439b2-3dcd-100023-7003-4ec4bed146d2</t>
  </si>
  <si>
    <t>96f439b2-3dcd-1000024-7003-4ec4bed146d2</t>
  </si>
  <si>
    <t>96f439b2-3dcd-100025-7003-4ec4bed146d2</t>
  </si>
  <si>
    <t>96f439b2-3dcd-100026-7004-4ec4bed146d2</t>
  </si>
  <si>
    <t>96f439b2-3dcd-100027-7004-4ec4bed146d2</t>
  </si>
  <si>
    <t>96f439b2-3dcd-100028-7004-4ec4bed146d2</t>
  </si>
  <si>
    <t>96f439b2-3dcd-100029-7004-4ec4bed146d2</t>
  </si>
  <si>
    <t>96f439b2-3dcd-100030-7004-4ec4bed146d2</t>
  </si>
  <si>
    <t>i:Landmark DID</t>
  </si>
  <si>
    <t>i:Is Boardwalk</t>
  </si>
  <si>
    <t>i:Max Height</t>
  </si>
  <si>
    <t>i:Max Width</t>
  </si>
  <si>
    <t>i:Camera Frame X Min</t>
  </si>
  <si>
    <t>i:Camera Frame X Max</t>
  </si>
  <si>
    <t>i:Camera Frame Y Min</t>
  </si>
  <si>
    <t>i:Camera Frame Y Max</t>
  </si>
  <si>
    <t>i:Camera Color R</t>
  </si>
  <si>
    <t>i:Camera Color G</t>
  </si>
  <si>
    <t>i:Camera Color B</t>
  </si>
  <si>
    <t>i:Camera Alpha</t>
  </si>
  <si>
    <t>i:Background Terrain DID</t>
  </si>
  <si>
    <t>i:Expansion Gold Cost 1</t>
  </si>
  <si>
    <t>i:Expansion Gold Costs</t>
  </si>
  <si>
    <t>i:Expansion Gold Cost 2</t>
  </si>
  <si>
    <t>i:Expansion Gold Cost 3</t>
  </si>
  <si>
    <t>i:Expansion Gold Cost 4</t>
  </si>
  <si>
    <t>i:Expansion Gold Cost 5</t>
  </si>
  <si>
    <t>i:Expansion Gold Cost 6</t>
  </si>
  <si>
    <t>i:Expansion Gold Cost 7</t>
  </si>
  <si>
    <t>i:Expansion Gold Cost 8</t>
  </si>
  <si>
    <t>i:Terrain Type DID</t>
  </si>
  <si>
    <t>boardwalk_edge_corner</t>
  </si>
  <si>
    <t>boardwalk_edge_corner.png</t>
  </si>
  <si>
    <t>boardwalk_edge_plain</t>
  </si>
  <si>
    <t>boardwalk_edge_plain.png</t>
  </si>
  <si>
    <t>boardwalk_edge_post</t>
  </si>
  <si>
    <t>boardwalk_edge_post.png</t>
  </si>
  <si>
    <t>boardwalk_edge_post_sand</t>
  </si>
  <si>
    <t>boardwalk_edge_post_sand.png</t>
  </si>
  <si>
    <t>boardwalk_water</t>
  </si>
  <si>
    <t>boardwalk_water.png</t>
  </si>
  <si>
    <t>boardwalk_water_dark.png</t>
  </si>
  <si>
    <t>boardwalk_sand</t>
  </si>
  <si>
    <t>boardwalk_sand.png</t>
  </si>
  <si>
    <t>boardwalk_sand_dark.png</t>
  </si>
  <si>
    <t>boardwalk_sand2</t>
  </si>
  <si>
    <t>boardwalk_sand2.png</t>
  </si>
  <si>
    <t>boardwalk_sand2_dark.png</t>
  </si>
  <si>
    <t>boardwalk_interior</t>
  </si>
  <si>
    <t>boardwalk_interior.png</t>
  </si>
  <si>
    <t>boardwalk_interior_dark.png</t>
  </si>
  <si>
    <t>boardwalk_interior2</t>
  </si>
  <si>
    <t>boardwalk_interior2.png</t>
  </si>
  <si>
    <t>boardwalk_interior2_dark.png</t>
  </si>
  <si>
    <t>goo_interior</t>
  </si>
  <si>
    <t>goo_interior.png</t>
  </si>
  <si>
    <t>goo_sand</t>
  </si>
  <si>
    <t>goo_sand.png</t>
  </si>
  <si>
    <t>grass</t>
  </si>
  <si>
    <t>grass.png</t>
  </si>
  <si>
    <t>mud</t>
  </si>
  <si>
    <t>mud.png</t>
  </si>
  <si>
    <t>path</t>
  </si>
  <si>
    <t>path.png</t>
  </si>
  <si>
    <t>path_overlay1</t>
  </si>
  <si>
    <t>path_overlay2</t>
  </si>
  <si>
    <t>path_overlay3</t>
  </si>
  <si>
    <t>sand</t>
  </si>
  <si>
    <t>sand.png</t>
  </si>
  <si>
    <t>i:Type DID</t>
  </si>
  <si>
    <t>i:Move Cost</t>
  </si>
  <si>
    <t>s:Material</t>
  </si>
  <si>
    <t>i:Can Pave</t>
  </si>
  <si>
    <t>s:Disabled Material</t>
  </si>
  <si>
    <t>i:Derives From Type DID</t>
  </si>
  <si>
    <t>Intro</t>
  </si>
  <si>
    <t>Music/MUSIC_Menu_AmbientOnly</t>
  </si>
  <si>
    <t>Credits</t>
  </si>
  <si>
    <t>InGame</t>
  </si>
  <si>
    <t>Music/MUSIC_InGame_MultiMix</t>
  </si>
  <si>
    <t>Menu</t>
  </si>
  <si>
    <t>Minigame</t>
  </si>
  <si>
    <t>BuildingReady</t>
  </si>
  <si>
    <t>VO/EN/SFX_BuildingReady_EN</t>
  </si>
  <si>
    <t>bake_button</t>
  </si>
  <si>
    <t>SoundEffects/newSounds/bake_button</t>
  </si>
  <si>
    <t>checkbox</t>
  </si>
  <si>
    <t>SoundEffects/newSounds/checkbox</t>
  </si>
  <si>
    <t>coin_big</t>
  </si>
  <si>
    <t>SoundEffects/newSounds/coin_big</t>
  </si>
  <si>
    <t>coin_single</t>
  </si>
  <si>
    <t>SoundEffects/newSounds/coin_single</t>
  </si>
  <si>
    <t>collect_finished_food</t>
  </si>
  <si>
    <t>SoundEffects/newSounds/collect_finished_food</t>
  </si>
  <si>
    <t>collect_ingredients</t>
  </si>
  <si>
    <t>SoundEffects/newSounds/collect_ingredients</t>
  </si>
  <si>
    <t>error_not_enough_money</t>
  </si>
  <si>
    <t>SoundEffects/newSounds/error_not_enough_money</t>
  </si>
  <si>
    <t>error_not_enough_resources</t>
  </si>
  <si>
    <t>SoundEffects/newSounds/error_not_enough_resources</t>
  </si>
  <si>
    <t>expand_land</t>
  </si>
  <si>
    <t>SoundEffects/newSounds/expand_land</t>
  </si>
  <si>
    <t>feed_spongebob</t>
  </si>
  <si>
    <t>SoundEffects/newSounds/feed_spongebob</t>
  </si>
  <si>
    <t>grab_wish</t>
  </si>
  <si>
    <t>SoundEffects/newSounds/grab_wish</t>
  </si>
  <si>
    <t>happiness_star_bounce</t>
  </si>
  <si>
    <t>SoundEffects/newSounds/happiness_star_bounce</t>
  </si>
  <si>
    <t>lettuce_ready</t>
  </si>
  <si>
    <t>SoundEffects/newSounds/lettuce_ready</t>
  </si>
  <si>
    <t>new_wish</t>
  </si>
  <si>
    <t>SoundEffects/newSounds/new_wish</t>
  </si>
  <si>
    <t>quest_bubbles</t>
  </si>
  <si>
    <t>SoundEffects/newSounds/quest_bubbles</t>
  </si>
  <si>
    <t>scrolling</t>
  </si>
  <si>
    <t>SoundEffects/newSounds/scrolling</t>
  </si>
  <si>
    <t>special_item_bounce</t>
  </si>
  <si>
    <t>SoundEffects/newSounds/special_item_bounce</t>
  </si>
  <si>
    <t>tap_screen</t>
  </si>
  <si>
    <t>SoundEffects/newSounds/tap_screen</t>
  </si>
  <si>
    <t>tap_screen2</t>
  </si>
  <si>
    <t>SoundEffects/newSounds/tap_screen2</t>
  </si>
  <si>
    <t>tomato_ready</t>
  </si>
  <si>
    <t>SoundEffects/newSounds/tomato_ready</t>
  </si>
  <si>
    <t>touch_seaweed</t>
  </si>
  <si>
    <t>SoundEffects/newSounds/touch_seaweed</t>
  </si>
  <si>
    <t>touch_seaweed2</t>
  </si>
  <si>
    <t>SoundEffects/newSounds/touch_seaweed2</t>
  </si>
  <si>
    <t>touch_seaweed3</t>
  </si>
  <si>
    <t>SoundEffects/newSounds/touch_seaweed3</t>
  </si>
  <si>
    <t>tutorial_arrow</t>
  </si>
  <si>
    <t>SoundEffects/newSounds/tutorial_arrow</t>
  </si>
  <si>
    <t>underwater_loop</t>
  </si>
  <si>
    <t>SoundEffects/newSounds/underwater_loop</t>
  </si>
  <si>
    <t>wish_flies</t>
  </si>
  <si>
    <t>VO/EN/SFX_wish_flies_EN</t>
  </si>
  <si>
    <t>wish_flies2</t>
  </si>
  <si>
    <t>VO/EXT/SFX_wish_flies</t>
  </si>
  <si>
    <t>Accept</t>
  </si>
  <si>
    <t>SoundEffects/GenericCloseWindow</t>
  </si>
  <si>
    <t>Cancel</t>
  </si>
  <si>
    <t>SoundEffects/Cancel</t>
  </si>
  <si>
    <t>Error</t>
  </si>
  <si>
    <t>SoundEffects/Error</t>
  </si>
  <si>
    <t>SoundEffects/CoinCollectWave</t>
  </si>
  <si>
    <t>Bwoop</t>
  </si>
  <si>
    <t>SoundEffects/Bwoop</t>
  </si>
  <si>
    <t>Telephone_Ring</t>
  </si>
  <si>
    <t>SoundEffects/Telephone_Ring</t>
  </si>
  <si>
    <t>Bell_Bakery</t>
  </si>
  <si>
    <t>SoundEffects/Bell_Bakery</t>
  </si>
  <si>
    <t>GrillSizzle</t>
  </si>
  <si>
    <t>VO/EN/SFX_Grill_EN</t>
  </si>
  <si>
    <t>HighlightItem</t>
  </si>
  <si>
    <t>SoundEffects/WindowOpen</t>
  </si>
  <si>
    <t>SoundEffects/WindowClose</t>
  </si>
  <si>
    <t>ChestOpen</t>
  </si>
  <si>
    <t>SoundEffects/ChestOpen</t>
  </si>
  <si>
    <t>Bell_Seedshop</t>
  </si>
  <si>
    <t>SoundEffects/Bell_Seedshop</t>
  </si>
  <si>
    <t>OpenQuestList</t>
  </si>
  <si>
    <t>CloseQuestList</t>
  </si>
  <si>
    <t>OpenIngredientWidget</t>
  </si>
  <si>
    <t>SoundEffects/GenericOpenWindow</t>
  </si>
  <si>
    <t>CloseIngredientWidget</t>
  </si>
  <si>
    <t>OpenTasksDefault</t>
  </si>
  <si>
    <t>TaskSelected</t>
  </si>
  <si>
    <t>SoundEffects/Silence</t>
  </si>
  <si>
    <t>SoundEffects/Pop_2</t>
  </si>
  <si>
    <t>BubbleWipe</t>
  </si>
  <si>
    <t>SoundEffects/SB_CASH_REGISTER_FX</t>
  </si>
  <si>
    <t>SeaflowerWipe</t>
  </si>
  <si>
    <t>SoundEffects/Pop</t>
  </si>
  <si>
    <t>ConfettiPop</t>
  </si>
  <si>
    <t>Purchase</t>
  </si>
  <si>
    <t>SoundEffects/Purchase</t>
  </si>
  <si>
    <t>PurchaseHardCurrency</t>
  </si>
  <si>
    <t>PurchaseExpansion</t>
  </si>
  <si>
    <t>SwitchTab</t>
  </si>
  <si>
    <t>Stash</t>
  </si>
  <si>
    <t>SoundEffects/Stash</t>
  </si>
  <si>
    <t>Rotate</t>
  </si>
  <si>
    <t>Pickup</t>
  </si>
  <si>
    <t>Rush</t>
  </si>
  <si>
    <t>SoundEffects/Woosh</t>
  </si>
  <si>
    <t>PopResourceBubble</t>
  </si>
  <si>
    <t>ItemDropBounce</t>
  </si>
  <si>
    <t>SoundEffects/ItemDropBounce</t>
  </si>
  <si>
    <t>NotTempted</t>
  </si>
  <si>
    <t>SomewhatTempted</t>
  </si>
  <si>
    <t>VeryTempted</t>
  </si>
  <si>
    <t>DontHaveAny</t>
  </si>
  <si>
    <t>BonusSlotSpin_Start</t>
  </si>
  <si>
    <t>BonusSlotSpin_Complete</t>
  </si>
  <si>
    <t>MatchBonus_Ready</t>
  </si>
  <si>
    <t>MatchBonus_Open</t>
  </si>
  <si>
    <t>FeedUnit</t>
  </si>
  <si>
    <t>SoundEffects/Eat</t>
  </si>
  <si>
    <t>FailDragFeed</t>
  </si>
  <si>
    <t>SoundEffects/DebrisCleared</t>
  </si>
  <si>
    <t>EatComplete</t>
  </si>
  <si>
    <t>Construction</t>
  </si>
  <si>
    <t>SoundEffects/Construction</t>
  </si>
  <si>
    <t>PlaceBuilding</t>
  </si>
  <si>
    <t>RemovePavement</t>
  </si>
  <si>
    <t>ItemCollected</t>
  </si>
  <si>
    <t>SoundEffects/Happiness</t>
  </si>
  <si>
    <t>MovieCollected</t>
  </si>
  <si>
    <t>RecipeCollected</t>
  </si>
  <si>
    <t>SoundEffects/Christmas/sfx_find_recipe</t>
  </si>
  <si>
    <t>BuildingCollected</t>
  </si>
  <si>
    <t>SoundEffects/Christmas/sfx_snowflake_collect</t>
  </si>
  <si>
    <t>PlacePavement</t>
  </si>
  <si>
    <t>SoundEffects/RoadPlacement</t>
  </si>
  <si>
    <t>GrilledItemReady</t>
  </si>
  <si>
    <t>FlowerItemCollected</t>
  </si>
  <si>
    <t>PerfumeItemCollected</t>
  </si>
  <si>
    <t>StinkyItemCollected</t>
  </si>
  <si>
    <t>SB_BakedGoodsComingUp</t>
  </si>
  <si>
    <t>VO/EN/Spongebob_92_EN</t>
  </si>
  <si>
    <t>spongebob</t>
  </si>
  <si>
    <t>SB_ReadyToCollect</t>
  </si>
  <si>
    <t>VO/EN/SB294_EN</t>
  </si>
  <si>
    <t>SB_NiceChoice</t>
  </si>
  <si>
    <t>VO/EN/SB411_EN</t>
  </si>
  <si>
    <t>SB_ThatLooksFantabulous</t>
  </si>
  <si>
    <t>VO/EN/SB412_EN</t>
  </si>
  <si>
    <t>SB_OooPretty</t>
  </si>
  <si>
    <t>VO/EN/SB406_EN</t>
  </si>
  <si>
    <t>SoundEffects/Flowers</t>
  </si>
  <si>
    <t>SoundEffects/Spritz</t>
  </si>
  <si>
    <t>SoundEffects/Drink</t>
  </si>
  <si>
    <t>RecipeDropExplodeInPlace</t>
  </si>
  <si>
    <t>SoundEffects/BottleBreak</t>
  </si>
  <si>
    <t>MovieDropExplodeInPlace</t>
  </si>
  <si>
    <t>SoundEffects/SB_MovieProjector</t>
  </si>
  <si>
    <t>TapFallenBuildingItem</t>
  </si>
  <si>
    <t>TapFallenMovieItem</t>
  </si>
  <si>
    <t>TapFallenRecipeItem</t>
  </si>
  <si>
    <t>TaskRewardTap</t>
  </si>
  <si>
    <t>ProducingBuildingTap</t>
  </si>
  <si>
    <t>StartDebrisClearing</t>
  </si>
  <si>
    <t>DebrisCleared</t>
  </si>
  <si>
    <t>Dialog_QuestStart</t>
  </si>
  <si>
    <t>VO/EN/SFX_QuestStart_EN</t>
  </si>
  <si>
    <t>Beat_QuestStart</t>
  </si>
  <si>
    <t>Beat_JellyfishFields_ComingSoon</t>
  </si>
  <si>
    <t>Dialog_QuestStatus</t>
  </si>
  <si>
    <t>Dialog_QuestComplete</t>
  </si>
  <si>
    <t>VO/EN/SFX_QuestComplete_EN</t>
  </si>
  <si>
    <t>Beat_QuestComplete</t>
  </si>
  <si>
    <t>Dialog_MultiQuestStartChristmas</t>
  </si>
  <si>
    <t>SoundEffects/Christmas/Holiday_multiple_quest_start</t>
  </si>
  <si>
    <t>Dialog_MultiQuestCompleteChristmas</t>
  </si>
  <si>
    <t>SoundEffects/Christmas/Holiday_multiple_quest_complete</t>
  </si>
  <si>
    <t>Dialog_SimpleQuestStartChristmas</t>
  </si>
  <si>
    <t>SoundEffects/Christmas/Holiday_simple_quest_start</t>
  </si>
  <si>
    <t>Dialog_SimpleQuestCompleteChristmas</t>
  </si>
  <si>
    <t>SoundEffects/Christmas/Holiday_simple_quest_complete</t>
  </si>
  <si>
    <t>Dialog_FoundItem</t>
  </si>
  <si>
    <t>Beat_FoundMovie</t>
  </si>
  <si>
    <t>SB_AnotherMoveInStory</t>
  </si>
  <si>
    <t>VO/EN/SB092_EN</t>
  </si>
  <si>
    <t>SB_CantWaitToSeeThisOne</t>
  </si>
  <si>
    <t>VO/EN/SB093_EN</t>
  </si>
  <si>
    <t>SB_WonderWhatThisOnesAbout</t>
  </si>
  <si>
    <t>VO/EN/SB094_EN</t>
  </si>
  <si>
    <t>SB_LoveWatchingTheseThings</t>
  </si>
  <si>
    <t>VO/EN/SB095_EN</t>
  </si>
  <si>
    <t>Beat_FoundRecipe</t>
  </si>
  <si>
    <t>SB_ANewRecipe</t>
  </si>
  <si>
    <t>VO/EN/SB283_EN</t>
  </si>
  <si>
    <t>SB_ShhItsASecretRecipe</t>
  </si>
  <si>
    <t>VO/EN/SB286_EN</t>
  </si>
  <si>
    <t>SB_HeyItsASecretRecipe</t>
  </si>
  <si>
    <t>VO/EN/Spongebob_95_EN</t>
  </si>
  <si>
    <t>SB_AnotherSecretRecipe</t>
  </si>
  <si>
    <t>VO/EN/Spongebob_96_EN</t>
  </si>
  <si>
    <t>Dialog_Explanation</t>
  </si>
  <si>
    <t>Beat_NotEnoughFood</t>
  </si>
  <si>
    <t>VO/Squidward_GoWithIt</t>
  </si>
  <si>
    <t>squidward</t>
  </si>
  <si>
    <t>Beat_NotEnoughMoney</t>
  </si>
  <si>
    <t>Beat_MoveIn</t>
  </si>
  <si>
    <t>Dialog_LevelUp</t>
  </si>
  <si>
    <t>VO/EN/SFX_FanFare_EN</t>
  </si>
  <si>
    <t>VO/EN/SB357_EN</t>
  </si>
  <si>
    <t>Dialog_LevelUp_SB02</t>
  </si>
  <si>
    <t>VO/EN/SB358_EN</t>
  </si>
  <si>
    <t>Dialog_LevelUp_SB03</t>
  </si>
  <si>
    <t>VO/EN/SB359_EN</t>
  </si>
  <si>
    <t>Dialog_LevelUp_SB04</t>
  </si>
  <si>
    <t>VO/EN/SB360_EN</t>
  </si>
  <si>
    <t>Dialog_LevelUp_SB05</t>
  </si>
  <si>
    <t>VO/EN/SB361_EN</t>
  </si>
  <si>
    <t>Dialog_LevelUp_SB06</t>
  </si>
  <si>
    <t>VO/EN/SB362_EN</t>
  </si>
  <si>
    <t>Dialog_LevelUp_SB07</t>
  </si>
  <si>
    <t>VO/EN/SB363_EN</t>
  </si>
  <si>
    <t>Dialog_LevelUp_SB08</t>
  </si>
  <si>
    <t>VO/EN/SB364_EN</t>
  </si>
  <si>
    <t>Dialog_LevelUp_SB09</t>
  </si>
  <si>
    <t>VO/EN/SB365_EN</t>
  </si>
  <si>
    <t>Dialog_LevelUp_SB10</t>
  </si>
  <si>
    <t>VO/EN/SB366_EN</t>
  </si>
  <si>
    <t>Dialog_LevelUp_SB11</t>
  </si>
  <si>
    <t>VO/EN/SB367_EN</t>
  </si>
  <si>
    <t>Dialog_LevelUp_SB12</t>
  </si>
  <si>
    <t>VO/EN/SB368_EN</t>
  </si>
  <si>
    <t>Dialog_LevelUp_SB13</t>
  </si>
  <si>
    <t>VO/EN/SB369_EN</t>
  </si>
  <si>
    <t>Dialog_LevelUp_SB14</t>
  </si>
  <si>
    <t>VO/EN/SB370_EN</t>
  </si>
  <si>
    <t>Dialog_LevelUp_SB15</t>
  </si>
  <si>
    <t>VO/EN/SB371_EN</t>
  </si>
  <si>
    <t>Dialog_LevelUp_SB16</t>
  </si>
  <si>
    <t>VO/EN/SB372_EN</t>
  </si>
  <si>
    <t>Dialog_Expansion</t>
  </si>
  <si>
    <t>CloseQuestDialog</t>
  </si>
  <si>
    <t>CloseLevelUpDialog</t>
  </si>
  <si>
    <t>CloseFoundItemDialog</t>
  </si>
  <si>
    <t>SelectSimulated</t>
  </si>
  <si>
    <t>TouchSimulated</t>
  </si>
  <si>
    <t>Squidward_Grrr</t>
  </si>
  <si>
    <t>VO/Squidward_Grrr</t>
  </si>
  <si>
    <t>Squidward_GoWithIt</t>
  </si>
  <si>
    <t>Squidward_Perfect</t>
  </si>
  <si>
    <t>VO/Squidward_Perfect</t>
  </si>
  <si>
    <t>Squidward_What</t>
  </si>
  <si>
    <t>VO/Squidward_What</t>
  </si>
  <si>
    <t>Squidward_Whatever</t>
  </si>
  <si>
    <t>VO/Squidward_Whatever</t>
  </si>
  <si>
    <t>Squidward_NiceRealNice</t>
  </si>
  <si>
    <t>VO/Squidward_NiceRealNice</t>
  </si>
  <si>
    <t>Squidward_Yup</t>
  </si>
  <si>
    <t>VO/Squidward_Yup</t>
  </si>
  <si>
    <t>Krabs_Alright</t>
  </si>
  <si>
    <t>VO/Krabs_Alright</t>
  </si>
  <si>
    <t>krabs</t>
  </si>
  <si>
    <t>Krabs_WhatThe</t>
  </si>
  <si>
    <t>VO/Krabs_WhatThe</t>
  </si>
  <si>
    <t>Krabs_Yippie</t>
  </si>
  <si>
    <t>VO/Krabs_Yippie</t>
  </si>
  <si>
    <t>Krabs_Laugh</t>
  </si>
  <si>
    <t>VO/Krabs_Laugh</t>
  </si>
  <si>
    <t>Krabs_Oh</t>
  </si>
  <si>
    <t>VO/Krabs_Oh</t>
  </si>
  <si>
    <t>Patrick_Hey</t>
  </si>
  <si>
    <t>VO/Patrick_Hey</t>
  </si>
  <si>
    <t>patrick</t>
  </si>
  <si>
    <t>Patrick_Gosh</t>
  </si>
  <si>
    <t>VO/Patrick_Gosh</t>
  </si>
  <si>
    <t>Patrick_Laugh</t>
  </si>
  <si>
    <t>VO/Patrick_Laugh</t>
  </si>
  <si>
    <t>Patrick_Okay</t>
  </si>
  <si>
    <t>VO/Patrick_Okay</t>
  </si>
  <si>
    <t>Patrick_HeyWaitAMinute</t>
  </si>
  <si>
    <t>VO/Patrick_HeyWaitAMinute</t>
  </si>
  <si>
    <t>Plankton_Laugh</t>
  </si>
  <si>
    <t>VO/Plankton_Laugh</t>
  </si>
  <si>
    <t>plankton</t>
  </si>
  <si>
    <t>Plankton_Meow</t>
  </si>
  <si>
    <t>VO/Plankton_Meow</t>
  </si>
  <si>
    <t>Plankton_Wait</t>
  </si>
  <si>
    <t>VO/Plankton_Wait</t>
  </si>
  <si>
    <t>Plankton_Curses</t>
  </si>
  <si>
    <t>VO/Plankton_Curses</t>
  </si>
  <si>
    <t>Plankton_Yes</t>
  </si>
  <si>
    <t>VO/Plankton_Yes</t>
  </si>
  <si>
    <t>Sandy_HowdyYall</t>
  </si>
  <si>
    <t>VO/Sandy_HowdyYall</t>
  </si>
  <si>
    <t>sandy</t>
  </si>
  <si>
    <t>Sandy_OhWell</t>
  </si>
  <si>
    <t>VO/Sandy_OhWell</t>
  </si>
  <si>
    <t>Sandy_Yes</t>
  </si>
  <si>
    <t>VO/Sandy_Yes</t>
  </si>
  <si>
    <t>Sandy_HoldOn</t>
  </si>
  <si>
    <t>VO/Sandy_HoldOn</t>
  </si>
  <si>
    <t>Sandy_Ready</t>
  </si>
  <si>
    <t>VO/Sandy_Ready</t>
  </si>
  <si>
    <t>Sandy_Wowie</t>
  </si>
  <si>
    <t>VO/Sandy_Wowie</t>
  </si>
  <si>
    <t>Sandy_YES_Excited</t>
  </si>
  <si>
    <t>VO/Sandy_YES_Excited</t>
  </si>
  <si>
    <t>SB_HomeSweetPineapple</t>
  </si>
  <si>
    <t>VO/EN/SB064_EN</t>
  </si>
  <si>
    <t>SB_SwipeUpDown</t>
  </si>
  <si>
    <t>VO/EN/SB068_EN</t>
  </si>
  <si>
    <t>SB_ImReady_1</t>
  </si>
  <si>
    <t>VO/EN/SB523_EN</t>
  </si>
  <si>
    <t>SB_ImReady_2</t>
  </si>
  <si>
    <t>VO/EN/SB744_EN</t>
  </si>
  <si>
    <t>SB_ImReady_3</t>
  </si>
  <si>
    <t>VO/EN/SB745_EN</t>
  </si>
  <si>
    <t>SB_IApprove</t>
  </si>
  <si>
    <t>VO/EN/SB414_EN</t>
  </si>
  <si>
    <t>SB_OhThereYouAre</t>
  </si>
  <si>
    <t>VO/EN/SB554_EN</t>
  </si>
  <si>
    <t>SB_LetsGetStarted</t>
  </si>
  <si>
    <t>VO/EN/SB567_EN</t>
  </si>
  <si>
    <t>SB_Ahoy</t>
  </si>
  <si>
    <t>VO/EN/SB199_EN</t>
  </si>
  <si>
    <t>SB_HeyYou</t>
  </si>
  <si>
    <t>VO/EN/SB206_EN</t>
  </si>
  <si>
    <t>SB_HeyBuddy</t>
  </si>
  <si>
    <t>VO/EN/SB201_EN</t>
  </si>
  <si>
    <t>SB_ClearDebris</t>
  </si>
  <si>
    <t>VO/EN/SB041_EN</t>
  </si>
  <si>
    <t>SB_TapOpenStoreMenu</t>
  </si>
  <si>
    <t>VO/EN/SB050_EN</t>
  </si>
  <si>
    <t>SB_TapCharacterGiveWantLevelUp</t>
  </si>
  <si>
    <t>VO/EN/SB056_EN</t>
  </si>
  <si>
    <t>SB_TapPopBubbles</t>
  </si>
  <si>
    <t>VO/EN/SB072_EN</t>
  </si>
  <si>
    <t>SB_TapFinishConstruction</t>
  </si>
  <si>
    <t>VO/EN/SB040_rev_EN</t>
  </si>
  <si>
    <t>SB_TapPlantLettuce</t>
  </si>
  <si>
    <t>VO/EN/Spongebob_63_rev_EN</t>
  </si>
  <si>
    <t>SB_TapSkipSpeedUp</t>
  </si>
  <si>
    <t>VO/EN/Spongebob_81_EN</t>
  </si>
  <si>
    <t>SB_TapCharacterGiveWant</t>
  </si>
  <si>
    <t>VO/EN/Spongebob_50_rev_EN</t>
  </si>
  <si>
    <t>SB_TapPlaceRoadPiece</t>
  </si>
  <si>
    <t>VO/EN/SB043_EN</t>
  </si>
  <si>
    <t>SB_TapOpenBuildings</t>
  </si>
  <si>
    <t>VO/EN/SB052_EN</t>
  </si>
  <si>
    <t>SB_DragPlaceCheckmark</t>
  </si>
  <si>
    <t>VO/EN/SB037_EN</t>
  </si>
  <si>
    <t>SB_DragHighlightedAreaCheckmark</t>
  </si>
  <si>
    <t>VO/EN/SB035_EN</t>
  </si>
  <si>
    <t>VO/EN/SB344_EN</t>
  </si>
  <si>
    <t>VO/EN/SB345_EN</t>
  </si>
  <si>
    <t>SB_JJTaskBuildingTimes</t>
  </si>
  <si>
    <t>VO/EN/SB057_EN</t>
  </si>
  <si>
    <t>SB_ForYourSpatulaNeeds</t>
  </si>
  <si>
    <t>VO/EN/SB393_EN</t>
  </si>
  <si>
    <t>SB_MakeThisLookEasy</t>
  </si>
  <si>
    <t>VO/EN/SB528_EN</t>
  </si>
  <si>
    <t>SB_GreatJob</t>
  </si>
  <si>
    <t>VO/EN/SB755_EN</t>
  </si>
  <si>
    <t>SB_GrillIsReady</t>
  </si>
  <si>
    <t>VO/EN/SB231_EN</t>
  </si>
  <si>
    <t>SB_ThoughtBubbleMakeWantLevelUp</t>
  </si>
  <si>
    <t>VO/EN/SB073_EN</t>
  </si>
  <si>
    <t>SB_GiveWhatTheyWant</t>
  </si>
  <si>
    <t>VO/EN/SB074_EN</t>
  </si>
  <si>
    <t>SB_Yes</t>
  </si>
  <si>
    <t>VO/EN/SB732_EN</t>
  </si>
  <si>
    <t>SB_SwipeLeftRight</t>
  </si>
  <si>
    <t>VO/EN/SB067_EN</t>
  </si>
  <si>
    <t>SB_OrderUp2</t>
  </si>
  <si>
    <t>VO/EN/SB236_EN</t>
  </si>
  <si>
    <t>SB_ItsBeautiful</t>
  </si>
  <si>
    <t>VO/EN/SB013_EN</t>
  </si>
  <si>
    <t>SB_ThoughtBubbleGiveCombo</t>
  </si>
  <si>
    <t>SB_MyFirstMoveInStory</t>
  </si>
  <si>
    <t>VO/EN/SB091_EN</t>
  </si>
  <si>
    <t>SB_TapToCollectCoins</t>
  </si>
  <si>
    <t>VO/EN/SB075_EN</t>
  </si>
  <si>
    <t>SB_HappinessIsKrabbyPatty</t>
  </si>
  <si>
    <t>VO/EN/SB655_EN</t>
  </si>
  <si>
    <t>SB_SirYesSir</t>
  </si>
  <si>
    <t>VO/EN/SB_SirYesSir_EN</t>
  </si>
  <si>
    <t>SB_Laugh</t>
  </si>
  <si>
    <t>VO/EN/SB721_EN</t>
  </si>
  <si>
    <t>SB_TapRemoveMess</t>
  </si>
  <si>
    <t>VO/EN/SB038_EN</t>
  </si>
  <si>
    <t>SB_LetsDoThis</t>
  </si>
  <si>
    <t>VO/EN/SB514_EN</t>
  </si>
  <si>
    <t>SB_LetsDoThis_Macho</t>
  </si>
  <si>
    <t>VO/EN/Spongebob_30_EN</t>
  </si>
  <si>
    <t>SB_AreYouReady</t>
  </si>
  <si>
    <t>VO/EN/SB568_EN</t>
  </si>
  <si>
    <t>SB_ComeOn</t>
  </si>
  <si>
    <t>VO/EN/SB766_EN</t>
  </si>
  <si>
    <t>SB_MovingIn</t>
  </si>
  <si>
    <t>VO/EN/SB001_EN</t>
  </si>
  <si>
    <t>SB_JJSpeedUp</t>
  </si>
  <si>
    <t>VO/EN/SB057-C_EN</t>
  </si>
  <si>
    <t>SB_JJSpeedUpBuildingTimes</t>
  </si>
  <si>
    <t>VO/EN/SB057-B_EN</t>
  </si>
  <si>
    <t>SB_TapOpenDecorations</t>
  </si>
  <si>
    <t>VO/EN/SB051_EN</t>
  </si>
  <si>
    <t>SB_TimeToMoveIn</t>
  </si>
  <si>
    <t>VO/EN/SB006_EN</t>
  </si>
  <si>
    <t>SB_Gasp</t>
  </si>
  <si>
    <t>VO/EN/SB764_EN</t>
  </si>
  <si>
    <t>SB_TapHere</t>
  </si>
  <si>
    <t>VO/EN/SB065_EN</t>
  </si>
  <si>
    <t>SB_WhoaSoIntense</t>
  </si>
  <si>
    <t>VO/EN/SB676_EN</t>
  </si>
  <si>
    <t>SB_Oooh</t>
  </si>
  <si>
    <t>VO/EN/SB706_EN</t>
  </si>
  <si>
    <t>GaryMeow_Normal</t>
  </si>
  <si>
    <t>VO/EN/GA006_rev1</t>
  </si>
  <si>
    <t>gary</t>
  </si>
  <si>
    <t>TapKKOpenGG</t>
  </si>
  <si>
    <t>VO/EN/SB059_EN</t>
  </si>
  <si>
    <t>Doorbell</t>
  </si>
  <si>
    <t>SoundEffects/SFX_Doorbell2</t>
  </si>
  <si>
    <t>SchoolBell</t>
  </si>
  <si>
    <t>SoundEffects/SB_SCHOOL_BELL_FX</t>
  </si>
  <si>
    <t>OvenTimer</t>
  </si>
  <si>
    <t>SoundEffects/SB_OVEN_TIMER_DING_FX</t>
  </si>
  <si>
    <t>CashRegister</t>
  </si>
  <si>
    <t>OrderUpBell</t>
  </si>
  <si>
    <t>SoundEffects/SB_ORDER_UP_BELL</t>
  </si>
  <si>
    <t>StoveFireUp</t>
  </si>
  <si>
    <t>SoundEffects/SB_STOVE_FIRE_FX</t>
  </si>
  <si>
    <t>WellCoinDrop</t>
  </si>
  <si>
    <t>SoundEffects/SB_CoinWellDrop</t>
  </si>
  <si>
    <t>SoundEffects/Christmas/sfx_open_market</t>
  </si>
  <si>
    <t>SoundEffects/Christmas/sfx_open_treat_shop</t>
  </si>
  <si>
    <t>ChumBucketSelect</t>
  </si>
  <si>
    <t>WishingWellSelect</t>
  </si>
  <si>
    <t>TreasureMapStandSelect</t>
  </si>
  <si>
    <t>MapOpen</t>
  </si>
  <si>
    <t>SoundEffects/SB_MAP_OPEN_FX</t>
  </si>
  <si>
    <t>JellyfishNet</t>
  </si>
  <si>
    <t>SoundEffects/SB_NET_FX</t>
  </si>
  <si>
    <t>RockingChair</t>
  </si>
  <si>
    <t>SoundEffects/SB_ROCKING_CHAIR</t>
  </si>
  <si>
    <t>FanFareExample</t>
  </si>
  <si>
    <t>VO/EXT/SFX_FanFare</t>
  </si>
  <si>
    <t>HeartMonitor</t>
  </si>
  <si>
    <t>SoundEffects/SB_Heart_Monitor</t>
  </si>
  <si>
    <t>PotsClang</t>
  </si>
  <si>
    <t>SoundEffects/SB_POTS_CLANG_FX</t>
  </si>
  <si>
    <t>MovieProjector</t>
  </si>
  <si>
    <t>SpitCan</t>
  </si>
  <si>
    <t>SoundEffects/SB_SPIT_FX</t>
  </si>
  <si>
    <t>Banjo</t>
  </si>
  <si>
    <t>SoundEffects/SB_BANJO_FX</t>
  </si>
  <si>
    <t>Weights</t>
  </si>
  <si>
    <t>SoundEffects/SB_WEIGHTS_FX</t>
  </si>
  <si>
    <t>PoliceSiren</t>
  </si>
  <si>
    <t>SoundEffects/SB_Police_Siren</t>
  </si>
  <si>
    <t>JailClose</t>
  </si>
  <si>
    <t>SoundEffects/SB_JAIL_CLOSE_FX</t>
  </si>
  <si>
    <t>VO/EN/BB_4_EN</t>
  </si>
  <si>
    <t>barnacleboy</t>
  </si>
  <si>
    <t>BB_TapTapTappingAway</t>
  </si>
  <si>
    <t>VO/EN/BB_45_EN</t>
  </si>
  <si>
    <t>BB_ThatTickles</t>
  </si>
  <si>
    <t>VO/EN/BB_48_EN</t>
  </si>
  <si>
    <t>BB_Ouch</t>
  </si>
  <si>
    <t>VO/EN/BB_49_EN</t>
  </si>
  <si>
    <t>BB_Ow</t>
  </si>
  <si>
    <t>VO/EN/BB_50_EN</t>
  </si>
  <si>
    <t>BB_WaitAMinute</t>
  </si>
  <si>
    <t>VO/EN/BB_90_EN</t>
  </si>
  <si>
    <t>BB_WhatIsItKid</t>
  </si>
  <si>
    <t>VO/EN/BB_91_EN</t>
  </si>
  <si>
    <t>BB_Holy</t>
  </si>
  <si>
    <t>VO/EN/BB_93_EN</t>
  </si>
  <si>
    <t>BB_NuclearTouch</t>
  </si>
  <si>
    <t>VO/EN/BB_95_EN</t>
  </si>
  <si>
    <t>BB_GreatGravy</t>
  </si>
  <si>
    <t>VO/EN/BB_96_EN</t>
  </si>
  <si>
    <t>BB_LaughBrief</t>
  </si>
  <si>
    <t>VO/EN/BB_186_EN</t>
  </si>
  <si>
    <t>BB_CutItOut</t>
  </si>
  <si>
    <t>VO/EN/BB_192_EN</t>
  </si>
  <si>
    <t>BB_DagnabbitStop</t>
  </si>
  <si>
    <t>VO/EN/BB_195_EN</t>
  </si>
  <si>
    <t>BB_WhatWrongWithYou</t>
  </si>
  <si>
    <t>VO/EN/BB_196_EN</t>
  </si>
  <si>
    <t>BB_ImNotHungry</t>
  </si>
  <si>
    <t>VO/EN/BB_89_EN</t>
  </si>
  <si>
    <t>VO/EN/Gene_6_EN</t>
  </si>
  <si>
    <t>gene</t>
  </si>
  <si>
    <t>VO/EN/Kevin_6_EN</t>
  </si>
  <si>
    <t>kevin</t>
  </si>
  <si>
    <t>VO/EN/Nep_07_EN</t>
  </si>
  <si>
    <t>neptune</t>
  </si>
  <si>
    <t>VO/EN/LL_04_EN</t>
  </si>
  <si>
    <t>larry</t>
  </si>
  <si>
    <t>LL_Nice</t>
  </si>
  <si>
    <t>VO/EN/LL_49_EN</t>
  </si>
  <si>
    <t>LL_ComeOn</t>
  </si>
  <si>
    <t>VO/EN/LL_50_EN</t>
  </si>
  <si>
    <t>LL_TapLikeYouMeanIt</t>
  </si>
  <si>
    <t>VO/EN/LL_51_EN</t>
  </si>
  <si>
    <t>LL_TapCrazy</t>
  </si>
  <si>
    <t>VO/EN/LL_52_EN</t>
  </si>
  <si>
    <t>LL_PunchInGut</t>
  </si>
  <si>
    <t>VO/EN/LL_53_EN</t>
  </si>
  <si>
    <t>LL_TapHarder</t>
  </si>
  <si>
    <t>VO/EN/LL_54_EN</t>
  </si>
  <si>
    <t>LL_WorkingOutFinger</t>
  </si>
  <si>
    <t>VO/EN/LL_55_EN</t>
  </si>
  <si>
    <t>LL_ToldYouWouldntHurt</t>
  </si>
  <si>
    <t>VO/EN/LL_57_EN</t>
  </si>
  <si>
    <t>LL_AbsOfSteel</t>
  </si>
  <si>
    <t>VO/EN/LL_58_EN</t>
  </si>
  <si>
    <t>LL_HardBody</t>
  </si>
  <si>
    <t>VO/EN/LL_59_EN</t>
  </si>
  <si>
    <t>LL_FeelMyMuscles</t>
  </si>
  <si>
    <t>VO/EN/LL_60_EN</t>
  </si>
  <si>
    <t>LL_ICanTakeIt</t>
  </si>
  <si>
    <t>VO/EN/LL_61_EN</t>
  </si>
  <si>
    <t>LL_GreatJobMovingMeIn</t>
  </si>
  <si>
    <t>VO/EN/LL_03_EN</t>
  </si>
  <si>
    <t>VO/EN/MMan_32_EN</t>
  </si>
  <si>
    <t>mermaidman</t>
  </si>
  <si>
    <t>MM_Hey</t>
  </si>
  <si>
    <t>VO/EN/MMan_45_EN</t>
  </si>
  <si>
    <t>MM_Ouch</t>
  </si>
  <si>
    <t>VO/EN/MMan_46_EN</t>
  </si>
  <si>
    <t>MM_WatchWhereYoureTapping</t>
  </si>
  <si>
    <t>VO/EN/MMan_47_EN</t>
  </si>
  <si>
    <t>MM_ThatTickles</t>
  </si>
  <si>
    <t>VO/EN/MMan_51_EN</t>
  </si>
  <si>
    <t>MM_Ouch2</t>
  </si>
  <si>
    <t>VO/EN/MMan_52_EN</t>
  </si>
  <si>
    <t>MM_Ow</t>
  </si>
  <si>
    <t>VO/EN/MMan_53_EN</t>
  </si>
  <si>
    <t>MM_GreatBarrierReef</t>
  </si>
  <si>
    <t>VO/EN/MMan_57_EN</t>
  </si>
  <si>
    <t>MM_YoureGoingTapCrazy</t>
  </si>
  <si>
    <t>VO/EN/MMan_91_EN</t>
  </si>
  <si>
    <t>MM_Evil</t>
  </si>
  <si>
    <t>VO/EN/MMan_92_EN</t>
  </si>
  <si>
    <t>MM_ToTheChiropractorAway</t>
  </si>
  <si>
    <t>VO/EN/MMan_93_EN</t>
  </si>
  <si>
    <t>VO/EN/MR_4_EN</t>
  </si>
  <si>
    <t>manray</t>
  </si>
  <si>
    <t>MR_Hey</t>
  </si>
  <si>
    <t>VO/EN/MR_44_EN</t>
  </si>
  <si>
    <t>MR_Ouch</t>
  </si>
  <si>
    <t>VO/EN/MR_45_EN</t>
  </si>
  <si>
    <t>MR_WatchWhereTapping</t>
  </si>
  <si>
    <t>VO/EN/MR_46_EN</t>
  </si>
  <si>
    <t>MR_TapTapTappingAway</t>
  </si>
  <si>
    <t>VO/EN/MR_47_EN</t>
  </si>
  <si>
    <t>MR_ThatTickles</t>
  </si>
  <si>
    <t>VO/EN/MR_50_EN</t>
  </si>
  <si>
    <t>MR_Ow</t>
  </si>
  <si>
    <t>VO/EN/MR_52_EN</t>
  </si>
  <si>
    <t>MR_TomFoolery</t>
  </si>
  <si>
    <t>VO/EN/MR_91_EN</t>
  </si>
  <si>
    <t>MR_HeadAroundThis</t>
  </si>
  <si>
    <t>VO/EN/MR_92_EN</t>
  </si>
  <si>
    <t>MR_NotFastEnough</t>
  </si>
  <si>
    <t>VO/EN/MR_94_EN</t>
  </si>
  <si>
    <t>MR_Wha</t>
  </si>
  <si>
    <t>VO/EN/MR_96_EN</t>
  </si>
  <si>
    <t>MR_TeachingsTransformedMe</t>
  </si>
  <si>
    <t>VO/EN/MR_97_EN</t>
  </si>
  <si>
    <t>MR_TimeForSpinCycle</t>
  </si>
  <si>
    <t>VO/EN/MR_99_EN</t>
  </si>
  <si>
    <t>OMJ_Chewing</t>
  </si>
  <si>
    <t>VO/EN/OMJ_001_EN</t>
  </si>
  <si>
    <t>oldmanjenkins</t>
  </si>
  <si>
    <t>OMJ_RustyonRyePlease</t>
  </si>
  <si>
    <t>VO/EN/OMJ_002_EN</t>
  </si>
  <si>
    <t>OMJ_TreataCustomer</t>
  </si>
  <si>
    <t>VO/EN/OMJ_003_EN</t>
  </si>
  <si>
    <t>Gene_ThatTickles</t>
  </si>
  <si>
    <t>VO/EN/Gene_50_EN</t>
  </si>
  <si>
    <t>Gene_Ouch</t>
  </si>
  <si>
    <t>VO/EN/Gene_45_EN</t>
  </si>
  <si>
    <t>Gene_WatchWhereYoureTapping</t>
  </si>
  <si>
    <t>VO/EN/Gene_46_EN</t>
  </si>
  <si>
    <t>Gene_Hey</t>
  </si>
  <si>
    <t>VO/EN/Gene_48_EN</t>
  </si>
  <si>
    <t>Gene_WatchTheMustache</t>
  </si>
  <si>
    <t>VO/EN/Gene_93_EN</t>
  </si>
  <si>
    <t>Gene_WatchTheHair</t>
  </si>
  <si>
    <t>VO/EN/Gene_94_EN</t>
  </si>
  <si>
    <t>Gene_ImAFoodCritic</t>
  </si>
  <si>
    <t>VO/EN/Gene_95_EN</t>
  </si>
  <si>
    <t>Gene_TwoThumbsDownTapping</t>
  </si>
  <si>
    <t>VO/EN/Gene_97_EN</t>
  </si>
  <si>
    <t>Gene_TapRightOuttaHere</t>
  </si>
  <si>
    <t>VO/EN/Gene_98_EN</t>
  </si>
  <si>
    <t>Gene_NotReviewingThisAnnoyance</t>
  </si>
  <si>
    <t>VO/EN/Gene_99_EN</t>
  </si>
  <si>
    <t>Kevin_Hey</t>
  </si>
  <si>
    <t>VO/EN/Kevin_47_EN</t>
  </si>
  <si>
    <t>Kevin_Ouch</t>
  </si>
  <si>
    <t>VO/EN/Kevin_48_EN</t>
  </si>
  <si>
    <t>Kevin_WatchWhereYoureTapping</t>
  </si>
  <si>
    <t>VO/EN/Kevin_49_EN</t>
  </si>
  <si>
    <t>Kevin_Hey2</t>
  </si>
  <si>
    <t>VO/EN/Kevin_51_EN</t>
  </si>
  <si>
    <t>Kevin_Ouch2</t>
  </si>
  <si>
    <t>VO/EN/Kevin_53_EN</t>
  </si>
  <si>
    <t>Kevin_Ow</t>
  </si>
  <si>
    <t>VO/EN/Kevin_54_EN</t>
  </si>
  <si>
    <t>Kevin_HowYouFeelTapLikeThis</t>
  </si>
  <si>
    <t>VO/EN/Kevin_88_EN</t>
  </si>
  <si>
    <t>Kevin_Security</t>
  </si>
  <si>
    <t>VO/EN/Kevin_90_EN</t>
  </si>
  <si>
    <t>Kevin_WahWahWah</t>
  </si>
  <si>
    <t>VO/EN/Kevin_91_EN</t>
  </si>
  <si>
    <t>Kevin_HelpMeMommieBlankie</t>
  </si>
  <si>
    <t>VO/EN/Kevin_92_EN</t>
  </si>
  <si>
    <t>Kevin_Loser</t>
  </si>
  <si>
    <t>VO/EN/Kevin_93_EN</t>
  </si>
  <si>
    <t>Kevin_WillYouCutThatOut</t>
  </si>
  <si>
    <t>VO/EN/Kevin_94_EN</t>
  </si>
  <si>
    <t>Neptune_Hey</t>
  </si>
  <si>
    <t>VO/EN/Nep_43_EN</t>
  </si>
  <si>
    <t>Neptune_Ouch</t>
  </si>
  <si>
    <t>VO/EN/Nep_44_EN</t>
  </si>
  <si>
    <t>Neptune_ThatTickles</t>
  </si>
  <si>
    <t>VO/EN/Nep_48_EN</t>
  </si>
  <si>
    <t>Neptune_Ow</t>
  </si>
  <si>
    <t>VO/EN/Nep_50_EN</t>
  </si>
  <si>
    <t>Neptune_EnoughWithTappingAlready</t>
  </si>
  <si>
    <t>VO/EN/Nep_92_EN</t>
  </si>
  <si>
    <t>Neptune_WhoDaresTapRoyalPerson</t>
  </si>
  <si>
    <t>VO/EN/Nep_95_EN</t>
  </si>
  <si>
    <t>Neptune_ConcedeToCommonTapper</t>
  </si>
  <si>
    <t>VO/EN/Nep_97_EN</t>
  </si>
  <si>
    <t>Citizen_Hey</t>
  </si>
  <si>
    <t>VO/EN/Bottomite1_16_EN</t>
  </si>
  <si>
    <t>Citizen_Ouch</t>
  </si>
  <si>
    <t>VO/EN/Bottomite1_17_EN</t>
  </si>
  <si>
    <t>Citizen_WatchWhereTapping</t>
  </si>
  <si>
    <t>VO/EN/Bottomite1_18_EN</t>
  </si>
  <si>
    <t>Citizen_ThatTickles</t>
  </si>
  <si>
    <t>VO/EN/Bottomite1_19_EN</t>
  </si>
  <si>
    <t>Citizen_Ow</t>
  </si>
  <si>
    <t>VO/EN/Bottomite1_20_EN</t>
  </si>
  <si>
    <t>MK_Laugh_Original</t>
  </si>
  <si>
    <t>VO/EN/Krabs_Laugh</t>
  </si>
  <si>
    <t>MK_Hey</t>
  </si>
  <si>
    <t>VO/EN/MrKrabs_44_EN</t>
  </si>
  <si>
    <t>MK_Ouch</t>
  </si>
  <si>
    <t>VO/EN/MrKrabs_45_EN</t>
  </si>
  <si>
    <t>MK_TasteOfMeClaws</t>
  </si>
  <si>
    <t>VO/EN/MrKrabs_94_EN</t>
  </si>
  <si>
    <t>MK_ThatTickles</t>
  </si>
  <si>
    <t>VO/EN/MrKrabs_50_EN</t>
  </si>
  <si>
    <t>MK_ChargeForEachTap</t>
  </si>
  <si>
    <t>VO/EN/MrKrabs_99_EN</t>
  </si>
  <si>
    <t>MK_WatchWhereTapping</t>
  </si>
  <si>
    <t>VO/EN/MrKrabs_46_EN</t>
  </si>
  <si>
    <t>MK_YoullWalkThePlank</t>
  </si>
  <si>
    <t>VO/EN/MrKrabs_92_EN</t>
  </si>
  <si>
    <t>MK_WhatYouDoingThatFor</t>
  </si>
  <si>
    <t>VO/EN/MrKrabs_93_EN</t>
  </si>
  <si>
    <t>MK_TappingOnMyDime</t>
  </si>
  <si>
    <t>VO/EN/MrKrabs_98_EN</t>
  </si>
  <si>
    <t>MK_WhatsWithTapping</t>
  </si>
  <si>
    <t>VO/EN/MrKrabs_95_EN</t>
  </si>
  <si>
    <t>MK_DontJustStandThere</t>
  </si>
  <si>
    <t>VO/EN/MrKrabs_237_EN</t>
  </si>
  <si>
    <t>MK_LetsGetStarted</t>
  </si>
  <si>
    <t>VO/EN/MrKrabs_152_EN</t>
  </si>
  <si>
    <t>MK_KKOpenAllHolidays</t>
  </si>
  <si>
    <t>VO/EN/MrKrabs_479_EN</t>
  </si>
  <si>
    <t>MK_MeKrustyKrab</t>
  </si>
  <si>
    <t>VO/EN/MrKrabs_119_EN</t>
  </si>
  <si>
    <t>MK_ReadyToCollect</t>
  </si>
  <si>
    <t>VO/EN/MrKrabs_245_EN</t>
  </si>
  <si>
    <t>MK_TapLikeYouMeanIt</t>
  </si>
  <si>
    <t>VO/EN/MrKrabs_87_EN</t>
  </si>
  <si>
    <t>MK_AreYouReady</t>
  </si>
  <si>
    <t>VO/EN/MrKrabs_153_EN</t>
  </si>
  <si>
    <t>Sandy_Hey</t>
  </si>
  <si>
    <t>VO/EN/Sandy_49</t>
  </si>
  <si>
    <t>Sandy_Ouch</t>
  </si>
  <si>
    <t>VO/EN/Sandy_50</t>
  </si>
  <si>
    <t>Sandy_WatchWhereYoureTapping</t>
  </si>
  <si>
    <t>VO/EN/Sandy_51</t>
  </si>
  <si>
    <t>Sandy_ThatTickles</t>
  </si>
  <si>
    <t>VO/EN/Sandy_55</t>
  </si>
  <si>
    <t>Sandy_Ow</t>
  </si>
  <si>
    <t>VO/EN/Sandy_57</t>
  </si>
  <si>
    <t>Sandy_WhatsWithAllTappingYall</t>
  </si>
  <si>
    <t>VO/EN/Sandy_96</t>
  </si>
  <si>
    <t>Sandy_Yeehaw</t>
  </si>
  <si>
    <t>VO/EN/Sandy_97</t>
  </si>
  <si>
    <t>Sandy_HolyGuacamole</t>
  </si>
  <si>
    <t>VO/EN/Sandy_98</t>
  </si>
  <si>
    <t>Sandy_WhatInTarnation</t>
  </si>
  <si>
    <t>VO/EN/Sandy_99</t>
  </si>
  <si>
    <t>Sandy_YoureMinceMeat</t>
  </si>
  <si>
    <t>VO/EN/Sandy_100</t>
  </si>
  <si>
    <t>Sandy_DoggoneIt</t>
  </si>
  <si>
    <t>VO/EN/Sandy_101</t>
  </si>
  <si>
    <t>Sandy_DontLoseYourBarnacles</t>
  </si>
  <si>
    <t>VO/EN/Sandy_102</t>
  </si>
  <si>
    <t>Sandy_TappingMeTappingTexas</t>
  </si>
  <si>
    <t>VO/EN/Sandy_103</t>
  </si>
  <si>
    <t>Sandy_MightyFineTappingWork</t>
  </si>
  <si>
    <t>VO/EN/Sandy_104</t>
  </si>
  <si>
    <t>Squilliam_Hey</t>
  </si>
  <si>
    <t>VO/EN/SquilliamFancyson_39</t>
  </si>
  <si>
    <t>squilliam</t>
  </si>
  <si>
    <t>Squilliam_Ouch</t>
  </si>
  <si>
    <t>VO/EN/SquilliamFancyson_40</t>
  </si>
  <si>
    <t>Squilliam_WatchWhereYoureTapping</t>
  </si>
  <si>
    <t>VO/EN/SquilliamFancyson_41</t>
  </si>
  <si>
    <t>Squilliam_ThatTickles</t>
  </si>
  <si>
    <t>VO/EN/SquilliamFancyson_44</t>
  </si>
  <si>
    <t>Squilliam_Ow</t>
  </si>
  <si>
    <t>VO/EN/SquilliamFancyson_45</t>
  </si>
  <si>
    <t>Squilliam_DontHaveToBeAnywhereTil3</t>
  </si>
  <si>
    <t>VO/EN/SquilliamFancyson_76</t>
  </si>
  <si>
    <t>Squilliam_OkayChumTapWithAuthority</t>
  </si>
  <si>
    <t>VO/EN/SquilliamFancyson_77</t>
  </si>
  <si>
    <t>Squilliam_Toodleoo</t>
  </si>
  <si>
    <t>VO/EN/SquilliamFancyson_78</t>
  </si>
  <si>
    <t>Squilliam_ImFilthyStinkinRich</t>
  </si>
  <si>
    <t>VO/EN/SquilliamFancyson_80</t>
  </si>
  <si>
    <t>Squilliam_SavorMyUnibrow</t>
  </si>
  <si>
    <t>VO/EN/SquilliamFancyson_81</t>
  </si>
  <si>
    <t>Squilliam_AbsolutelyMagical</t>
  </si>
  <si>
    <t>VO/EN/SquilliamFancyson_83</t>
  </si>
  <si>
    <t>VO/EN/Squidward_7</t>
  </si>
  <si>
    <t>Squidward_Hey</t>
  </si>
  <si>
    <t>VO/EN/Squidward_50</t>
  </si>
  <si>
    <t>Squidward_Ouch</t>
  </si>
  <si>
    <t>VO/EN/Squidward_51</t>
  </si>
  <si>
    <t>Squidward_WatchWhereYoureTapping</t>
  </si>
  <si>
    <t>VO/EN/Squidward_52</t>
  </si>
  <si>
    <t>Squidward_Hey2</t>
  </si>
  <si>
    <t>Squidward_ThatTickles</t>
  </si>
  <si>
    <t>VO/EN/Squidward_56</t>
  </si>
  <si>
    <t>Squidward_Ouch2</t>
  </si>
  <si>
    <t>VO/EN/Squidward_57</t>
  </si>
  <si>
    <t>Squidward_ThatIsSoSoPerfect</t>
  </si>
  <si>
    <t>VO/EN/Squidward_173</t>
  </si>
  <si>
    <t>Squidward_Ow</t>
  </si>
  <si>
    <t>VO/EN/Squidward_58</t>
  </si>
  <si>
    <t>Squidward_WouldYouStopAlready</t>
  </si>
  <si>
    <t>VO/EN/Squidward_96</t>
  </si>
  <si>
    <t>Squidward_GoAway</t>
  </si>
  <si>
    <t>VO/EN/Squidward_97</t>
  </si>
  <si>
    <t>Squidward_CalmDownWhatWasIt</t>
  </si>
  <si>
    <t>VO/EN/Squidward_98</t>
  </si>
  <si>
    <t>Squidward_WhyAreYouStillHere</t>
  </si>
  <si>
    <t>VO/EN/Squidward_101</t>
  </si>
  <si>
    <t>Squidward_WhatDoYouWantImBusy</t>
  </si>
  <si>
    <t>VO/EN/Squidward_105</t>
  </si>
  <si>
    <t>PL_Touch</t>
  </si>
  <si>
    <t>PL_MoveIn</t>
  </si>
  <si>
    <t>VO/EN/PL_09_EN</t>
  </si>
  <si>
    <t>PL_Hey</t>
  </si>
  <si>
    <t>VO/EN/PL_56_EN</t>
  </si>
  <si>
    <t>PL_Ouch</t>
  </si>
  <si>
    <t>VO/EN/PL_57_EN</t>
  </si>
  <si>
    <t>PL_WatchWhereTapping</t>
  </si>
  <si>
    <t>VO/EN/PL_58_EN</t>
  </si>
  <si>
    <t>PL_WatchMyEye</t>
  </si>
  <si>
    <t>VO/EN/PL_61_EN</t>
  </si>
  <si>
    <t>PL_Ow</t>
  </si>
  <si>
    <t>VO/EN/PL_63_EN</t>
  </si>
  <si>
    <t>PL_SurelyYouJest</t>
  </si>
  <si>
    <t>VO/EN/PL_69_EN</t>
  </si>
  <si>
    <t>PL_KeepItDown</t>
  </si>
  <si>
    <t>VO/EN/PL_73_EN</t>
  </si>
  <si>
    <t>PL_WatchWhereYouPoint</t>
  </si>
  <si>
    <t>VO/EN/PL_74_EN</t>
  </si>
  <si>
    <t>PL_TakeItEasy</t>
  </si>
  <si>
    <t>VO/EN/PL_75_EN</t>
  </si>
  <si>
    <t>PL_WhatNow</t>
  </si>
  <si>
    <t>VO/EN/PL_76_EN</t>
  </si>
  <si>
    <t>PL_SeeImBusy</t>
  </si>
  <si>
    <t>VO/EN/PL_77_EN</t>
  </si>
  <si>
    <t>PL_DearNeptuneAbove</t>
  </si>
  <si>
    <t>VO/EN/PL_78_EN</t>
  </si>
  <si>
    <t>PL_LostBrainPriveleges</t>
  </si>
  <si>
    <t>VO/EN/PL_79_EN</t>
  </si>
  <si>
    <t>PL_IWentToCollege</t>
  </si>
  <si>
    <t>VO/EN/PL_80_EN</t>
  </si>
  <si>
    <t>PL_BlastedBarnacleHead</t>
  </si>
  <si>
    <t>VO/EN/PL_81_EN</t>
  </si>
  <si>
    <t>PL_WishToRuleYou</t>
  </si>
  <si>
    <t>VO/EN/PL_82_EN</t>
  </si>
  <si>
    <t>PL_AnythingBetterToDo</t>
  </si>
  <si>
    <t>VO/EN/PL_83_EN</t>
  </si>
  <si>
    <t>PL_YouIncompetentFool</t>
  </si>
  <si>
    <t>VO/EN/PL_84_EN</t>
  </si>
  <si>
    <t>PL_EnjoyYourTapping</t>
  </si>
  <si>
    <t>VO/EN/PL_85_EN</t>
  </si>
  <si>
    <t>VO/EN/P_9_EN</t>
  </si>
  <si>
    <t>P_Hey</t>
  </si>
  <si>
    <t>VO/EN/P_46_EN</t>
  </si>
  <si>
    <t>P_WatchWhereTapping</t>
  </si>
  <si>
    <t>VO/EN/P_48_EN</t>
  </si>
  <si>
    <t>P_ThatTickles</t>
  </si>
  <si>
    <t>VO/EN/P_52_EN</t>
  </si>
  <si>
    <t>P_Ouch</t>
  </si>
  <si>
    <t>VO/EN/P_53_EN</t>
  </si>
  <si>
    <t>P_Ow</t>
  </si>
  <si>
    <t>VO/EN/P_54_EN</t>
  </si>
  <si>
    <t>P_WhoAreYouPeople</t>
  </si>
  <si>
    <t>VO/EN/P_102_EN</t>
  </si>
  <si>
    <t>P_WhatInThe</t>
  </si>
  <si>
    <t>VO/EN/P_103_EN</t>
  </si>
  <si>
    <t>P_ItsTheApocalypse</t>
  </si>
  <si>
    <t>VO/EN/P_105_EN</t>
  </si>
  <si>
    <t>P_TappedOutYet</t>
  </si>
  <si>
    <t>VO/EN/P_106_EN</t>
  </si>
  <si>
    <t>P_DoItAgain</t>
  </si>
  <si>
    <t>VO/EN/P_107_EN</t>
  </si>
  <si>
    <t>P_IsThisGoingAnywhere</t>
  </si>
  <si>
    <t>VO/EN/P_108_EN</t>
  </si>
  <si>
    <t>P_ImNotYourToy</t>
  </si>
  <si>
    <t>VO/EN/P_109_EN</t>
  </si>
  <si>
    <t>P_TheHorror</t>
  </si>
  <si>
    <t>VO/EN/P_110_EN</t>
  </si>
  <si>
    <t>P_MoveToTheLeft</t>
  </si>
  <si>
    <t>VO/EN/P_111_EN</t>
  </si>
  <si>
    <t>VO/EN/PK_7_EN</t>
  </si>
  <si>
    <t>pearl</t>
  </si>
  <si>
    <t>PK_Hey</t>
  </si>
  <si>
    <t>VO/EN/PK_43_EN</t>
  </si>
  <si>
    <t>PK_DontTapMe</t>
  </si>
  <si>
    <t>VO/EN/PK_47_EN</t>
  </si>
  <si>
    <t>PK_TapTapTappingAway</t>
  </si>
  <si>
    <t>VO/EN/PK_46_EN</t>
  </si>
  <si>
    <t>PK_Ouch</t>
  </si>
  <si>
    <t>VO/EN/PK_44_EN</t>
  </si>
  <si>
    <t>PK_Ow</t>
  </si>
  <si>
    <t>VO/EN/PK_51_EN</t>
  </si>
  <si>
    <t>PK_ThatTickles</t>
  </si>
  <si>
    <t>VO/EN/PK_49_EN</t>
  </si>
  <si>
    <t>PK_AhCooties</t>
  </si>
  <si>
    <t>VO/EN/PK_94_EN</t>
  </si>
  <si>
    <t>PK_EnoughWithTapping</t>
  </si>
  <si>
    <t>VO/EN/PK_96_EN</t>
  </si>
  <si>
    <t>PK_TappedOutYet</t>
  </si>
  <si>
    <t>VO/EN/PK_98_EN</t>
  </si>
  <si>
    <t>PK_WatchYourTapping</t>
  </si>
  <si>
    <t>VO/EN/PK_45_EN</t>
  </si>
  <si>
    <t>PK_WhaddayaWant</t>
  </si>
  <si>
    <t>VO/EN/PK_90_EN</t>
  </si>
  <si>
    <t>VO/EN/Reg_6_EN</t>
  </si>
  <si>
    <t>Reg_Hey</t>
  </si>
  <si>
    <t>VO/EN/Reg_43_EN</t>
  </si>
  <si>
    <t>reg</t>
  </si>
  <si>
    <t>Reg_Ouch</t>
  </si>
  <si>
    <t>VO/EN/Reg_44_EN</t>
  </si>
  <si>
    <t>Reg_WatchWhereYoureTapping</t>
  </si>
  <si>
    <t>VO/EN/Reg_45_EN</t>
  </si>
  <si>
    <t>Reg_ThatTickles</t>
  </si>
  <si>
    <t>VO/EN/Reg_49_EN</t>
  </si>
  <si>
    <t>Reg_Ow</t>
  </si>
  <si>
    <t>VO/EN/Reg_51_EN</t>
  </si>
  <si>
    <t>Reg_EnoughWithTheTapping</t>
  </si>
  <si>
    <t>VO/EN/Reg_91_EN</t>
  </si>
  <si>
    <t>Reg_WhatHappenedLastPersonTapMe</t>
  </si>
  <si>
    <t>VO/EN/Reg_92_EN</t>
  </si>
  <si>
    <t>Reg_TappingDontMakeYouTough</t>
  </si>
  <si>
    <t>VO/EN/Reg_93_EN</t>
  </si>
  <si>
    <t>Reg_IWasQuiteTheTapper</t>
  </si>
  <si>
    <t>VO/EN/Reg_94_EN</t>
  </si>
  <si>
    <t>Reg_IsThatAllYouGot</t>
  </si>
  <si>
    <t>VO/EN/Reg_95_EN</t>
  </si>
  <si>
    <t>Reg_Weenie</t>
  </si>
  <si>
    <t>VO/EN/Reg_96_EN</t>
  </si>
  <si>
    <t>Reg_HeyTryTappingThis</t>
  </si>
  <si>
    <t>VO/EN/Reg_97_EN</t>
  </si>
  <si>
    <t>Reg_AintYouTappedOutAlready</t>
  </si>
  <si>
    <t>VO/EN/Reg_98_EN</t>
  </si>
  <si>
    <t>VO/EN/Sandy_7</t>
  </si>
  <si>
    <t>VO/EN/SquilliamFancyson_6</t>
  </si>
  <si>
    <t>SB_IAmHappySponge</t>
  </si>
  <si>
    <t>VO/EN/SB556_EN</t>
  </si>
  <si>
    <t>SB_Tickles</t>
  </si>
  <si>
    <t>VO/EN/SB720_EN</t>
  </si>
  <si>
    <t>SB_LaughBrief</t>
  </si>
  <si>
    <t>VO/EN/SB722_EN</t>
  </si>
  <si>
    <t>SB_LaughGoofy</t>
  </si>
  <si>
    <t>VO/EN/SB723_EN</t>
  </si>
  <si>
    <t>SB_YouAreTheBest</t>
  </si>
  <si>
    <t>VO/EN/SB752_EN</t>
  </si>
  <si>
    <t>SB_AnyoneTellYouHowAwesome</t>
  </si>
  <si>
    <t>VO/EN/SB753_EN</t>
  </si>
  <si>
    <t>SB_DontPanic</t>
  </si>
  <si>
    <t>VO/EN/SB779_EN</t>
  </si>
  <si>
    <t>SB_Wheee</t>
  </si>
  <si>
    <t>VO/EN/SB763_EN</t>
  </si>
  <si>
    <t>SB_JumpingJellyfish</t>
  </si>
  <si>
    <t>VO/EN/SB728_EN</t>
  </si>
  <si>
    <t>SB_TappingMeAlong</t>
  </si>
  <si>
    <t>VO/EN/SB795_EN</t>
  </si>
  <si>
    <t>SB_HolyShrimp</t>
  </si>
  <si>
    <t>VO/EN/SB760_EN</t>
  </si>
  <si>
    <t>SB_OhFishPaste</t>
  </si>
  <si>
    <t>VO/EN/SB757_EN</t>
  </si>
  <si>
    <t>SB_GreatBarrierReef</t>
  </si>
  <si>
    <t>VO/EN/SB729_EN</t>
  </si>
  <si>
    <t>SB_OhBarnacles</t>
  </si>
  <si>
    <t>VO/EN/SB726_EN</t>
  </si>
  <si>
    <t>SB_OhTarterSauce</t>
  </si>
  <si>
    <t>VO/EN/SB727_EN</t>
  </si>
  <si>
    <t>SB_MyMasterpiece</t>
  </si>
  <si>
    <t>VO/EN/SB014_EN</t>
  </si>
  <si>
    <t>SB_Gibberish</t>
  </si>
  <si>
    <t>VO/EN/SB730_EN</t>
  </si>
  <si>
    <t>SB_ThatsMeCaptain</t>
  </si>
  <si>
    <t>VO/EN/SB142_EN</t>
  </si>
  <si>
    <t>SB_HeyMrKrabs</t>
  </si>
  <si>
    <t>VO/EN/SB184_EN</t>
  </si>
  <si>
    <t>SB_AhoyMrKrabs</t>
  </si>
  <si>
    <t>VO/EN/SB185_EN</t>
  </si>
  <si>
    <t>SB_ILoveKrabbyPatties</t>
  </si>
  <si>
    <t>VO/EN/SB289_EN</t>
  </si>
  <si>
    <t>SB_OrderUp</t>
  </si>
  <si>
    <t>VO/EN/SB278_EN</t>
  </si>
  <si>
    <t>SB_IBelieveThisOrderIsYours</t>
  </si>
  <si>
    <t>VO/EN/SB277_EN</t>
  </si>
  <si>
    <t>SB_YourOrderIsReady</t>
  </si>
  <si>
    <t>VO/EN/SB276_EN</t>
  </si>
  <si>
    <t>VO/EN/SB245_EN</t>
  </si>
  <si>
    <t>SB_OneMouthWateringKrabbyPatty</t>
  </si>
  <si>
    <t>VO/EN/SB244_EN</t>
  </si>
  <si>
    <t>SB_ComeAndGetIt</t>
  </si>
  <si>
    <t>VO/EN/SB239_EN</t>
  </si>
  <si>
    <t>SB_Ready</t>
  </si>
  <si>
    <t>VO/EN/SB237_EN</t>
  </si>
  <si>
    <t>SB_FiringAllBurners</t>
  </si>
  <si>
    <t>VO/EN/SB235_EN</t>
  </si>
  <si>
    <t>SB_YesChef</t>
  </si>
  <si>
    <t>VO/EN/SB234_EN</t>
  </si>
  <si>
    <t>SB_IllGetThatForYouInAJiffy</t>
  </si>
  <si>
    <t>VO/EN/SB233_EN</t>
  </si>
  <si>
    <t>SB_OnTheDouble</t>
  </si>
  <si>
    <t>VO/EN/SB232_EN</t>
  </si>
  <si>
    <t>SB_ComingRightUp</t>
  </si>
  <si>
    <t>VO/EN/SB229_EN</t>
  </si>
  <si>
    <t>SB_WannaHelpMeGrillUpSomeKrabbyPattys</t>
  </si>
  <si>
    <t>VO/EN/SB288_EN</t>
  </si>
  <si>
    <t>SB_Finished</t>
  </si>
  <si>
    <t>VO/EN/SB293_EN</t>
  </si>
  <si>
    <t>SB_AllDone</t>
  </si>
  <si>
    <t>VO/EN/SB292_EN</t>
  </si>
  <si>
    <t>SB_ThisIsWhereTheMagicHappens</t>
  </si>
  <si>
    <t>VO/EN/SB401_EN</t>
  </si>
  <si>
    <t>SB_LoveWhatYouveDoneWithThePlace</t>
  </si>
  <si>
    <t>VO/EN/SB420_EN</t>
  </si>
  <si>
    <t>VO/EN/SB419_EN</t>
  </si>
  <si>
    <t>SB_OneKrabbyPatty</t>
  </si>
  <si>
    <t>VO/EN/SB546_EN</t>
  </si>
  <si>
    <t>SB_SetACourse</t>
  </si>
  <si>
    <t>VO/EN/SB547_EN</t>
  </si>
  <si>
    <t>SB_WelcomeToTheKrustyKrab</t>
  </si>
  <si>
    <t>VO/EN/SB558_EN</t>
  </si>
  <si>
    <t>VO/EN/SB559_EN</t>
  </si>
  <si>
    <t>SB_MyPineapple</t>
  </si>
  <si>
    <t>VO/EN/SB560_EN</t>
  </si>
  <si>
    <t>VO/EN/SB562_EN</t>
  </si>
  <si>
    <t>SB_NewResident</t>
  </si>
  <si>
    <t>VO/EN/SB563_EN</t>
  </si>
  <si>
    <t>SB_YouMovedSandyIn</t>
  </si>
  <si>
    <t>VO/EN/SB015_EN</t>
  </si>
  <si>
    <t>SB_YouMovedPatrickIn</t>
  </si>
  <si>
    <t>VO/EN/SB016_EN</t>
  </si>
  <si>
    <t>SB_YouMovedSquidwardIn</t>
  </si>
  <si>
    <t>VO/EN/SB018_EN</t>
  </si>
  <si>
    <t>SB_YouMovedPlanktonIn</t>
  </si>
  <si>
    <t>VO/EN/SB019_EN</t>
  </si>
  <si>
    <t>SB_YouMovedPearlKrabsIn</t>
  </si>
  <si>
    <t>VO/EN/SB020_EN</t>
  </si>
  <si>
    <t>SB_YouMovedLarryTheLobsterIn</t>
  </si>
  <si>
    <t>VO/EN/SB021_EN</t>
  </si>
  <si>
    <t>SB_YouMovedMMandBBIn</t>
  </si>
  <si>
    <t>VO/EN/SB023_EN</t>
  </si>
  <si>
    <t>SB_YouMovedKingNeptuneIn</t>
  </si>
  <si>
    <t>VO/EN/SB026_EN</t>
  </si>
  <si>
    <t>SB_YouMovedManRayIn</t>
  </si>
  <si>
    <t>VO/EN/SB027_EN</t>
  </si>
  <si>
    <t>SB_YouMovedRegIn</t>
  </si>
  <si>
    <t>VO/EN/SB028_EN</t>
  </si>
  <si>
    <t>SB_YouMovedSquilliamIn</t>
  </si>
  <si>
    <t>VO/EN/SB029_EN</t>
  </si>
  <si>
    <t>SB_YouMovedKevinIn</t>
  </si>
  <si>
    <t>VO/EN/SB030_EN</t>
  </si>
  <si>
    <t>SB_YouMovedGeneScallopIn</t>
  </si>
  <si>
    <t>VO/EN/SB033_EN</t>
  </si>
  <si>
    <t>SB_TheNursingHomeOfHeroes</t>
  </si>
  <si>
    <t>VO/EN/SB569_EN</t>
  </si>
  <si>
    <t>VO/EN/SB163_EN</t>
  </si>
  <si>
    <t>SB_WannaHelpMeGrill</t>
  </si>
  <si>
    <t>SB_MyHero</t>
  </si>
  <si>
    <t>VO/EN/SB149_EN</t>
  </si>
  <si>
    <t>VO/EN/SB332_EN</t>
  </si>
  <si>
    <t>VO/EN/SB380_EN</t>
  </si>
  <si>
    <t>VO/EN/SB383_EN</t>
  </si>
  <si>
    <t>SB_DoubleWeenie</t>
  </si>
  <si>
    <t>VO/EN/SB388_EN</t>
  </si>
  <si>
    <t>VO/EN/SB385_EN</t>
  </si>
  <si>
    <t>SB_OutstandingBubble</t>
  </si>
  <si>
    <t>VO/EN/SB640_EN</t>
  </si>
  <si>
    <t>SB_ICantWaitToCheckThatPlaceOut</t>
  </si>
  <si>
    <t>VO/EN/SB386_EN</t>
  </si>
  <si>
    <t>SB_GreenThumb</t>
  </si>
  <si>
    <t>VO/EN/SB407_EN</t>
  </si>
  <si>
    <t>SB_SpongeBobHome</t>
  </si>
  <si>
    <t>VO/EN/Spongebob_11_EN</t>
  </si>
  <si>
    <t>DD_TotallyNeedHouse</t>
  </si>
  <si>
    <t>VO/EN/Ding Dong_2_EN</t>
  </si>
  <si>
    <t>dingdong</t>
  </si>
  <si>
    <t>DD_LikeMostDefinitely</t>
  </si>
  <si>
    <t>VO/EN/Ding Dong_8_EN</t>
  </si>
  <si>
    <t>MK_AhoyBucko</t>
  </si>
  <si>
    <t>VO/EN/MrKrabs_31_EN</t>
  </si>
  <si>
    <t>SB_SpongeBobService</t>
  </si>
  <si>
    <t>VO/EN/Spongebob_14_EN</t>
  </si>
  <si>
    <t>MK_EugeneWelcome</t>
  </si>
  <si>
    <t>VO/EN/MrKrabs_159_EN</t>
  </si>
  <si>
    <t>MK_PlantWillGrow</t>
  </si>
  <si>
    <t>VO/EN/MrKrabs_157_EN</t>
  </si>
  <si>
    <t>SB_GardenForFixins</t>
  </si>
  <si>
    <t>VO/EN/Spongebob_49_EN</t>
  </si>
  <si>
    <t>SB_LetsBuildPineapple</t>
  </si>
  <si>
    <t>VO/EN/Spongebob_79_EN</t>
  </si>
  <si>
    <t>SB_LoveItHereGary</t>
  </si>
  <si>
    <t>VO/EN/Spongebob_5_EN</t>
  </si>
  <si>
    <t>SB_KrustyKrab</t>
  </si>
  <si>
    <t>VO/EN/Spongebob_12_EN</t>
  </si>
  <si>
    <t>MK_QuitLollygagging</t>
  </si>
  <si>
    <t>VO/EN/MrKrabs_235_EN</t>
  </si>
  <si>
    <t>MK_GreatJob</t>
  </si>
  <si>
    <t>VO/EN/MrKrabs_199_EN</t>
  </si>
  <si>
    <t>MK_YoureGoodAtThis</t>
  </si>
  <si>
    <t>VO/EN/MrKrabs_102_EN</t>
  </si>
  <si>
    <t>MK_GrowFixins</t>
  </si>
  <si>
    <t>VO/EN/MrKrabs_116_EN</t>
  </si>
  <si>
    <t>SB_FixinsYouNeed</t>
  </si>
  <si>
    <t>VO/EN/Spongebob_72_EN</t>
  </si>
  <si>
    <t>MK_KrustyKrabEmployee</t>
  </si>
  <si>
    <t>VO/EN/MrKrabs_204_EN</t>
  </si>
  <si>
    <t>MK_ThataBoyorGirl</t>
  </si>
  <si>
    <t>VO/EN/MrKrabs_203_EN</t>
  </si>
  <si>
    <t>MK_PattiesNeedFlipping</t>
  </si>
  <si>
    <t>VO/EN/MrKrabs_241_EN</t>
  </si>
  <si>
    <t>MK_SniffSniff</t>
  </si>
  <si>
    <t>VO/EN/MrKrabs_120_EN</t>
  </si>
  <si>
    <t>MK_MoneyCantCountItself</t>
  </si>
  <si>
    <t>VO/EN/MrKrabs_160_EN</t>
  </si>
  <si>
    <t>MK_Chaching</t>
  </si>
  <si>
    <t>VO/EN/MrKrabs_273_EN</t>
  </si>
  <si>
    <t>SB_YesBestDayEver</t>
  </si>
  <si>
    <t>VO/EN/SB732_rev_EN</t>
  </si>
  <si>
    <t>MK_Congratulations</t>
  </si>
  <si>
    <t>VO/EN/MrKrabs_196_EN</t>
  </si>
  <si>
    <t>SB_ThankYouMrKrabs</t>
  </si>
  <si>
    <t>VO/EN/Spongebob_21_EN</t>
  </si>
  <si>
    <t>MK_GonnaMakeMoneyNow</t>
  </si>
  <si>
    <t>VO/EN/MrKrabs_286_EN</t>
  </si>
  <si>
    <t>SB_KrabbyPattyTrueLove</t>
  </si>
  <si>
    <t>VO/EN/Spongebob_22_EN</t>
  </si>
  <si>
    <t>MK_MoneyHowILoveThee</t>
  </si>
  <si>
    <t>VO/EN/MrKrabs_274_EN</t>
  </si>
  <si>
    <t>SB_NewNeighborKrabbyPatty</t>
  </si>
  <si>
    <t>VO/EN/Spongebob_106_EN</t>
  </si>
  <si>
    <t>MK_SweetSmellOfMoney</t>
  </si>
  <si>
    <t>VO/EN/MrKrabs_248_EN</t>
  </si>
  <si>
    <t>SB_FryCookForJob</t>
  </si>
  <si>
    <t>VO/EN/Spongebob_90_EN</t>
  </si>
  <si>
    <t>MK_OnTheDouble</t>
  </si>
  <si>
    <t>VO/EN/MrKrabs_37_EN</t>
  </si>
  <si>
    <t>SB_MoveInNewCharacters</t>
  </si>
  <si>
    <t>VO/EN/Spongebob_88_EN</t>
  </si>
  <si>
    <t>MK_WhatATeam</t>
  </si>
  <si>
    <t>VO/EN/MrKrabs_154_EN</t>
  </si>
  <si>
    <t>SB_FreshPreparedWithLove</t>
  </si>
  <si>
    <t>VO/EN/SB241_EN</t>
  </si>
  <si>
    <t>MK_MoneyGonnaMakeMoney</t>
  </si>
  <si>
    <t>VO/EN/MrKrabs_161_EN</t>
  </si>
  <si>
    <t>SB_MrKrabsMrKrabs</t>
  </si>
  <si>
    <t>VO/EN/Spongebob_31_EN</t>
  </si>
  <si>
    <t>MK_Woohoo</t>
  </si>
  <si>
    <t>VO/EN/MrKrabs_113_EN</t>
  </si>
  <si>
    <t>MK_BackToWork</t>
  </si>
  <si>
    <t>VO/EN/MrKrabs_16_EN</t>
  </si>
  <si>
    <t>MK_LaughBrief</t>
  </si>
  <si>
    <t>VO/EN/MrKrabs_206_EN</t>
  </si>
  <si>
    <t>SB_OneHorseTown</t>
  </si>
  <si>
    <t>VO/EN/Spongebob_43_EN</t>
  </si>
  <si>
    <t>SB_CantWaitMakeNewRecipe</t>
  </si>
  <si>
    <t>VO/EN/Spongebob_98_EN</t>
  </si>
  <si>
    <t>SB_MakeSureGrowFixins</t>
  </si>
  <si>
    <t>VO/EN/Spongebob_112_EN</t>
  </si>
  <si>
    <t>SB_HelpCleanUpSeaweed</t>
  </si>
  <si>
    <t>VO/EN/Spongebob_67_EN</t>
  </si>
  <si>
    <t>SB_TutorialFinish1</t>
  </si>
  <si>
    <t>VO/EN/Spongebob_104_EN</t>
  </si>
  <si>
    <t>SB_TutorialFinish2</t>
  </si>
  <si>
    <t>VO/EN/Spongebob_104-2_EN</t>
  </si>
  <si>
    <t>SB_GoodAtLandscaping</t>
  </si>
  <si>
    <t>VO/EN/SB408_EN</t>
  </si>
  <si>
    <t>SB_NotEnoughIngredients</t>
  </si>
  <si>
    <t>VO/EN/SB279_EN</t>
  </si>
  <si>
    <t>SB_WereMissingSomething</t>
  </si>
  <si>
    <t>VO/EN/SB280_EN</t>
  </si>
  <si>
    <t>SB_WeNeedMoreIngredients</t>
  </si>
  <si>
    <t>VO/EN/SB281_EN</t>
  </si>
  <si>
    <t>SB_WhatsMissingHere</t>
  </si>
  <si>
    <t>VO/EN/SB282_EN</t>
  </si>
  <si>
    <t>SB_EverythingIDreamed</t>
  </si>
  <si>
    <t>VO/EN/Spongebob_8_EN</t>
  </si>
  <si>
    <t>SB_ItsPinkGoo</t>
  </si>
  <si>
    <t>VO/EN/Spongebob_18_EN</t>
  </si>
  <si>
    <t>PirateTheme</t>
  </si>
  <si>
    <t>SoundEffects/PirateTheme</t>
  </si>
  <si>
    <t>EditModePlace</t>
  </si>
  <si>
    <t>EditModePickup</t>
  </si>
  <si>
    <t>DiggingForTreasure</t>
  </si>
  <si>
    <t>SoundEffects/Dig_Shovel</t>
  </si>
  <si>
    <t>SB_HappyHolidays</t>
  </si>
  <si>
    <t>VO/EN/SB912_EN</t>
  </si>
  <si>
    <t>SB_MerryChristmas</t>
  </si>
  <si>
    <t>VO/EN/SB922_EN</t>
  </si>
  <si>
    <t>VO/EN/SB923_EN</t>
  </si>
  <si>
    <t>VO/EN/SB924_EN</t>
  </si>
  <si>
    <t>SB_HoHoHo</t>
  </si>
  <si>
    <t>VO/EN/SB925_EN</t>
  </si>
  <si>
    <t>SB_LookingFestive</t>
  </si>
  <si>
    <t>VO/EN/SB926_EN</t>
  </si>
  <si>
    <t>SB_LookMistletoe</t>
  </si>
  <si>
    <t>VO/EN/SB927_EN</t>
  </si>
  <si>
    <t>SB_PatrickMistletoe</t>
  </si>
  <si>
    <t>VO/EN/SB928_EN</t>
  </si>
  <si>
    <t>SB_SnowballFight</t>
  </si>
  <si>
    <t>VO/EN/SB929_EN</t>
  </si>
  <si>
    <t>SB_BuildASnowman</t>
  </si>
  <si>
    <t>VO/EN/SB930_EN</t>
  </si>
  <si>
    <t>music</t>
  </si>
  <si>
    <t>sound_effects</t>
  </si>
  <si>
    <t>s:File</t>
  </si>
  <si>
    <t>s:Character</t>
  </si>
  <si>
    <t>FoundMovie_SB01</t>
  </si>
  <si>
    <t>FoundMovie_SB02</t>
  </si>
  <si>
    <t>FoundMovie_SB03</t>
  </si>
  <si>
    <t>FoundMovie_SB04</t>
  </si>
  <si>
    <t>s:Set Sound 1</t>
  </si>
  <si>
    <t>s:Set Sound 2</t>
  </si>
  <si>
    <t>s:Set Sound 3</t>
  </si>
  <si>
    <t>s:Set Sound 4</t>
  </si>
  <si>
    <t>s:Set Sound 5</t>
  </si>
  <si>
    <t>s:Set Sound 6</t>
  </si>
  <si>
    <t>s:Set Sound 7</t>
  </si>
  <si>
    <t>s:Set Sound 8</t>
  </si>
  <si>
    <t>s:Set Sound 9</t>
  </si>
  <si>
    <t>s:Set Sound 10</t>
  </si>
  <si>
    <t>s:Set Sound 11</t>
  </si>
  <si>
    <t>s:Set Sound 12</t>
  </si>
  <si>
    <t>s:Set Sound 13</t>
  </si>
  <si>
    <t>s:Set Sound 14</t>
  </si>
  <si>
    <t>s:Set Sound 15</t>
  </si>
  <si>
    <t>s:Set Sound 16</t>
  </si>
  <si>
    <t>s:Set Sound 17</t>
  </si>
  <si>
    <t>s:Set Sound 18</t>
  </si>
  <si>
    <t>s:Set Sound 19</t>
  </si>
  <si>
    <t>i:Set Sounds</t>
  </si>
  <si>
    <t>!!MOVIE_INTRO_TITLE</t>
  </si>
  <si>
    <t>!!MOVIE_INTRO_DESC</t>
  </si>
  <si>
    <t>!!MOVIE_INTRO_COLLECT</t>
  </si>
  <si>
    <t>Video/1_intro.m4v</t>
  </si>
  <si>
    <t>!!MOVIE_MRKRABS_TITLE</t>
  </si>
  <si>
    <t>!!MOVIE_MRKRABS_DESC</t>
  </si>
  <si>
    <t>!!MOVIE_MRKRABS_COLLECT</t>
  </si>
  <si>
    <t>Video/5_krabs.m4v</t>
  </si>
  <si>
    <t>!!MOVIE_PATRICK_TITLE</t>
  </si>
  <si>
    <t>!!MOVIE_PATRICK_DESC</t>
  </si>
  <si>
    <t>!!MOVIE_PATRICK_COLLECT</t>
  </si>
  <si>
    <t>Video/4_patrick.m4v</t>
  </si>
  <si>
    <t>!!MOVIE_PLANKTON_TITLE</t>
  </si>
  <si>
    <t>!!MOVIE_PLANKTON_DESC</t>
  </si>
  <si>
    <t>!!MOVIE_PLANKTON_COLLECT</t>
  </si>
  <si>
    <t>Video/3_plankton.m4v</t>
  </si>
  <si>
    <t>ChumBucket_Portrait.png</t>
  </si>
  <si>
    <t>!!MOVIE_SANDY_TITLE</t>
  </si>
  <si>
    <t>!!MOVIE_SANDY_DESC</t>
  </si>
  <si>
    <t>!!MOVIE_SANDY_COLLECT</t>
  </si>
  <si>
    <t>Video/2_sandy.m4v</t>
  </si>
  <si>
    <t>!!MOVIE_SPONGEBOB_TITLE</t>
  </si>
  <si>
    <t>!!MOVIE_SPONGEBOB_DESC</t>
  </si>
  <si>
    <t>!!MOVIE_SPONGEBOB_COLLECT</t>
  </si>
  <si>
    <t>Video/7_spongebob.m4v</t>
  </si>
  <si>
    <t>!!MOVIE_SQUIDWARD_TITLE</t>
  </si>
  <si>
    <t>!!MOVIE_SQUIDWARD_DESC</t>
  </si>
  <si>
    <t>!!MOVIE_SQUIDWARD_COLLECT</t>
  </si>
  <si>
    <t>Video/6_squidward.m4v</t>
  </si>
  <si>
    <t>s:Collect Name</t>
  </si>
  <si>
    <t>s:Movie</t>
  </si>
  <si>
    <t>f:Width</t>
  </si>
  <si>
    <t>f:Height</t>
  </si>
  <si>
    <t>f:Placement Offset X</t>
  </si>
  <si>
    <t>f:Placement Offset Y</t>
  </si>
  <si>
    <t>i:Texture Origin X</t>
  </si>
  <si>
    <t>i:Texture Origin Y</t>
  </si>
  <si>
    <t>i:Sequence Offset X</t>
  </si>
  <si>
    <t>i:Sequence Offset Y</t>
  </si>
  <si>
    <t>i:Sequence Offset Z</t>
  </si>
  <si>
    <t>f:Scale X</t>
  </si>
  <si>
    <t>f:Scale Y</t>
  </si>
  <si>
    <t>f:Scale Z</t>
  </si>
  <si>
    <t>back_corner</t>
  </si>
  <si>
    <t>back_lcorner</t>
  </si>
  <si>
    <t>back_left</t>
  </si>
  <si>
    <t>back_rcorner</t>
  </si>
  <si>
    <t>back_right</t>
  </si>
  <si>
    <t>front_corner</t>
  </si>
  <si>
    <t>front_lcorner</t>
  </si>
  <si>
    <t>front_left</t>
  </si>
  <si>
    <t>front_rcorner</t>
  </si>
  <si>
    <t>front_right</t>
  </si>
  <si>
    <t>fence</t>
  </si>
  <si>
    <t>scaffolding</t>
  </si>
  <si>
    <t>i:Time</t>
  </si>
  <si>
    <t>f:Position X</t>
  </si>
  <si>
    <t>f:Position Y</t>
  </si>
  <si>
    <t>f:Position Z</t>
  </si>
  <si>
    <t>f:Ease In-Out X</t>
  </si>
  <si>
    <t>f:Ease In-Out Y</t>
  </si>
  <si>
    <t>!!TASK_BB_WATCHTV</t>
  </si>
  <si>
    <t>!!TASK_BB_ROCKRETIRE</t>
  </si>
  <si>
    <t>rockingchair</t>
  </si>
  <si>
    <t>Icon_RockingChair.png</t>
  </si>
  <si>
    <t>!!TASK_BB_SEARCHBOAT</t>
  </si>
  <si>
    <t>invisibleboatmobile</t>
  </si>
  <si>
    <t>wander</t>
  </si>
  <si>
    <t>!!TASK_CITIZEN_FRYCOOKMUSEUM</t>
  </si>
  <si>
    <t>!!TASK_CITIZEN_HOSPITAL</t>
  </si>
  <si>
    <t>!!TASK_CITIZEN_SHOPBARGN</t>
  </si>
  <si>
    <t>!!TASK_CITIZEN_HOME</t>
  </si>
  <si>
    <t>!!TASK_GARY_OOZE</t>
  </si>
  <si>
    <t>idle</t>
  </si>
  <si>
    <t>!!TASK_GENE_HOSPITAL</t>
  </si>
  <si>
    <t>!!TASK_KEVIN_KNOWLEDGE</t>
  </si>
  <si>
    <t>!!TASK_KEVIN_RECRUIT</t>
  </si>
  <si>
    <t>!!TASK_KEVIN_SELLOINT</t>
  </si>
  <si>
    <t>!!TASK_KEVIN_BARGN</t>
  </si>
  <si>
    <t>!!TASK_KING_BARGN</t>
  </si>
  <si>
    <t>!!TASK_KING_MUSEUM</t>
  </si>
  <si>
    <t>!!TASK_LARRY_HOSPITAL</t>
  </si>
  <si>
    <t>!!TASK_LARRY_GYMGLASS</t>
  </si>
  <si>
    <t>!!TASK_LARRY_PUMPIRON</t>
  </si>
  <si>
    <t>!!TASK_LARRY_BARGN</t>
  </si>
  <si>
    <t>!!TASK_LARRY_VISITPARENTS</t>
  </si>
  <si>
    <t>!!TASK_MANRAY_VISIT_JAIL</t>
  </si>
  <si>
    <t>!!TASK_MANRAY_VISIT_POLICESTATION</t>
  </si>
  <si>
    <t>!!TASK_MANRAY_VISIT_SALTYSPITOON</t>
  </si>
  <si>
    <t>!!TASK_MANRAY_VISITSHADYSHOALS</t>
  </si>
  <si>
    <t>!!TASK_MERMAN_WATCHTV</t>
  </si>
  <si>
    <t>!!TASK_MERMAN_ROCKRETIRE</t>
  </si>
  <si>
    <t>!!TASK_MERMAN_SEARCHBOAT</t>
  </si>
  <si>
    <t>!!TASK_MRKRABS_CHECKMATTRESS</t>
  </si>
  <si>
    <t>!!TASK_MRKRABS_COUNTMONEY</t>
  </si>
  <si>
    <t>countmoney</t>
  </si>
  <si>
    <t>!!TASK_MRKRABS_MEETTEACHER</t>
  </si>
  <si>
    <t>!!TASK_MRKRABS_SHOPBARGN</t>
  </si>
  <si>
    <t>treasurehunt</t>
  </si>
  <si>
    <t>Icon_Shovel.png</t>
  </si>
  <si>
    <t>!!TASK_MSPUFF_GRADEPAPER</t>
  </si>
  <si>
    <t>!!TASK_MSPUFF_TEACHHS</t>
  </si>
  <si>
    <t>!!TASK_MSPUFF_VISITMUSEUM</t>
  </si>
  <si>
    <t>!!TASK_PATRICK_BLOWBUBBLE</t>
  </si>
  <si>
    <t>blowbubbles</t>
  </si>
  <si>
    <t>BubbleStand.png</t>
  </si>
  <si>
    <t>!!TASK_PATRICK_GUM</t>
  </si>
  <si>
    <t>chewgum</t>
  </si>
  <si>
    <t>Icon_BubbleGum.png</t>
  </si>
  <si>
    <t>!!TASK_PATRICK_CLEANROCK</t>
  </si>
  <si>
    <t>!!TASK_PATRICK_EATICECREAM</t>
  </si>
  <si>
    <t>IcecreamCart.png</t>
  </si>
  <si>
    <t>!!TASK_PATRICK_JELLYFISHING</t>
  </si>
  <si>
    <t>jellyfishing</t>
  </si>
  <si>
    <t>Icon_JellyFishNet.png</t>
  </si>
  <si>
    <t>!!TASK_PATRICK_MORNROUTINE</t>
  </si>
  <si>
    <t>!!TASK_PATRICK_GETCULTURE</t>
  </si>
  <si>
    <t>!!TASK_PEARL_HOMEWORK</t>
  </si>
  <si>
    <t>!!TASK_PEARL_GOTOCLASS</t>
  </si>
  <si>
    <t>!!TASK_PEARL_BARGN</t>
  </si>
  <si>
    <t>!!TASK_PLANKTON_HENCHMEN</t>
  </si>
  <si>
    <t>recruithenchmen</t>
  </si>
  <si>
    <t>!!TASK_PLANKTON_MAKEWISH</t>
  </si>
  <si>
    <t>makewish</t>
  </si>
  <si>
    <t>WishingWell.png</t>
  </si>
  <si>
    <t>!!TASK_PLANK_SHOPBARGN</t>
  </si>
  <si>
    <t>!!TASK_POLICE_DESKSHIFT</t>
  </si>
  <si>
    <t>!!TASK_POLICE_PATROL_JAIL</t>
  </si>
  <si>
    <t>!!TASK_POLICE_SHOPBARGN</t>
  </si>
  <si>
    <t>!!TASK_POLICE_TRAIN</t>
  </si>
  <si>
    <t>!!TASK_REG_BAR_PATRON</t>
  </si>
  <si>
    <t>!!TASK_REG_GETPATCHEDUP</t>
  </si>
  <si>
    <t>!!TASK_REG_PUMP_IRON</t>
  </si>
  <si>
    <t>!!TASK_REG_SHIFTATSPITOON</t>
  </si>
  <si>
    <t>!!TASK_REG_TEA_WITH_MOM</t>
  </si>
  <si>
    <t>!!TASK_REG_TEACH_SELF_DEFENSE</t>
  </si>
  <si>
    <t>!!TASK_SANDY_FIXTREEDOME</t>
  </si>
  <si>
    <t>!!TASK_SANDY_HIBERNAME</t>
  </si>
  <si>
    <t>!!TASK_SANDY_LIFTWEIGHTS</t>
  </si>
  <si>
    <t>liftweights</t>
  </si>
  <si>
    <t>!!TASK_SANDY_KARATE</t>
  </si>
  <si>
    <t>karatepractice</t>
  </si>
  <si>
    <t>Icon_KarateHands.png</t>
  </si>
  <si>
    <t>!!TASK_SANDY_SHOPBARGN</t>
  </si>
  <si>
    <t>!!TASK_SANDY_STUDYSPECIMEN</t>
  </si>
  <si>
    <t>studyspecimens</t>
  </si>
  <si>
    <t>Icon_ClipBoard.png</t>
  </si>
  <si>
    <t>!!TASK_SB_BLOWBUBBLE</t>
  </si>
  <si>
    <t>!!TASK_SB_FLY_KITE</t>
  </si>
  <si>
    <t>flykite</t>
  </si>
  <si>
    <t>Icon_Kite.png</t>
  </si>
  <si>
    <t>!!TASK_SB_JJFISHING</t>
  </si>
  <si>
    <t>!!TASK_SB_MARATHON</t>
  </si>
  <si>
    <t>!!TASK_SB_QUALITYATHOME</t>
  </si>
  <si>
    <t>!!TASK_SB_BARGN</t>
  </si>
  <si>
    <t>!!TASK_SB_USEREEFBLOW</t>
  </si>
  <si>
    <t>springcleaning</t>
  </si>
  <si>
    <t>Icon_ReefBlower.png</t>
  </si>
  <si>
    <t>!!TASK_SB_VISITSANDY</t>
  </si>
  <si>
    <t>!!TASK_SQUID_CLARINETPRACTICE</t>
  </si>
  <si>
    <t>clarinetpractice</t>
  </si>
  <si>
    <t>Icon_Clarinet.png</t>
  </si>
  <si>
    <t>!!TASK_SQUID_ONSTRIKE</t>
  </si>
  <si>
    <t>strike</t>
  </si>
  <si>
    <t>Icon_PicketSign.png</t>
  </si>
  <si>
    <t>!!TASK_SQUID_PAINTSELF</t>
  </si>
  <si>
    <t>!!TASK_SQUID_BARGN</t>
  </si>
  <si>
    <t>!!TASK_SQUID_TAN</t>
  </si>
  <si>
    <t>tan</t>
  </si>
  <si>
    <t>Icon_SunTanOil.png</t>
  </si>
  <si>
    <t>!!TASK_SQUILL_BARGNMART</t>
  </si>
  <si>
    <t>!!TASK_SQUILL_BRAG</t>
  </si>
  <si>
    <t>!!TASK_SQUILL_COUNTMONEY</t>
  </si>
  <si>
    <t>!!TASK_SQUILL_HUMILIATE_SQUID</t>
  </si>
  <si>
    <t>i:Source Unit DID</t>
  </si>
  <si>
    <t>i:Target DID</t>
  </si>
  <si>
    <t>s:Target Type</t>
  </si>
  <si>
    <t>s:Source Unit Display State</t>
  </si>
  <si>
    <t>s:Target Display State</t>
  </si>
  <si>
    <t>i:Duration</t>
  </si>
  <si>
    <t>s:Reward Thought Icon</t>
  </si>
  <si>
    <t>s:Icon Material</t>
  </si>
  <si>
    <t>s:Movement Type</t>
  </si>
  <si>
    <t>i:Movement Speed</t>
  </si>
  <si>
    <t>s:Sound</t>
  </si>
  <si>
    <t>i:Instance Limits</t>
  </si>
  <si>
    <t>i:Completion Reward Movie</t>
  </si>
  <si>
    <t>i:Instance Limit 2</t>
  </si>
  <si>
    <t>i:Clearing Reward 2 DID</t>
  </si>
  <si>
    <t>i:Clearing Reward 1 DID</t>
  </si>
  <si>
    <t>f:Clearing Reward 2 Odds 1</t>
  </si>
  <si>
    <t>f:Clearing Reward 2 Odds 2</t>
  </si>
  <si>
    <t>f:Clearing Reward 2 Odds 3</t>
  </si>
  <si>
    <t>f:Clearing Reward 2 Odds 4</t>
  </si>
  <si>
    <t>f:Clearing Reward 2 Odds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</si>
</sst>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14" fontId="0" fillId="0" borderId="0" xfId="0" applyNumberFormat="1"/>
    <xf numFmtId="164" fontId="0" fillId="0" borderId="0" xfId="0" applyNumberFormat="1"/>
    <xf numFmtId="0" fontId="18" fillId="0" borderId="0" xfId="0" applyFont="1"/>
    <xf numFmtId="0" fontId="0" fillId="0" borderId="0" xfId="0" quotePrefix="1"/>
    <xf numFmtId="0" fontId="18" fillId="0" borderId="0" xfId="0" applyFont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39994506668294322"/>
      </font>
      <fill>
        <patternFill patternType="none">
          <bgColor auto="1"/>
        </patternFill>
      </fill>
    </dxf>
    <dxf>
      <font>
        <color theme="6" tint="0.39994506668294322"/>
      </font>
    </dxf>
    <dxf>
      <font>
        <color theme="6" tint="0.39994506668294322"/>
      </font>
      <fill>
        <patternFill patternType="none">
          <bgColor auto="1"/>
        </patternFill>
      </fill>
    </dxf>
    <dxf>
      <font>
        <color theme="6" tint="0.39994506668294322"/>
      </font>
    </dxf>
    <dxf>
      <font>
        <color theme="6" tint="0.39994506668294322"/>
      </font>
      <fill>
        <patternFill patternType="none">
          <bgColor auto="1"/>
        </patternFill>
      </fill>
    </dxf>
    <dxf>
      <font>
        <color theme="6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an/spongebob-moves-in/Spongebob/Tools/Dictionary/DIDRefer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ipe"/>
      <sheetName val="resources"/>
      <sheetName val="bonus_paytable"/>
      <sheetName val="unit"/>
      <sheetName val="building"/>
      <sheetName val="debris"/>
      <sheetName val="debris instances"/>
      <sheetName val="debris per slot"/>
      <sheetName val="landmark"/>
      <sheetName val="quest"/>
      <sheetName val="treasure"/>
      <sheetName val="movie"/>
      <sheetName val="vendor"/>
      <sheetName val="vendor_stock"/>
      <sheetName val="task"/>
      <sheetName val="dialogs"/>
      <sheetName val="slot_costs"/>
    </sheetNames>
    <sheetDataSet>
      <sheetData sheetId="0">
        <row r="1">
          <cell r="A1" t="str">
            <v>DID</v>
          </cell>
          <cell r="B1" t="str">
            <v>filename</v>
          </cell>
          <cell r="C1" t="str">
            <v>name</v>
          </cell>
          <cell r="D1" t="str">
            <v>type</v>
          </cell>
        </row>
        <row r="2">
          <cell r="A2">
            <v>1</v>
          </cell>
          <cell r="B2" t="str">
            <v>Assets/StreamingAssets/Crafting/recipe_krabbypatty.json</v>
          </cell>
          <cell r="C2" t="str">
            <v>!!FOOD_KRABBYPATTY</v>
          </cell>
          <cell r="D2" t="str">
            <v>recipe</v>
          </cell>
        </row>
        <row r="3">
          <cell r="A3">
            <v>15</v>
          </cell>
          <cell r="B3" t="str">
            <v>Assets/StreamingAssets/Crafting/recipe_cryingjohnny.json</v>
          </cell>
          <cell r="C3" t="str">
            <v>!!FOOD_CRYJOHNNY</v>
          </cell>
          <cell r="D3" t="str">
            <v>recipe</v>
          </cell>
        </row>
        <row r="4">
          <cell r="A4">
            <v>16</v>
          </cell>
          <cell r="B4" t="str">
            <v>Assets/StreamingAssets/Crafting/recipe_dutchmansdouble.json</v>
          </cell>
          <cell r="C4" t="str">
            <v>!!FOOD_DUTCHDOUBLE</v>
          </cell>
          <cell r="D4" t="str">
            <v>recipe</v>
          </cell>
        </row>
        <row r="5">
          <cell r="A5">
            <v>18</v>
          </cell>
          <cell r="B5" t="str">
            <v>Assets/StreamingAssets/Crafting/recipe_kelpfries.json</v>
          </cell>
          <cell r="C5" t="str">
            <v>!!FOOD_KELPFRIES</v>
          </cell>
          <cell r="D5" t="str">
            <v>recipe</v>
          </cell>
        </row>
        <row r="6">
          <cell r="A6">
            <v>19</v>
          </cell>
          <cell r="B6" t="str">
            <v>Assets/StreamingAssets/Crafting/recipe_kelpcakes.json</v>
          </cell>
          <cell r="C6" t="str">
            <v>!!FOOD_KELPCAKE</v>
          </cell>
          <cell r="D6" t="str">
            <v>recipe</v>
          </cell>
        </row>
        <row r="7">
          <cell r="A7">
            <v>21</v>
          </cell>
          <cell r="B7" t="str">
            <v>Assets/StreamingAssets/Crafting/recipe_kelpdog.json</v>
          </cell>
          <cell r="C7" t="str">
            <v>!!FOOD_KELPDOG</v>
          </cell>
          <cell r="D7" t="str">
            <v>recipe</v>
          </cell>
        </row>
        <row r="8">
          <cell r="A8">
            <v>22</v>
          </cell>
          <cell r="B8" t="str">
            <v>Assets/StreamingAssets/Crafting/recipe_seaweedsalad.json</v>
          </cell>
          <cell r="C8" t="str">
            <v>!!FOOD_SEAWEEDSALAD</v>
          </cell>
          <cell r="D8" t="str">
            <v>recipe</v>
          </cell>
        </row>
        <row r="9">
          <cell r="A9">
            <v>23</v>
          </cell>
          <cell r="B9" t="str">
            <v>Assets/StreamingAssets/Crafting/recipe_klt.json</v>
          </cell>
          <cell r="C9" t="str">
            <v>!!FOOD_KELPKLT</v>
          </cell>
          <cell r="D9" t="str">
            <v>recipe</v>
          </cell>
        </row>
        <row r="10">
          <cell r="A10">
            <v>27</v>
          </cell>
          <cell r="B10" t="str">
            <v>Assets/StreamingAssets/Crafting/recipe_bruschetta.json</v>
          </cell>
          <cell r="C10" t="str">
            <v>!!FOOD_BRUSCHETTA</v>
          </cell>
          <cell r="D10" t="str">
            <v>recipe</v>
          </cell>
        </row>
        <row r="11">
          <cell r="A11">
            <v>28</v>
          </cell>
          <cell r="B11" t="str">
            <v>Assets/StreamingAssets/Crafting/recipe_tomatobisque.json</v>
          </cell>
          <cell r="C11" t="str">
            <v>!!FOOD_BISQUE</v>
          </cell>
          <cell r="D11" t="str">
            <v>recipe</v>
          </cell>
        </row>
        <row r="12">
          <cell r="A12">
            <v>31</v>
          </cell>
          <cell r="B12" t="str">
            <v>Assets/StreamingAssets/Crafting/recipe_seasirsalad.json</v>
          </cell>
          <cell r="C12" t="str">
            <v>!!FOOD_CAESAR_SALAD</v>
          </cell>
          <cell r="D12" t="str">
            <v>recipe</v>
          </cell>
        </row>
        <row r="13">
          <cell r="A13">
            <v>32</v>
          </cell>
          <cell r="B13" t="str">
            <v>Assets/StreamingAssets/Crafting/recipe_jellypatty.json</v>
          </cell>
          <cell r="C13" t="str">
            <v>!!FOOD_JELLYPATTY</v>
          </cell>
          <cell r="D13" t="str">
            <v>recipe</v>
          </cell>
        </row>
        <row r="14">
          <cell r="A14">
            <v>40</v>
          </cell>
          <cell r="B14" t="str">
            <v>Assets/StreamingAssets/Crafting/recipe_veggiepatty.json</v>
          </cell>
          <cell r="C14" t="str">
            <v>!!FOOD_VEGGIEPATTY</v>
          </cell>
          <cell r="D14" t="str">
            <v>recipe</v>
          </cell>
        </row>
        <row r="15">
          <cell r="A15">
            <v>41</v>
          </cell>
          <cell r="B15" t="str">
            <v>Assets/StreamingAssets/Crafting/recipe_garlicbread.json</v>
          </cell>
          <cell r="C15" t="str">
            <v>!!FOOD_GARLICBREAD</v>
          </cell>
          <cell r="D15" t="str">
            <v>recipe</v>
          </cell>
        </row>
        <row r="16">
          <cell r="A16">
            <v>46</v>
          </cell>
          <cell r="B16" t="str">
            <v>Assets/StreamingAssets/Crafting/recipe_salad.json</v>
          </cell>
          <cell r="C16" t="str">
            <v>!!FOOD_SALAD</v>
          </cell>
          <cell r="D16" t="str">
            <v>recipe</v>
          </cell>
        </row>
        <row r="17">
          <cell r="A17">
            <v>90</v>
          </cell>
          <cell r="B17" t="str">
            <v>Assets/StreamingAssets/Crafting/recipe_patty.json</v>
          </cell>
          <cell r="C17" t="str">
            <v>!!FOOD_PATTY</v>
          </cell>
          <cell r="D17" t="str">
            <v>recipe</v>
          </cell>
        </row>
        <row r="18">
          <cell r="A18">
            <v>92</v>
          </cell>
          <cell r="B18" t="str">
            <v>Assets/StreamingAssets/Crafting/recipe_toast.json</v>
          </cell>
          <cell r="C18" t="str">
            <v>!!FOOD_TOAST</v>
          </cell>
          <cell r="D18" t="str">
            <v>recipe</v>
          </cell>
        </row>
        <row r="19">
          <cell r="A19">
            <v>93</v>
          </cell>
          <cell r="B19" t="str">
            <v>Assets/StreamingAssets/Crafting/recipe_croutons.json</v>
          </cell>
          <cell r="C19" t="str">
            <v>!!FOOD_CROUTONS</v>
          </cell>
          <cell r="D19" t="str">
            <v>recipe</v>
          </cell>
        </row>
        <row r="20">
          <cell r="A20">
            <v>94</v>
          </cell>
          <cell r="B20" t="str">
            <v>Assets/StreamingAssets/Crafting/recipe_ketchup.json</v>
          </cell>
          <cell r="C20" t="str">
            <v>!!FOOD_KETCHUP</v>
          </cell>
          <cell r="D20" t="str">
            <v>recipe</v>
          </cell>
        </row>
        <row r="21">
          <cell r="A21">
            <v>95</v>
          </cell>
          <cell r="B21" t="str">
            <v>Assets/StreamingAssets/Crafting/recipe_cubedketchupkabobs.json</v>
          </cell>
          <cell r="C21" t="str">
            <v>!!FOOD_CUBEDKETCHUPKABOBS</v>
          </cell>
          <cell r="D21" t="str">
            <v>recipe</v>
          </cell>
        </row>
        <row r="22">
          <cell r="A22">
            <v>96</v>
          </cell>
          <cell r="B22" t="str">
            <v>Assets/StreamingAssets/Crafting/recipe_jelliedtoast.json</v>
          </cell>
          <cell r="C22" t="str">
            <v>!!FOOD_JELLIEDTOAST</v>
          </cell>
          <cell r="D22" t="str">
            <v>recipe</v>
          </cell>
        </row>
        <row r="23">
          <cell r="A23">
            <v>97</v>
          </cell>
          <cell r="B23" t="str">
            <v>Assets/StreamingAssets/Crafting/recipe_picodegallo.json</v>
          </cell>
          <cell r="C23" t="str">
            <v>!!FOOD_PICODEGALLO</v>
          </cell>
          <cell r="D23" t="str">
            <v>recipe</v>
          </cell>
        </row>
        <row r="24">
          <cell r="A24">
            <v>99</v>
          </cell>
          <cell r="B24" t="str">
            <v>Assets/StreamingAssets/Crafting/recipe_pipsqueakpatty.json</v>
          </cell>
          <cell r="C24" t="str">
            <v>!!FOOD_PIPSQUEAKPATTY</v>
          </cell>
          <cell r="D24" t="str">
            <v>recipe</v>
          </cell>
        </row>
        <row r="25">
          <cell r="A25">
            <v>1000</v>
          </cell>
          <cell r="B25" t="str">
            <v>Assets/StreamingAssets/Crafting/recipe_lettuce.json</v>
          </cell>
          <cell r="C25" t="str">
            <v>!!FOOD_LETTUCE</v>
          </cell>
          <cell r="D25" t="str">
            <v>recipe</v>
          </cell>
        </row>
        <row r="26">
          <cell r="A26">
            <v>1001</v>
          </cell>
          <cell r="B26" t="str">
            <v>Assets/StreamingAssets/Crafting/recipe_onion.json</v>
          </cell>
          <cell r="C26" t="str">
            <v>!!FOOD_ONION</v>
          </cell>
          <cell r="D26" t="str">
            <v>recipe</v>
          </cell>
        </row>
        <row r="27">
          <cell r="A27">
            <v>1002</v>
          </cell>
          <cell r="B27" t="str">
            <v>Assets/StreamingAssets/Crafting/recipe_potato.json</v>
          </cell>
          <cell r="C27" t="str">
            <v>!!FOOD_POTATO</v>
          </cell>
          <cell r="D27" t="str">
            <v>recipe</v>
          </cell>
        </row>
        <row r="28">
          <cell r="A28">
            <v>1003</v>
          </cell>
          <cell r="B28" t="str">
            <v>Assets/StreamingAssets/Crafting/recipe_tomato.json</v>
          </cell>
          <cell r="C28" t="str">
            <v>!!FOOD_TOMATO</v>
          </cell>
          <cell r="D28" t="str">
            <v>recipe</v>
          </cell>
        </row>
        <row r="29">
          <cell r="A29">
            <v>1004</v>
          </cell>
          <cell r="B29" t="str">
            <v>Assets/StreamingAssets/Crafting/recipe_kelp.json</v>
          </cell>
          <cell r="C29" t="str">
            <v>!!FOOD_KELP</v>
          </cell>
          <cell r="D29" t="str">
            <v>recipe</v>
          </cell>
        </row>
        <row r="30">
          <cell r="A30">
            <v>1005</v>
          </cell>
          <cell r="B30" t="str">
            <v>Assets/StreamingAssets/Crafting/recipe_bun.json</v>
          </cell>
          <cell r="C30" t="str">
            <v>!!FOOD_BUN</v>
          </cell>
          <cell r="D30" t="str">
            <v>recipe</v>
          </cell>
        </row>
        <row r="31">
          <cell r="A31">
            <v>1008</v>
          </cell>
          <cell r="B31" t="str">
            <v>Assets/StreamingAssets/Crafting/recipe_hotdogroll.json</v>
          </cell>
          <cell r="C31" t="str">
            <v>!!FOOD_HOTDOGROLL</v>
          </cell>
          <cell r="D31" t="str">
            <v>recipe</v>
          </cell>
        </row>
        <row r="32">
          <cell r="A32">
            <v>2000</v>
          </cell>
          <cell r="B32" t="str">
            <v>Assets/StreamingAssets/Crafting/recipe_vanilla.json</v>
          </cell>
          <cell r="C32" t="str">
            <v>!!FOOD_VANILLA</v>
          </cell>
          <cell r="D32" t="str">
            <v>recipe</v>
          </cell>
        </row>
        <row r="33">
          <cell r="A33">
            <v>2001</v>
          </cell>
          <cell r="B33" t="str">
            <v>Assets/StreamingAssets/Crafting/recipe_coralbits.json</v>
          </cell>
          <cell r="C33" t="str">
            <v>!!FOOD_CORALBITS</v>
          </cell>
          <cell r="D33" t="str">
            <v>recipe</v>
          </cell>
        </row>
        <row r="34">
          <cell r="A34">
            <v>2002</v>
          </cell>
          <cell r="B34" t="str">
            <v>Assets/StreamingAssets/Crafting/recipe_garlic.json</v>
          </cell>
          <cell r="C34" t="str">
            <v>!!FOOD_GARLIC</v>
          </cell>
          <cell r="D34" t="str">
            <v>recipe</v>
          </cell>
        </row>
        <row r="35">
          <cell r="A35">
            <v>9000</v>
          </cell>
          <cell r="B35" t="str">
            <v>Assets/StreamingAssets/Crafting/recipe_halloween_bark_chop_sandwich.json</v>
          </cell>
          <cell r="C35" t="str">
            <v>!!FOOD_RUSTYS_BARK_CHOP_SANDWICH</v>
          </cell>
          <cell r="D35" t="str">
            <v>recipe</v>
          </cell>
        </row>
        <row r="36">
          <cell r="A36">
            <v>9001</v>
          </cell>
          <cell r="B36" t="str">
            <v>Assets/StreamingAssets/Crafting/recipe_halloween_barking_mad_brisket.json</v>
          </cell>
          <cell r="C36" t="str">
            <v>!!FOOD_RUSTYS_BARKING_BRISKET</v>
          </cell>
          <cell r="D36" t="str">
            <v>recipe</v>
          </cell>
        </row>
        <row r="37">
          <cell r="A37">
            <v>9002</v>
          </cell>
          <cell r="B37" t="str">
            <v>Assets/StreamingAssets/Crafting/recipe_halloween_ingredient_bbq_sauce.json</v>
          </cell>
          <cell r="C37" t="str">
            <v>!!INGREDIENT_BBQ_SAUCE</v>
          </cell>
          <cell r="D37" t="str">
            <v>recipe</v>
          </cell>
        </row>
        <row r="38">
          <cell r="A38">
            <v>9003</v>
          </cell>
          <cell r="B38" t="str">
            <v>Assets/StreamingAssets/Crafting/recipe_halloween_ingredient_distilled_vinegar.json</v>
          </cell>
          <cell r="C38" t="str">
            <v>!!INGREDIENT_DISTILLED_VINEGAR</v>
          </cell>
          <cell r="D38" t="str">
            <v>recipe</v>
          </cell>
        </row>
        <row r="39">
          <cell r="A39">
            <v>9004</v>
          </cell>
          <cell r="B39" t="str">
            <v>Assets/StreamingAssets/Crafting/recipe_halloween_ingredient_driftwood.json</v>
          </cell>
          <cell r="C39" t="str">
            <v>!!INGREDIENT_DRIFTWOOD</v>
          </cell>
          <cell r="D39" t="str">
            <v>recipe</v>
          </cell>
        </row>
        <row r="40">
          <cell r="A40">
            <v>9005</v>
          </cell>
          <cell r="B40" t="str">
            <v>Assets/StreamingAssets/Crafting/recipe_halloween_ingredient_mustard_seed.json</v>
          </cell>
          <cell r="C40" t="str">
            <v>!!INGREDIENT_MUSTARD_SEED</v>
          </cell>
          <cell r="D40" t="str">
            <v>recipe</v>
          </cell>
        </row>
        <row r="41">
          <cell r="A41">
            <v>9006</v>
          </cell>
          <cell r="B41" t="str">
            <v>Assets/StreamingAssets/Crafting/recipe_halloween_ingredient_natural_flavors.json</v>
          </cell>
          <cell r="C41" t="str">
            <v>!!INGREDIENT_NATURAL_FLAVORS</v>
          </cell>
          <cell r="D41" t="str">
            <v>recipe</v>
          </cell>
        </row>
        <row r="42">
          <cell r="A42">
            <v>9007</v>
          </cell>
          <cell r="B42" t="str">
            <v>Assets/StreamingAssets/Crafting/recipe_halloween_ingredient_paprika.json</v>
          </cell>
          <cell r="C42" t="str">
            <v>!!INGREDIENT_PAPRIKA</v>
          </cell>
          <cell r="D42" t="str">
            <v>recipe</v>
          </cell>
        </row>
        <row r="43">
          <cell r="A43">
            <v>9008</v>
          </cell>
          <cell r="B43" t="str">
            <v>Assets/StreamingAssets/Crafting/recipe_halloween_ingredient_salt.json</v>
          </cell>
          <cell r="C43" t="str">
            <v>!!INGREDIENT_SALT</v>
          </cell>
          <cell r="D43" t="str">
            <v>recipe</v>
          </cell>
        </row>
        <row r="44">
          <cell r="A44">
            <v>9009</v>
          </cell>
          <cell r="B44" t="str">
            <v>Assets/StreamingAssets/Crafting/recipe_halloween_ingredient_shellac.json</v>
          </cell>
          <cell r="C44" t="str">
            <v>!!INGREDIENT_SHELLAC</v>
          </cell>
          <cell r="D44" t="str">
            <v>recipe</v>
          </cell>
        </row>
        <row r="45">
          <cell r="A45">
            <v>9010</v>
          </cell>
          <cell r="B45" t="str">
            <v>Assets/StreamingAssets/Crafting/recipe_halloween_ingredient_spackle.json</v>
          </cell>
          <cell r="C45" t="str">
            <v>!!INGREDIENT_SPACKLE</v>
          </cell>
          <cell r="D45" t="str">
            <v>recipe</v>
          </cell>
        </row>
        <row r="46">
          <cell r="A46">
            <v>9011</v>
          </cell>
          <cell r="B46" t="str">
            <v>Assets/StreamingAssets/Crafting/recipe_halloween_ingredient_turmeric.json</v>
          </cell>
          <cell r="C46" t="str">
            <v>!!INGREDIENT_TUMERIC</v>
          </cell>
          <cell r="D46" t="str">
            <v>recipe</v>
          </cell>
        </row>
        <row r="47">
          <cell r="A47">
            <v>9014</v>
          </cell>
          <cell r="B47" t="str">
            <v>Assets/StreamingAssets/Crafting/recipe_halloween_mesquite_ribs.json</v>
          </cell>
          <cell r="C47" t="str">
            <v>!!FOOD_RUSTYS_MESQUITE_RIBS</v>
          </cell>
          <cell r="D47" t="str">
            <v>recipe</v>
          </cell>
        </row>
        <row r="48">
          <cell r="A48">
            <v>9015</v>
          </cell>
          <cell r="B48" t="str">
            <v>Assets/StreamingAssets/Crafting/recipe_halloween_pulled_pulp_sandwich.json</v>
          </cell>
          <cell r="C48" t="str">
            <v>!!FOOD_RUSTYS_PULLED_PULP_SANDWICH</v>
          </cell>
          <cell r="D48" t="str">
            <v>recipe</v>
          </cell>
        </row>
        <row r="49">
          <cell r="A49">
            <v>9016</v>
          </cell>
          <cell r="B49" t="str">
            <v>Assets/StreamingAssets/Crafting/recipe_halloween_rusty_on_rye.json</v>
          </cell>
          <cell r="C49" t="str">
            <v>!!FOOD_RUSTYS_RUSTY_ON_RYE</v>
          </cell>
          <cell r="D49" t="str">
            <v>recipe</v>
          </cell>
        </row>
        <row r="50">
          <cell r="A50">
            <v>9017</v>
          </cell>
          <cell r="B50" t="str">
            <v>Assets/StreamingAssets/Crafting/recipe_halloween_spicey_spackle_sauce.json</v>
          </cell>
          <cell r="C50" t="str">
            <v>!!FOOD_RUSTYS_SPICY_SPACKLE_SAUCE</v>
          </cell>
          <cell r="D50" t="str">
            <v>recipe</v>
          </cell>
        </row>
        <row r="51">
          <cell r="A51">
            <v>9018</v>
          </cell>
          <cell r="B51" t="str">
            <v>Assets/StreamingAssets/Crafting/recipe_halloween_splintered_slaw.json</v>
          </cell>
          <cell r="C51" t="str">
            <v>!!FOOD_RUSTYS_SPLINTERED_SLAW</v>
          </cell>
          <cell r="D51" t="str">
            <v>recipe</v>
          </cell>
        </row>
        <row r="52">
          <cell r="A52">
            <v>9019</v>
          </cell>
          <cell r="B52" t="str">
            <v>Assets/StreamingAssets/Crafting/recipe_halloween_ribeye_sandwich.json</v>
          </cell>
          <cell r="C52" t="str">
            <v>!!FOOD_RUSTYS_RIBEYE_SANDWICH</v>
          </cell>
          <cell r="D52" t="str">
            <v>recipe</v>
          </cell>
        </row>
        <row r="53">
          <cell r="A53">
            <v>9020</v>
          </cell>
          <cell r="B53" t="str">
            <v>Assets/StreamingAssets/Crafting/recipe_halloween_mustard.json</v>
          </cell>
          <cell r="C53" t="str">
            <v>!!FOOD_MUSTARD</v>
          </cell>
          <cell r="D53" t="str">
            <v>recipe</v>
          </cell>
        </row>
        <row r="54">
          <cell r="A54">
            <v>9100</v>
          </cell>
          <cell r="B54" t="str">
            <v>Assets/StreamingAssets/Crafting/recipe_christmas_holiday_cheer.json</v>
          </cell>
          <cell r="C54" t="str">
            <v>!!FOOD_HOLIDAY_CHEER</v>
          </cell>
          <cell r="D54" t="str">
            <v>recipe</v>
          </cell>
        </row>
        <row r="55">
          <cell r="A55">
            <v>9101</v>
          </cell>
          <cell r="B55" t="str">
            <v>Assets/StreamingAssets/Crafting/recipe_christmas_snickerdoodle.json</v>
          </cell>
          <cell r="C55" t="str">
            <v>!!FOOD_SNICKERDOODLE</v>
          </cell>
          <cell r="D55" t="str">
            <v>recipe</v>
          </cell>
        </row>
        <row r="56">
          <cell r="A56">
            <v>9102</v>
          </cell>
          <cell r="B56" t="str">
            <v>Assets/StreamingAssets/Crafting/recipe_christmas_roasted_chestnut.json</v>
          </cell>
          <cell r="C56" t="str">
            <v>!!FOOD_ROASTED_CHESTNUT</v>
          </cell>
          <cell r="D56" t="str">
            <v>recipe</v>
          </cell>
        </row>
        <row r="57">
          <cell r="A57">
            <v>9103</v>
          </cell>
          <cell r="B57" t="str">
            <v>Assets/StreamingAssets/Crafting/recipe_christmas_peanut_brittle.json</v>
          </cell>
          <cell r="C57" t="str">
            <v>!!FOOD_PEANUT_BRITTLE</v>
          </cell>
          <cell r="D57" t="str">
            <v>recipe</v>
          </cell>
        </row>
        <row r="58">
          <cell r="A58">
            <v>9104</v>
          </cell>
          <cell r="B58" t="str">
            <v>Assets/StreamingAssets/Crafting/recipe_christmas_bread_pudding.json</v>
          </cell>
          <cell r="C58" t="str">
            <v>!!FOOD_BREAD_PUDDING</v>
          </cell>
          <cell r="D58" t="str">
            <v>recipe</v>
          </cell>
        </row>
        <row r="59">
          <cell r="A59">
            <v>9105</v>
          </cell>
          <cell r="B59" t="str">
            <v>Assets/StreamingAssets/Crafting/recipe_christmas_yule_log_cake.json</v>
          </cell>
          <cell r="C59" t="str">
            <v>!!FOOD_YULE_LOG_CAKE</v>
          </cell>
          <cell r="D59" t="str">
            <v>recipe</v>
          </cell>
        </row>
        <row r="60">
          <cell r="A60">
            <v>9106</v>
          </cell>
          <cell r="B60" t="str">
            <v>Assets/StreamingAssets/Crafting/recipe_christmas_ingredient_dough.json</v>
          </cell>
          <cell r="C60" t="str">
            <v>!!INGREDIENT_DOUGH</v>
          </cell>
          <cell r="D60" t="str">
            <v>recipe</v>
          </cell>
        </row>
        <row r="61">
          <cell r="A61">
            <v>9107</v>
          </cell>
          <cell r="B61" t="str">
            <v>Assets/StreamingAssets/Crafting/recipe_christmas_ingredient_sugar.json</v>
          </cell>
          <cell r="C61" t="str">
            <v>!!INGREDIENT_SUGAR</v>
          </cell>
          <cell r="D61" t="str">
            <v>recipe</v>
          </cell>
        </row>
        <row r="62">
          <cell r="A62">
            <v>9108</v>
          </cell>
          <cell r="B62" t="str">
            <v>Assets/StreamingAssets/Crafting/recipe_christmas_ingredient_cinnamon.json</v>
          </cell>
          <cell r="C62" t="str">
            <v>!!INGREDIENT_CINNAMON</v>
          </cell>
          <cell r="D62" t="str">
            <v>recipe</v>
          </cell>
        </row>
        <row r="63">
          <cell r="A63">
            <v>9109</v>
          </cell>
          <cell r="B63" t="str">
            <v>Assets/StreamingAssets/Crafting/recipe_christmas_ingredient_chocolate.json</v>
          </cell>
          <cell r="C63" t="str">
            <v>!!INGREDIENT_CHOCOLATE</v>
          </cell>
          <cell r="D63" t="str">
            <v>recipe</v>
          </cell>
        </row>
        <row r="64">
          <cell r="A64">
            <v>9110</v>
          </cell>
          <cell r="B64" t="str">
            <v>Assets/StreamingAssets/Crafting/recipe_christmas_ingredient_cloves.json</v>
          </cell>
          <cell r="C64" t="str">
            <v>!!INGREDIENT_CLOVES</v>
          </cell>
          <cell r="D64" t="str">
            <v>recipe</v>
          </cell>
        </row>
        <row r="65">
          <cell r="A65">
            <v>9111</v>
          </cell>
          <cell r="B65" t="str">
            <v>Assets/StreamingAssets/Crafting/recipe_christmas_ingredient_ginger.json</v>
          </cell>
          <cell r="C65" t="str">
            <v>!!INGREDIENT_GINGER</v>
          </cell>
          <cell r="D65" t="str">
            <v>recipe</v>
          </cell>
        </row>
        <row r="66">
          <cell r="A66">
            <v>9112</v>
          </cell>
          <cell r="B66" t="str">
            <v>Assets/StreamingAssets/Crafting/recipe_christmas_ingredient_icing.json</v>
          </cell>
          <cell r="C66" t="str">
            <v>!!INGREDIENT_ICING</v>
          </cell>
          <cell r="D66" t="str">
            <v>recipe</v>
          </cell>
        </row>
        <row r="67">
          <cell r="A67">
            <v>9113</v>
          </cell>
          <cell r="B67" t="str">
            <v>Assets/StreamingAssets/Crafting/recipe_christmas_ingredient_marshmallow.json</v>
          </cell>
          <cell r="C67" t="str">
            <v>!!INGREDIENT_MARSHMALLOW</v>
          </cell>
          <cell r="D67" t="str">
            <v>recipe</v>
          </cell>
        </row>
        <row r="68">
          <cell r="A68">
            <v>9114</v>
          </cell>
          <cell r="B68" t="str">
            <v>Assets/StreamingAssets/Crafting/recipe_christmas_ingredient_nutmeg.json</v>
          </cell>
          <cell r="C68" t="str">
            <v>!!INGREDIENT_NUTMEG</v>
          </cell>
          <cell r="D68" t="str">
            <v>recipe</v>
          </cell>
        </row>
        <row r="69">
          <cell r="A69">
            <v>9115</v>
          </cell>
          <cell r="B69" t="str">
            <v>Assets/StreamingAssets/Crafting/recipe_christmas_ingredient_peanuts.json</v>
          </cell>
          <cell r="C69" t="str">
            <v>!!INGREDIENT_PEANUTS</v>
          </cell>
          <cell r="D69" t="str">
            <v>recipe</v>
          </cell>
        </row>
        <row r="70">
          <cell r="A70">
            <v>9116</v>
          </cell>
          <cell r="B70" t="str">
            <v>Assets/StreamingAssets/Crafting/recipe_christmas_ingredient_peppermint.json</v>
          </cell>
          <cell r="C70" t="str">
            <v>!!INGREDIENT_PEPPERMINT</v>
          </cell>
          <cell r="D70" t="str">
            <v>recipe</v>
          </cell>
        </row>
        <row r="71">
          <cell r="A71">
            <v>9117</v>
          </cell>
          <cell r="B71" t="str">
            <v>Assets/StreamingAssets/Crafting/recipe_christmas_ingredient_vanilla.json</v>
          </cell>
          <cell r="C71" t="str">
            <v>!!INGREDIENT_VANILLA</v>
          </cell>
          <cell r="D71" t="str">
            <v>recipe</v>
          </cell>
        </row>
        <row r="72">
          <cell r="A72">
            <v>9118</v>
          </cell>
          <cell r="B72" t="str">
            <v>Assets/StreamingAssets/Crafting/recipe_christmas_ingredient_whipped_cream.json</v>
          </cell>
          <cell r="C72" t="str">
            <v>!!INGREDIENT_WHIPPED_CREAM</v>
          </cell>
          <cell r="D72" t="str">
            <v>recipe</v>
          </cell>
        </row>
        <row r="73">
          <cell r="A73">
            <v>9119</v>
          </cell>
          <cell r="B73" t="str">
            <v>Assets/StreamingAssets/Crafting/recipe_christmas_christmas_cookie.json</v>
          </cell>
          <cell r="C73" t="str">
            <v>!!FOOD_CHRISTMAS_COOKIE</v>
          </cell>
          <cell r="D73" t="str">
            <v>recipe</v>
          </cell>
        </row>
        <row r="74">
          <cell r="A74">
            <v>9120</v>
          </cell>
          <cell r="B74" t="str">
            <v>Assets/StreamingAssets/Crafting/recipe_christmas_apple_cider.json</v>
          </cell>
          <cell r="C74" t="str">
            <v>!!FOOD_APPLE_CIDER</v>
          </cell>
          <cell r="D74" t="str">
            <v>recipe</v>
          </cell>
        </row>
        <row r="75">
          <cell r="A75">
            <v>9121</v>
          </cell>
          <cell r="B75" t="str">
            <v>Assets/StreamingAssets/Crafting/recipe_christmas_gingerbread_elf.json</v>
          </cell>
          <cell r="C75" t="str">
            <v>!!FOOD_GINGERBREAD_ELF</v>
          </cell>
          <cell r="D75" t="str">
            <v>recipe</v>
          </cell>
        </row>
        <row r="76">
          <cell r="A76">
            <v>9122</v>
          </cell>
          <cell r="B76" t="str">
            <v>Assets/StreamingAssets/Crafting/recipe_christmas_cranberry_sauce.json</v>
          </cell>
          <cell r="C76" t="str">
            <v>!!FOOD_CRANBERRY_SAUCE</v>
          </cell>
          <cell r="D76" t="str">
            <v>recipe</v>
          </cell>
        </row>
        <row r="77">
          <cell r="A77">
            <v>9123</v>
          </cell>
          <cell r="B77" t="str">
            <v>Assets/StreamingAssets/Crafting/recipe_christmas_hot_chocolate.json</v>
          </cell>
          <cell r="C77" t="str">
            <v>!!FOOD_HOT_CHOCOLATE</v>
          </cell>
          <cell r="D77" t="str">
            <v>recipe</v>
          </cell>
        </row>
        <row r="78">
          <cell r="A78">
            <v>9124</v>
          </cell>
          <cell r="B78" t="str">
            <v>Assets/StreamingAssets/Crafting/recipe_christmas_candy_cane.json</v>
          </cell>
          <cell r="C78" t="str">
            <v>!!FOOD_CANDY_CANE</v>
          </cell>
          <cell r="D78" t="str">
            <v>recipe</v>
          </cell>
        </row>
        <row r="79">
          <cell r="A79">
            <v>9125</v>
          </cell>
          <cell r="B79" t="str">
            <v>Assets/StreamingAssets/Crafting/recipe_christmas_english_toffee.json</v>
          </cell>
          <cell r="C79" t="str">
            <v>!!FOOD_ENGLISH_TOFFEE</v>
          </cell>
          <cell r="D79" t="str">
            <v>recipe</v>
          </cell>
        </row>
        <row r="80">
          <cell r="A80">
            <v>9126</v>
          </cell>
          <cell r="B80" t="str">
            <v>Assets/StreamingAssets/Crafting/recipe_christmas_fudge.json</v>
          </cell>
          <cell r="C80" t="str">
            <v>!!FOOD_FUDGE</v>
          </cell>
          <cell r="D80" t="str">
            <v>recipe</v>
          </cell>
        </row>
        <row r="81">
          <cell r="A81">
            <v>9127</v>
          </cell>
          <cell r="B81" t="str">
            <v>Assets/StreamingAssets/Crafting/recipe_christmas_sugar_plum.json</v>
          </cell>
          <cell r="C81" t="str">
            <v>!!FOOD_SUGAR_PLUM</v>
          </cell>
          <cell r="D81" t="str">
            <v>recipe</v>
          </cell>
        </row>
        <row r="82">
          <cell r="A82">
            <v>9200</v>
          </cell>
          <cell r="B82" t="str">
            <v>Assets/StreamingAssets/Crafting/recipe_valentines_ingredient_corn.json</v>
          </cell>
          <cell r="C82" t="str">
            <v>!!INGREDIENT_CORN</v>
          </cell>
          <cell r="D82" t="str">
            <v>recipe</v>
          </cell>
        </row>
        <row r="83">
          <cell r="A83">
            <v>9201</v>
          </cell>
          <cell r="B83" t="str">
            <v>Assets/StreamingAssets/Crafting/recipe_valentines_chocolates.json</v>
          </cell>
          <cell r="C83" t="str">
            <v>!!FOOD_CHOCOLATES</v>
          </cell>
          <cell r="D83" t="str">
            <v>recipe</v>
          </cell>
        </row>
        <row r="84">
          <cell r="A84">
            <v>9202</v>
          </cell>
          <cell r="B84" t="str">
            <v>Assets/StreamingAssets/Crafting/recipe_valentines_popcorn.json</v>
          </cell>
          <cell r="C84" t="str">
            <v>!!FOOD_POPCORN</v>
          </cell>
          <cell r="D84" t="str">
            <v>recipe</v>
          </cell>
        </row>
        <row r="85">
          <cell r="A85">
            <v>9203</v>
          </cell>
          <cell r="B85" t="str">
            <v>Assets/StreamingAssets/Crafting/recipe_valentines_truffles.json</v>
          </cell>
          <cell r="C85" t="str">
            <v>!!FOOD_TRUFFLES</v>
          </cell>
          <cell r="D85" t="str">
            <v>recipe</v>
          </cell>
        </row>
        <row r="86">
          <cell r="A86">
            <v>9204</v>
          </cell>
          <cell r="B86" t="str">
            <v>Assets/StreamingAssets/Crafting/recipe_valentines_cotton_candy.json</v>
          </cell>
          <cell r="C86" t="str">
            <v>!!FOOD_COTTON_CANDY</v>
          </cell>
          <cell r="D86" t="str">
            <v>recipe</v>
          </cell>
        </row>
        <row r="87">
          <cell r="A87">
            <v>9205</v>
          </cell>
          <cell r="B87" t="str">
            <v>Assets/StreamingAssets/Crafting/recipe_valentines_candy_heart_on_stick.json</v>
          </cell>
          <cell r="C87" t="str">
            <v>!!FOOD_CANDY_HEART_ON_STICK</v>
          </cell>
          <cell r="D87" t="str">
            <v>recipe</v>
          </cell>
        </row>
        <row r="88">
          <cell r="A88">
            <v>10000</v>
          </cell>
          <cell r="B88" t="str">
            <v>Assets/StreamingAssets/Crafting/recipe_fruit_banana.json</v>
          </cell>
          <cell r="C88" t="str">
            <v>!!FOOD_BANANA</v>
          </cell>
          <cell r="D88" t="str">
            <v>recipe</v>
          </cell>
        </row>
        <row r="89">
          <cell r="A89">
            <v>10001</v>
          </cell>
          <cell r="B89" t="str">
            <v>Assets/StreamingAssets/Crafting/recipe_fruit_apple.json</v>
          </cell>
          <cell r="C89" t="str">
            <v>!!FOOD_APPLE</v>
          </cell>
          <cell r="D89" t="str">
            <v>recipe</v>
          </cell>
        </row>
        <row r="90">
          <cell r="A90">
            <v>10002</v>
          </cell>
          <cell r="B90" t="str">
            <v>Assets/StreamingAssets/Crafting/recipe_fruit_cherry.json</v>
          </cell>
          <cell r="C90" t="str">
            <v>!!FOOD_CHERRY</v>
          </cell>
          <cell r="D90" t="str">
            <v>recipe</v>
          </cell>
        </row>
        <row r="91">
          <cell r="A91">
            <v>10003</v>
          </cell>
          <cell r="B91" t="str">
            <v>Assets/StreamingAssets/Crafting/recipe_fruit_coconut.json</v>
          </cell>
          <cell r="C91" t="str">
            <v>!!FOOD_COCONUT</v>
          </cell>
          <cell r="D91" t="str">
            <v>recipe</v>
          </cell>
        </row>
        <row r="92">
          <cell r="A92">
            <v>10004</v>
          </cell>
          <cell r="B92" t="str">
            <v>Assets/StreamingAssets/Crafting/recipe_fruit_lemon.json</v>
          </cell>
          <cell r="C92" t="str">
            <v>!!FOOD_LEMON</v>
          </cell>
          <cell r="D92" t="str">
            <v>recipe</v>
          </cell>
        </row>
        <row r="93">
          <cell r="A93">
            <v>10005</v>
          </cell>
          <cell r="B93" t="str">
            <v>Assets/StreamingAssets/Crafting/recipe_fruit_lime.json</v>
          </cell>
          <cell r="C93" t="str">
            <v>!!FOOD_LIME</v>
          </cell>
          <cell r="D93" t="str">
            <v>recipe</v>
          </cell>
        </row>
        <row r="94">
          <cell r="A94">
            <v>10006</v>
          </cell>
          <cell r="B94" t="str">
            <v>Assets/StreamingAssets/Crafting/recipe_fruit_orange.json</v>
          </cell>
          <cell r="C94" t="str">
            <v>!!FOOD_ORANGE</v>
          </cell>
          <cell r="D94" t="str">
            <v>recipe</v>
          </cell>
        </row>
        <row r="95">
          <cell r="A95">
            <v>10007</v>
          </cell>
          <cell r="B95" t="str">
            <v>Assets/StreamingAssets/Crafting/recipe_fruit_peach.json</v>
          </cell>
          <cell r="C95" t="str">
            <v>!!FOOD_PEACH</v>
          </cell>
          <cell r="D95" t="str">
            <v>recipe</v>
          </cell>
        </row>
        <row r="96">
          <cell r="A96">
            <v>10008</v>
          </cell>
          <cell r="B96" t="str">
            <v>Assets/StreamingAssets/Crafting/recipe_fruit_strawberry.json</v>
          </cell>
          <cell r="C96" t="str">
            <v>!!FOOD_STRAWBERRY</v>
          </cell>
          <cell r="D96" t="str">
            <v>recipe</v>
          </cell>
        </row>
        <row r="97">
          <cell r="A97">
            <v>10009</v>
          </cell>
          <cell r="B97" t="str">
            <v>Assets/StreamingAssets/Crafting/recipe_fruit_blueberry.json</v>
          </cell>
          <cell r="C97" t="str">
            <v>!!FOOD_BLUEBERRY</v>
          </cell>
          <cell r="D97" t="str">
            <v>recipe</v>
          </cell>
        </row>
        <row r="98">
          <cell r="A98">
            <v>10010</v>
          </cell>
          <cell r="B98" t="str">
            <v>Assets/StreamingAssets/Crafting/recipe_fruit_christmas_chestnut.json</v>
          </cell>
          <cell r="C98" t="str">
            <v>!!FOOD_CHESTNUT</v>
          </cell>
          <cell r="D98" t="str">
            <v>recipe</v>
          </cell>
        </row>
        <row r="99">
          <cell r="A99">
            <v>10011</v>
          </cell>
          <cell r="B99" t="str">
            <v>Assets/StreamingAssets/Crafting/recipe_fruit_christmas_cranberry.json</v>
          </cell>
          <cell r="C99" t="str">
            <v>!!FOOD_CRANBERRY</v>
          </cell>
          <cell r="D99" t="str">
            <v>recipe</v>
          </cell>
        </row>
        <row r="100">
          <cell r="A100">
            <v>20000</v>
          </cell>
          <cell r="B100" t="str">
            <v>Assets/StreamingAssets/Crafting/recipe_juice_apple.json</v>
          </cell>
          <cell r="C100" t="str">
            <v>!!JUICE_APPLE</v>
          </cell>
          <cell r="D100" t="str">
            <v>recipe</v>
          </cell>
        </row>
        <row r="101">
          <cell r="A101">
            <v>20001</v>
          </cell>
          <cell r="B101" t="str">
            <v>Assets/StreamingAssets/Crafting/recipe_juice_lemonade.json</v>
          </cell>
          <cell r="C101" t="str">
            <v>!!JUICE_LEMONADE</v>
          </cell>
          <cell r="D101" t="str">
            <v>recipe</v>
          </cell>
        </row>
        <row r="102">
          <cell r="A102">
            <v>20002</v>
          </cell>
          <cell r="B102" t="str">
            <v>Assets/StreamingAssets/Crafting/recipe_juice_limeade.json</v>
          </cell>
          <cell r="C102" t="str">
            <v>!!JUICE_LIMEADE</v>
          </cell>
          <cell r="D102" t="str">
            <v>recipe</v>
          </cell>
        </row>
        <row r="103">
          <cell r="A103">
            <v>20003</v>
          </cell>
          <cell r="B103" t="str">
            <v>Assets/StreamingAssets/Crafting/recipe_juice_orange.json</v>
          </cell>
          <cell r="C103" t="str">
            <v>!!JUICE_ORANGE</v>
          </cell>
          <cell r="D103" t="str">
            <v>recipe</v>
          </cell>
        </row>
        <row r="104">
          <cell r="A104">
            <v>20004</v>
          </cell>
          <cell r="B104" t="str">
            <v>Assets/StreamingAssets/Crafting/recipe_juice_peachnectar.json</v>
          </cell>
          <cell r="C104" t="str">
            <v>!!JUICE_PEACHNECTAR</v>
          </cell>
          <cell r="D104" t="str">
            <v>recipe</v>
          </cell>
        </row>
        <row r="105">
          <cell r="A105">
            <v>30000</v>
          </cell>
          <cell r="B105" t="str">
            <v>Assets/StreamingAssets/Crafting/recipe_smoothie_banana_breaker.json</v>
          </cell>
          <cell r="C105" t="str">
            <v>!!SMOOTHIE_BANANA_BREAKER</v>
          </cell>
          <cell r="D105" t="str">
            <v>recipe</v>
          </cell>
        </row>
        <row r="106">
          <cell r="A106">
            <v>30001</v>
          </cell>
          <cell r="B106" t="str">
            <v>Assets/StreamingAssets/Crafting/recipe_smoothie_berry_blast.json</v>
          </cell>
          <cell r="C106" t="str">
            <v>!!SMOOTHIE_BERRY_BLAST</v>
          </cell>
          <cell r="D106" t="str">
            <v>recipe</v>
          </cell>
        </row>
        <row r="107">
          <cell r="A107">
            <v>30002</v>
          </cell>
          <cell r="B107" t="str">
            <v>Assets/StreamingAssets/Crafting/recipe_smoothie_cherry_slurvey.json</v>
          </cell>
          <cell r="C107" t="str">
            <v>!!SMOOTHIE_CHERRY_SLURVEY</v>
          </cell>
          <cell r="D107" t="str">
            <v>recipe</v>
          </cell>
        </row>
        <row r="108">
          <cell r="A108">
            <v>30003</v>
          </cell>
          <cell r="B108" t="str">
            <v>Assets/StreamingAssets/Crafting/recipe_smoothie_cherryade_chiller.json</v>
          </cell>
          <cell r="C108" t="str">
            <v>!!SMOOTHIE_CHERRYADE_CHILLER</v>
          </cell>
          <cell r="D108" t="str">
            <v>recipe</v>
          </cell>
        </row>
        <row r="109">
          <cell r="A109">
            <v>30004</v>
          </cell>
          <cell r="B109" t="str">
            <v>Assets/StreamingAssets/Crafting/recipe_smoothie_citrus_slurvey.json</v>
          </cell>
          <cell r="C109" t="str">
            <v>!!SMOOTHIE_CITRUS_SLURVEY</v>
          </cell>
          <cell r="D109" t="str">
            <v>recipe</v>
          </cell>
        </row>
        <row r="110">
          <cell r="A110">
            <v>30005</v>
          </cell>
          <cell r="B110" t="str">
            <v>Assets/StreamingAssets/Crafting/recipe_smoothie_hang_8.json</v>
          </cell>
          <cell r="C110" t="str">
            <v>!!SMOOTHIE_HANG_8</v>
          </cell>
          <cell r="D110" t="str">
            <v>recipe</v>
          </cell>
        </row>
        <row r="111">
          <cell r="A111">
            <v>30006</v>
          </cell>
          <cell r="B111" t="str">
            <v>Assets/StreamingAssets/Crafting/recipe_smoothie_liquid_cobbler.json</v>
          </cell>
          <cell r="C111" t="str">
            <v>!!SMOOTHIE_LIQUID_COBBLER</v>
          </cell>
          <cell r="D111" t="str">
            <v>recipe</v>
          </cell>
        </row>
        <row r="112">
          <cell r="A112">
            <v>30007</v>
          </cell>
          <cell r="B112" t="str">
            <v>Assets/StreamingAssets/Crafting/recipe_smoothie_nannas_c_serenade.json</v>
          </cell>
          <cell r="C112" t="str">
            <v>!!SMOOTHIE_NANNAS_C_SERENADE</v>
          </cell>
          <cell r="D112" t="str">
            <v>recipe</v>
          </cell>
        </row>
        <row r="113">
          <cell r="A113">
            <v>30008</v>
          </cell>
          <cell r="B113" t="str">
            <v>Assets/StreamingAssets/Crafting/recipe_smoothie_orange_nut.json</v>
          </cell>
          <cell r="C113" t="str">
            <v>!!SMOOTHIE_ORANGE_NUT</v>
          </cell>
          <cell r="D113" t="str">
            <v>recipe</v>
          </cell>
        </row>
        <row r="114">
          <cell r="A114">
            <v>30009</v>
          </cell>
          <cell r="B114" t="str">
            <v>Assets/StreamingAssets/Crafting/recipe_smoothie_strawberry_squeeze.json</v>
          </cell>
          <cell r="C114" t="str">
            <v>!!SMOOTHIE_STRAWBERRY_SQUEEZE</v>
          </cell>
          <cell r="D114" t="str">
            <v>recipe</v>
          </cell>
        </row>
        <row r="115">
          <cell r="A115">
            <v>30010</v>
          </cell>
          <cell r="B115" t="str">
            <v>Assets/StreamingAssets/Crafting/recipe_smoothie_strawnana_tsunami.json</v>
          </cell>
          <cell r="C115" t="str">
            <v>!!SMOOTHIE_STRAWNANA_TSUNAMI</v>
          </cell>
          <cell r="D115" t="str">
            <v>recipe</v>
          </cell>
        </row>
        <row r="116">
          <cell r="A116">
            <v>30011</v>
          </cell>
          <cell r="B116" t="str">
            <v>Assets/StreamingAssets/Crafting/recipe_smoothie_wannanana.json</v>
          </cell>
          <cell r="C116" t="str">
            <v>!!SMOOTHIE_WANNANANA</v>
          </cell>
          <cell r="D116" t="str">
            <v>recipe</v>
          </cell>
        </row>
        <row r="117">
          <cell r="A117">
            <v>40000</v>
          </cell>
          <cell r="B117" t="str">
            <v>Assets/StreamingAssets/Crafting/recipe_icecream_banana.json</v>
          </cell>
          <cell r="C117" t="str">
            <v>!!ICECREAM_BANANA</v>
          </cell>
          <cell r="D117" t="str">
            <v>recipe</v>
          </cell>
        </row>
        <row r="118">
          <cell r="A118">
            <v>40001</v>
          </cell>
          <cell r="B118" t="str">
            <v>Assets/StreamingAssets/Crafting/recipe_icecream_banana_split.json</v>
          </cell>
          <cell r="C118" t="str">
            <v>!!ICECREAM_BANANA_SPLIT</v>
          </cell>
          <cell r="D118" t="str">
            <v>recipe</v>
          </cell>
        </row>
        <row r="119">
          <cell r="A119">
            <v>40002</v>
          </cell>
          <cell r="B119" t="str">
            <v>Assets/StreamingAssets/Crafting/recipe_icecream_berry_scoops.json</v>
          </cell>
          <cell r="C119" t="str">
            <v>!!ICECREAM_BERRY_SCOOPS</v>
          </cell>
          <cell r="D119" t="str">
            <v>recipe</v>
          </cell>
        </row>
        <row r="120">
          <cell r="A120">
            <v>40003</v>
          </cell>
          <cell r="B120" t="str">
            <v>Assets/StreamingAssets/Crafting/recipe_icecream_caramel.json</v>
          </cell>
          <cell r="C120" t="str">
            <v>!!ICECREAM_CARAMEL</v>
          </cell>
          <cell r="D120" t="str">
            <v>recipe</v>
          </cell>
        </row>
        <row r="121">
          <cell r="A121">
            <v>40004</v>
          </cell>
          <cell r="B121" t="str">
            <v>Assets/StreamingAssets/Crafting/recipe_icecream_coral_bits.json</v>
          </cell>
          <cell r="C121" t="str">
            <v>!!ICECREAM_CORAL_BITS</v>
          </cell>
          <cell r="D121" t="str">
            <v>recipe</v>
          </cell>
        </row>
        <row r="122">
          <cell r="A122">
            <v>40005</v>
          </cell>
          <cell r="B122" t="str">
            <v>Assets/StreamingAssets/Crafting/recipe_icecream_lemon_gelato.json</v>
          </cell>
          <cell r="C122" t="str">
            <v>!!ICECREAM_LEMON_GELATO</v>
          </cell>
          <cell r="D122" t="str">
            <v>recipe</v>
          </cell>
        </row>
        <row r="123">
          <cell r="A123">
            <v>40006</v>
          </cell>
          <cell r="B123" t="str">
            <v>Assets/StreamingAssets/Crafting/recipe_icecream_seasalt.json</v>
          </cell>
          <cell r="C123" t="str">
            <v>!!ICECREAM_SEASALT</v>
          </cell>
          <cell r="D123" t="str">
            <v>recipe</v>
          </cell>
        </row>
        <row r="124">
          <cell r="A124">
            <v>40007</v>
          </cell>
          <cell r="B124" t="str">
            <v>Assets/StreamingAssets/Crafting/recipe_icecream_strawberry.json</v>
          </cell>
          <cell r="C124" t="str">
            <v>!!ICECREAM_STRAWBERRY</v>
          </cell>
          <cell r="D124" t="str">
            <v>recipe</v>
          </cell>
        </row>
        <row r="125">
          <cell r="A125">
            <v>40008</v>
          </cell>
          <cell r="B125" t="str">
            <v>Assets/StreamingAssets/Crafting/recipe_icecream_vanilla.json</v>
          </cell>
          <cell r="C125" t="str">
            <v>!!ICECREAM_VANILLA</v>
          </cell>
          <cell r="D125" t="str">
            <v>recipe</v>
          </cell>
        </row>
        <row r="126">
          <cell r="A126">
            <v>50000</v>
          </cell>
          <cell r="B126" t="str">
            <v>Assets/StreamingAssets/Crafting/recipe_shake_bananas_n_bits.json</v>
          </cell>
          <cell r="C126" t="str">
            <v>!!SHAKE_BANANAS_N_BITS</v>
          </cell>
          <cell r="D126" t="str">
            <v>recipe</v>
          </cell>
        </row>
        <row r="127">
          <cell r="A127">
            <v>50001</v>
          </cell>
          <cell r="B127" t="str">
            <v>Assets/StreamingAssets/Crafting/recipe_shake_berry_bliss.json</v>
          </cell>
          <cell r="C127" t="str">
            <v>!!SHAKE_BERRY_BLISS</v>
          </cell>
          <cell r="D127" t="str">
            <v>recipe</v>
          </cell>
        </row>
        <row r="128">
          <cell r="A128">
            <v>50002</v>
          </cell>
          <cell r="B128" t="str">
            <v>Assets/StreamingAssets/Crafting/recipe_shake_coral_crush.json</v>
          </cell>
          <cell r="C128" t="str">
            <v>!!SHAKE_CORAL_CRUSH</v>
          </cell>
          <cell r="D128" t="str">
            <v>recipe</v>
          </cell>
        </row>
        <row r="129">
          <cell r="A129">
            <v>50003</v>
          </cell>
          <cell r="B129" t="str">
            <v>Assets/StreamingAssets/Crafting/recipe_shake_fruity_breeze.json</v>
          </cell>
          <cell r="C129" t="str">
            <v>!!SHAKE_FRUTIY_BREEZE</v>
          </cell>
          <cell r="D129" t="str">
            <v>recipe</v>
          </cell>
        </row>
        <row r="130">
          <cell r="A130">
            <v>50004</v>
          </cell>
          <cell r="B130" t="str">
            <v>Assets/StreamingAssets/Crafting/recipe_shake_salty_banana.json</v>
          </cell>
          <cell r="C130" t="str">
            <v>!!SHAKE_SALTY_BANANA</v>
          </cell>
          <cell r="D130" t="str">
            <v>recipe</v>
          </cell>
        </row>
        <row r="131">
          <cell r="A131">
            <v>50005</v>
          </cell>
          <cell r="B131" t="str">
            <v>Assets/StreamingAssets/Crafting/recipe_shake_strawberry_riptide.json</v>
          </cell>
          <cell r="C131" t="str">
            <v>!!SHAKE_STRAWBERRY_RIPTIDE</v>
          </cell>
          <cell r="D131" t="str">
            <v>recipe</v>
          </cell>
        </row>
        <row r="132">
          <cell r="A132">
            <v>50006</v>
          </cell>
          <cell r="B132" t="str">
            <v>Assets/StreamingAssets/Crafting/recipe_shake_tartberry_twist.json</v>
          </cell>
          <cell r="C132" t="str">
            <v>!!SHAKE_TARTBERRY_TWIST</v>
          </cell>
          <cell r="D132" t="str">
            <v>recipe</v>
          </cell>
        </row>
        <row r="133">
          <cell r="A133">
            <v>50007</v>
          </cell>
          <cell r="B133" t="str">
            <v>Assets/StreamingAssets/Crafting/recipe_shake_vanilla_blast.json</v>
          </cell>
          <cell r="C133" t="str">
            <v>!!SHAKE_VANILLA_BLAST</v>
          </cell>
          <cell r="D133" t="str">
            <v>recipe</v>
          </cell>
        </row>
        <row r="134">
          <cell r="A134">
            <v>60000</v>
          </cell>
          <cell r="B134" t="str">
            <v>Assets/StreamingAssets/Crafting/recipe_flowercoral_branchcoral.json</v>
          </cell>
          <cell r="C134" t="str">
            <v>!!FLOWERCORAL_BRANCHCORAL</v>
          </cell>
          <cell r="D134" t="str">
            <v>recipe</v>
          </cell>
        </row>
        <row r="135">
          <cell r="A135">
            <v>60001</v>
          </cell>
          <cell r="B135" t="str">
            <v>Assets/StreamingAssets/Crafting/recipe_flowercoral_cupcoral.json</v>
          </cell>
          <cell r="C135" t="str">
            <v>!!FLOWERCORAL_CUPCORAL</v>
          </cell>
          <cell r="D135" t="str">
            <v>recipe</v>
          </cell>
        </row>
        <row r="136">
          <cell r="A136">
            <v>60002</v>
          </cell>
          <cell r="B136" t="str">
            <v>Assets/StreamingAssets/Crafting/recipe_flowercoral_flower.json</v>
          </cell>
          <cell r="C136" t="str">
            <v>!!FLOWERCORAL_FLOWER</v>
          </cell>
          <cell r="D136" t="str">
            <v>recipe</v>
          </cell>
        </row>
        <row r="137">
          <cell r="A137">
            <v>60003</v>
          </cell>
          <cell r="B137" t="str">
            <v>Assets/StreamingAssets/Crafting/recipe_flowercoral_stinkysearose.json</v>
          </cell>
          <cell r="C137" t="str">
            <v>!!FLOWERCORAL_STINKYSEAROSE</v>
          </cell>
          <cell r="D137" t="str">
            <v>recipe</v>
          </cell>
        </row>
        <row r="138">
          <cell r="A138">
            <v>60004</v>
          </cell>
          <cell r="B138" t="str">
            <v>Assets/StreamingAssets/Crafting/recipe_flowercoral_tubecoral.json</v>
          </cell>
          <cell r="C138" t="str">
            <v>!!FLOWERCORAL_TUBECORAL</v>
          </cell>
          <cell r="D138" t="str">
            <v>recipe</v>
          </cell>
        </row>
        <row r="139">
          <cell r="A139">
            <v>60014</v>
          </cell>
          <cell r="B139" t="str">
            <v>Assets/StreamingAssets/Crafting/recipe_bouquet_flowercoral_friendlyflowerbouquet.json</v>
          </cell>
          <cell r="C139" t="str">
            <v>!!BOUQUET_FLOWERCORAL_FRIENDLYFLOWER</v>
          </cell>
          <cell r="D139" t="str">
            <v>recipe</v>
          </cell>
        </row>
        <row r="140">
          <cell r="A140">
            <v>60015</v>
          </cell>
          <cell r="B140" t="str">
            <v>Assets/StreamingAssets/Crafting/recipe_bouquet_flowercoral_cupn2flowers.json</v>
          </cell>
          <cell r="C140" t="str">
            <v>!!BOUQUET_FLOWERCORAL_CUPN2FLOWERS</v>
          </cell>
          <cell r="D140" t="str">
            <v>recipe</v>
          </cell>
        </row>
        <row r="141">
          <cell r="A141">
            <v>60016</v>
          </cell>
          <cell r="B141" t="str">
            <v>Assets/StreamingAssets/Crafting/recipe_bouquet_flowercoral_bunchobranches.json</v>
          </cell>
          <cell r="C141" t="str">
            <v>!!BOUQUET_FLOWERCORAL_BUNCHOBRANCHES</v>
          </cell>
          <cell r="D141" t="str">
            <v>recipe</v>
          </cell>
        </row>
        <row r="142">
          <cell r="A142">
            <v>60017</v>
          </cell>
          <cell r="B142" t="str">
            <v>Assets/StreamingAssets/Crafting/recipe_bouquet_flowercoral_cupcoraltree.json</v>
          </cell>
          <cell r="C142" t="str">
            <v>!!BOUQUET_FLOWERCORAL_CUPCORALTREE</v>
          </cell>
          <cell r="D142" t="str">
            <v>recipe</v>
          </cell>
        </row>
        <row r="143">
          <cell r="A143">
            <v>60018</v>
          </cell>
          <cell r="B143" t="str">
            <v>Assets/StreamingAssets/Crafting/recipe_bouquet_flowercoral_coralparadise.json</v>
          </cell>
          <cell r="C143" t="str">
            <v>!!BOUQUET_FLOWERCORAL_CORALPARADISE</v>
          </cell>
          <cell r="D143" t="str">
            <v>recipe</v>
          </cell>
        </row>
        <row r="144">
          <cell r="A144">
            <v>70000</v>
          </cell>
          <cell r="B144" t="str">
            <v>Assets/StreamingAssets/Crafting/recipe_perfume_4ofcups.json</v>
          </cell>
          <cell r="C144" t="str">
            <v>!!PERFUME_4OFCUPS</v>
          </cell>
          <cell r="D144" t="str">
            <v>recipe</v>
          </cell>
        </row>
        <row r="145">
          <cell r="A145">
            <v>70001</v>
          </cell>
          <cell r="B145" t="str">
            <v>Assets/StreamingAssets/Crafting/recipe_perfume_capsizeforher.json</v>
          </cell>
          <cell r="C145" t="str">
            <v>!!PERFUME_CAPSIZEFORHER</v>
          </cell>
          <cell r="D145" t="str">
            <v>recipe</v>
          </cell>
        </row>
        <row r="146">
          <cell r="A146">
            <v>70002</v>
          </cell>
          <cell r="B146" t="str">
            <v>Assets/StreamingAssets/Crafting/recipe_perfume_capsizeforhim.json</v>
          </cell>
          <cell r="C146" t="str">
            <v>!!PERFUME_CAPSIZEFORHIM</v>
          </cell>
          <cell r="D146" t="str">
            <v>recipe</v>
          </cell>
        </row>
        <row r="147">
          <cell r="A147">
            <v>70005</v>
          </cell>
          <cell r="B147" t="str">
            <v>Assets/StreamingAssets/Crafting/recipe_perfume_coralbreeze.json</v>
          </cell>
          <cell r="C147" t="str">
            <v>!!PERFUME_CORALBREEZE</v>
          </cell>
          <cell r="D147" t="str">
            <v>recipe</v>
          </cell>
        </row>
        <row r="148">
          <cell r="A148">
            <v>70006</v>
          </cell>
          <cell r="B148" t="str">
            <v>Assets/StreamingAssets/Crafting/recipe_perfume_fishermansflowers.json</v>
          </cell>
          <cell r="C148" t="str">
            <v>!!PERFUME_FISHERMANSFLOWERS</v>
          </cell>
          <cell r="D148" t="str">
            <v>recipe</v>
          </cell>
        </row>
        <row r="149">
          <cell r="A149">
            <v>70007</v>
          </cell>
          <cell r="B149" t="str">
            <v>Assets/StreamingAssets/Crafting/recipe_perfume_lampreyaway.json</v>
          </cell>
          <cell r="C149" t="str">
            <v>!!PERFUME_LAMPREYAWAY</v>
          </cell>
          <cell r="D149" t="str">
            <v>recipe</v>
          </cell>
        </row>
        <row r="150">
          <cell r="A150">
            <v>70008</v>
          </cell>
          <cell r="B150" t="str">
            <v>Assets/StreamingAssets/Crafting/recipe_perfume_scentosailor.json</v>
          </cell>
          <cell r="C150" t="str">
            <v>!!PERFUME_SCENTOSAILOR</v>
          </cell>
          <cell r="D150" t="str">
            <v>recipe</v>
          </cell>
        </row>
        <row r="151">
          <cell r="A151">
            <v>70009</v>
          </cell>
          <cell r="B151" t="str">
            <v>Assets/StreamingAssets/Crafting/recipe_perfume_seashanty.json</v>
          </cell>
          <cell r="C151" t="str">
            <v>!!PERFUME_SEASHANTY</v>
          </cell>
          <cell r="D151" t="str">
            <v>recipe</v>
          </cell>
        </row>
        <row r="152">
          <cell r="A152">
            <v>70010</v>
          </cell>
          <cell r="B152" t="str">
            <v>Assets/StreamingAssets/Crafting/recipe_perfume_thatssocoral.json</v>
          </cell>
          <cell r="C152" t="str">
            <v>!!PERFUME_THATSSOCORAL</v>
          </cell>
          <cell r="D152" t="str">
            <v>recipe</v>
          </cell>
        </row>
        <row r="153">
          <cell r="A153">
            <v>70011</v>
          </cell>
          <cell r="B153" t="str">
            <v>Assets/StreamingAssets/Crafting/recipe_perfume_thedump.json</v>
          </cell>
          <cell r="C153" t="str">
            <v>!!PERFUME_THEDUMP</v>
          </cell>
          <cell r="D153" t="str">
            <v>recipe</v>
          </cell>
        </row>
        <row r="154">
          <cell r="A154">
            <v>80000</v>
          </cell>
          <cell r="B154" t="str">
            <v>Assets/StreamingAssets/Crafting/recipe_baked_bananabananabread.json</v>
          </cell>
          <cell r="C154" t="str">
            <v>!!FOOD_BAKED_BANANABANANABREAD</v>
          </cell>
          <cell r="D154" t="str">
            <v>recipe</v>
          </cell>
        </row>
        <row r="155">
          <cell r="A155">
            <v>80001</v>
          </cell>
          <cell r="B155" t="str">
            <v>Assets/StreamingAssets/Crafting/recipe_baked_cherriesgary.json</v>
          </cell>
          <cell r="C155" t="str">
            <v>!!FOOD_BAKED_CHERRIESGARY</v>
          </cell>
          <cell r="D155" t="str">
            <v>recipe</v>
          </cell>
        </row>
        <row r="156">
          <cell r="A156">
            <v>80002</v>
          </cell>
          <cell r="B156" t="str">
            <v>Assets/StreamingAssets/Crafting/recipe_baked_coconutcobbler.json</v>
          </cell>
          <cell r="C156" t="str">
            <v>!!FOOD_BAKED_COCONUTCOBBLER</v>
          </cell>
          <cell r="D156" t="str">
            <v>recipe</v>
          </cell>
        </row>
        <row r="157">
          <cell r="A157">
            <v>80003</v>
          </cell>
          <cell r="B157" t="str">
            <v>Assets/StreamingAssets/Crafting/recipe_baked_coralcrumble.json</v>
          </cell>
          <cell r="C157" t="str">
            <v>!!FOOD_BAKED_CORALCRUMBLE</v>
          </cell>
          <cell r="D157" t="str">
            <v>recipe</v>
          </cell>
        </row>
        <row r="158">
          <cell r="A158">
            <v>80004</v>
          </cell>
          <cell r="B158" t="str">
            <v>Assets/StreamingAssets/Crafting/recipe_baked_dutchmansdutchapplepie.json</v>
          </cell>
          <cell r="C158" t="str">
            <v>!!FOOD_BAKED_DUTCHMANSDUTCHAPPLEPIE</v>
          </cell>
          <cell r="D158" t="str">
            <v>recipe</v>
          </cell>
        </row>
        <row r="159">
          <cell r="A159">
            <v>80005</v>
          </cell>
          <cell r="B159" t="str">
            <v>Assets/StreamingAssets/Crafting/recipe_baked_everyvillainislemonbar.json</v>
          </cell>
          <cell r="C159" t="str">
            <v>!!FOOD_BAKED_EVERYVILLAINISLEMONBAR</v>
          </cell>
          <cell r="D159" t="str">
            <v>recipe</v>
          </cell>
        </row>
        <row r="160">
          <cell r="A160">
            <v>80006</v>
          </cell>
          <cell r="B160" t="str">
            <v>Assets/StreamingAssets/Crafting/recipe_baked_ferrycherrycheesecake.json</v>
          </cell>
          <cell r="C160" t="str">
            <v>!!FOOD_BAKED_FERRYCHERRYCHEESECAKE</v>
          </cell>
          <cell r="D160" t="str">
            <v>recipe</v>
          </cell>
        </row>
        <row r="161">
          <cell r="A161">
            <v>80007</v>
          </cell>
          <cell r="B161" t="str">
            <v>Assets/StreamingAssets/Crafting/recipe_baked_kelpycrust.json</v>
          </cell>
          <cell r="C161" t="str">
            <v>!!FOOD_BAKED_KELPYCRUST</v>
          </cell>
          <cell r="D161" t="str">
            <v>recipe</v>
          </cell>
        </row>
        <row r="162">
          <cell r="A162">
            <v>80008</v>
          </cell>
          <cell r="B162" t="str">
            <v>Assets/StreamingAssets/Crafting/recipe_baked_lifesabeachpeachcobbler.json</v>
          </cell>
          <cell r="C162" t="str">
            <v>!!FOOD_BAKED_LIFESABEACHPEACHCOBBLER</v>
          </cell>
          <cell r="D162" t="str">
            <v>recipe</v>
          </cell>
        </row>
        <row r="163">
          <cell r="A163">
            <v>80009</v>
          </cell>
          <cell r="B163" t="str">
            <v>Assets/StreamingAssets/Crafting/recipe_baked_maroonedmacaroons.json</v>
          </cell>
          <cell r="C163" t="str">
            <v>!!FOOD_BAKED_MAROONEDMACAROONS</v>
          </cell>
          <cell r="D163" t="str">
            <v>recipe</v>
          </cell>
        </row>
        <row r="164">
          <cell r="A164">
            <v>80010</v>
          </cell>
          <cell r="B164" t="str">
            <v>Assets/StreamingAssets/Crafting/recipe_baked_meringuelemanray.json</v>
          </cell>
          <cell r="C164" t="str">
            <v>!!FOOD_BAKED_MERINGUELEMANRAY</v>
          </cell>
          <cell r="D164" t="str">
            <v>recipe</v>
          </cell>
        </row>
        <row r="165">
          <cell r="A165">
            <v>80011</v>
          </cell>
          <cell r="B165" t="str">
            <v>Assets/StreamingAssets/Crafting/recipe_baked_pufferpastrytart.json</v>
          </cell>
          <cell r="C165" t="str">
            <v>!!FOOD_BAKED_PUFFERPASTRYTART</v>
          </cell>
          <cell r="D165" t="str">
            <v>recipe</v>
          </cell>
        </row>
        <row r="166">
          <cell r="A166">
            <v>80012</v>
          </cell>
          <cell r="B166" t="str">
            <v>Assets/StreamingAssets/Crafting/recipe_baked_sandystexastwoberrytart.json</v>
          </cell>
          <cell r="C166" t="str">
            <v>!!FOOD_BAKED_SANDYSTEXASTWOBERRYTART</v>
          </cell>
          <cell r="D166" t="str">
            <v>recipe</v>
          </cell>
        </row>
        <row r="167">
          <cell r="A167">
            <v>80013</v>
          </cell>
          <cell r="B167" t="str">
            <v>Assets/StreamingAssets/Crafting/recipe_baked_sealimepie.json</v>
          </cell>
          <cell r="C167" t="str">
            <v>!!FOOD_BAKED_SEALIMEPIE</v>
          </cell>
          <cell r="D167" t="str">
            <v>recipe</v>
          </cell>
        </row>
        <row r="168">
          <cell r="A168">
            <v>80014</v>
          </cell>
          <cell r="B168" t="str">
            <v>Assets/StreamingAssets/Crafting/recipe_baked_sheldonsstrawberryshortcake.json</v>
          </cell>
          <cell r="C168" t="str">
            <v>!!FOOD_BAKED_SHELDONSSTRAWBERRYSHORTCAKE</v>
          </cell>
          <cell r="D168" t="str">
            <v>recipe</v>
          </cell>
        </row>
        <row r="169">
          <cell r="A169">
            <v>80015</v>
          </cell>
          <cell r="B169" t="str">
            <v>Assets/StreamingAssets/Crafting/recipe_baked_spongecakesquarebake.json</v>
          </cell>
          <cell r="C169" t="str">
            <v>!!FOOD_BAKED_SPONGECAKESQUAREBAKE</v>
          </cell>
          <cell r="D169" t="str">
            <v>recipe</v>
          </cell>
        </row>
        <row r="170">
          <cell r="A170">
            <v>80016</v>
          </cell>
          <cell r="B170" t="str">
            <v>Assets/StreamingAssets/Crafting/recipe_baked_theapplefancyson.json</v>
          </cell>
          <cell r="C170" t="str">
            <v>!!FOOD_BAKED_THEAPPLEFANCYSON</v>
          </cell>
          <cell r="D170" t="str">
            <v>recipe</v>
          </cell>
        </row>
      </sheetData>
      <sheetData sheetId="1">
        <row r="1">
          <cell r="A1" t="str">
            <v>DID</v>
          </cell>
          <cell r="B1" t="str">
            <v>filename</v>
          </cell>
          <cell r="C1" t="str">
            <v>name</v>
          </cell>
          <cell r="D1" t="str">
            <v>type</v>
          </cell>
        </row>
        <row r="2">
          <cell r="A2">
            <v>1</v>
          </cell>
          <cell r="B2" t="str">
            <v>Assets/StreamingAssets/Resources/resources.json</v>
          </cell>
          <cell r="C2" t="str">
            <v>!!FOOD_KRABBYPATTY</v>
          </cell>
        </row>
        <row r="3">
          <cell r="A3">
            <v>2</v>
          </cell>
          <cell r="B3" t="str">
            <v>Assets/StreamingAssets/Resources/resources.json</v>
          </cell>
          <cell r="C3" t="str">
            <v>!!RESOURCE_JJ</v>
          </cell>
          <cell r="D3" t="str">
            <v>hard_currency</v>
          </cell>
        </row>
        <row r="4">
          <cell r="A4">
            <v>3</v>
          </cell>
          <cell r="B4" t="str">
            <v>Assets/StreamingAssets/Resources/resources.json</v>
          </cell>
          <cell r="C4" t="str">
            <v>!!RESOURCE_MONEY</v>
          </cell>
          <cell r="D4" t="str">
            <v>soft_currency</v>
          </cell>
        </row>
        <row r="5">
          <cell r="A5">
            <v>4</v>
          </cell>
          <cell r="B5" t="str">
            <v>Assets/StreamingAssets/Resources/resources.json</v>
          </cell>
          <cell r="C5" t="str">
            <v>!!RESOURCE_LEVEL</v>
          </cell>
          <cell r="D5" t="str">
            <v>level</v>
          </cell>
        </row>
        <row r="6">
          <cell r="A6">
            <v>5</v>
          </cell>
          <cell r="B6" t="str">
            <v>Assets/StreamingAssets/Resources/resources.json</v>
          </cell>
          <cell r="C6" t="str">
            <v>!!RESOURCE_XP</v>
          </cell>
          <cell r="D6" t="str">
            <v>xp</v>
          </cell>
        </row>
        <row r="7">
          <cell r="A7">
            <v>6</v>
          </cell>
          <cell r="B7" t="str">
            <v>Assets/StreamingAssets/Resources/resources.json</v>
          </cell>
          <cell r="C7" t="str">
            <v>!!FOOD_BUN</v>
          </cell>
        </row>
        <row r="8">
          <cell r="A8">
            <v>7</v>
          </cell>
          <cell r="B8" t="str">
            <v>Assets/StreamingAssets/Resources/resources.json</v>
          </cell>
          <cell r="C8" t="str">
            <v>Meat</v>
          </cell>
        </row>
        <row r="9">
          <cell r="A9">
            <v>8</v>
          </cell>
          <cell r="B9" t="str">
            <v>Assets/StreamingAssets/Resources/resources.json</v>
          </cell>
          <cell r="C9" t="str">
            <v>!!FOOD_LETTUCE</v>
          </cell>
        </row>
        <row r="10">
          <cell r="A10">
            <v>9</v>
          </cell>
          <cell r="B10" t="str">
            <v>Assets/StreamingAssets/Resources/resources.json</v>
          </cell>
          <cell r="C10" t="str">
            <v>Cheese</v>
          </cell>
        </row>
        <row r="11">
          <cell r="A11">
            <v>10</v>
          </cell>
          <cell r="B11" t="str">
            <v>Assets/StreamingAssets/Resources/resources.json</v>
          </cell>
          <cell r="C11" t="str">
            <v>!!FOOD_TOMATO</v>
          </cell>
        </row>
        <row r="12">
          <cell r="A12">
            <v>11</v>
          </cell>
          <cell r="B12" t="str">
            <v>Assets/StreamingAssets/Resources/resources.json</v>
          </cell>
          <cell r="C12" t="str">
            <v>Sauce</v>
          </cell>
        </row>
        <row r="13">
          <cell r="A13">
            <v>12</v>
          </cell>
          <cell r="B13" t="str">
            <v>Assets/StreamingAssets/Resources/resources.json</v>
          </cell>
          <cell r="C13" t="str">
            <v>!!FOOD_ONION</v>
          </cell>
        </row>
        <row r="14">
          <cell r="A14">
            <v>13</v>
          </cell>
          <cell r="B14" t="str">
            <v>Assets/StreamingAssets/Resources/resources.json</v>
          </cell>
          <cell r="C14" t="str">
            <v>!!FOOD_POTATO</v>
          </cell>
        </row>
        <row r="15">
          <cell r="A15">
            <v>14</v>
          </cell>
          <cell r="B15" t="str">
            <v>Assets/StreamingAssets/Resources/resources.json</v>
          </cell>
          <cell r="C15" t="str">
            <v>!!FOOD_KELP</v>
          </cell>
        </row>
        <row r="16">
          <cell r="A16">
            <v>15</v>
          </cell>
          <cell r="B16" t="str">
            <v>Assets/StreamingAssets/Resources/resources.json</v>
          </cell>
          <cell r="C16" t="str">
            <v>!!FOOD_CRYJOHNNY</v>
          </cell>
        </row>
        <row r="17">
          <cell r="A17">
            <v>16</v>
          </cell>
          <cell r="B17" t="str">
            <v>Assets/StreamingAssets/Resources/resources.json</v>
          </cell>
          <cell r="C17" t="str">
            <v>!!FOOD_DUTCHDOUBLE</v>
          </cell>
        </row>
        <row r="18">
          <cell r="A18">
            <v>17</v>
          </cell>
          <cell r="B18" t="str">
            <v>Assets/StreamingAssets/Resources/resources.json</v>
          </cell>
          <cell r="C18" t="str">
            <v>!!FOOD_6NUGGETS</v>
          </cell>
        </row>
        <row r="19">
          <cell r="A19">
            <v>18</v>
          </cell>
          <cell r="B19" t="str">
            <v>Assets/StreamingAssets/Resources/resources.json</v>
          </cell>
          <cell r="C19" t="str">
            <v>!!FOOD_KELPFRIES</v>
          </cell>
        </row>
        <row r="20">
          <cell r="A20">
            <v>19</v>
          </cell>
          <cell r="B20" t="str">
            <v>Assets/StreamingAssets/Resources/resources.json</v>
          </cell>
          <cell r="C20" t="str">
            <v>!!FOOD_KELPCAKE</v>
          </cell>
        </row>
        <row r="21">
          <cell r="A21">
            <v>20</v>
          </cell>
          <cell r="B21" t="str">
            <v>Assets/StreamingAssets/Resources/resources.json</v>
          </cell>
          <cell r="C21" t="str">
            <v>!!FOOD_KELPRINGS</v>
          </cell>
        </row>
        <row r="22">
          <cell r="A22">
            <v>21</v>
          </cell>
          <cell r="B22" t="str">
            <v>Assets/StreamingAssets/Resources/resources.json</v>
          </cell>
          <cell r="C22" t="str">
            <v>!!FOOD_KELPDOG</v>
          </cell>
        </row>
        <row r="23">
          <cell r="A23">
            <v>22</v>
          </cell>
          <cell r="B23" t="str">
            <v>Assets/StreamingAssets/Resources/resources.json</v>
          </cell>
          <cell r="C23" t="str">
            <v>!!FOOD_SEAWEEDSALAD</v>
          </cell>
        </row>
        <row r="24">
          <cell r="A24">
            <v>23</v>
          </cell>
          <cell r="B24" t="str">
            <v>Assets/StreamingAssets/Resources/resources.json</v>
          </cell>
          <cell r="C24" t="str">
            <v>!!FOOD_KELPKLT</v>
          </cell>
        </row>
        <row r="25">
          <cell r="A25">
            <v>24</v>
          </cell>
          <cell r="B25" t="str">
            <v>Assets/StreamingAssets/Resources/resources.json</v>
          </cell>
          <cell r="C25" t="str">
            <v>!!FOOD_KELPJERKY</v>
          </cell>
        </row>
        <row r="26">
          <cell r="A26">
            <v>25</v>
          </cell>
          <cell r="B26" t="str">
            <v>Assets/StreamingAssets/Resources/resources.json</v>
          </cell>
          <cell r="C26" t="str">
            <v>!!FOOD_SAILORS</v>
          </cell>
        </row>
        <row r="27">
          <cell r="A27">
            <v>26</v>
          </cell>
          <cell r="B27" t="str">
            <v>Assets/StreamingAssets/Resources/resources.json</v>
          </cell>
          <cell r="C27" t="str">
            <v>!!FOOD_GNOCCHI</v>
          </cell>
        </row>
        <row r="28">
          <cell r="A28">
            <v>27</v>
          </cell>
          <cell r="B28" t="str">
            <v>Assets/StreamingAssets/Resources/resources.json</v>
          </cell>
          <cell r="C28" t="str">
            <v>!!FOOD_BRUSCHETTA</v>
          </cell>
        </row>
        <row r="29">
          <cell r="A29">
            <v>28</v>
          </cell>
          <cell r="B29" t="str">
            <v>Assets/StreamingAssets/Resources/resources.json</v>
          </cell>
          <cell r="C29" t="str">
            <v>!!FOOD_BISQUE</v>
          </cell>
        </row>
        <row r="30">
          <cell r="A30">
            <v>29</v>
          </cell>
          <cell r="B30" t="str">
            <v>Assets/StreamingAssets/Resources/resources.json</v>
          </cell>
          <cell r="C30" t="str">
            <v>!!FOOD_SALSATACO</v>
          </cell>
        </row>
        <row r="31">
          <cell r="A31">
            <v>30</v>
          </cell>
          <cell r="B31" t="str">
            <v>Assets/StreamingAssets/Resources/resources.json</v>
          </cell>
          <cell r="C31" t="str">
            <v>!!FOOD_HUSHPUPPY</v>
          </cell>
        </row>
        <row r="32">
          <cell r="A32">
            <v>31</v>
          </cell>
          <cell r="B32" t="str">
            <v>Assets/StreamingAssets/Resources/resources.json</v>
          </cell>
          <cell r="C32" t="str">
            <v>!!FOOD_CAESAR_SALAD</v>
          </cell>
        </row>
        <row r="33">
          <cell r="A33">
            <v>32</v>
          </cell>
          <cell r="B33" t="str">
            <v>Assets/StreamingAssets/Resources/resources.json</v>
          </cell>
          <cell r="C33" t="str">
            <v>!!FOOD_JELLYPATTY</v>
          </cell>
        </row>
        <row r="34">
          <cell r="A34">
            <v>33</v>
          </cell>
          <cell r="B34" t="str">
            <v>Assets/StreamingAssets/Resources/resources.json</v>
          </cell>
          <cell r="C34" t="str">
            <v>AB Tests</v>
          </cell>
        </row>
        <row r="35">
          <cell r="A35">
            <v>34</v>
          </cell>
          <cell r="B35" t="str">
            <v>Assets/StreamingAssets/Resources/resources.json</v>
          </cell>
          <cell r="C35" t="str">
            <v>!!FOOD_FRENCHBREAD</v>
          </cell>
        </row>
        <row r="36">
          <cell r="A36">
            <v>35</v>
          </cell>
          <cell r="B36" t="str">
            <v>Assets/StreamingAssets/Resources/resources.json</v>
          </cell>
          <cell r="C36" t="str">
            <v>!!FOOD_TORTILLA</v>
          </cell>
        </row>
        <row r="37">
          <cell r="A37">
            <v>37</v>
          </cell>
          <cell r="B37" t="str">
            <v>Assets/StreamingAssets/Resources/resources.json</v>
          </cell>
          <cell r="C37" t="str">
            <v>!!FOOD_DELIROLL</v>
          </cell>
        </row>
        <row r="38">
          <cell r="A38">
            <v>38</v>
          </cell>
          <cell r="B38" t="str">
            <v>Assets/StreamingAssets/Resources/resources.json</v>
          </cell>
          <cell r="C38" t="str">
            <v>!!FOOD_BREADBOWL</v>
          </cell>
        </row>
        <row r="39">
          <cell r="A39">
            <v>40</v>
          </cell>
          <cell r="B39" t="str">
            <v>Assets/StreamingAssets/Resources/resources.json</v>
          </cell>
          <cell r="C39" t="str">
            <v>!!FOOD_VEGGIEPATTY</v>
          </cell>
        </row>
        <row r="40">
          <cell r="A40">
            <v>41</v>
          </cell>
          <cell r="B40" t="str">
            <v>Assets/StreamingAssets/Resources/resources.json</v>
          </cell>
          <cell r="C40" t="str">
            <v>!!FOOD_GARLICBREAD</v>
          </cell>
        </row>
        <row r="41">
          <cell r="A41">
            <v>42</v>
          </cell>
          <cell r="B41" t="str">
            <v>Assets/StreamingAssets/Resources/resources.json</v>
          </cell>
          <cell r="C41" t="str">
            <v>!!FOOD_ULTIMATEANEMONE</v>
          </cell>
        </row>
        <row r="42">
          <cell r="A42">
            <v>43</v>
          </cell>
          <cell r="B42" t="str">
            <v>Assets/StreamingAssets/Resources/resources.json</v>
          </cell>
          <cell r="C42" t="str">
            <v>!!FOOD_TOSTADA</v>
          </cell>
        </row>
        <row r="43">
          <cell r="A43">
            <v>44</v>
          </cell>
          <cell r="B43" t="str">
            <v>Assets/StreamingAssets/Resources/resources.json</v>
          </cell>
          <cell r="C43" t="str">
            <v>!!FOOD_VEGGIEWRAP</v>
          </cell>
        </row>
        <row r="44">
          <cell r="A44">
            <v>45</v>
          </cell>
          <cell r="B44" t="str">
            <v>Assets/StreamingAssets/Resources/resources.json</v>
          </cell>
          <cell r="C44" t="str">
            <v>!!FOOD_FOOTLONG</v>
          </cell>
        </row>
        <row r="45">
          <cell r="A45">
            <v>46</v>
          </cell>
          <cell r="B45" t="str">
            <v>Assets/StreamingAssets/Resources/resources.json</v>
          </cell>
          <cell r="C45" t="str">
            <v>!!FOOD_SALAD</v>
          </cell>
        </row>
        <row r="46">
          <cell r="A46">
            <v>50</v>
          </cell>
          <cell r="B46" t="str">
            <v>Assets/StreamingAssets/Resources/resources.json</v>
          </cell>
          <cell r="C46" t="str">
            <v>!!FOOD_CARPFREEKP</v>
          </cell>
        </row>
        <row r="47">
          <cell r="A47">
            <v>51</v>
          </cell>
          <cell r="B47" t="str">
            <v>Assets/StreamingAssets/Resources/resources.json</v>
          </cell>
          <cell r="C47" t="str">
            <v>!!RESOURCE_ECTOPLASM</v>
          </cell>
          <cell r="D47" t="str">
            <v>halloween_currency</v>
          </cell>
        </row>
        <row r="48">
          <cell r="A48">
            <v>52</v>
          </cell>
          <cell r="B48" t="str">
            <v>Assets/StreamingAssets/Resources/resources.json</v>
          </cell>
          <cell r="C48" t="str">
            <v>!!RESOURCE_TOYS</v>
          </cell>
          <cell r="D48" t="str">
            <v>christmas_currency</v>
          </cell>
        </row>
        <row r="49">
          <cell r="A49">
            <v>53</v>
          </cell>
          <cell r="B49" t="str">
            <v>Assets/StreamingAssets/Resources/resources.json</v>
          </cell>
          <cell r="C49" t="str">
            <v>!!RESOURCE_HEARTS</v>
          </cell>
          <cell r="D49" t="str">
            <v>valentines_currency</v>
          </cell>
        </row>
        <row r="50">
          <cell r="A50">
            <v>90</v>
          </cell>
          <cell r="B50" t="str">
            <v>Assets/StreamingAssets/Resources/resources.json</v>
          </cell>
          <cell r="C50" t="str">
            <v>!!FOOD_PATTY</v>
          </cell>
        </row>
        <row r="51">
          <cell r="A51">
            <v>92</v>
          </cell>
          <cell r="B51" t="str">
            <v>Assets/StreamingAssets/Resources/resources.json</v>
          </cell>
          <cell r="C51" t="str">
            <v>!!FOOD_TOAST</v>
          </cell>
        </row>
        <row r="52">
          <cell r="A52">
            <v>93</v>
          </cell>
          <cell r="B52" t="str">
            <v>Assets/StreamingAssets/Resources/resources.json</v>
          </cell>
          <cell r="C52" t="str">
            <v>!!FOOD_CROUTONS</v>
          </cell>
        </row>
        <row r="53">
          <cell r="A53">
            <v>94</v>
          </cell>
          <cell r="B53" t="str">
            <v>Assets/StreamingAssets/Resources/resources.json</v>
          </cell>
          <cell r="C53" t="str">
            <v>!!FOOD_KETCHUP</v>
          </cell>
        </row>
        <row r="54">
          <cell r="A54">
            <v>95</v>
          </cell>
          <cell r="B54" t="str">
            <v>Assets/StreamingAssets/Resources/resources.json</v>
          </cell>
          <cell r="C54" t="str">
            <v>!!FOOD_CUBEDKETCHUPKABOBS</v>
          </cell>
        </row>
        <row r="55">
          <cell r="A55">
            <v>96</v>
          </cell>
          <cell r="B55" t="str">
            <v>Assets/StreamingAssets/Resources/resources.json</v>
          </cell>
          <cell r="C55" t="str">
            <v>!!FOOD_JELLIEDTOAST</v>
          </cell>
        </row>
        <row r="56">
          <cell r="A56">
            <v>97</v>
          </cell>
          <cell r="B56" t="str">
            <v>Assets/StreamingAssets/Resources/resources.json</v>
          </cell>
          <cell r="C56" t="str">
            <v>!!FOOD_PICODEGALLO</v>
          </cell>
        </row>
        <row r="57">
          <cell r="A57">
            <v>99</v>
          </cell>
          <cell r="B57" t="str">
            <v>Assets/StreamingAssets/Resources/resources.json</v>
          </cell>
          <cell r="C57" t="str">
            <v>!!FOOD_PIPSQUEAKPATTY</v>
          </cell>
          <cell r="D57" t="str">
            <v>default_wish</v>
          </cell>
        </row>
        <row r="58">
          <cell r="A58">
            <v>1008</v>
          </cell>
          <cell r="B58" t="str">
            <v>Assets/StreamingAssets/Resources/resources.json</v>
          </cell>
          <cell r="C58" t="str">
            <v>!!FOOD_HOTDOGROLL</v>
          </cell>
        </row>
        <row r="59">
          <cell r="A59">
            <v>2000</v>
          </cell>
          <cell r="B59" t="str">
            <v>Assets/StreamingAssets/Resources/resources.json</v>
          </cell>
          <cell r="C59" t="str">
            <v>!!FOOD_VANILLA</v>
          </cell>
        </row>
        <row r="60">
          <cell r="A60">
            <v>2001</v>
          </cell>
          <cell r="B60" t="str">
            <v>Assets/StreamingAssets/Resources/resources.json</v>
          </cell>
          <cell r="C60" t="str">
            <v>!!FOOD_CORALBITS</v>
          </cell>
        </row>
        <row r="61">
          <cell r="A61">
            <v>2002</v>
          </cell>
          <cell r="B61" t="str">
            <v>Assets/StreamingAssets/Resources/resources.json</v>
          </cell>
          <cell r="C61" t="str">
            <v>!!FOOD_GARLIC</v>
          </cell>
        </row>
        <row r="62">
          <cell r="A62">
            <v>9000</v>
          </cell>
          <cell r="B62" t="str">
            <v>Assets/StreamingAssets/Resources/resources.json</v>
          </cell>
          <cell r="C62" t="str">
            <v>!!FOOD_RUSTYS_BARK_CHOP_SANDWICH</v>
          </cell>
        </row>
        <row r="63">
          <cell r="A63">
            <v>9001</v>
          </cell>
          <cell r="B63" t="str">
            <v>Assets/StreamingAssets/Resources/resources.json</v>
          </cell>
          <cell r="C63" t="str">
            <v>!!FOOD_RUSTYS_BARKING_BRISKET</v>
          </cell>
        </row>
        <row r="64">
          <cell r="A64">
            <v>9002</v>
          </cell>
          <cell r="B64" t="str">
            <v>Assets/StreamingAssets/Resources/resources.json</v>
          </cell>
          <cell r="C64" t="str">
            <v>!!INGREDIENT_BBQ_SAUCE</v>
          </cell>
        </row>
        <row r="65">
          <cell r="A65">
            <v>9003</v>
          </cell>
          <cell r="B65" t="str">
            <v>Assets/StreamingAssets/Resources/resources.json</v>
          </cell>
          <cell r="C65" t="str">
            <v>!!INGREDIENT_DISTILLED_VINEGAR</v>
          </cell>
        </row>
        <row r="66">
          <cell r="A66">
            <v>9004</v>
          </cell>
          <cell r="B66" t="str">
            <v>Assets/StreamingAssets/Resources/resources.json</v>
          </cell>
          <cell r="C66" t="str">
            <v>!!INGREDIENT_DRIFTWOOD</v>
          </cell>
        </row>
        <row r="67">
          <cell r="A67">
            <v>9005</v>
          </cell>
          <cell r="B67" t="str">
            <v>Assets/StreamingAssets/Resources/resources.json</v>
          </cell>
          <cell r="C67" t="str">
            <v>!!INGREDIENT_MUSTARD_SEED</v>
          </cell>
        </row>
        <row r="68">
          <cell r="A68">
            <v>9006</v>
          </cell>
          <cell r="B68" t="str">
            <v>Assets/StreamingAssets/Resources/resources.json</v>
          </cell>
          <cell r="C68" t="str">
            <v>!!INGREDIENT_NATURAL_FLAVORS</v>
          </cell>
        </row>
        <row r="69">
          <cell r="A69">
            <v>9007</v>
          </cell>
          <cell r="B69" t="str">
            <v>Assets/StreamingAssets/Resources/resources.json</v>
          </cell>
          <cell r="C69" t="str">
            <v>!!INGREDIENT_PAPRIKA</v>
          </cell>
        </row>
        <row r="70">
          <cell r="A70">
            <v>9008</v>
          </cell>
          <cell r="B70" t="str">
            <v>Assets/StreamingAssets/Resources/resources.json</v>
          </cell>
          <cell r="C70" t="str">
            <v>!!INGREDIENT_SALT</v>
          </cell>
        </row>
        <row r="71">
          <cell r="A71">
            <v>9009</v>
          </cell>
          <cell r="B71" t="str">
            <v>Assets/StreamingAssets/Resources/resources.json</v>
          </cell>
          <cell r="C71" t="str">
            <v>!!INGREDIENT_SHELLAC</v>
          </cell>
        </row>
        <row r="72">
          <cell r="A72">
            <v>9010</v>
          </cell>
          <cell r="B72" t="str">
            <v>Assets/StreamingAssets/Resources/resources.json</v>
          </cell>
          <cell r="C72" t="str">
            <v>!!INGREDIENT_SPACKLE</v>
          </cell>
        </row>
        <row r="73">
          <cell r="A73">
            <v>9011</v>
          </cell>
          <cell r="B73" t="str">
            <v>Assets/StreamingAssets/Resources/resources.json</v>
          </cell>
          <cell r="C73" t="str">
            <v>!!INGREDIENT_TUMERIC</v>
          </cell>
        </row>
        <row r="74">
          <cell r="A74">
            <v>9014</v>
          </cell>
          <cell r="B74" t="str">
            <v>Assets/StreamingAssets/Resources/resources.json</v>
          </cell>
          <cell r="C74" t="str">
            <v>!!FOOD_RUSTYS_MESQUITE_RIBS</v>
          </cell>
        </row>
        <row r="75">
          <cell r="A75">
            <v>9015</v>
          </cell>
          <cell r="B75" t="str">
            <v>Assets/StreamingAssets/Resources/resources.json</v>
          </cell>
          <cell r="C75" t="str">
            <v>!!FOOD_RUSTYS_PULLED_PULP_SANDWICH</v>
          </cell>
        </row>
        <row r="76">
          <cell r="A76">
            <v>9016</v>
          </cell>
          <cell r="B76" t="str">
            <v>Assets/StreamingAssets/Resources/resources.json</v>
          </cell>
          <cell r="C76" t="str">
            <v>!!FOOD_RUSTYS_RUSTY_ON_RYE</v>
          </cell>
        </row>
        <row r="77">
          <cell r="A77">
            <v>9017</v>
          </cell>
          <cell r="B77" t="str">
            <v>Assets/StreamingAssets/Resources/resources.json</v>
          </cell>
          <cell r="C77" t="str">
            <v>!!FOOD_RUSTYS_SPICY_SPACKLE_SAUCE</v>
          </cell>
        </row>
        <row r="78">
          <cell r="A78">
            <v>9018</v>
          </cell>
          <cell r="B78" t="str">
            <v>Assets/StreamingAssets/Resources/resources.json</v>
          </cell>
          <cell r="C78" t="str">
            <v>!!FOOD_RUSTYS_SPLINTERED_SLAW</v>
          </cell>
        </row>
        <row r="79">
          <cell r="A79">
            <v>9019</v>
          </cell>
          <cell r="B79" t="str">
            <v>Assets/StreamingAssets/Resources/resources.json</v>
          </cell>
          <cell r="C79" t="str">
            <v>!!FOOD_RUSTYS_RIBEYE_SANDWICH</v>
          </cell>
        </row>
        <row r="80">
          <cell r="A80">
            <v>9020</v>
          </cell>
          <cell r="B80" t="str">
            <v>Assets/StreamingAssets/Resources/resources.json</v>
          </cell>
          <cell r="C80" t="str">
            <v>!!FOOD_MUSTARD</v>
          </cell>
        </row>
        <row r="81">
          <cell r="A81">
            <v>9100</v>
          </cell>
          <cell r="B81" t="str">
            <v>Assets/StreamingAssets/Resources/resources.json</v>
          </cell>
          <cell r="C81" t="str">
            <v>!!FOOD_HOLIDAY_CHEER</v>
          </cell>
        </row>
        <row r="82">
          <cell r="A82">
            <v>9101</v>
          </cell>
          <cell r="B82" t="str">
            <v>Assets/StreamingAssets/Resources/resources.json</v>
          </cell>
          <cell r="C82" t="str">
            <v>!!FOOD_SNICKERDOODLE</v>
          </cell>
        </row>
        <row r="83">
          <cell r="A83">
            <v>9102</v>
          </cell>
          <cell r="B83" t="str">
            <v>Assets/StreamingAssets/Resources/resources.json</v>
          </cell>
          <cell r="C83" t="str">
            <v>!!FOOD_ROASTED_CHESTNUT</v>
          </cell>
        </row>
        <row r="84">
          <cell r="A84">
            <v>9103</v>
          </cell>
          <cell r="B84" t="str">
            <v>Assets/StreamingAssets/Resources/resources.json</v>
          </cell>
          <cell r="C84" t="str">
            <v>!!FOOD_PEANUT_BRITTLE</v>
          </cell>
        </row>
        <row r="85">
          <cell r="A85">
            <v>9104</v>
          </cell>
          <cell r="B85" t="str">
            <v>Assets/StreamingAssets/Resources/resources.json</v>
          </cell>
          <cell r="C85" t="str">
            <v>!!FOOD_BREAD_PUDDING</v>
          </cell>
        </row>
        <row r="86">
          <cell r="A86">
            <v>9105</v>
          </cell>
          <cell r="B86" t="str">
            <v>Assets/StreamingAssets/Resources/resources.json</v>
          </cell>
          <cell r="C86" t="str">
            <v>!!FOOD_YULE_LOG_CAKE</v>
          </cell>
        </row>
        <row r="87">
          <cell r="A87">
            <v>9106</v>
          </cell>
          <cell r="B87" t="str">
            <v>Assets/StreamingAssets/Resources/resources.json</v>
          </cell>
          <cell r="C87" t="str">
            <v>!!INGREDIENT_DOUGH</v>
          </cell>
        </row>
        <row r="88">
          <cell r="A88">
            <v>9107</v>
          </cell>
          <cell r="B88" t="str">
            <v>Assets/StreamingAssets/Resources/resources.json</v>
          </cell>
          <cell r="C88" t="str">
            <v>!!INGREDIENT_SUGAR</v>
          </cell>
        </row>
        <row r="89">
          <cell r="A89">
            <v>9108</v>
          </cell>
          <cell r="B89" t="str">
            <v>Assets/StreamingAssets/Resources/resources.json</v>
          </cell>
          <cell r="C89" t="str">
            <v>!!INGREDIENT_CINNAMON</v>
          </cell>
        </row>
        <row r="90">
          <cell r="A90">
            <v>9109</v>
          </cell>
          <cell r="B90" t="str">
            <v>Assets/StreamingAssets/Resources/resources.json</v>
          </cell>
          <cell r="C90" t="str">
            <v>!!INGREDIENT_CHOCOLATE</v>
          </cell>
        </row>
        <row r="91">
          <cell r="A91">
            <v>9110</v>
          </cell>
          <cell r="B91" t="str">
            <v>Assets/StreamingAssets/Resources/resources.json</v>
          </cell>
          <cell r="C91" t="str">
            <v>!!INGREDIENT_CLOVES</v>
          </cell>
        </row>
        <row r="92">
          <cell r="A92">
            <v>9111</v>
          </cell>
          <cell r="B92" t="str">
            <v>Assets/StreamingAssets/Resources/resources.json</v>
          </cell>
          <cell r="C92" t="str">
            <v>!!INGREDIENT_GINGER</v>
          </cell>
        </row>
        <row r="93">
          <cell r="A93">
            <v>9112</v>
          </cell>
          <cell r="B93" t="str">
            <v>Assets/StreamingAssets/Resources/resources.json</v>
          </cell>
          <cell r="C93" t="str">
            <v>!!INGREDIENT_ICING</v>
          </cell>
        </row>
        <row r="94">
          <cell r="A94">
            <v>9113</v>
          </cell>
          <cell r="B94" t="str">
            <v>Assets/StreamingAssets/Resources/resources.json</v>
          </cell>
          <cell r="C94" t="str">
            <v>!!INGREDIENT_MARSHMALLOW</v>
          </cell>
        </row>
        <row r="95">
          <cell r="A95">
            <v>9114</v>
          </cell>
          <cell r="B95" t="str">
            <v>Assets/StreamingAssets/Resources/resources.json</v>
          </cell>
          <cell r="C95" t="str">
            <v>!!INGREDIENT_NUTMEG</v>
          </cell>
        </row>
        <row r="96">
          <cell r="A96">
            <v>9115</v>
          </cell>
          <cell r="B96" t="str">
            <v>Assets/StreamingAssets/Resources/resources.json</v>
          </cell>
          <cell r="C96" t="str">
            <v>!!INGREDIENT_PEANUTS</v>
          </cell>
        </row>
        <row r="97">
          <cell r="A97">
            <v>9116</v>
          </cell>
          <cell r="B97" t="str">
            <v>Assets/StreamingAssets/Resources/resources.json</v>
          </cell>
          <cell r="C97" t="str">
            <v>!!INGREDIENT_PEPPERMINT</v>
          </cell>
        </row>
        <row r="98">
          <cell r="A98">
            <v>9117</v>
          </cell>
          <cell r="B98" t="str">
            <v>Assets/StreamingAssets/Resources/resources.json</v>
          </cell>
          <cell r="C98" t="str">
            <v>!!INGREDIENT_VANILLA</v>
          </cell>
        </row>
        <row r="99">
          <cell r="A99">
            <v>9118</v>
          </cell>
          <cell r="B99" t="str">
            <v>Assets/StreamingAssets/Resources/resources.json</v>
          </cell>
          <cell r="C99" t="str">
            <v>!!INGREDIENT_WHIPPED_CREAM</v>
          </cell>
        </row>
        <row r="100">
          <cell r="A100">
            <v>9119</v>
          </cell>
          <cell r="B100" t="str">
            <v>Assets/StreamingAssets/Resources/resources.json</v>
          </cell>
          <cell r="C100" t="str">
            <v>!!FOOD_CHRISTMAS_COOKIE</v>
          </cell>
        </row>
        <row r="101">
          <cell r="A101">
            <v>9120</v>
          </cell>
          <cell r="B101" t="str">
            <v>Assets/StreamingAssets/Resources/resources.json</v>
          </cell>
          <cell r="C101" t="str">
            <v>!!FOOD_APPLE_CIDER</v>
          </cell>
        </row>
        <row r="102">
          <cell r="A102">
            <v>9121</v>
          </cell>
          <cell r="B102" t="str">
            <v>Assets/StreamingAssets/Resources/resources.json</v>
          </cell>
          <cell r="C102" t="str">
            <v>!!FOOD_GINGERBREAD_ELF</v>
          </cell>
        </row>
        <row r="103">
          <cell r="A103">
            <v>9122</v>
          </cell>
          <cell r="B103" t="str">
            <v>Assets/StreamingAssets/Resources/resources.json</v>
          </cell>
          <cell r="C103" t="str">
            <v>!!FOOD_CRANBERRY_SAUCE</v>
          </cell>
        </row>
        <row r="104">
          <cell r="A104">
            <v>9123</v>
          </cell>
          <cell r="B104" t="str">
            <v>Assets/StreamingAssets/Resources/resources.json</v>
          </cell>
          <cell r="C104" t="str">
            <v>!!FOOD_HOT_CHOCOLATE</v>
          </cell>
        </row>
        <row r="105">
          <cell r="A105">
            <v>9124</v>
          </cell>
          <cell r="B105" t="str">
            <v>Assets/StreamingAssets/Resources/resources.json</v>
          </cell>
          <cell r="C105" t="str">
            <v>!!FOOD_CANDY_CANE</v>
          </cell>
        </row>
        <row r="106">
          <cell r="A106">
            <v>9125</v>
          </cell>
          <cell r="B106" t="str">
            <v>Assets/StreamingAssets/Resources/resources.json</v>
          </cell>
          <cell r="C106" t="str">
            <v>!!FOOD_ENGLISH_TOFFEE</v>
          </cell>
        </row>
        <row r="107">
          <cell r="A107">
            <v>9126</v>
          </cell>
          <cell r="B107" t="str">
            <v>Assets/StreamingAssets/Resources/resources.json</v>
          </cell>
          <cell r="C107" t="str">
            <v>!!FOOD_FUDGE</v>
          </cell>
        </row>
        <row r="108">
          <cell r="A108">
            <v>9127</v>
          </cell>
          <cell r="B108" t="str">
            <v>Assets/StreamingAssets/Resources/resources.json</v>
          </cell>
          <cell r="C108" t="str">
            <v>!!FOOD_SUGAR_PLUM</v>
          </cell>
        </row>
        <row r="109">
          <cell r="A109">
            <v>9200</v>
          </cell>
          <cell r="B109" t="str">
            <v>Assets/StreamingAssets/Resources/resources.json</v>
          </cell>
          <cell r="C109" t="str">
            <v>!!INGREDIENT_CORN</v>
          </cell>
        </row>
        <row r="110">
          <cell r="A110">
            <v>9201</v>
          </cell>
          <cell r="B110" t="str">
            <v>Assets/StreamingAssets/Resources/resources.json</v>
          </cell>
          <cell r="C110" t="str">
            <v>!!FOOD_CHOCOLATES</v>
          </cell>
        </row>
        <row r="111">
          <cell r="A111">
            <v>9202</v>
          </cell>
          <cell r="B111" t="str">
            <v>Assets/StreamingAssets/Resources/resources.json</v>
          </cell>
          <cell r="C111" t="str">
            <v>!!FOOD_POPCORN</v>
          </cell>
        </row>
        <row r="112">
          <cell r="A112">
            <v>9203</v>
          </cell>
          <cell r="B112" t="str">
            <v>Assets/StreamingAssets/Resources/resources.json</v>
          </cell>
          <cell r="C112" t="str">
            <v>!!FOOD_TRUFFLES</v>
          </cell>
        </row>
        <row r="113">
          <cell r="A113">
            <v>9204</v>
          </cell>
          <cell r="B113" t="str">
            <v>Assets/StreamingAssets/Resources/resources.json</v>
          </cell>
          <cell r="C113" t="str">
            <v>!!FOOD_COTTON_CANDY</v>
          </cell>
        </row>
        <row r="114">
          <cell r="A114">
            <v>9205</v>
          </cell>
          <cell r="B114" t="str">
            <v>Assets/StreamingAssets/Resources/resources.json</v>
          </cell>
          <cell r="C114" t="str">
            <v>!!FOOD_CANDY_HEART_ON_STICK</v>
          </cell>
        </row>
        <row r="115">
          <cell r="A115">
            <v>10000</v>
          </cell>
          <cell r="B115" t="str">
            <v>Assets/StreamingAssets/Resources/resources.json</v>
          </cell>
          <cell r="C115" t="str">
            <v>!!FOOD_BANANA</v>
          </cell>
        </row>
        <row r="116">
          <cell r="A116">
            <v>10001</v>
          </cell>
          <cell r="B116" t="str">
            <v>Assets/StreamingAssets/Resources/resources.json</v>
          </cell>
          <cell r="C116" t="str">
            <v>!!FOOD_APPLE</v>
          </cell>
        </row>
        <row r="117">
          <cell r="A117">
            <v>10002</v>
          </cell>
          <cell r="B117" t="str">
            <v>Assets/StreamingAssets/Resources/resources.json</v>
          </cell>
          <cell r="C117" t="str">
            <v>!!FOOD_CHERRY</v>
          </cell>
        </row>
        <row r="118">
          <cell r="A118">
            <v>10003</v>
          </cell>
          <cell r="B118" t="str">
            <v>Assets/StreamingAssets/Resources/resources.json</v>
          </cell>
          <cell r="C118" t="str">
            <v>!!FOOD_COCONUT</v>
          </cell>
        </row>
        <row r="119">
          <cell r="A119">
            <v>10004</v>
          </cell>
          <cell r="B119" t="str">
            <v>Assets/StreamingAssets/Resources/resources.json</v>
          </cell>
          <cell r="C119" t="str">
            <v>!!FOOD_LEMON</v>
          </cell>
        </row>
        <row r="120">
          <cell r="A120">
            <v>10005</v>
          </cell>
          <cell r="B120" t="str">
            <v>Assets/StreamingAssets/Resources/resources.json</v>
          </cell>
          <cell r="C120" t="str">
            <v>!!FOOD_LIME</v>
          </cell>
        </row>
        <row r="121">
          <cell r="A121">
            <v>10006</v>
          </cell>
          <cell r="B121" t="str">
            <v>Assets/StreamingAssets/Resources/resources.json</v>
          </cell>
          <cell r="C121" t="str">
            <v>!!FOOD_ORANGE</v>
          </cell>
        </row>
        <row r="122">
          <cell r="A122">
            <v>10007</v>
          </cell>
          <cell r="B122" t="str">
            <v>Assets/StreamingAssets/Resources/resources.json</v>
          </cell>
          <cell r="C122" t="str">
            <v>!!FOOD_PEACH</v>
          </cell>
        </row>
        <row r="123">
          <cell r="A123">
            <v>10008</v>
          </cell>
          <cell r="B123" t="str">
            <v>Assets/StreamingAssets/Resources/resources.json</v>
          </cell>
          <cell r="C123" t="str">
            <v>!!FOOD_STRAWBERRY</v>
          </cell>
        </row>
        <row r="124">
          <cell r="A124">
            <v>10009</v>
          </cell>
          <cell r="B124" t="str">
            <v>Assets/StreamingAssets/Resources/resources.json</v>
          </cell>
          <cell r="C124" t="str">
            <v>!!FOOD_BLUEBERRY</v>
          </cell>
        </row>
        <row r="125">
          <cell r="A125">
            <v>10010</v>
          </cell>
          <cell r="B125" t="str">
            <v>Assets/StreamingAssets/Resources/resources.json</v>
          </cell>
          <cell r="C125" t="str">
            <v>!!FOOD_CHESTNUT</v>
          </cell>
        </row>
        <row r="126">
          <cell r="A126">
            <v>10011</v>
          </cell>
          <cell r="B126" t="str">
            <v>Assets/StreamingAssets/Resources/resources.json</v>
          </cell>
          <cell r="C126" t="str">
            <v>!!INGREDIENT_CRANBERRIES</v>
          </cell>
        </row>
        <row r="127">
          <cell r="A127">
            <v>20000</v>
          </cell>
          <cell r="B127" t="str">
            <v>Assets/StreamingAssets/Resources/resources.json</v>
          </cell>
          <cell r="C127" t="str">
            <v>!!JUICE_APPLE</v>
          </cell>
        </row>
        <row r="128">
          <cell r="A128">
            <v>20001</v>
          </cell>
          <cell r="B128" t="str">
            <v>Assets/StreamingAssets/Resources/resources.json</v>
          </cell>
          <cell r="C128" t="str">
            <v>!!JUICE_LEMONADE</v>
          </cell>
        </row>
        <row r="129">
          <cell r="A129">
            <v>20002</v>
          </cell>
          <cell r="B129" t="str">
            <v>Assets/StreamingAssets/Resources/resources.json</v>
          </cell>
          <cell r="C129" t="str">
            <v>!!JUICE_LIMEADE</v>
          </cell>
        </row>
        <row r="130">
          <cell r="A130">
            <v>20003</v>
          </cell>
          <cell r="B130" t="str">
            <v>Assets/StreamingAssets/Resources/resources.json</v>
          </cell>
          <cell r="C130" t="str">
            <v>!!JUICE_ORANGE</v>
          </cell>
        </row>
        <row r="131">
          <cell r="A131">
            <v>20004</v>
          </cell>
          <cell r="B131" t="str">
            <v>Assets/StreamingAssets/Resources/resources.json</v>
          </cell>
          <cell r="C131" t="str">
            <v>!!JUICE_PEACHNECTAR</v>
          </cell>
        </row>
        <row r="132">
          <cell r="A132">
            <v>30000</v>
          </cell>
          <cell r="B132" t="str">
            <v>Assets/StreamingAssets/Resources/resources.json</v>
          </cell>
          <cell r="C132" t="str">
            <v>!!SMOOTHIE_BANANA_BREAKER</v>
          </cell>
        </row>
        <row r="133">
          <cell r="A133">
            <v>30001</v>
          </cell>
          <cell r="B133" t="str">
            <v>Assets/StreamingAssets/Resources/resources.json</v>
          </cell>
          <cell r="C133" t="str">
            <v>!!SMOOTHIE_BERRY_BLAST</v>
          </cell>
        </row>
        <row r="134">
          <cell r="A134">
            <v>30002</v>
          </cell>
          <cell r="B134" t="str">
            <v>Assets/StreamingAssets/Resources/resources.json</v>
          </cell>
          <cell r="C134" t="str">
            <v>!!SMOOTHIE_CHERRY_SLURVEY</v>
          </cell>
        </row>
        <row r="135">
          <cell r="A135">
            <v>30003</v>
          </cell>
          <cell r="B135" t="str">
            <v>Assets/StreamingAssets/Resources/resources.json</v>
          </cell>
          <cell r="C135" t="str">
            <v>!!SMOOTHIE_CHERRYADE_CHILLER</v>
          </cell>
        </row>
        <row r="136">
          <cell r="A136">
            <v>30004</v>
          </cell>
          <cell r="B136" t="str">
            <v>Assets/StreamingAssets/Resources/resources.json</v>
          </cell>
          <cell r="C136" t="str">
            <v>!!SMOOTHIE_CITRUS_SLURVEY</v>
          </cell>
        </row>
        <row r="137">
          <cell r="A137">
            <v>30005</v>
          </cell>
          <cell r="B137" t="str">
            <v>Assets/StreamingAssets/Resources/resources.json</v>
          </cell>
          <cell r="C137" t="str">
            <v>!!SMOOTHIE_HANG_8</v>
          </cell>
        </row>
        <row r="138">
          <cell r="A138">
            <v>30006</v>
          </cell>
          <cell r="B138" t="str">
            <v>Assets/StreamingAssets/Resources/resources.json</v>
          </cell>
          <cell r="C138" t="str">
            <v>!!SMOOTHIE_LIQUID_COBBLER</v>
          </cell>
        </row>
        <row r="139">
          <cell r="A139">
            <v>30007</v>
          </cell>
          <cell r="B139" t="str">
            <v>Assets/StreamingAssets/Resources/resources.json</v>
          </cell>
          <cell r="C139" t="str">
            <v>!!SMOOTHIE_NANNAS_C_SERENADE</v>
          </cell>
        </row>
        <row r="140">
          <cell r="A140">
            <v>30008</v>
          </cell>
          <cell r="B140" t="str">
            <v>Assets/StreamingAssets/Resources/resources.json</v>
          </cell>
          <cell r="C140" t="str">
            <v>!!SMOOTHIE_ORANGE_NUT</v>
          </cell>
        </row>
        <row r="141">
          <cell r="A141">
            <v>30009</v>
          </cell>
          <cell r="B141" t="str">
            <v>Assets/StreamingAssets/Resources/resources.json</v>
          </cell>
          <cell r="C141" t="str">
            <v>!!SMOOTHIE_STRAWBERRY_SQUEEZE</v>
          </cell>
        </row>
        <row r="142">
          <cell r="A142">
            <v>30010</v>
          </cell>
          <cell r="B142" t="str">
            <v>Assets/StreamingAssets/Resources/resources.json</v>
          </cell>
          <cell r="C142" t="str">
            <v>!!SMOOTHIE_STRAWNANA_TSUNAMI</v>
          </cell>
        </row>
        <row r="143">
          <cell r="A143">
            <v>30011</v>
          </cell>
          <cell r="B143" t="str">
            <v>Assets/StreamingAssets/Resources/resources.json</v>
          </cell>
          <cell r="C143" t="str">
            <v>!!SMOOTHIE_WANNANANA</v>
          </cell>
        </row>
        <row r="144">
          <cell r="A144">
            <v>40000</v>
          </cell>
          <cell r="B144" t="str">
            <v>Assets/StreamingAssets/Resources/resources.json</v>
          </cell>
          <cell r="C144" t="str">
            <v>!!ICECREAM_BANANA</v>
          </cell>
        </row>
        <row r="145">
          <cell r="A145">
            <v>40001</v>
          </cell>
          <cell r="B145" t="str">
            <v>Assets/StreamingAssets/Resources/resources.json</v>
          </cell>
          <cell r="C145" t="str">
            <v>!!ICECREAM_BANANA_SPLIT</v>
          </cell>
        </row>
        <row r="146">
          <cell r="A146">
            <v>40002</v>
          </cell>
          <cell r="B146" t="str">
            <v>Assets/StreamingAssets/Resources/resources.json</v>
          </cell>
          <cell r="C146" t="str">
            <v>!!ICECREAM_BERRY_SCOOPS</v>
          </cell>
        </row>
        <row r="147">
          <cell r="A147">
            <v>40003</v>
          </cell>
          <cell r="B147" t="str">
            <v>Assets/StreamingAssets/Resources/resources.json</v>
          </cell>
          <cell r="C147" t="str">
            <v>!!ICECREAM_CARAMEL</v>
          </cell>
        </row>
        <row r="148">
          <cell r="A148">
            <v>40004</v>
          </cell>
          <cell r="B148" t="str">
            <v>Assets/StreamingAssets/Resources/resources.json</v>
          </cell>
          <cell r="C148" t="str">
            <v>!!ICECREAM_CORAL_BITS</v>
          </cell>
        </row>
        <row r="149">
          <cell r="A149">
            <v>40005</v>
          </cell>
          <cell r="B149" t="str">
            <v>Assets/StreamingAssets/Resources/resources.json</v>
          </cell>
          <cell r="C149" t="str">
            <v>!!ICECREAM_LEMON_GELATO</v>
          </cell>
        </row>
        <row r="150">
          <cell r="A150">
            <v>40006</v>
          </cell>
          <cell r="B150" t="str">
            <v>Assets/StreamingAssets/Resources/resources.json</v>
          </cell>
          <cell r="C150" t="str">
            <v>!!ICECREAM_SEASALT</v>
          </cell>
        </row>
        <row r="151">
          <cell r="A151">
            <v>40007</v>
          </cell>
          <cell r="B151" t="str">
            <v>Assets/StreamingAssets/Resources/resources.json</v>
          </cell>
          <cell r="C151" t="str">
            <v>!!ICECREAM_STRAWBERRY</v>
          </cell>
        </row>
        <row r="152">
          <cell r="A152">
            <v>40008</v>
          </cell>
          <cell r="B152" t="str">
            <v>Assets/StreamingAssets/Resources/resources.json</v>
          </cell>
          <cell r="C152" t="str">
            <v>!!ICECREAM_VANILLA</v>
          </cell>
        </row>
        <row r="153">
          <cell r="A153">
            <v>50000</v>
          </cell>
          <cell r="B153" t="str">
            <v>Assets/StreamingAssets/Resources/resources.json</v>
          </cell>
          <cell r="C153" t="str">
            <v>!!SHAKE_BANANAS_N_BITS</v>
          </cell>
        </row>
        <row r="154">
          <cell r="A154">
            <v>50001</v>
          </cell>
          <cell r="B154" t="str">
            <v>Assets/StreamingAssets/Resources/resources.json</v>
          </cell>
          <cell r="C154" t="str">
            <v>!!SHAKE_BERRY_BLISS</v>
          </cell>
        </row>
        <row r="155">
          <cell r="A155">
            <v>50002</v>
          </cell>
          <cell r="B155" t="str">
            <v>Assets/StreamingAssets/Resources/resources.json</v>
          </cell>
          <cell r="C155" t="str">
            <v>!!SHAKE_CORAL_CRUSH</v>
          </cell>
        </row>
        <row r="156">
          <cell r="A156">
            <v>50003</v>
          </cell>
          <cell r="B156" t="str">
            <v>Assets/StreamingAssets/Resources/resources.json</v>
          </cell>
          <cell r="C156" t="str">
            <v>!!SHAKE_FRUTIY_BREEZE</v>
          </cell>
        </row>
        <row r="157">
          <cell r="A157">
            <v>50004</v>
          </cell>
          <cell r="B157" t="str">
            <v>Assets/StreamingAssets/Resources/resources.json</v>
          </cell>
          <cell r="C157" t="str">
            <v>!!SHAKE_SALTY_BANANA</v>
          </cell>
        </row>
        <row r="158">
          <cell r="A158">
            <v>50005</v>
          </cell>
          <cell r="B158" t="str">
            <v>Assets/StreamingAssets/Resources/resources.json</v>
          </cell>
          <cell r="C158" t="str">
            <v>!!SHAKE_STRAWBERRY_RIPTIDE</v>
          </cell>
        </row>
        <row r="159">
          <cell r="A159">
            <v>50006</v>
          </cell>
          <cell r="B159" t="str">
            <v>Assets/StreamingAssets/Resources/resources.json</v>
          </cell>
          <cell r="C159" t="str">
            <v>!!SHAKE_TARTBERRY_TWIST</v>
          </cell>
        </row>
        <row r="160">
          <cell r="A160">
            <v>50007</v>
          </cell>
          <cell r="B160" t="str">
            <v>Assets/StreamingAssets/Resources/resources.json</v>
          </cell>
          <cell r="C160" t="str">
            <v>!!SHAKE_VANILLA_BLAST</v>
          </cell>
        </row>
        <row r="161">
          <cell r="A161">
            <v>60000</v>
          </cell>
          <cell r="B161" t="str">
            <v>Assets/StreamingAssets/Resources/resources.json</v>
          </cell>
          <cell r="C161" t="str">
            <v>!!FLOWERCORAL_BRANCHCORAL</v>
          </cell>
        </row>
        <row r="162">
          <cell r="A162">
            <v>60001</v>
          </cell>
          <cell r="B162" t="str">
            <v>Assets/StreamingAssets/Resources/resources.json</v>
          </cell>
          <cell r="C162" t="str">
            <v>!!FLOWERCORAL_CUPCORAL</v>
          </cell>
        </row>
        <row r="163">
          <cell r="A163">
            <v>60002</v>
          </cell>
          <cell r="B163" t="str">
            <v>Assets/StreamingAssets/Resources/resources.json</v>
          </cell>
          <cell r="C163" t="str">
            <v>!!FLOWERCORAL_FLOWER</v>
          </cell>
        </row>
        <row r="164">
          <cell r="A164">
            <v>60003</v>
          </cell>
          <cell r="B164" t="str">
            <v>Assets/StreamingAssets/Resources/resources.json</v>
          </cell>
          <cell r="C164" t="str">
            <v>!!FLOWERCORAL_STINKYSEAROSE</v>
          </cell>
        </row>
        <row r="165">
          <cell r="A165">
            <v>60004</v>
          </cell>
          <cell r="B165" t="str">
            <v>Assets/StreamingAssets/Resources/resources.json</v>
          </cell>
          <cell r="C165" t="str">
            <v>!!FLOWERCORAL_TUBECORAL</v>
          </cell>
        </row>
        <row r="166">
          <cell r="A166">
            <v>60005</v>
          </cell>
          <cell r="B166" t="str">
            <v>Assets/StreamingAssets/Resources/resources.json</v>
          </cell>
          <cell r="C166" t="str">
            <v>!!DECO_FLOWERCORAL_BLISSGARDEN</v>
          </cell>
        </row>
        <row r="167">
          <cell r="A167">
            <v>60006</v>
          </cell>
          <cell r="B167" t="str">
            <v>Assets/StreamingAssets/Resources/resources.json</v>
          </cell>
          <cell r="C167" t="str">
            <v>!!DECO_FLOWERCORAL_BRANCHCORALBOUQUET</v>
          </cell>
        </row>
        <row r="168">
          <cell r="A168">
            <v>60007</v>
          </cell>
          <cell r="B168" t="str">
            <v>Assets/StreamingAssets/Resources/resources.json</v>
          </cell>
          <cell r="C168" t="str">
            <v>!!DECO_FLOWERCORAL_CORALCASTLE</v>
          </cell>
        </row>
        <row r="169">
          <cell r="A169">
            <v>60008</v>
          </cell>
          <cell r="B169" t="str">
            <v>Assets/StreamingAssets/Resources/resources.json</v>
          </cell>
          <cell r="C169" t="str">
            <v>!!DECO_FLOWERCORAL_CUPCORALBED</v>
          </cell>
        </row>
        <row r="170">
          <cell r="A170">
            <v>60009</v>
          </cell>
          <cell r="B170" t="str">
            <v>Assets/StreamingAssets/Resources/resources.json</v>
          </cell>
          <cell r="C170" t="str">
            <v>!!DECO_FLOWERCORAL_FLOWERBED</v>
          </cell>
        </row>
        <row r="171">
          <cell r="A171">
            <v>60010</v>
          </cell>
          <cell r="B171" t="str">
            <v>Assets/StreamingAssets/Resources/resources.json</v>
          </cell>
          <cell r="C171" t="str">
            <v>!!DECO_FLOWERCORAL_REEFPATCH</v>
          </cell>
        </row>
        <row r="172">
          <cell r="A172">
            <v>60011</v>
          </cell>
          <cell r="B172" t="str">
            <v>Assets/StreamingAssets/Resources/resources.json</v>
          </cell>
          <cell r="C172" t="str">
            <v>!!DECO_FLOWERCORAL_SMELLYMEDLEY</v>
          </cell>
        </row>
        <row r="173">
          <cell r="A173">
            <v>60012</v>
          </cell>
          <cell r="B173" t="str">
            <v>Assets/StreamingAssets/Resources/resources.json</v>
          </cell>
          <cell r="C173" t="str">
            <v>!!DECO_FLOWERCORAL_STINKYSEACOLLECTION</v>
          </cell>
        </row>
        <row r="174">
          <cell r="A174">
            <v>60013</v>
          </cell>
          <cell r="B174" t="str">
            <v>Assets/StreamingAssets/Resources/resources.json</v>
          </cell>
          <cell r="C174" t="str">
            <v>!!DECO_FLOWERCORAL_TUBESQUARE</v>
          </cell>
        </row>
        <row r="175">
          <cell r="A175">
            <v>60014</v>
          </cell>
          <cell r="B175" t="str">
            <v>Assets/StreamingAssets/Resources/resources.json</v>
          </cell>
          <cell r="C175" t="str">
            <v>!!BOUQUET_FLOWERCORAL_FRIENDLYFLOWER</v>
          </cell>
        </row>
        <row r="176">
          <cell r="A176">
            <v>60015</v>
          </cell>
          <cell r="B176" t="str">
            <v>Assets/StreamingAssets/Resources/resources.json</v>
          </cell>
          <cell r="C176" t="str">
            <v>!!BOUQUET_FLOWERCORAL_CUPN2FLOWERS</v>
          </cell>
        </row>
        <row r="177">
          <cell r="A177">
            <v>60016</v>
          </cell>
          <cell r="B177" t="str">
            <v>Assets/StreamingAssets/Resources/resources.json</v>
          </cell>
          <cell r="C177" t="str">
            <v>!!BOUQUET_FLOWERCORAL_BUNCHOBRANCHES</v>
          </cell>
        </row>
        <row r="178">
          <cell r="A178">
            <v>60017</v>
          </cell>
          <cell r="B178" t="str">
            <v>Assets/StreamingAssets/Resources/resources.json</v>
          </cell>
          <cell r="C178" t="str">
            <v>!!BOUQUET_FLOWERCORAL_CUPCORALTREE</v>
          </cell>
        </row>
        <row r="179">
          <cell r="A179">
            <v>60018</v>
          </cell>
          <cell r="B179" t="str">
            <v>Assets/StreamingAssets/Resources/resources.json</v>
          </cell>
          <cell r="C179" t="str">
            <v>!!BOUQUET_FLOWERCORAL_CORALPARADISE</v>
          </cell>
        </row>
        <row r="180">
          <cell r="A180">
            <v>70000</v>
          </cell>
          <cell r="B180" t="str">
            <v>Assets/StreamingAssets/Resources/resources.json</v>
          </cell>
          <cell r="C180" t="str">
            <v>!!PERFUME_4OFCUPS</v>
          </cell>
        </row>
        <row r="181">
          <cell r="A181">
            <v>70001</v>
          </cell>
          <cell r="B181" t="str">
            <v>Assets/StreamingAssets/Resources/resources.json</v>
          </cell>
          <cell r="C181" t="str">
            <v>!!PERFUME_CAPSIZEFORHER</v>
          </cell>
        </row>
        <row r="182">
          <cell r="A182">
            <v>70002</v>
          </cell>
          <cell r="B182" t="str">
            <v>Assets/StreamingAssets/Resources/resources.json</v>
          </cell>
          <cell r="C182" t="str">
            <v>!!PERFUME_CAPSIZEFORHIM</v>
          </cell>
        </row>
        <row r="183">
          <cell r="A183">
            <v>70003</v>
          </cell>
          <cell r="B183" t="str">
            <v>Assets/StreamingAssets/Resources/resources.json</v>
          </cell>
          <cell r="C183" t="str">
            <v>!!PERFUME_CHUMODERANT</v>
          </cell>
        </row>
        <row r="184">
          <cell r="A184">
            <v>70004</v>
          </cell>
          <cell r="B184" t="str">
            <v>Assets/StreamingAssets/Resources/resources.json</v>
          </cell>
          <cell r="C184" t="str">
            <v>!!PERFUME_CHUMSNIFF</v>
          </cell>
        </row>
        <row r="185">
          <cell r="A185">
            <v>70005</v>
          </cell>
          <cell r="B185" t="str">
            <v>Assets/StreamingAssets/Resources/resources.json</v>
          </cell>
          <cell r="C185" t="str">
            <v>!!PERFUME_CORALBREEZE</v>
          </cell>
        </row>
        <row r="186">
          <cell r="A186">
            <v>70006</v>
          </cell>
          <cell r="B186" t="str">
            <v>Assets/StreamingAssets/Resources/resources.json</v>
          </cell>
          <cell r="C186" t="str">
            <v>!!PERFUME_FISHERMANSFLOWERS</v>
          </cell>
        </row>
        <row r="187">
          <cell r="A187">
            <v>70007</v>
          </cell>
          <cell r="B187" t="str">
            <v>Assets/StreamingAssets/Resources/resources.json</v>
          </cell>
          <cell r="C187" t="str">
            <v>!!PERFUME_LAMPREYAWAY</v>
          </cell>
        </row>
        <row r="188">
          <cell r="A188">
            <v>70008</v>
          </cell>
          <cell r="B188" t="str">
            <v>Assets/StreamingAssets/Resources/resources.json</v>
          </cell>
          <cell r="C188" t="str">
            <v>!!PERFUME_SCENTOSAILOR</v>
          </cell>
        </row>
        <row r="189">
          <cell r="A189">
            <v>70009</v>
          </cell>
          <cell r="B189" t="str">
            <v>Assets/StreamingAssets/Resources/resources.json</v>
          </cell>
          <cell r="C189" t="str">
            <v>!!PERFUME_SEASHANTY</v>
          </cell>
        </row>
        <row r="190">
          <cell r="A190">
            <v>70010</v>
          </cell>
          <cell r="B190" t="str">
            <v>Assets/StreamingAssets/Resources/resources.json</v>
          </cell>
          <cell r="C190" t="str">
            <v>!!PERFUME_THATSSOCORAL</v>
          </cell>
        </row>
        <row r="191">
          <cell r="A191">
            <v>70011</v>
          </cell>
          <cell r="B191" t="str">
            <v>Assets/StreamingAssets/Resources/resources.json</v>
          </cell>
          <cell r="C191" t="str">
            <v>!!PERFUME_THEDUMP</v>
          </cell>
        </row>
        <row r="192">
          <cell r="A192">
            <v>80000</v>
          </cell>
          <cell r="B192" t="str">
            <v>Assets/StreamingAssets/Resources/resources.json</v>
          </cell>
          <cell r="C192" t="str">
            <v>!!FOOD_BAKED_BANANABANANABREAD</v>
          </cell>
        </row>
        <row r="193">
          <cell r="A193">
            <v>80001</v>
          </cell>
          <cell r="B193" t="str">
            <v>Assets/StreamingAssets/Resources/resources.json</v>
          </cell>
          <cell r="C193" t="str">
            <v>!!FOOD_BAKED_CHERRIESGARY</v>
          </cell>
        </row>
        <row r="194">
          <cell r="A194">
            <v>80002</v>
          </cell>
          <cell r="B194" t="str">
            <v>Assets/StreamingAssets/Resources/resources.json</v>
          </cell>
          <cell r="C194" t="str">
            <v>!!FOOD_BAKED_COCONUTCOBBLER</v>
          </cell>
        </row>
        <row r="195">
          <cell r="A195">
            <v>80003</v>
          </cell>
          <cell r="B195" t="str">
            <v>Assets/StreamingAssets/Resources/resources.json</v>
          </cell>
          <cell r="C195" t="str">
            <v>!!FOOD_BAKED_CORALCRUMBLE</v>
          </cell>
        </row>
        <row r="196">
          <cell r="A196">
            <v>80004</v>
          </cell>
          <cell r="B196" t="str">
            <v>Assets/StreamingAssets/Resources/resources.json</v>
          </cell>
          <cell r="C196" t="str">
            <v>!!FOOD_BAKED_DUTCHMANSDUTCHAPPLEPIE</v>
          </cell>
        </row>
        <row r="197">
          <cell r="A197">
            <v>80005</v>
          </cell>
          <cell r="B197" t="str">
            <v>Assets/StreamingAssets/Resources/resources.json</v>
          </cell>
          <cell r="C197" t="str">
            <v>!!FOOD_BAKED_EVERYVILLAINISLEMONBAR</v>
          </cell>
        </row>
        <row r="198">
          <cell r="A198">
            <v>80006</v>
          </cell>
          <cell r="B198" t="str">
            <v>Assets/StreamingAssets/Resources/resources.json</v>
          </cell>
          <cell r="C198" t="str">
            <v>!!FOOD_BAKED_FERRYCHERRYCHEESECAKE</v>
          </cell>
        </row>
        <row r="199">
          <cell r="A199">
            <v>80007</v>
          </cell>
          <cell r="B199" t="str">
            <v>Assets/StreamingAssets/Resources/resources.json</v>
          </cell>
          <cell r="C199" t="str">
            <v>!!FOOD_BAKED_KELPYCRUST</v>
          </cell>
        </row>
        <row r="200">
          <cell r="A200">
            <v>80008</v>
          </cell>
          <cell r="B200" t="str">
            <v>Assets/StreamingAssets/Resources/resources.json</v>
          </cell>
          <cell r="C200" t="str">
            <v>!!FOOD_BAKED_LIFESABEACHPEACHCOBBLER</v>
          </cell>
        </row>
        <row r="201">
          <cell r="A201">
            <v>80009</v>
          </cell>
          <cell r="B201" t="str">
            <v>Assets/StreamingAssets/Resources/resources.json</v>
          </cell>
          <cell r="C201" t="str">
            <v>!!FOOD_BAKED_MAROONEDMACAROONS</v>
          </cell>
        </row>
        <row r="202">
          <cell r="A202">
            <v>80010</v>
          </cell>
          <cell r="B202" t="str">
            <v>Assets/StreamingAssets/Resources/resources.json</v>
          </cell>
          <cell r="C202" t="str">
            <v>!!FOOD_BAKED_MERINGUELEMANRAY</v>
          </cell>
        </row>
        <row r="203">
          <cell r="A203">
            <v>80011</v>
          </cell>
          <cell r="B203" t="str">
            <v>Assets/StreamingAssets/Resources/resources.json</v>
          </cell>
          <cell r="C203" t="str">
            <v>!!FOOD_BAKED_PUFFERPASTRYTART</v>
          </cell>
        </row>
        <row r="204">
          <cell r="A204">
            <v>80012</v>
          </cell>
          <cell r="B204" t="str">
            <v>Assets/StreamingAssets/Resources/resources.json</v>
          </cell>
          <cell r="C204" t="str">
            <v>!!FOOD_BAKED_SANDYSTEXASTWOBERRYTART</v>
          </cell>
        </row>
        <row r="205">
          <cell r="A205">
            <v>80013</v>
          </cell>
          <cell r="B205" t="str">
            <v>Assets/StreamingAssets/Resources/resources.json</v>
          </cell>
          <cell r="C205" t="str">
            <v>!!FOOD_BAKED_SEALIMEPIE</v>
          </cell>
        </row>
        <row r="206">
          <cell r="A206">
            <v>80014</v>
          </cell>
          <cell r="B206" t="str">
            <v>Assets/StreamingAssets/Resources/resources.json</v>
          </cell>
          <cell r="C206" t="str">
            <v>!!FOOD_BAKED_SHELDONSSTRAWBERRYSHORTCAKE</v>
          </cell>
        </row>
        <row r="207">
          <cell r="A207">
            <v>80015</v>
          </cell>
          <cell r="B207" t="str">
            <v>Assets/StreamingAssets/Resources/resources.json</v>
          </cell>
          <cell r="C207" t="str">
            <v>!!FOOD_BAKED_SPONGECAKESQUAREBAKE</v>
          </cell>
        </row>
        <row r="208">
          <cell r="A208">
            <v>80016</v>
          </cell>
          <cell r="B208" t="str">
            <v>Assets/StreamingAssets/Resources/resources.json</v>
          </cell>
          <cell r="C208" t="str">
            <v>!!FOOD_BAKED_THEAPPLEFANCYSON</v>
          </cell>
        </row>
        <row r="209">
          <cell r="A209">
            <v>8675309</v>
          </cell>
          <cell r="B209" t="str">
            <v>Assets/StreamingAssets/Resources/resources.json</v>
          </cell>
          <cell r="C209" t="str">
            <v>!!FOOD_JENNYS_NUMBER</v>
          </cell>
        </row>
      </sheetData>
      <sheetData sheetId="2">
        <row r="2">
          <cell r="A2">
            <v>1</v>
          </cell>
          <cell r="B2" t="str">
            <v>Assets/StreamingAssets/BonusPaytables/paytable_base.json</v>
          </cell>
          <cell r="C2" t="str">
            <v>base</v>
          </cell>
          <cell r="D2" t="str">
            <v>bonus_paytable</v>
          </cell>
        </row>
        <row r="3">
          <cell r="A3">
            <v>2</v>
          </cell>
          <cell r="B3" t="str">
            <v>Assets/StreamingAssets/BonusPaytables/paytable_mrkrabs.json</v>
          </cell>
          <cell r="C3" t="str">
            <v>mrkrabs</v>
          </cell>
          <cell r="D3" t="str">
            <v>bonus_paytable</v>
          </cell>
        </row>
        <row r="4">
          <cell r="A4">
            <v>3</v>
          </cell>
          <cell r="B4" t="str">
            <v>Assets/StreamingAssets/BonusPaytables/paytable_spongebob.json</v>
          </cell>
          <cell r="C4" t="str">
            <v>spongebob</v>
          </cell>
          <cell r="D4" t="str">
            <v>bonus_paytable</v>
          </cell>
        </row>
        <row r="5">
          <cell r="A5">
            <v>4</v>
          </cell>
          <cell r="B5" t="str">
            <v>Assets/StreamingAssets/BonusPaytables/paytable_bottomite_green_male_average.json</v>
          </cell>
          <cell r="C5" t="str">
            <v>bottomite_green_male_average</v>
          </cell>
          <cell r="D5" t="str">
            <v>bonus_paytable</v>
          </cell>
        </row>
        <row r="6">
          <cell r="A6">
            <v>5</v>
          </cell>
          <cell r="B6" t="str">
            <v>Assets/StreamingAssets/BonusPaytables/paytable_bottomite_orange_male_anchovy.json</v>
          </cell>
          <cell r="C6" t="str">
            <v>bottomite_orange_male_anchovy</v>
          </cell>
          <cell r="D6" t="str">
            <v>bonus_paytable</v>
          </cell>
        </row>
        <row r="7">
          <cell r="A7">
            <v>6</v>
          </cell>
          <cell r="B7" t="str">
            <v>Assets/StreamingAssets/BonusPaytables/paytable_bottomite_pink_female_average.json</v>
          </cell>
          <cell r="C7" t="str">
            <v>bottomite_pink_female_average</v>
          </cell>
          <cell r="D7" t="str">
            <v>bonus_paytable</v>
          </cell>
        </row>
        <row r="8">
          <cell r="A8">
            <v>7</v>
          </cell>
          <cell r="B8" t="str">
            <v>Assets/StreamingAssets/BonusPaytables/paytable_bottomite_blue_male_minnow.json</v>
          </cell>
          <cell r="C8" t="str">
            <v>bottomite_blue_male_minnow</v>
          </cell>
          <cell r="D8" t="str">
            <v>bonus_paytable</v>
          </cell>
        </row>
        <row r="9">
          <cell r="A9">
            <v>8</v>
          </cell>
          <cell r="B9" t="str">
            <v>Assets/StreamingAssets/BonusPaytables/paytable_bottomite_orange_male_dingus.json</v>
          </cell>
          <cell r="C9" t="str">
            <v>bottomite_orange_male_dingus</v>
          </cell>
          <cell r="D9" t="str">
            <v>bonus_paytable</v>
          </cell>
        </row>
        <row r="10">
          <cell r="A10">
            <v>9</v>
          </cell>
          <cell r="B10" t="str">
            <v>Assets/StreamingAssets/BonusPaytables/paytable_bottomite_turquoise_male_average.json</v>
          </cell>
          <cell r="C10" t="str">
            <v>bottomite_turquoise_male_average</v>
          </cell>
          <cell r="D10" t="str">
            <v>bonus_paytable</v>
          </cell>
        </row>
        <row r="11">
          <cell r="A11">
            <v>10</v>
          </cell>
          <cell r="B11" t="str">
            <v>Assets/StreamingAssets/BonusPaytables/paytable_bottomite_orange_male_dingus_2.json</v>
          </cell>
          <cell r="C11" t="str">
            <v>bottomite_orange_male_dingus_2</v>
          </cell>
          <cell r="D11" t="str">
            <v>bonus_paytable</v>
          </cell>
        </row>
        <row r="12">
          <cell r="A12">
            <v>11</v>
          </cell>
          <cell r="B12" t="str">
            <v>Assets/StreamingAssets/BonusPaytables/paytable_genescallops.json</v>
          </cell>
          <cell r="C12" t="str">
            <v>genescallops</v>
          </cell>
          <cell r="D12" t="str">
            <v>bonus_paytable</v>
          </cell>
        </row>
        <row r="13">
          <cell r="A13">
            <v>12</v>
          </cell>
          <cell r="B13" t="str">
            <v>Assets/StreamingAssets/BonusPaytables/paytable_policefish.json</v>
          </cell>
          <cell r="C13" t="str">
            <v>policefish</v>
          </cell>
          <cell r="D13" t="str">
            <v>bonus_paytable</v>
          </cell>
        </row>
        <row r="14">
          <cell r="A14">
            <v>13</v>
          </cell>
          <cell r="B14" t="str">
            <v>Assets/StreamingAssets/BonusPaytables/paytable_squidward.json</v>
          </cell>
          <cell r="C14" t="str">
            <v>squidward</v>
          </cell>
          <cell r="D14" t="str">
            <v>bonus_paytable</v>
          </cell>
        </row>
        <row r="15">
          <cell r="A15">
            <v>14</v>
          </cell>
          <cell r="B15" t="str">
            <v>Assets/StreamingAssets/BonusPaytables/paytable_bottomite_blue_male_average.json</v>
          </cell>
          <cell r="C15" t="str">
            <v>bottomite_blue_male_average</v>
          </cell>
          <cell r="D15" t="str">
            <v>bonus_paytable</v>
          </cell>
        </row>
        <row r="16">
          <cell r="A16">
            <v>15</v>
          </cell>
          <cell r="B16" t="str">
            <v>Assets/StreamingAssets/BonusPaytables/paytable_bottomite_green_female_average.json</v>
          </cell>
          <cell r="C16" t="str">
            <v>bottomite_green_female_average</v>
          </cell>
          <cell r="D16" t="str">
            <v>bonus_paytable</v>
          </cell>
        </row>
        <row r="17">
          <cell r="A17">
            <v>16</v>
          </cell>
          <cell r="B17" t="str">
            <v>Assets/StreamingAssets/BonusPaytables/paytable_bottomite_green_male_average_2.json</v>
          </cell>
          <cell r="C17" t="str">
            <v>bottomite_green_male_average_2</v>
          </cell>
          <cell r="D17" t="str">
            <v>bonus_paytable</v>
          </cell>
        </row>
        <row r="18">
          <cell r="A18">
            <v>17</v>
          </cell>
          <cell r="B18" t="str">
            <v>Assets/StreamingAssets/BonusPaytables/paytable_bottomite_pink_female_average_2.json</v>
          </cell>
          <cell r="C18" t="str">
            <v>bottomite_pink_female_average_2</v>
          </cell>
          <cell r="D18" t="str">
            <v>bonus_paytable</v>
          </cell>
        </row>
        <row r="19">
          <cell r="A19">
            <v>18</v>
          </cell>
          <cell r="B19" t="str">
            <v>Assets/StreamingAssets/BonusPaytables/paytable_bottomite_orange_male_anchovy_2.json</v>
          </cell>
          <cell r="C19" t="str">
            <v>bottomite_orange_male_anchovy_2</v>
          </cell>
          <cell r="D19" t="str">
            <v>bonus_paytable</v>
          </cell>
        </row>
        <row r="20">
          <cell r="A20">
            <v>19</v>
          </cell>
          <cell r="B20" t="str">
            <v>Assets/StreamingAssets/BonusPaytables/paytable_barnacleboy.json</v>
          </cell>
          <cell r="C20" t="str">
            <v>barnacleboy</v>
          </cell>
          <cell r="D20" t="str">
            <v>bonus_paytable</v>
          </cell>
        </row>
        <row r="21">
          <cell r="A21">
            <v>20</v>
          </cell>
          <cell r="B21" t="str">
            <v>Assets/StreamingAssets/BonusPaytables/paytable_kevinseacucumber.json</v>
          </cell>
          <cell r="C21" t="str">
            <v>kevinseacucumber</v>
          </cell>
          <cell r="D21" t="str">
            <v>bonus_paytable</v>
          </cell>
        </row>
        <row r="22">
          <cell r="A22">
            <v>21</v>
          </cell>
          <cell r="B22" t="str">
            <v>Assets/StreamingAssets/BonusPaytables/paytable_kingneptune.json</v>
          </cell>
          <cell r="C22" t="str">
            <v>kingneptune</v>
          </cell>
          <cell r="D22" t="str">
            <v>bonus_paytable</v>
          </cell>
        </row>
        <row r="23">
          <cell r="A23">
            <v>22</v>
          </cell>
          <cell r="B23" t="str">
            <v>Assets/StreamingAssets/BonusPaytables/paytable_larrythelobster.json</v>
          </cell>
          <cell r="C23" t="str">
            <v>larrythelobster</v>
          </cell>
          <cell r="D23" t="str">
            <v>bonus_paytable</v>
          </cell>
        </row>
        <row r="24">
          <cell r="A24">
            <v>23</v>
          </cell>
          <cell r="B24" t="str">
            <v>Assets/StreamingAssets/BonusPaytables/paytable_manray.json</v>
          </cell>
          <cell r="C24" t="str">
            <v>manray</v>
          </cell>
          <cell r="D24" t="str">
            <v>bonus_paytable</v>
          </cell>
        </row>
        <row r="25">
          <cell r="A25">
            <v>24</v>
          </cell>
          <cell r="B25" t="str">
            <v>Assets/StreamingAssets/BonusPaytables/paytable_mermaidman.json</v>
          </cell>
          <cell r="C25" t="str">
            <v>mermaidman</v>
          </cell>
          <cell r="D25" t="str">
            <v>bonus_paytable</v>
          </cell>
        </row>
        <row r="26">
          <cell r="A26">
            <v>25</v>
          </cell>
          <cell r="B26" t="str">
            <v>Assets/StreamingAssets/BonusPaytables/paytable_mrspuff.json</v>
          </cell>
          <cell r="C26" t="str">
            <v>mrspuff</v>
          </cell>
          <cell r="D26" t="str">
            <v>bonus_paytable</v>
          </cell>
        </row>
        <row r="27">
          <cell r="A27">
            <v>26</v>
          </cell>
          <cell r="B27" t="str">
            <v>Assets/StreamingAssets/BonusPaytables/paytable_patrick.json</v>
          </cell>
          <cell r="C27" t="str">
            <v>patrick</v>
          </cell>
          <cell r="D27" t="str">
            <v>bonus_paytable</v>
          </cell>
        </row>
        <row r="28">
          <cell r="A28">
            <v>27</v>
          </cell>
          <cell r="B28" t="str">
            <v>Assets/StreamingAssets/BonusPaytables/paytable_pearlkrabs.json</v>
          </cell>
          <cell r="C28" t="str">
            <v>pearlkrabs</v>
          </cell>
          <cell r="D28" t="str">
            <v>bonus_paytable</v>
          </cell>
        </row>
        <row r="29">
          <cell r="A29">
            <v>28</v>
          </cell>
          <cell r="B29" t="str">
            <v>Assets/StreamingAssets/BonusPaytables/paytable_reg.json</v>
          </cell>
          <cell r="C29" t="str">
            <v>reg</v>
          </cell>
          <cell r="D29" t="str">
            <v>bonus_paytable</v>
          </cell>
        </row>
        <row r="30">
          <cell r="A30">
            <v>29</v>
          </cell>
          <cell r="B30" t="str">
            <v>Assets/StreamingAssets/BonusPaytables/paytable_sandy.json</v>
          </cell>
          <cell r="C30" t="str">
            <v>sandy</v>
          </cell>
          <cell r="D30" t="str">
            <v>bonus_paytable</v>
          </cell>
        </row>
        <row r="31">
          <cell r="A31">
            <v>30</v>
          </cell>
          <cell r="B31" t="str">
            <v>Assets/StreamingAssets/BonusPaytables/paytable_squilliam.json</v>
          </cell>
          <cell r="C31" t="str">
            <v>squilliam</v>
          </cell>
          <cell r="D31" t="str">
            <v>bonus_paytable</v>
          </cell>
        </row>
        <row r="32">
          <cell r="A32">
            <v>31</v>
          </cell>
          <cell r="B32" t="str">
            <v>Assets/StreamingAssets/BonusPaytables/paytable_halloween_ghost01.json</v>
          </cell>
          <cell r="C32" t="str">
            <v>halloween_ghost01</v>
          </cell>
          <cell r="D32" t="str">
            <v>bonus_paytable</v>
          </cell>
        </row>
        <row r="33">
          <cell r="A33">
            <v>32</v>
          </cell>
          <cell r="B33" t="str">
            <v>Assets/StreamingAssets/BonusPaytables/paytable_halloween_ghost02.json</v>
          </cell>
          <cell r="C33" t="str">
            <v>halloween_ghost02</v>
          </cell>
          <cell r="D33" t="str">
            <v>bonus_paytable</v>
          </cell>
        </row>
        <row r="34">
          <cell r="A34">
            <v>33</v>
          </cell>
          <cell r="B34" t="str">
            <v>Assets/StreamingAssets/BonusPaytables/paytable_halloween_ghost03.json</v>
          </cell>
          <cell r="C34" t="str">
            <v>halloween_ghost03</v>
          </cell>
          <cell r="D34" t="str">
            <v>bonus_paytable</v>
          </cell>
        </row>
        <row r="35">
          <cell r="A35">
            <v>34</v>
          </cell>
          <cell r="B35" t="str">
            <v>Assets/StreamingAssets/BonusPaytables/paytable_halloween_ghost04.json</v>
          </cell>
          <cell r="C35" t="str">
            <v>halloween_ghost04</v>
          </cell>
          <cell r="D35" t="str">
            <v>bonus_paytable</v>
          </cell>
        </row>
        <row r="36">
          <cell r="A36">
            <v>35</v>
          </cell>
          <cell r="B36" t="str">
            <v>Assets/StreamingAssets/BonusPaytables/paytable_halloween_ghost05.json</v>
          </cell>
          <cell r="C36" t="str">
            <v>halloween_ghost05</v>
          </cell>
          <cell r="D36" t="str">
            <v>bonus_paytable</v>
          </cell>
        </row>
        <row r="37">
          <cell r="A37">
            <v>36</v>
          </cell>
          <cell r="B37" t="str">
            <v>Assets/StreamingAssets/BonusPaytables/paytable_halloween_rusty_rickets.json</v>
          </cell>
          <cell r="C37" t="str">
            <v>halloween_rusty_rickets</v>
          </cell>
          <cell r="D37" t="str">
            <v>bonus_paytable</v>
          </cell>
        </row>
        <row r="38">
          <cell r="A38">
            <v>37</v>
          </cell>
          <cell r="B38" t="str">
            <v>Assets/StreamingAssets/BonusPaytables/paytable_halloween_anglerfish.json</v>
          </cell>
          <cell r="C38" t="str">
            <v>halloween_anglerfish</v>
          </cell>
          <cell r="D38" t="str">
            <v>bonus_paytable</v>
          </cell>
        </row>
        <row r="39">
          <cell r="A39">
            <v>38</v>
          </cell>
          <cell r="B39" t="str">
            <v>Assets/StreamingAssets/BonusPaytables/paytable_halloween_hillbillyfish.json</v>
          </cell>
          <cell r="C39" t="str">
            <v>halloween_hillbillyfish</v>
          </cell>
          <cell r="D39" t="str">
            <v>bonus_paytable</v>
          </cell>
        </row>
        <row r="40">
          <cell r="A40">
            <v>39</v>
          </cell>
          <cell r="B40" t="str">
            <v>Assets/StreamingAssets/BonusPaytables/paytable_halloween_slashermcgee.json</v>
          </cell>
          <cell r="C40" t="str">
            <v>halloween_slashermcgee</v>
          </cell>
          <cell r="D40" t="str">
            <v>bonus_paytable</v>
          </cell>
        </row>
        <row r="41">
          <cell r="A41">
            <v>100</v>
          </cell>
          <cell r="B41" t="str">
            <v>Assets/StreamingAssets/BonusPaytables/paytable_halloween_base_ghosts.json</v>
          </cell>
          <cell r="C41" t="str">
            <v>halloween_base_ghosts</v>
          </cell>
          <cell r="D41" t="str">
            <v>bonus_paytable</v>
          </cell>
        </row>
        <row r="42">
          <cell r="A42">
            <v>101</v>
          </cell>
          <cell r="B42" t="str">
            <v>Assets/StreamingAssets/BonusPaytables/paytable_christmas_base_elves.json</v>
          </cell>
          <cell r="C42" t="str">
            <v>christmas_base_elves</v>
          </cell>
          <cell r="D42" t="str">
            <v>bonus_paytable</v>
          </cell>
        </row>
        <row r="43">
          <cell r="A43">
            <v>102</v>
          </cell>
          <cell r="B43" t="str">
            <v>Assets/StreamingAssets/BonusPaytables/paytable_christmas_base_bottomites.json</v>
          </cell>
          <cell r="C43" t="str">
            <v>christmas_base_bottomites</v>
          </cell>
          <cell r="D43" t="str">
            <v>bonus_paytable</v>
          </cell>
        </row>
        <row r="44">
          <cell r="A44">
            <v>103</v>
          </cell>
          <cell r="B44" t="str">
            <v>Assets/StreamingAssets/BonusPaytables/paytable_christmas_recipes_elves.json</v>
          </cell>
          <cell r="C44" t="str">
            <v>christmas_recipes_elves</v>
          </cell>
          <cell r="D44" t="str">
            <v>bonus_paytable</v>
          </cell>
        </row>
        <row r="45">
          <cell r="A45">
            <v>104</v>
          </cell>
          <cell r="B45" t="str">
            <v>Assets/StreamingAssets/BonusPaytables/paytable_christmas_xmascoins_elves.json</v>
          </cell>
          <cell r="C45" t="str">
            <v>christmas_xmascoins_elves</v>
          </cell>
          <cell r="D45" t="str">
            <v>bonus_paytable</v>
          </cell>
        </row>
        <row r="46">
          <cell r="A46">
            <v>105</v>
          </cell>
          <cell r="B46" t="str">
            <v>Assets/StreamingAssets/BonusPaytables/paytable_christmas_xp.json</v>
          </cell>
          <cell r="C46" t="str">
            <v>christmas_xp</v>
          </cell>
          <cell r="D46" t="str">
            <v>bonus_paytable</v>
          </cell>
        </row>
        <row r="47">
          <cell r="A47">
            <v>106</v>
          </cell>
          <cell r="B47" t="str">
            <v>Assets/StreamingAssets/BonusPaytables/paytable_christmas_gold.json</v>
          </cell>
          <cell r="C47" t="str">
            <v>christmas_gold</v>
          </cell>
          <cell r="D47" t="str">
            <v>bonus_paytable</v>
          </cell>
        </row>
        <row r="48">
          <cell r="A48">
            <v>107</v>
          </cell>
          <cell r="B48" t="str">
            <v>Assets/StreamingAssets/BonusPaytables/paytable_valentine_hearts.json</v>
          </cell>
          <cell r="C48" t="str">
            <v>valentine_hearts</v>
          </cell>
          <cell r="D48" t="str">
            <v>bonus_paytable</v>
          </cell>
        </row>
      </sheetData>
      <sheetData sheetId="3"/>
      <sheetData sheetId="4">
        <row r="2">
          <cell r="A2">
            <v>1001</v>
          </cell>
          <cell r="B2" t="str">
            <v>Intermediate/StreamingAssets/Blueprints/building_highschool.json</v>
          </cell>
          <cell r="C2" t="str">
            <v>!!BLDG_NAME_BIKINIHS</v>
          </cell>
          <cell r="D2" t="str">
            <v>building</v>
          </cell>
        </row>
        <row r="3">
          <cell r="A3">
            <v>1002</v>
          </cell>
          <cell r="B3" t="str">
            <v>Intermediate/StreamingAssets/Blueprints/building_jail.json</v>
          </cell>
          <cell r="C3" t="str">
            <v>!!BLDG_NAME_JAIL</v>
          </cell>
          <cell r="D3" t="str">
            <v>building</v>
          </cell>
        </row>
        <row r="4">
          <cell r="A4">
            <v>1003</v>
          </cell>
          <cell r="B4" t="str">
            <v>Intermediate/StreamingAssets/Blueprints/building_mrspuffshouse.json</v>
          </cell>
          <cell r="C4" t="str">
            <v>!!BLDG_NAME_MSPUFF</v>
          </cell>
          <cell r="D4" t="str">
            <v>building</v>
          </cell>
        </row>
        <row r="5">
          <cell r="A5">
            <v>1004</v>
          </cell>
          <cell r="B5" t="str">
            <v>Intermediate/StreamingAssets/Blueprints/building_police.json</v>
          </cell>
          <cell r="C5" t="str">
            <v>!!BLDG_NAME_POLICE</v>
          </cell>
          <cell r="D5" t="str">
            <v>building</v>
          </cell>
        </row>
        <row r="6">
          <cell r="A6">
            <v>1006</v>
          </cell>
          <cell r="B6" t="str">
            <v>Intermediate/StreamingAssets/Blueprints/building_frycook.json</v>
          </cell>
          <cell r="C6" t="str">
            <v>!!BLDG_NAME_FRYCOOK</v>
          </cell>
          <cell r="D6" t="str">
            <v>building</v>
          </cell>
        </row>
        <row r="7">
          <cell r="A7">
            <v>1007</v>
          </cell>
          <cell r="B7" t="str">
            <v>Intermediate/StreamingAssets/Blueprints/building_reef.json</v>
          </cell>
          <cell r="C7" t="str">
            <v>!!BLDG_NAME_THEREEF</v>
          </cell>
          <cell r="D7" t="str">
            <v>building</v>
          </cell>
        </row>
        <row r="8">
          <cell r="A8">
            <v>1009</v>
          </cell>
          <cell r="B8" t="str">
            <v>Intermediate/StreamingAssets/Blueprints/building_gym.json</v>
          </cell>
          <cell r="C8" t="str">
            <v>!!BLDG_NAME_GYM</v>
          </cell>
          <cell r="D8" t="str">
            <v>building</v>
          </cell>
        </row>
        <row r="9">
          <cell r="A9">
            <v>1010</v>
          </cell>
          <cell r="B9" t="str">
            <v>Intermediate/StreamingAssets/Blueprints/building_hospital.json</v>
          </cell>
          <cell r="C9" t="str">
            <v>!!BLDG_NAME_HOSPITAL</v>
          </cell>
          <cell r="D9" t="str">
            <v>building</v>
          </cell>
        </row>
        <row r="10">
          <cell r="A10">
            <v>1012</v>
          </cell>
          <cell r="B10" t="str">
            <v>Intermediate/StreamingAssets/Blueprints/building_jellyspottersstand.json</v>
          </cell>
          <cell r="C10" t="str">
            <v>!!BLDG_NAME_JELLYSTD</v>
          </cell>
          <cell r="D10" t="str">
            <v>building</v>
          </cell>
        </row>
        <row r="11">
          <cell r="A11">
            <v>1013</v>
          </cell>
          <cell r="B11" t="str">
            <v>Intermediate/StreamingAssets/Blueprints/building_mrkrabshouse.json</v>
          </cell>
          <cell r="C11" t="str">
            <v>!!BLDG_NAME_MRKRAB</v>
          </cell>
          <cell r="D11" t="str">
            <v>building</v>
          </cell>
        </row>
        <row r="12">
          <cell r="A12">
            <v>1014</v>
          </cell>
          <cell r="B12" t="str">
            <v>Intermediate/StreamingAssets/Blueprints/building_saltyspitoon.json</v>
          </cell>
          <cell r="C12" t="str">
            <v>!!BLDG_NAME_SPITOON</v>
          </cell>
          <cell r="D12" t="str">
            <v>building</v>
          </cell>
        </row>
        <row r="13">
          <cell r="A13">
            <v>1015</v>
          </cell>
          <cell r="B13" t="str">
            <v>Intermediate/StreamingAssets/Blueprints/building_pineapplehouse.json</v>
          </cell>
          <cell r="C13" t="str">
            <v>!!BLDG_NAME_SB</v>
          </cell>
          <cell r="D13" t="str">
            <v>building</v>
          </cell>
        </row>
        <row r="14">
          <cell r="A14">
            <v>1016</v>
          </cell>
          <cell r="B14" t="str">
            <v>Intermediate/StreamingAssets/Blueprints/building_squidwardshouse.json</v>
          </cell>
          <cell r="C14" t="str">
            <v>!!BLDG_NAME_EASTER</v>
          </cell>
          <cell r="D14" t="str">
            <v>building</v>
          </cell>
        </row>
        <row r="15">
          <cell r="A15">
            <v>1017</v>
          </cell>
          <cell r="B15" t="str">
            <v>Intermediate/StreamingAssets/Blueprints/building_patricksrock.json</v>
          </cell>
          <cell r="C15" t="str">
            <v>!!BLDG_NAME_PATRICK</v>
          </cell>
          <cell r="D15" t="str">
            <v>building</v>
          </cell>
        </row>
        <row r="16">
          <cell r="A16">
            <v>1018</v>
          </cell>
          <cell r="B16" t="str">
            <v>Intermediate/StreamingAssets/Blueprints/building_krustykrab.json</v>
          </cell>
          <cell r="C16" t="str">
            <v>!!BLDG_NAME_KK</v>
          </cell>
          <cell r="D16" t="str">
            <v>building</v>
          </cell>
        </row>
        <row r="17">
          <cell r="A17">
            <v>1019</v>
          </cell>
          <cell r="B17" t="str">
            <v>Intermediate/StreamingAssets/Blueprints/building_treedome.json</v>
          </cell>
          <cell r="C17" t="str">
            <v>!!BLDG_NAME_TREEDOME</v>
          </cell>
          <cell r="D17" t="str">
            <v>building</v>
          </cell>
        </row>
        <row r="18">
          <cell r="A18">
            <v>1021</v>
          </cell>
          <cell r="B18" t="str">
            <v>Intermediate/StreamingAssets/Blueprints/building_bargnmart.json</v>
          </cell>
          <cell r="C18" t="str">
            <v>!!BLDG_NAME_BARGN</v>
          </cell>
          <cell r="D18" t="str">
            <v>building</v>
          </cell>
        </row>
        <row r="19">
          <cell r="A19">
            <v>1022</v>
          </cell>
          <cell r="B19" t="str">
            <v>Intermediate/StreamingAssets/Blueprints/building_1022_fh01_daves_house_blue.json</v>
          </cell>
          <cell r="C19" t="str">
            <v>!!BLDG_NAME_1022_DAVES_HOUSE</v>
          </cell>
          <cell r="D19" t="str">
            <v>building</v>
          </cell>
        </row>
        <row r="20">
          <cell r="A20">
            <v>1023</v>
          </cell>
          <cell r="B20" t="str">
            <v>Intermediate/StreamingAssets/Blueprints/building_1023_fh01_judys_house_rust.json</v>
          </cell>
          <cell r="C20" t="str">
            <v>!!BLDG_NAME_1023_JUDYS_HOUSE</v>
          </cell>
          <cell r="D20" t="str">
            <v>building</v>
          </cell>
        </row>
        <row r="21">
          <cell r="A21">
            <v>1024</v>
          </cell>
          <cell r="B21" t="str">
            <v>Intermediate/StreamingAssets/Blueprints/building_bakery.json</v>
          </cell>
          <cell r="C21" t="str">
            <v>!!BLDG_NAME_BAKERY</v>
          </cell>
          <cell r="D21" t="str">
            <v>building</v>
          </cell>
        </row>
        <row r="22">
          <cell r="A22">
            <v>1025</v>
          </cell>
          <cell r="B22" t="str">
            <v>Intermediate/StreamingAssets/Blueprints/building_squilliamshouse.json</v>
          </cell>
          <cell r="C22" t="str">
            <v>!!BLDG_NAME_SQUILL</v>
          </cell>
          <cell r="D22" t="str">
            <v>building</v>
          </cell>
        </row>
        <row r="23">
          <cell r="A23">
            <v>1026</v>
          </cell>
          <cell r="B23" t="str">
            <v>Intermediate/StreamingAssets/Blueprints/building_shadyshoals.json</v>
          </cell>
          <cell r="C23" t="str">
            <v>!!BLDG_NAME_SHOALS</v>
          </cell>
          <cell r="D23" t="str">
            <v>building</v>
          </cell>
        </row>
        <row r="24">
          <cell r="A24">
            <v>1029</v>
          </cell>
          <cell r="B24" t="str">
            <v>Intermediate/StreamingAssets/Blueprints/building_shack.json</v>
          </cell>
          <cell r="C24" t="str">
            <v>!!BLDG_NAME_WORKSHACK</v>
          </cell>
          <cell r="D24" t="str">
            <v>building</v>
          </cell>
        </row>
        <row r="25">
          <cell r="A25">
            <v>1031</v>
          </cell>
          <cell r="B25" t="str">
            <v>Intermediate/StreamingAssets/Blueprints/building_1031_fh02_bills_house_green.json</v>
          </cell>
          <cell r="C25" t="str">
            <v>!!BLDG_NAME_1031_BILLS_HOUSE</v>
          </cell>
          <cell r="D25" t="str">
            <v>building</v>
          </cell>
        </row>
        <row r="26">
          <cell r="A26">
            <v>1050</v>
          </cell>
          <cell r="B26" t="str">
            <v>Intermediate/StreamingAssets/Blueprints/building_1050_fh03_lennys_house_yellow.json</v>
          </cell>
          <cell r="C26" t="str">
            <v>!!BLDG_NAME_1050_LENNYS_HOUSE_YELLOW</v>
          </cell>
          <cell r="D26" t="str">
            <v>building</v>
          </cell>
        </row>
        <row r="27">
          <cell r="A27">
            <v>1051</v>
          </cell>
          <cell r="B27" t="str">
            <v>Intermediate/StreamingAssets/Blueprints/building_1051_fh05_bobs_house_purple.json</v>
          </cell>
          <cell r="C27" t="str">
            <v>!!BLDG_NAME_1051_BOBS_HOUSE</v>
          </cell>
          <cell r="D27" t="str">
            <v>building</v>
          </cell>
        </row>
        <row r="28">
          <cell r="A28">
            <v>1054</v>
          </cell>
          <cell r="B28" t="str">
            <v>Intermediate/StreamingAssets/Blueprints/building_juicebar.json</v>
          </cell>
          <cell r="C28" t="str">
            <v>!!BLDG_NAME_JUICEBAR</v>
          </cell>
          <cell r="D28" t="str">
            <v>building</v>
          </cell>
        </row>
        <row r="29">
          <cell r="A29">
            <v>1055</v>
          </cell>
          <cell r="B29" t="str">
            <v>Intermediate/StreamingAssets/Blueprints/building_flowershop.json</v>
          </cell>
          <cell r="C29" t="str">
            <v>!!BLDG_NAME_FLOWERSHOP</v>
          </cell>
          <cell r="D29" t="str">
            <v>building</v>
          </cell>
        </row>
        <row r="30">
          <cell r="A30">
            <v>1056</v>
          </cell>
          <cell r="B30" t="str">
            <v>Intermediate/StreamingAssets/Blueprints/building_icecreamshop.json</v>
          </cell>
          <cell r="C30" t="str">
            <v>!!BLDG_NAME_ICECREAMSHOP</v>
          </cell>
          <cell r="D30" t="str">
            <v>building</v>
          </cell>
        </row>
        <row r="31">
          <cell r="A31">
            <v>1057</v>
          </cell>
          <cell r="B31" t="str">
            <v>Intermediate/StreamingAssets/Blueprints/building_perfumeshop.json</v>
          </cell>
          <cell r="C31" t="str">
            <v>!!BLDG_NAME_PERFUMESHOP</v>
          </cell>
          <cell r="D31" t="str">
            <v>building</v>
          </cell>
        </row>
        <row r="32">
          <cell r="A32">
            <v>1102</v>
          </cell>
          <cell r="B32" t="str">
            <v>Intermediate/StreamingAssets/Blueprints/building_seedstore.json</v>
          </cell>
          <cell r="C32" t="str">
            <v>!!BLDG_NAME_SEEDSTORE</v>
          </cell>
          <cell r="D32" t="str">
            <v>building</v>
          </cell>
        </row>
        <row r="33">
          <cell r="A33">
            <v>2001</v>
          </cell>
          <cell r="B33" t="str">
            <v>Intermediate/StreamingAssets/Blueprints/decoration_black_grill.json</v>
          </cell>
          <cell r="C33" t="str">
            <v>!!BLDG_NAME_BLACK_GRILL</v>
          </cell>
          <cell r="D33" t="str">
            <v>building</v>
          </cell>
        </row>
        <row r="34">
          <cell r="A34">
            <v>2003</v>
          </cell>
          <cell r="B34" t="str">
            <v>Intermediate/StreamingAssets/Blueprints/decoration_blue_grill.json</v>
          </cell>
          <cell r="C34" t="str">
            <v>!!BLDG_NAME_BLUE_GRILL</v>
          </cell>
          <cell r="D34" t="str">
            <v>building</v>
          </cell>
        </row>
        <row r="35">
          <cell r="A35">
            <v>2004</v>
          </cell>
          <cell r="B35" t="str">
            <v>Intermediate/StreamingAssets/Blueprints/decoration_brown_bench_a.json</v>
          </cell>
          <cell r="C35" t="str">
            <v>!!BLDG_NAME_BROWN_BENCH</v>
          </cell>
          <cell r="D35" t="str">
            <v>building</v>
          </cell>
        </row>
        <row r="36">
          <cell r="A36">
            <v>2007</v>
          </cell>
          <cell r="B36" t="str">
            <v>Intermediate/StreamingAssets/Blueprints/decoration_dumpster_full.json</v>
          </cell>
          <cell r="C36" t="str">
            <v>!!BLDG_NAME_DUMPSTER_FULL</v>
          </cell>
          <cell r="D36" t="str">
            <v>building</v>
          </cell>
        </row>
        <row r="37">
          <cell r="A37">
            <v>2008</v>
          </cell>
          <cell r="B37" t="str">
            <v>Intermediate/StreamingAssets/Blueprints/decoration_fire_hydrant.json</v>
          </cell>
          <cell r="C37" t="str">
            <v>!!BLDG_NAME_HYDRANT</v>
          </cell>
          <cell r="D37" t="str">
            <v>building</v>
          </cell>
        </row>
        <row r="38">
          <cell r="A38">
            <v>2010</v>
          </cell>
          <cell r="B38" t="str">
            <v>Intermediate/StreamingAssets/Blueprints/decoration_green_bench.json</v>
          </cell>
          <cell r="C38" t="str">
            <v>!!BLDG_NAME_GREEN_BENCH</v>
          </cell>
          <cell r="D38" t="str">
            <v>building</v>
          </cell>
        </row>
        <row r="39">
          <cell r="A39">
            <v>2011</v>
          </cell>
          <cell r="B39" t="str">
            <v>Intermediate/StreamingAssets/Blueprints/decoration_green_pine_tree.json</v>
          </cell>
          <cell r="C39" t="str">
            <v>!!BLDG_NAME_GREEN_PINE</v>
          </cell>
          <cell r="D39" t="str">
            <v>building</v>
          </cell>
        </row>
        <row r="40">
          <cell r="A40">
            <v>2012</v>
          </cell>
          <cell r="B40" t="str">
            <v>Intermediate/StreamingAssets/Blueprints/decoration_mailbox_1.json</v>
          </cell>
          <cell r="C40" t="str">
            <v>!!BLDG_NAME_MAILBOX</v>
          </cell>
          <cell r="D40" t="str">
            <v>building</v>
          </cell>
        </row>
        <row r="41">
          <cell r="A41">
            <v>2013</v>
          </cell>
          <cell r="B41" t="str">
            <v>Intermediate/StreamingAssets/Blueprints/decoration_mailbox_2.json</v>
          </cell>
          <cell r="C41" t="str">
            <v>!!BLDG_NAME_MAILBOX</v>
          </cell>
          <cell r="D41" t="str">
            <v>building</v>
          </cell>
        </row>
        <row r="42">
          <cell r="A42">
            <v>2014</v>
          </cell>
          <cell r="B42" t="str">
            <v>Intermediate/StreamingAssets/Blueprints/decoration_mailbox_3.json</v>
          </cell>
          <cell r="C42" t="str">
            <v>!!BLDG_NAME_MAILBOX</v>
          </cell>
          <cell r="D42" t="str">
            <v>building</v>
          </cell>
        </row>
        <row r="43">
          <cell r="A43">
            <v>2015</v>
          </cell>
          <cell r="B43" t="str">
            <v>Intermediate/StreamingAssets/Blueprints/decoration_mailbox_postal.json</v>
          </cell>
          <cell r="C43" t="str">
            <v>!!BLDG_NAME_POSTBOX</v>
          </cell>
          <cell r="D43" t="str">
            <v>building</v>
          </cell>
        </row>
        <row r="44">
          <cell r="A44">
            <v>2017</v>
          </cell>
          <cell r="B44" t="str">
            <v>Intermediate/StreamingAssets/Blueprints/decoration_newspaper_vending_machine.json</v>
          </cell>
          <cell r="C44" t="str">
            <v>!!BLDG_NAME_NEWSSTAND</v>
          </cell>
          <cell r="D44" t="str">
            <v>building</v>
          </cell>
        </row>
        <row r="45">
          <cell r="A45">
            <v>2018</v>
          </cell>
          <cell r="B45" t="str">
            <v>Intermediate/StreamingAssets/Blueprints/decoration_orange_pine_tree.json</v>
          </cell>
          <cell r="C45" t="str">
            <v>!!BLDG_NAME_ORANGE_PINE</v>
          </cell>
          <cell r="D45" t="str">
            <v>building</v>
          </cell>
        </row>
        <row r="46">
          <cell r="A46">
            <v>2019</v>
          </cell>
          <cell r="B46" t="str">
            <v>Intermediate/StreamingAssets/Blueprints/decoration_phone_booth.json</v>
          </cell>
          <cell r="C46" t="str">
            <v>!!BLDG_NAME_PHONEBOOTH</v>
          </cell>
          <cell r="D46" t="str">
            <v>building</v>
          </cell>
        </row>
        <row r="47">
          <cell r="A47">
            <v>2021</v>
          </cell>
          <cell r="B47" t="str">
            <v>Intermediate/StreamingAssets/Blueprints/decoration_purple_bench.json</v>
          </cell>
          <cell r="C47" t="str">
            <v>!!BLDG_NAME_PURPLE_BENCH</v>
          </cell>
          <cell r="D47" t="str">
            <v>building</v>
          </cell>
        </row>
        <row r="48">
          <cell r="A48">
            <v>2022</v>
          </cell>
          <cell r="B48" t="str">
            <v>Intermediate/StreamingAssets/Blueprints/decoration_purple_pine_tree.json</v>
          </cell>
          <cell r="C48" t="str">
            <v>!!BLDG_NAME_PURPLE_PINE</v>
          </cell>
          <cell r="D48" t="str">
            <v>building</v>
          </cell>
        </row>
        <row r="49">
          <cell r="A49">
            <v>2024</v>
          </cell>
          <cell r="B49" t="str">
            <v>Intermediate/StreamingAssets/Blueprints/decoration_red_bench.json</v>
          </cell>
          <cell r="C49" t="str">
            <v>!!BLDG_NAME_RED_BENCH</v>
          </cell>
          <cell r="D49" t="str">
            <v>building</v>
          </cell>
        </row>
        <row r="50">
          <cell r="A50">
            <v>2026</v>
          </cell>
          <cell r="B50" t="str">
            <v>Intermediate/StreamingAssets/Blueprints/decoration_red_grill.json</v>
          </cell>
          <cell r="C50" t="str">
            <v>!!BLDG_NAME_RED_GRILL</v>
          </cell>
          <cell r="D50" t="str">
            <v>building</v>
          </cell>
        </row>
        <row r="51">
          <cell r="A51">
            <v>2029</v>
          </cell>
          <cell r="B51" t="str">
            <v>Intermediate/StreamingAssets/Blueprints/decoration_rockpiecelarge.json</v>
          </cell>
          <cell r="C51" t="str">
            <v>!!BLDG_NAME_ROCK_LARGE</v>
          </cell>
          <cell r="D51" t="str">
            <v>building</v>
          </cell>
        </row>
        <row r="52">
          <cell r="A52">
            <v>2030</v>
          </cell>
          <cell r="B52" t="str">
            <v>Intermediate/StreamingAssets/Blueprints/decoration_rockpiecemedium.json</v>
          </cell>
          <cell r="C52" t="str">
            <v>!!BLDG_NAME_ROCK_MED</v>
          </cell>
          <cell r="D52" t="str">
            <v>building</v>
          </cell>
        </row>
        <row r="53">
          <cell r="A53">
            <v>2031</v>
          </cell>
          <cell r="B53" t="str">
            <v>Intermediate/StreamingAssets/Blueprints/decoration_rockpiecesmall.json</v>
          </cell>
          <cell r="C53" t="str">
            <v>!!BLDG_NAME_ROCK_SMALL</v>
          </cell>
          <cell r="D53" t="str">
            <v>building</v>
          </cell>
        </row>
        <row r="54">
          <cell r="A54">
            <v>2033</v>
          </cell>
          <cell r="B54" t="str">
            <v>Intermediate/StreamingAssets/Blueprints/decoration_seaweedmedium.json</v>
          </cell>
          <cell r="C54" t="str">
            <v>!!BLDG_NAME_SEAWEED_MED</v>
          </cell>
          <cell r="D54" t="str">
            <v>building</v>
          </cell>
        </row>
        <row r="55">
          <cell r="A55">
            <v>2034</v>
          </cell>
          <cell r="B55" t="str">
            <v>Intermediate/StreamingAssets/Blueprints/decoration_seaweedsmall.json</v>
          </cell>
          <cell r="C55" t="str">
            <v>!!BLDG_NAME_SEAWEED_SMALL</v>
          </cell>
          <cell r="D55" t="str">
            <v>building</v>
          </cell>
        </row>
        <row r="56">
          <cell r="A56">
            <v>2035</v>
          </cell>
          <cell r="B56" t="str">
            <v>Intermediate/StreamingAssets/Blueprints/decoration_streetlight.json</v>
          </cell>
          <cell r="C56" t="str">
            <v>!!BLDG_NAME_STREETLIGHT</v>
          </cell>
          <cell r="D56" t="str">
            <v>building</v>
          </cell>
        </row>
        <row r="57">
          <cell r="A57">
            <v>2036</v>
          </cell>
          <cell r="B57" t="str">
            <v>Intermediate/StreamingAssets/Blueprints/decoration_tiki_torch_1.json</v>
          </cell>
          <cell r="C57" t="str">
            <v>!!BLDG_NAME_TIKI</v>
          </cell>
          <cell r="D57" t="str">
            <v>building</v>
          </cell>
        </row>
        <row r="58">
          <cell r="A58">
            <v>2037</v>
          </cell>
          <cell r="B58" t="str">
            <v>Intermediate/StreamingAssets/Blueprints/decoration_tiki_torch_2.json</v>
          </cell>
          <cell r="C58" t="str">
            <v>!!BLDG_NAME_TIKI_PAIR</v>
          </cell>
          <cell r="D58" t="str">
            <v>building</v>
          </cell>
        </row>
        <row r="59">
          <cell r="A59">
            <v>2038</v>
          </cell>
          <cell r="B59" t="str">
            <v>Intermediate/StreamingAssets/Blueprints/decoration_trashcan1_full.json</v>
          </cell>
          <cell r="C59" t="str">
            <v>!!BLDG_NAME_FULL_TRASHCAN</v>
          </cell>
          <cell r="D59" t="str">
            <v>building</v>
          </cell>
        </row>
        <row r="60">
          <cell r="A60">
            <v>2039</v>
          </cell>
          <cell r="B60" t="str">
            <v>Intermediate/StreamingAssets/Blueprints/decoration_trashcan1_empty.json</v>
          </cell>
          <cell r="C60" t="str">
            <v>!!BLDG_NAME_TRASHCAN1</v>
          </cell>
          <cell r="D60" t="str">
            <v>building</v>
          </cell>
        </row>
        <row r="61">
          <cell r="A61">
            <v>2040</v>
          </cell>
          <cell r="B61" t="str">
            <v>Intermediate/StreamingAssets/Blueprints/decoration_trashcan2_empty.json</v>
          </cell>
          <cell r="C61" t="str">
            <v>!!BLDG_NAME_TRASHCAN2</v>
          </cell>
          <cell r="D61" t="str">
            <v>building</v>
          </cell>
        </row>
        <row r="62">
          <cell r="A62">
            <v>2044</v>
          </cell>
          <cell r="B62" t="str">
            <v>Intermediate/StreamingAssets/Blueprints/decoration_orange_bench.json</v>
          </cell>
          <cell r="C62" t="str">
            <v>!!BLDG_NAME_ORANGE_BENCH</v>
          </cell>
          <cell r="D62" t="str">
            <v>building</v>
          </cell>
        </row>
        <row r="63">
          <cell r="A63">
            <v>2046</v>
          </cell>
          <cell r="B63" t="str">
            <v>Intermediate/StreamingAssets/Blueprints/decoration_yellow_pine_tree.json</v>
          </cell>
          <cell r="C63" t="str">
            <v>!!BLDG_NAME_YELLOW_PINE</v>
          </cell>
          <cell r="D63" t="str">
            <v>building</v>
          </cell>
        </row>
        <row r="64">
          <cell r="A64">
            <v>2048</v>
          </cell>
          <cell r="B64" t="str">
            <v>Intermediate/StreamingAssets/Blueprints/decoration_weights_bench.json</v>
          </cell>
          <cell r="C64" t="str">
            <v>!!BLDG_NAME_WEIGHTS_BENCH</v>
          </cell>
          <cell r="D64" t="str">
            <v>building</v>
          </cell>
        </row>
        <row r="65">
          <cell r="A65">
            <v>2049</v>
          </cell>
          <cell r="B65" t="str">
            <v>Intermediate/StreamingAssets/Blueprints/decoration_weights_large.json</v>
          </cell>
          <cell r="C65" t="str">
            <v>!!BLDG_NAME_WEIGHTS_LARGE</v>
          </cell>
          <cell r="D65" t="str">
            <v>building</v>
          </cell>
        </row>
        <row r="66">
          <cell r="A66">
            <v>2050</v>
          </cell>
          <cell r="B66" t="str">
            <v>Intermediate/StreamingAssets/Blueprints/decoration_weights_small.json</v>
          </cell>
          <cell r="C66" t="str">
            <v>!!BLDG_NAME_WEIGHTS_SMALL</v>
          </cell>
          <cell r="D66" t="str">
            <v>building</v>
          </cell>
        </row>
        <row r="67">
          <cell r="A67">
            <v>2051</v>
          </cell>
          <cell r="B67" t="str">
            <v>Intermediate/StreamingAssets/Blueprints/decoration_weights_stuffedanimal.json</v>
          </cell>
          <cell r="C67" t="str">
            <v>!!BLDG_NAME_WEIGHTS_STUFFEDANIMAL</v>
          </cell>
          <cell r="D67" t="str">
            <v>building</v>
          </cell>
        </row>
        <row r="68">
          <cell r="A68">
            <v>2052</v>
          </cell>
          <cell r="B68" t="str">
            <v>Intermediate/StreamingAssets/Blueprints/decoration_beachchair.json</v>
          </cell>
          <cell r="C68" t="str">
            <v>!!BLDG_NAME_BEACHCHAIR</v>
          </cell>
          <cell r="D68" t="str">
            <v>building</v>
          </cell>
        </row>
        <row r="69">
          <cell r="A69">
            <v>2053</v>
          </cell>
          <cell r="B69" t="str">
            <v>Intermediate/StreamingAssets/Blueprints/decoration_beachumbrella.json</v>
          </cell>
          <cell r="C69" t="str">
            <v>!!BLDG_NAME_BEACHUMBRELLA</v>
          </cell>
          <cell r="D69" t="str">
            <v>building</v>
          </cell>
        </row>
        <row r="70">
          <cell r="A70">
            <v>2054</v>
          </cell>
          <cell r="B70" t="str">
            <v>Intermediate/StreamingAssets/Blueprints/decoration_dumpster_empty.json</v>
          </cell>
          <cell r="C70" t="str">
            <v>!!BLDG_NAME_DUMPSTER_EMPTY</v>
          </cell>
          <cell r="D70" t="str">
            <v>building</v>
          </cell>
        </row>
        <row r="71">
          <cell r="A71">
            <v>2055</v>
          </cell>
          <cell r="B71" t="str">
            <v>Intermediate/StreamingAssets/Blueprints/decoration_giantoyster_open.json</v>
          </cell>
          <cell r="C71" t="str">
            <v>!!BLDG_NAME_GIANTOYSTER_OPEN</v>
          </cell>
          <cell r="D71" t="str">
            <v>building</v>
          </cell>
        </row>
        <row r="72">
          <cell r="A72">
            <v>2056</v>
          </cell>
          <cell r="B72" t="str">
            <v>Intermediate/StreamingAssets/Blueprints/decoration_giantoyster_closed.json</v>
          </cell>
          <cell r="C72" t="str">
            <v>!!BLDG_NAME_GIANTOYSTER_CLOSED</v>
          </cell>
          <cell r="D72" t="str">
            <v>building</v>
          </cell>
        </row>
        <row r="73">
          <cell r="A73">
            <v>2057</v>
          </cell>
          <cell r="B73" t="str">
            <v>Intermediate/StreamingAssets/Blueprints/decoration_moptoptree_red.json</v>
          </cell>
          <cell r="C73" t="str">
            <v>!!BLDG_NAME_MOPTOPTREE_RED</v>
          </cell>
          <cell r="D73" t="str">
            <v>building</v>
          </cell>
        </row>
        <row r="74">
          <cell r="A74">
            <v>9000</v>
          </cell>
          <cell r="B74" t="str">
            <v>Intermediate/StreamingAssets/Blueprints/building_9000_fh05_tommys_house_yellow.json</v>
          </cell>
          <cell r="C74" t="str">
            <v>!!BLDG_NAME_9000_TOMMYS_HOUSE</v>
          </cell>
          <cell r="D74" t="str">
            <v>building</v>
          </cell>
        </row>
        <row r="75">
          <cell r="A75">
            <v>9001</v>
          </cell>
          <cell r="B75" t="str">
            <v>Intermediate/StreamingAssets/Blueprints/building_9001_fh03_johns_house_lightblue.json</v>
          </cell>
          <cell r="C75" t="str">
            <v>!!BLDG_NAME_9001_JOHNS_HOUSE_LIGHTBLUE</v>
          </cell>
          <cell r="D75" t="str">
            <v>building</v>
          </cell>
        </row>
        <row r="76">
          <cell r="A76">
            <v>9002</v>
          </cell>
          <cell r="B76" t="str">
            <v>Intermediate/StreamingAssets/Blueprints/building_9002_fh04_harrys_house_green.json</v>
          </cell>
          <cell r="C76" t="str">
            <v>!!BLDG_NAME_9002_HARRYS_HOUSE_GREEN</v>
          </cell>
          <cell r="D76" t="str">
            <v>building</v>
          </cell>
        </row>
        <row r="77">
          <cell r="A77">
            <v>9003</v>
          </cell>
          <cell r="B77" t="str">
            <v>Intermediate/StreamingAssets/Blueprints/building_9003_fh03_susies_house_orange.json</v>
          </cell>
          <cell r="C77" t="str">
            <v>!!BLDG_NAME_9003_SUSIES_HOUSE_ORANGE</v>
          </cell>
          <cell r="D77" t="str">
            <v>building</v>
          </cell>
        </row>
        <row r="78">
          <cell r="A78">
            <v>9004</v>
          </cell>
          <cell r="B78" t="str">
            <v>Intermediate/StreamingAssets/Blueprints/building_9004_fh04_tylers_house_lightblue.json</v>
          </cell>
          <cell r="C78" t="str">
            <v>!!BLDG_NAME_9004_TYLERS_HOUSE_LIGHTBLUE</v>
          </cell>
          <cell r="D78" t="str">
            <v>building</v>
          </cell>
        </row>
        <row r="79">
          <cell r="A79">
            <v>9005</v>
          </cell>
          <cell r="B79" t="str">
            <v>Intermediate/StreamingAssets/Blueprints/building_9005_fh02_sophies_house_red.json</v>
          </cell>
          <cell r="C79" t="str">
            <v>!!BLDG_NAME_9005_SOPHIES_HOUSE</v>
          </cell>
          <cell r="D79" t="str">
            <v>building</v>
          </cell>
        </row>
        <row r="80">
          <cell r="A80">
            <v>9006</v>
          </cell>
          <cell r="B80" t="str">
            <v>Intermediate/StreamingAssets/Blueprints/building_9006_fh01_marthas_house_mustard.json</v>
          </cell>
          <cell r="C80" t="str">
            <v>!!BLDG_NAME_9006_MARTHAS_HOUSE</v>
          </cell>
          <cell r="D80" t="str">
            <v>building</v>
          </cell>
        </row>
        <row r="81">
          <cell r="A81">
            <v>9009</v>
          </cell>
          <cell r="B81" t="str">
            <v>Intermediate/StreamingAssets/Blueprints/building_9009_fh02_franks_house_purple.json</v>
          </cell>
          <cell r="C81" t="str">
            <v>!!BLDG_NAME_9009_FRANKS_HOUSE</v>
          </cell>
          <cell r="D81" t="str">
            <v>building</v>
          </cell>
        </row>
        <row r="82">
          <cell r="A82">
            <v>9010</v>
          </cell>
          <cell r="B82" t="str">
            <v>Intermediate/StreamingAssets/Blueprints/building_goldenspatula.json</v>
          </cell>
          <cell r="C82" t="str">
            <v>!!BLDG_NAME_GOLDENSPATULA</v>
          </cell>
          <cell r="D82" t="str">
            <v>building</v>
          </cell>
        </row>
        <row r="83">
          <cell r="A83">
            <v>9011</v>
          </cell>
          <cell r="B83" t="str">
            <v>Intermediate/StreamingAssets/Blueprints/building_bootyship.json</v>
          </cell>
          <cell r="C83" t="str">
            <v>!!BLDG_NAME_BOOTYSHIP</v>
          </cell>
          <cell r="D83" t="str">
            <v>building</v>
          </cell>
        </row>
        <row r="84">
          <cell r="A84">
            <v>9015</v>
          </cell>
          <cell r="B84" t="str">
            <v>Intermediate/StreamingAssets/Blueprints/building_9015_fh01_green_house.json</v>
          </cell>
          <cell r="C84" t="str">
            <v>!!BLDG_NAME_9015_GREEN_HOUSE</v>
          </cell>
          <cell r="D84" t="str">
            <v>building</v>
          </cell>
        </row>
        <row r="85">
          <cell r="A85">
            <v>9017</v>
          </cell>
          <cell r="B85" t="str">
            <v>Intermediate/StreamingAssets/Blueprints/building_9017_fh01_purple_house.json</v>
          </cell>
          <cell r="C85" t="str">
            <v>!!BLDG_NAME_9017_PURPLE_HOUSE</v>
          </cell>
          <cell r="D85" t="str">
            <v>building</v>
          </cell>
        </row>
        <row r="86">
          <cell r="A86">
            <v>9018</v>
          </cell>
          <cell r="B86" t="str">
            <v>Intermediate/StreamingAssets/Blueprints/building_9018_fh01_red_house.json</v>
          </cell>
          <cell r="C86" t="str">
            <v>!!BLDG_NAME_9018_RED_HOUSE</v>
          </cell>
          <cell r="D86" t="str">
            <v>building</v>
          </cell>
        </row>
        <row r="87">
          <cell r="A87">
            <v>9019</v>
          </cell>
          <cell r="B87" t="str">
            <v>Intermediate/StreamingAssets/Blueprints/building_9019_fh04_blue_house_3.json</v>
          </cell>
          <cell r="C87" t="str">
            <v>!!BLDG_NAME_9019_BLUE_HOUSE_4</v>
          </cell>
          <cell r="D87" t="str">
            <v>building</v>
          </cell>
        </row>
        <row r="88">
          <cell r="A88">
            <v>9020</v>
          </cell>
          <cell r="B88" t="str">
            <v>Intermediate/StreamingAssets/Blueprints/building_9020_fh02_gray_house.json</v>
          </cell>
          <cell r="C88" t="str">
            <v>!!BLDG_NAME_9020_GRAY_HOUSE</v>
          </cell>
          <cell r="D88" t="str">
            <v>building</v>
          </cell>
        </row>
        <row r="89">
          <cell r="A89">
            <v>9021</v>
          </cell>
          <cell r="B89" t="str">
            <v>Intermediate/StreamingAssets/Blueprints/building_9021_fh02_mustard_house.json</v>
          </cell>
          <cell r="C89" t="str">
            <v>!!BLDG_NAME_9021_MUSTARD_HOUSE</v>
          </cell>
          <cell r="D89" t="str">
            <v>building</v>
          </cell>
        </row>
        <row r="90">
          <cell r="A90">
            <v>9022</v>
          </cell>
          <cell r="B90" t="str">
            <v>Intermediate/StreamingAssets/Blueprints/building_9022_fh02_rust_house.json</v>
          </cell>
          <cell r="C90" t="str">
            <v>!!BLDG_NAME_9022_RUST_HOUSE</v>
          </cell>
          <cell r="D90" t="str">
            <v>building</v>
          </cell>
        </row>
        <row r="91">
          <cell r="A91">
            <v>9023</v>
          </cell>
          <cell r="B91" t="str">
            <v>Intermediate/StreamingAssets/Blueprints/building_9023_fh03_blue_house.json</v>
          </cell>
          <cell r="C91" t="str">
            <v>!!BLDG_NAME_9023_BLUE_HOUSE</v>
          </cell>
          <cell r="D91" t="str">
            <v>building</v>
          </cell>
        </row>
        <row r="92">
          <cell r="A92">
            <v>9024</v>
          </cell>
          <cell r="B92" t="str">
            <v>Intermediate/StreamingAssets/Blueprints/building_9024_fh03_green_house_3.json</v>
          </cell>
          <cell r="C92" t="str">
            <v>!!BLDG_NAME_9024_GREEN_HOUSE_3</v>
          </cell>
          <cell r="D92" t="str">
            <v>building</v>
          </cell>
        </row>
        <row r="93">
          <cell r="A93">
            <v>9025</v>
          </cell>
          <cell r="B93" t="str">
            <v>Intermediate/StreamingAssets/Blueprints/building_9025_fh01_gray_house_2.json</v>
          </cell>
          <cell r="C93" t="str">
            <v>!!BLDG_NAME_9025_GRAY_HOUSE_2</v>
          </cell>
          <cell r="D93" t="str">
            <v>building</v>
          </cell>
        </row>
        <row r="94">
          <cell r="A94">
            <v>9026</v>
          </cell>
          <cell r="B94" t="str">
            <v>Intermediate/StreamingAssets/Blueprints/building_9026_fh03_purple_house_2.json</v>
          </cell>
          <cell r="C94" t="str">
            <v>!!BLDG_NAME_9026_PURPLE_HOUSE_2</v>
          </cell>
          <cell r="D94" t="str">
            <v>building</v>
          </cell>
        </row>
        <row r="95">
          <cell r="A95">
            <v>9027</v>
          </cell>
          <cell r="B95" t="str">
            <v>Intermediate/StreamingAssets/Blueprints/building_9027_fh02_blue_house.json</v>
          </cell>
          <cell r="C95" t="str">
            <v>!!BLDG_NAME_9027_BLUE_HOUSE_3</v>
          </cell>
          <cell r="D95" t="str">
            <v>building</v>
          </cell>
        </row>
        <row r="96">
          <cell r="A96">
            <v>9028</v>
          </cell>
          <cell r="B96" t="str">
            <v>Intermediate/StreamingAssets/Blueprints/building_9028_fh04_orange_house.json</v>
          </cell>
          <cell r="C96" t="str">
            <v>!!BLDG_NAME_9028_ORANGE_HOUSE</v>
          </cell>
          <cell r="D96" t="str">
            <v>building</v>
          </cell>
        </row>
        <row r="97">
          <cell r="A97">
            <v>9029</v>
          </cell>
          <cell r="B97" t="str">
            <v>Intermediate/StreamingAssets/Blueprints/building_9029_fh04_purple_house_3.json</v>
          </cell>
          <cell r="C97" t="str">
            <v>!!BLDG_NAME_9029_PURPLE_HOUSE_3</v>
          </cell>
          <cell r="D97" t="str">
            <v>building</v>
          </cell>
        </row>
        <row r="98">
          <cell r="A98">
            <v>9030</v>
          </cell>
          <cell r="B98" t="str">
            <v>Intermediate/StreamingAssets/Blueprints/building_9030_fh04_yellow_house.json</v>
          </cell>
          <cell r="C98" t="str">
            <v>!!BLDG_NAME_9030_YELLOW_HOUSE</v>
          </cell>
          <cell r="D98" t="str">
            <v>building</v>
          </cell>
        </row>
        <row r="99">
          <cell r="A99">
            <v>9031</v>
          </cell>
          <cell r="B99" t="str">
            <v>Intermediate/StreamingAssets/Blueprints/building_9031_fh05_blue_house_5.json</v>
          </cell>
          <cell r="C99" t="str">
            <v>!!BLDG_NAME_9031_BLUE_HOUSE_5</v>
          </cell>
          <cell r="D99" t="str">
            <v>building</v>
          </cell>
        </row>
        <row r="100">
          <cell r="A100">
            <v>9032</v>
          </cell>
          <cell r="B100" t="str">
            <v>Intermediate/StreamingAssets/Blueprints/building_9032_fh05_green_house_3.json</v>
          </cell>
          <cell r="C100" t="str">
            <v>!!BLDG_NAME_9032_GREEN_HOUSE_2</v>
          </cell>
          <cell r="D100" t="str">
            <v>building</v>
          </cell>
        </row>
        <row r="101">
          <cell r="A101">
            <v>9033</v>
          </cell>
          <cell r="B101" t="str">
            <v>Intermediate/StreamingAssets/Blueprints/building_9033_fh05_blue_house_2.json</v>
          </cell>
          <cell r="C101" t="str">
            <v>!!BLDG_NAME_9033_BLUE_HOUSE_2</v>
          </cell>
          <cell r="D101" t="str">
            <v>building</v>
          </cell>
        </row>
        <row r="102">
          <cell r="A102">
            <v>9034</v>
          </cell>
          <cell r="B102" t="str">
            <v>Intermediate/StreamingAssets/Blueprints/building_9034_fh05_orange_house_2.json</v>
          </cell>
          <cell r="C102" t="str">
            <v>!!BLDG_NAME_9034_ORANGE_HOUSE_2</v>
          </cell>
          <cell r="D102" t="str">
            <v>building</v>
          </cell>
        </row>
        <row r="103">
          <cell r="A103">
            <v>9035</v>
          </cell>
          <cell r="B103" t="str">
            <v>Intermediate/StreamingAssets/Blueprints/building_halloween_rustys_rib_eye.json</v>
          </cell>
          <cell r="C103" t="str">
            <v>!!BLDG_NAME_RUSTYS_RIB_EYE</v>
          </cell>
          <cell r="D103" t="str">
            <v>building</v>
          </cell>
        </row>
        <row r="104">
          <cell r="A104">
            <v>9036</v>
          </cell>
          <cell r="B104" t="str">
            <v>Intermediate/StreamingAssets/Blueprints/building_halloween_fortune_teller_tent.json</v>
          </cell>
          <cell r="C104" t="str">
            <v>!!BLDG_NAME_FORTUNE_TELLER_TENT</v>
          </cell>
          <cell r="D104" t="str">
            <v>building</v>
          </cell>
        </row>
        <row r="105">
          <cell r="A105">
            <v>9037</v>
          </cell>
          <cell r="B105" t="str">
            <v>Intermediate/StreamingAssets/Blueprints/building_halloween_haunted_house.json</v>
          </cell>
          <cell r="C105" t="str">
            <v>!!BLDG_NAME_HAUNTED_HOUSE</v>
          </cell>
          <cell r="D105" t="str">
            <v>building</v>
          </cell>
        </row>
        <row r="106">
          <cell r="A106">
            <v>9038</v>
          </cell>
          <cell r="B106" t="str">
            <v>Intermediate/StreamingAssets/Blueprints/building_halloween_hillbilly_house.json</v>
          </cell>
          <cell r="C106" t="str">
            <v>!!BLDG_NAME_HILLBILLY_HOUSE</v>
          </cell>
          <cell r="D106" t="str">
            <v>building</v>
          </cell>
        </row>
        <row r="107">
          <cell r="A107">
            <v>9039</v>
          </cell>
          <cell r="B107" t="str">
            <v>Intermediate/StreamingAssets/Blueprints/building_halloween_slasher_mgees_house.json</v>
          </cell>
          <cell r="C107" t="str">
            <v>!!BLDG_NAME_SLASHERS_HOUSE</v>
          </cell>
          <cell r="D107" t="str">
            <v>building</v>
          </cell>
        </row>
        <row r="108">
          <cell r="A108">
            <v>9040</v>
          </cell>
          <cell r="B108" t="str">
            <v>Intermediate/StreamingAssets/Blueprints/building_halloween_angler_fish_house.json</v>
          </cell>
          <cell r="C108" t="str">
            <v>!!BLDG_NAME_ANGLER_HOUSE</v>
          </cell>
          <cell r="D108" t="str">
            <v>building</v>
          </cell>
        </row>
        <row r="109">
          <cell r="A109">
            <v>9041</v>
          </cell>
          <cell r="B109" t="str">
            <v>Intermediate/StreamingAssets/Blueprints/building_halloween_haunted_fishhouse.json</v>
          </cell>
          <cell r="C109" t="str">
            <v>!!BLDG_NAME_HAUNTED_FISH_HOUSE</v>
          </cell>
          <cell r="D109" t="str">
            <v>building</v>
          </cell>
        </row>
        <row r="110">
          <cell r="A110">
            <v>9042</v>
          </cell>
          <cell r="B110" t="str">
            <v>Intermediate/StreamingAssets/Blueprints/building_christmas_elf_apartments.json</v>
          </cell>
          <cell r="C110" t="str">
            <v>!!BLDG_NAME_ELF_APARTMENTS</v>
          </cell>
          <cell r="D110" t="str">
            <v>building</v>
          </cell>
        </row>
        <row r="111">
          <cell r="A111">
            <v>9043</v>
          </cell>
          <cell r="B111" t="str">
            <v>Intermediate/StreamingAssets/Blueprints/building_christmas_toy_factory.json</v>
          </cell>
          <cell r="C111" t="str">
            <v>!!BLDG_NAME_TOY_FACTORY</v>
          </cell>
          <cell r="D111" t="str">
            <v>building</v>
          </cell>
        </row>
        <row r="112">
          <cell r="A112">
            <v>9044</v>
          </cell>
          <cell r="B112" t="str">
            <v>Intermediate/StreamingAssets/Blueprints/building_christmas_cafe.json</v>
          </cell>
          <cell r="C112" t="str">
            <v>!!BLDG_NAME_CHRISTMAS_CAFE</v>
          </cell>
          <cell r="D112" t="str">
            <v>building</v>
          </cell>
        </row>
        <row r="113">
          <cell r="A113">
            <v>9045</v>
          </cell>
          <cell r="B113" t="str">
            <v>Intermediate/StreamingAssets/Blueprints/building_christmas_spice_shack.json</v>
          </cell>
          <cell r="C113" t="str">
            <v>!!BLDG_NAME_SPICE_SHACK</v>
          </cell>
          <cell r="D113" t="str">
            <v>building</v>
          </cell>
        </row>
        <row r="114">
          <cell r="A114">
            <v>9046</v>
          </cell>
          <cell r="B114" t="str">
            <v>Intermediate/StreamingAssets/Blueprints/building_christmas_treat_shop.json</v>
          </cell>
          <cell r="C114" t="str">
            <v>!!BLDG_NAME_TREAT_SHOP</v>
          </cell>
          <cell r="D114" t="str">
            <v>building</v>
          </cell>
        </row>
        <row r="115">
          <cell r="A115">
            <v>9047</v>
          </cell>
          <cell r="B115" t="str">
            <v>Intermediate/StreamingAssets/Blueprints/building_christmas_loading_dock.json</v>
          </cell>
          <cell r="C115" t="str">
            <v>!!BLDG_NAME_LOADING_DOCK</v>
          </cell>
          <cell r="D115" t="str">
            <v>building</v>
          </cell>
        </row>
        <row r="116">
          <cell r="A116">
            <v>10000</v>
          </cell>
          <cell r="B116" t="str">
            <v>Intermediate/StreamingAssets/Blueprints/tree_banana.json</v>
          </cell>
          <cell r="C116" t="str">
            <v>!!TREE_NAME_BANANA</v>
          </cell>
          <cell r="D116" t="str">
            <v>building</v>
          </cell>
        </row>
        <row r="117">
          <cell r="A117">
            <v>10001</v>
          </cell>
          <cell r="B117" t="str">
            <v>Intermediate/StreamingAssets/Blueprints/tree_apple.json</v>
          </cell>
          <cell r="C117" t="str">
            <v>!!TREE_NAME_APPLE</v>
          </cell>
          <cell r="D117" t="str">
            <v>building</v>
          </cell>
        </row>
        <row r="118">
          <cell r="A118">
            <v>10002</v>
          </cell>
          <cell r="B118" t="str">
            <v>Intermediate/StreamingAssets/Blueprints/tree_cherry.json</v>
          </cell>
          <cell r="C118" t="str">
            <v>!!TREE_NAME_CHERRY</v>
          </cell>
          <cell r="D118" t="str">
            <v>building</v>
          </cell>
        </row>
        <row r="119">
          <cell r="A119">
            <v>10003</v>
          </cell>
          <cell r="B119" t="str">
            <v>Intermediate/StreamingAssets/Blueprints/tree_coconut.json</v>
          </cell>
          <cell r="C119" t="str">
            <v>!!TREE_NAME_COCONUT</v>
          </cell>
          <cell r="D119" t="str">
            <v>building</v>
          </cell>
        </row>
        <row r="120">
          <cell r="A120">
            <v>10004</v>
          </cell>
          <cell r="B120" t="str">
            <v>Intermediate/StreamingAssets/Blueprints/tree_lemon.json</v>
          </cell>
          <cell r="C120" t="str">
            <v>!!TREE_NAME_LEMON</v>
          </cell>
          <cell r="D120" t="str">
            <v>building</v>
          </cell>
        </row>
        <row r="121">
          <cell r="A121">
            <v>10005</v>
          </cell>
          <cell r="B121" t="str">
            <v>Intermediate/StreamingAssets/Blueprints/tree_lime.json</v>
          </cell>
          <cell r="C121" t="str">
            <v>!!TREE_NAME_LIME</v>
          </cell>
          <cell r="D121" t="str">
            <v>building</v>
          </cell>
        </row>
        <row r="122">
          <cell r="A122">
            <v>10006</v>
          </cell>
          <cell r="B122" t="str">
            <v>Intermediate/StreamingAssets/Blueprints/tree_orange.json</v>
          </cell>
          <cell r="C122" t="str">
            <v>!!TREE_NAME_ORANGE</v>
          </cell>
          <cell r="D122" t="str">
            <v>building</v>
          </cell>
        </row>
        <row r="123">
          <cell r="A123">
            <v>10007</v>
          </cell>
          <cell r="B123" t="str">
            <v>Intermediate/StreamingAssets/Blueprints/tree_peach.json</v>
          </cell>
          <cell r="C123" t="str">
            <v>!!TREE_NAME_PEACH</v>
          </cell>
          <cell r="D123" t="str">
            <v>building</v>
          </cell>
        </row>
        <row r="124">
          <cell r="A124">
            <v>10010</v>
          </cell>
          <cell r="B124" t="str">
            <v>Intermediate/StreamingAssets/Blueprints/tree_christmas_chestnut.json</v>
          </cell>
          <cell r="C124" t="str">
            <v>!!TREE_NAME_CHESTNUT</v>
          </cell>
          <cell r="D124" t="str">
            <v>building</v>
          </cell>
        </row>
        <row r="125">
          <cell r="A125">
            <v>10011</v>
          </cell>
          <cell r="B125" t="str">
            <v>Intermediate/StreamingAssets/Blueprints/tree_christmas_cranberry_bush.json</v>
          </cell>
          <cell r="C125" t="str">
            <v>!!TREE_NAME_CRANBERRY</v>
          </cell>
          <cell r="D125" t="str">
            <v>building</v>
          </cell>
        </row>
        <row r="126">
          <cell r="A126">
            <v>20000</v>
          </cell>
          <cell r="B126" t="str">
            <v>Intermediate/StreamingAssets/Blueprints/decoration_booty_anchor.json</v>
          </cell>
          <cell r="C126" t="str">
            <v>!!BLDG_NAME_PB_ANCHOR</v>
          </cell>
          <cell r="D126" t="str">
            <v>building</v>
          </cell>
        </row>
        <row r="127">
          <cell r="A127">
            <v>20001</v>
          </cell>
          <cell r="B127" t="str">
            <v>Intermediate/StreamingAssets/Blueprints/decoration_booty_boatinbottle.json</v>
          </cell>
          <cell r="C127" t="str">
            <v>!!BLDG_NAME_PB_SHIPINBOTTLE</v>
          </cell>
          <cell r="D127" t="str">
            <v>building</v>
          </cell>
        </row>
        <row r="128">
          <cell r="A128">
            <v>20002</v>
          </cell>
          <cell r="B128" t="str">
            <v>Intermediate/StreamingAssets/Blueprints/decoration_booty_cannon.json</v>
          </cell>
          <cell r="C128" t="str">
            <v>!!BLDG_NAME_PB_CANNON</v>
          </cell>
          <cell r="D128" t="str">
            <v>building</v>
          </cell>
        </row>
        <row r="129">
          <cell r="A129">
            <v>20003</v>
          </cell>
          <cell r="B129" t="str">
            <v>Intermediate/StreamingAssets/Blueprints/decoration_booty_crowsnest.json</v>
          </cell>
          <cell r="C129" t="str">
            <v>!!BLDG_NAME_PB_CROWSNEST</v>
          </cell>
          <cell r="D129" t="str">
            <v>building</v>
          </cell>
        </row>
        <row r="130">
          <cell r="A130">
            <v>20004</v>
          </cell>
          <cell r="B130" t="str">
            <v>Intermediate/StreamingAssets/Blueprints/decoration_booty_flagnpole.json</v>
          </cell>
          <cell r="C130" t="str">
            <v>!!BLDG_NAME_PB_FLAG</v>
          </cell>
          <cell r="D130" t="str">
            <v>building</v>
          </cell>
        </row>
        <row r="131">
          <cell r="A131">
            <v>20005</v>
          </cell>
          <cell r="B131" t="str">
            <v>Intermediate/StreamingAssets/Blueprints/decoration_booty_lantern.json</v>
          </cell>
          <cell r="C131" t="str">
            <v>!!BLDG_NAME_PB_LANTERN</v>
          </cell>
          <cell r="D131" t="str">
            <v>building</v>
          </cell>
        </row>
        <row r="132">
          <cell r="A132">
            <v>20006</v>
          </cell>
          <cell r="B132" t="str">
            <v>Intermediate/StreamingAssets/Blueprints/decoration_booty_lifepreserver.json</v>
          </cell>
          <cell r="C132" t="str">
            <v>!!BLDG_NAME_PB_LIFEPRESERVER</v>
          </cell>
          <cell r="D132" t="str">
            <v>building</v>
          </cell>
        </row>
        <row r="133">
          <cell r="A133">
            <v>20007</v>
          </cell>
          <cell r="B133" t="str">
            <v>Intermediate/StreamingAssets/Blueprints/decoration_booty_rowboat.json</v>
          </cell>
          <cell r="C133" t="str">
            <v>!!BLDG_NAME_PB_ROWBOAT</v>
          </cell>
          <cell r="D133" t="str">
            <v>building</v>
          </cell>
        </row>
        <row r="134">
          <cell r="A134">
            <v>20008</v>
          </cell>
          <cell r="B134" t="str">
            <v>Intermediate/StreamingAssets/Blueprints/decoration_booty_shipswheel.json</v>
          </cell>
          <cell r="C134" t="str">
            <v>!!BLDG_NAME_PB_HELM</v>
          </cell>
          <cell r="D134" t="str">
            <v>building</v>
          </cell>
        </row>
        <row r="135">
          <cell r="A135">
            <v>20009</v>
          </cell>
          <cell r="B135" t="str">
            <v>Intermediate/StreamingAssets/Blueprints/decoration_booty_skullpole.json</v>
          </cell>
          <cell r="C135" t="str">
            <v>!!BLDG_NAME_PB_SKULLONPOLE</v>
          </cell>
          <cell r="D135" t="str">
            <v>building</v>
          </cell>
        </row>
        <row r="136">
          <cell r="A136">
            <v>20010</v>
          </cell>
          <cell r="B136" t="str">
            <v>Intermediate/StreamingAssets/Blueprints/decoration_booty_telescope.json</v>
          </cell>
          <cell r="C136" t="str">
            <v>!!BLDG_NAME_PB_SPYGLASS</v>
          </cell>
          <cell r="D136" t="str">
            <v>building</v>
          </cell>
        </row>
        <row r="137">
          <cell r="A137">
            <v>20011</v>
          </cell>
          <cell r="B137" t="str">
            <v>Intermediate/StreamingAssets/Blueprints/decoration_billboard.json</v>
          </cell>
          <cell r="C137" t="str">
            <v>!!BLDG_NAME_BILLBOARD</v>
          </cell>
          <cell r="D137" t="str">
            <v>building</v>
          </cell>
        </row>
        <row r="138">
          <cell r="A138">
            <v>20012</v>
          </cell>
          <cell r="B138" t="str">
            <v>Intermediate/StreamingAssets/Blueprints/decoration_coralpurple_shape1.json</v>
          </cell>
          <cell r="C138" t="str">
            <v>!!BLDG_NAME_CORAL_PURPLE_1</v>
          </cell>
          <cell r="D138" t="str">
            <v>building</v>
          </cell>
        </row>
        <row r="139">
          <cell r="A139">
            <v>20013</v>
          </cell>
          <cell r="B139" t="str">
            <v>Intermediate/StreamingAssets/Blueprints/decoration_coralpurple_shape2.json</v>
          </cell>
          <cell r="C139" t="str">
            <v>!!BLDG_NAME_CORAL_PURPLE_2</v>
          </cell>
          <cell r="D139" t="str">
            <v>building</v>
          </cell>
        </row>
        <row r="140">
          <cell r="A140">
            <v>20014</v>
          </cell>
          <cell r="B140" t="str">
            <v>Intermediate/StreamingAssets/Blueprints/decoration_coralpurple_shape3.json</v>
          </cell>
          <cell r="C140" t="str">
            <v>!!BLDG_NAME_CORAL_PURPLE_3</v>
          </cell>
          <cell r="D140" t="str">
            <v>building</v>
          </cell>
        </row>
        <row r="141">
          <cell r="A141">
            <v>20015</v>
          </cell>
          <cell r="B141" t="str">
            <v>Intermediate/StreamingAssets/Blueprints/decoration_coralpurple_shape4.json</v>
          </cell>
          <cell r="C141" t="str">
            <v>!!BLDG_NAME_CORAL_PURPLE_4</v>
          </cell>
          <cell r="D141" t="str">
            <v>building</v>
          </cell>
        </row>
        <row r="142">
          <cell r="A142">
            <v>20016</v>
          </cell>
          <cell r="B142" t="str">
            <v>Intermediate/StreamingAssets/Blueprints/decoration_coralpurple_shape5.json</v>
          </cell>
          <cell r="C142" t="str">
            <v>!!BLDG_NAME_CORAL_PURPLE_5</v>
          </cell>
          <cell r="D142" t="str">
            <v>building</v>
          </cell>
        </row>
        <row r="143">
          <cell r="A143">
            <v>20017</v>
          </cell>
          <cell r="B143" t="str">
            <v>Intermediate/StreamingAssets/Blueprints/decoration_daveyjoneslocker.json</v>
          </cell>
          <cell r="C143" t="str">
            <v>!!BLDG_NAME_DAVEYJONESLOCKER</v>
          </cell>
          <cell r="D143" t="str">
            <v>building</v>
          </cell>
        </row>
        <row r="144">
          <cell r="A144">
            <v>20018</v>
          </cell>
          <cell r="B144" t="str">
            <v>Intermediate/StreamingAssets/Blueprints/decoration_dreaminvader.json</v>
          </cell>
          <cell r="C144" t="str">
            <v>!!BLDG_NAME_DREAMINVADER</v>
          </cell>
          <cell r="D144" t="str">
            <v>building</v>
          </cell>
        </row>
        <row r="145">
          <cell r="A145">
            <v>20019</v>
          </cell>
          <cell r="B145" t="str">
            <v>Intermediate/StreamingAssets/Blueprints/decoration_giantclam.json</v>
          </cell>
          <cell r="C145" t="str">
            <v>!!BLDG_NAME_GIANTCLAM</v>
          </cell>
          <cell r="D145" t="str">
            <v>building</v>
          </cell>
        </row>
        <row r="146">
          <cell r="A146">
            <v>20020</v>
          </cell>
          <cell r="B146" t="str">
            <v>Intermediate/StreamingAssets/Blueprints/decoration_gloveworldballoon.json</v>
          </cell>
          <cell r="C146" t="str">
            <v>!!BLDG_NAME_GLOVEWORLDBALLOON</v>
          </cell>
          <cell r="D146" t="str">
            <v>building</v>
          </cell>
        </row>
        <row r="147">
          <cell r="A147">
            <v>20021</v>
          </cell>
          <cell r="B147" t="str">
            <v>Intermediate/StreamingAssets/Blueprints/decoration_rock_blue.json</v>
          </cell>
          <cell r="C147" t="str">
            <v>!!BLDG_NAME_ROCK_BLUE</v>
          </cell>
          <cell r="D147" t="str">
            <v>building</v>
          </cell>
        </row>
        <row r="148">
          <cell r="A148">
            <v>20022</v>
          </cell>
          <cell r="B148" t="str">
            <v>Intermediate/StreamingAssets/Blueprints/decoration_rock_gray.json</v>
          </cell>
          <cell r="C148" t="str">
            <v>!!BLDG_NAME_ROCK_GREY</v>
          </cell>
          <cell r="D148" t="str">
            <v>building</v>
          </cell>
        </row>
        <row r="149">
          <cell r="A149">
            <v>20023</v>
          </cell>
          <cell r="B149" t="str">
            <v>Intermediate/StreamingAssets/Blueprints/decoration_rock_green.json</v>
          </cell>
          <cell r="C149" t="str">
            <v>!!BLDG_NAME_ROCK_GREEN</v>
          </cell>
          <cell r="D149" t="str">
            <v>building</v>
          </cell>
        </row>
        <row r="150">
          <cell r="A150">
            <v>20024</v>
          </cell>
          <cell r="B150" t="str">
            <v>Intermediate/StreamingAssets/Blueprints/decoration_rock_grouping_gray.json</v>
          </cell>
          <cell r="C150" t="str">
            <v>!!BLDG_NAME_ROCK_GROUPING_GREY</v>
          </cell>
          <cell r="D150" t="str">
            <v>building</v>
          </cell>
        </row>
        <row r="151">
          <cell r="A151">
            <v>20025</v>
          </cell>
          <cell r="B151" t="str">
            <v>Intermediate/StreamingAssets/Blueprints/decoration_rock_grouping_tan.json</v>
          </cell>
          <cell r="C151" t="str">
            <v>!!BLDG_NAME_ROCK_GROUPING_TAN</v>
          </cell>
          <cell r="D151" t="str">
            <v>building</v>
          </cell>
        </row>
        <row r="152">
          <cell r="A152">
            <v>20026</v>
          </cell>
          <cell r="B152" t="str">
            <v>Intermediate/StreamingAssets/Blueprints/decoration_rock_purple_gray_green.json</v>
          </cell>
          <cell r="C152" t="str">
            <v>!!BLDG_NAME_ROCK_PURPLE_GREY_GREEN</v>
          </cell>
          <cell r="D152" t="str">
            <v>building</v>
          </cell>
        </row>
        <row r="153">
          <cell r="A153">
            <v>20027</v>
          </cell>
          <cell r="B153" t="str">
            <v>Intermediate/StreamingAssets/Blueprints/decoration_rock_purple.json</v>
          </cell>
          <cell r="C153" t="str">
            <v>!!BLDG_NAME_ROCK_PURPLE</v>
          </cell>
          <cell r="D153" t="str">
            <v>building</v>
          </cell>
        </row>
        <row r="154">
          <cell r="A154">
            <v>20028</v>
          </cell>
          <cell r="B154" t="str">
            <v>Intermediate/StreamingAssets/Blueprints/decoration_sandcastle_tower1.json</v>
          </cell>
          <cell r="C154" t="str">
            <v>!!BLDG_NAME_SANDCASTLE_TOWER_1</v>
          </cell>
          <cell r="D154" t="str">
            <v>building</v>
          </cell>
        </row>
        <row r="155">
          <cell r="A155">
            <v>20029</v>
          </cell>
          <cell r="B155" t="str">
            <v>Intermediate/StreamingAssets/Blueprints/decoration_sandcastle_tower2.json</v>
          </cell>
          <cell r="C155" t="str">
            <v>!!BLDG_NAME_SANDCASTLE_TOWER_2</v>
          </cell>
          <cell r="D155" t="str">
            <v>building</v>
          </cell>
        </row>
        <row r="156">
          <cell r="A156">
            <v>20030</v>
          </cell>
          <cell r="B156" t="str">
            <v>Intermediate/StreamingAssets/Blueprints/decoration_sandcastle.json</v>
          </cell>
          <cell r="C156" t="str">
            <v>!!BLDG_NAME_SANDCASTLE</v>
          </cell>
          <cell r="D156" t="str">
            <v>building</v>
          </cell>
        </row>
        <row r="157">
          <cell r="A157">
            <v>20031</v>
          </cell>
          <cell r="B157" t="str">
            <v>Intermediate/StreamingAssets/Blueprints/decoration_squidwardstatue.json</v>
          </cell>
          <cell r="C157" t="str">
            <v>!!BLDG_NAME_SQUIDWARDSTATUE</v>
          </cell>
          <cell r="D157" t="str">
            <v>building</v>
          </cell>
        </row>
        <row r="158">
          <cell r="A158">
            <v>20032</v>
          </cell>
          <cell r="B158" t="str">
            <v>Intermediate/StreamingAssets/Blueprints/decoration_barrel_closed.json</v>
          </cell>
          <cell r="C158" t="str">
            <v>!!BLDG_NAME_BARREL_CLOSED</v>
          </cell>
          <cell r="D158" t="str">
            <v>building</v>
          </cell>
        </row>
        <row r="159">
          <cell r="A159">
            <v>20033</v>
          </cell>
          <cell r="B159" t="str">
            <v>Intermediate/StreamingAssets/Blueprints/decoration_barrel_open.json</v>
          </cell>
          <cell r="C159" t="str">
            <v>!!BLDG_NAME_BARREL_OPEN</v>
          </cell>
          <cell r="D159" t="str">
            <v>building</v>
          </cell>
        </row>
        <row r="160">
          <cell r="A160">
            <v>20034</v>
          </cell>
          <cell r="B160" t="str">
            <v>Intermediate/StreamingAssets/Blueprints/decoration_bucket.json</v>
          </cell>
          <cell r="C160" t="str">
            <v>!!BLDG_NAME_BUCKET</v>
          </cell>
          <cell r="D160" t="str">
            <v>building</v>
          </cell>
        </row>
        <row r="161">
          <cell r="A161">
            <v>20035</v>
          </cell>
          <cell r="B161" t="str">
            <v>Intermediate/StreamingAssets/Blueprints/decoration_jukebox.json</v>
          </cell>
          <cell r="C161" t="str">
            <v>!!BLDG_NAME_JUKEBOX</v>
          </cell>
          <cell r="D161" t="str">
            <v>building</v>
          </cell>
        </row>
        <row r="162">
          <cell r="A162">
            <v>20036</v>
          </cell>
          <cell r="B162" t="str">
            <v>Intermediate/StreamingAssets/Blueprints/decoration_booty_bonetelescope.json</v>
          </cell>
          <cell r="C162" t="str">
            <v>!!BLDG_NAME_PB_PIRATESCOPE</v>
          </cell>
          <cell r="D162" t="str">
            <v>building</v>
          </cell>
        </row>
        <row r="163">
          <cell r="A163">
            <v>20037</v>
          </cell>
          <cell r="B163" t="str">
            <v>Intermediate/StreamingAssets/Blueprints/decoration_booty_compass.json</v>
          </cell>
          <cell r="C163" t="str">
            <v>!!BLDG_NAME_PB_COMPASS</v>
          </cell>
          <cell r="D163" t="str">
            <v>building</v>
          </cell>
        </row>
        <row r="164">
          <cell r="A164">
            <v>20038</v>
          </cell>
          <cell r="B164" t="str">
            <v>Intermediate/StreamingAssets/Blueprints/decoration_booty_hammock.json</v>
          </cell>
          <cell r="C164" t="str">
            <v>!!BLDG_NAME_PB_HAMMOCK</v>
          </cell>
          <cell r="D164" t="str">
            <v>building</v>
          </cell>
        </row>
        <row r="165">
          <cell r="A165">
            <v>20039</v>
          </cell>
          <cell r="B165" t="str">
            <v>Intermediate/StreamingAssets/Blueprints/decoration_booty_rubberduck.json</v>
          </cell>
          <cell r="C165" t="str">
            <v>!!BLDG_NAME_PB_RUBBERDUCK</v>
          </cell>
          <cell r="D165" t="str">
            <v>building</v>
          </cell>
        </row>
        <row r="166">
          <cell r="A166">
            <v>20040</v>
          </cell>
          <cell r="B166" t="str">
            <v>Intermediate/StreamingAssets/Blueprints/decoration_booty_treasurebarrel.json</v>
          </cell>
          <cell r="C166" t="str">
            <v>!!BLDG_NAME_PB_TREASUREBARREL</v>
          </cell>
          <cell r="D166" t="str">
            <v>building</v>
          </cell>
        </row>
        <row r="167">
          <cell r="A167">
            <v>20041</v>
          </cell>
          <cell r="B167" t="str">
            <v>Intermediate/StreamingAssets/Blueprints/decoration_booty_teasuremap.json</v>
          </cell>
          <cell r="C167" t="str">
            <v>!!BLDG_NAME_PB_TREASUREMAP</v>
          </cell>
          <cell r="D167" t="str">
            <v>building</v>
          </cell>
        </row>
        <row r="168">
          <cell r="A168">
            <v>20043</v>
          </cell>
          <cell r="B168" t="str">
            <v>Intermediate/StreamingAssets/Blueprints/decoration_halloween_black_cat.json</v>
          </cell>
          <cell r="C168" t="str">
            <v>!!BLDG_NAME_BLACK_CAT</v>
          </cell>
          <cell r="D168" t="str">
            <v>building</v>
          </cell>
        </row>
        <row r="169">
          <cell r="A169">
            <v>20044</v>
          </cell>
          <cell r="B169" t="str">
            <v>Intermediate/StreamingAssets/Blueprints/decoration_halloween_brokendown_airboat.json</v>
          </cell>
          <cell r="C169" t="str">
            <v>!!BLDG_NAME_BROKE_BOAT</v>
          </cell>
          <cell r="D169" t="str">
            <v>building</v>
          </cell>
        </row>
        <row r="170">
          <cell r="A170">
            <v>20045</v>
          </cell>
          <cell r="B170" t="str">
            <v>Intermediate/StreamingAssets/Blueprints/decoration_halloween_clock_tower.json</v>
          </cell>
          <cell r="C170" t="str">
            <v>!!BLDG_NAME_CLOCK_TOWER</v>
          </cell>
          <cell r="D170" t="str">
            <v>building</v>
          </cell>
        </row>
        <row r="171">
          <cell r="A171">
            <v>20046</v>
          </cell>
          <cell r="B171" t="str">
            <v>Intermediate/StreamingAssets/Blueprints/decoration_halloween_giant_jackolantern.json</v>
          </cell>
          <cell r="C171" t="str">
            <v>!!BLDG_NAME_JACK_O_LANTERN</v>
          </cell>
          <cell r="D171" t="str">
            <v>building</v>
          </cell>
        </row>
        <row r="172">
          <cell r="A172">
            <v>20047</v>
          </cell>
          <cell r="B172" t="str">
            <v>Intermediate/StreamingAssets/Blueprints/decoration_halloween_gravestones_01.json</v>
          </cell>
          <cell r="C172" t="str">
            <v>!!BLDG_NAME_GRAVE_STONE1</v>
          </cell>
          <cell r="D172" t="str">
            <v>building</v>
          </cell>
        </row>
        <row r="173">
          <cell r="A173">
            <v>20048</v>
          </cell>
          <cell r="B173" t="str">
            <v>Intermediate/StreamingAssets/Blueprints/decoration_halloween_gravestones_02.json</v>
          </cell>
          <cell r="C173" t="str">
            <v>!!BLDG_NAME_GRAVE_STONE2</v>
          </cell>
          <cell r="D173" t="str">
            <v>building</v>
          </cell>
        </row>
        <row r="174">
          <cell r="A174">
            <v>20049</v>
          </cell>
          <cell r="B174" t="str">
            <v>Intermediate/StreamingAssets/Blueprints/decoration_halloween_gravestones_03.json</v>
          </cell>
          <cell r="C174" t="str">
            <v>!!BLDG_NAME_GRAVE_STONE3</v>
          </cell>
          <cell r="D174" t="str">
            <v>building</v>
          </cell>
        </row>
        <row r="175">
          <cell r="A175">
            <v>20050</v>
          </cell>
          <cell r="B175" t="str">
            <v>Intermediate/StreamingAssets/Blueprints/decoration_halloween_haunted_outhouse.json</v>
          </cell>
          <cell r="C175" t="str">
            <v>!!BLDG_NAME_HAUNTED_OUTHOUSE</v>
          </cell>
          <cell r="D175" t="str">
            <v>building</v>
          </cell>
        </row>
        <row r="176">
          <cell r="A176">
            <v>20051</v>
          </cell>
          <cell r="B176" t="str">
            <v>Intermediate/StreamingAssets/Blueprints/decoration_halloween_pumpkin_patch.json</v>
          </cell>
          <cell r="C176" t="str">
            <v>!!BLDG_NAME_PUMPKIN_PATCH</v>
          </cell>
          <cell r="D176" t="str">
            <v>building</v>
          </cell>
        </row>
        <row r="177">
          <cell r="A177">
            <v>20052</v>
          </cell>
          <cell r="B177" t="str">
            <v>Intermediate/StreamingAssets/Blueprints/decoration_halloween_sardine_coffin_01.json</v>
          </cell>
          <cell r="C177" t="str">
            <v>!!BLDG_NAME_COFFIN1</v>
          </cell>
          <cell r="D177" t="str">
            <v>building</v>
          </cell>
        </row>
        <row r="178">
          <cell r="A178">
            <v>20053</v>
          </cell>
          <cell r="B178" t="str">
            <v>Intermediate/StreamingAssets/Blueprints/decoration_halloween_sardine_coffin_02.json</v>
          </cell>
          <cell r="C178" t="str">
            <v>!!BLDG_NAME_COFFIN2</v>
          </cell>
          <cell r="D178" t="str">
            <v>building</v>
          </cell>
        </row>
        <row r="179">
          <cell r="A179">
            <v>20054</v>
          </cell>
          <cell r="B179" t="str">
            <v>Intermediate/StreamingAssets/Blueprints/decoration_halloween_sardine_coffin_03.json</v>
          </cell>
          <cell r="C179" t="str">
            <v>!!BLDG_NAME_COFFIN3</v>
          </cell>
          <cell r="D179" t="str">
            <v>building</v>
          </cell>
        </row>
        <row r="180">
          <cell r="A180">
            <v>20055</v>
          </cell>
          <cell r="B180" t="str">
            <v>Intermediate/StreamingAssets/Blueprints/decoration_halloween_scarecrow.json</v>
          </cell>
          <cell r="C180" t="str">
            <v>!!BLDG_NAME_SCARECROW</v>
          </cell>
          <cell r="D180" t="str">
            <v>building</v>
          </cell>
        </row>
        <row r="181">
          <cell r="A181">
            <v>20056</v>
          </cell>
          <cell r="B181" t="str">
            <v>Intermediate/StreamingAssets/Blueprints/decoration_halloween_scary_tree_01.json</v>
          </cell>
          <cell r="C181" t="str">
            <v>!!BLDG_NAME_SCARY_TREE1</v>
          </cell>
          <cell r="D181" t="str">
            <v>building</v>
          </cell>
        </row>
        <row r="182">
          <cell r="A182">
            <v>20057</v>
          </cell>
          <cell r="B182" t="str">
            <v>Intermediate/StreamingAssets/Blueprints/decoration_halloween_scary_tree_02.json</v>
          </cell>
          <cell r="C182" t="str">
            <v>!!BLDG_NAME_SCARY_TREE2</v>
          </cell>
          <cell r="D182" t="str">
            <v>building</v>
          </cell>
        </row>
        <row r="183">
          <cell r="A183">
            <v>20058</v>
          </cell>
          <cell r="B183" t="str">
            <v>Intermediate/StreamingAssets/Blueprints/decoration_halloween_scary_tree_03.json</v>
          </cell>
          <cell r="C183" t="str">
            <v>!!BLDG_NAME_SCARY_TREE3</v>
          </cell>
          <cell r="D183" t="str">
            <v>building</v>
          </cell>
        </row>
        <row r="184">
          <cell r="A184">
            <v>20059</v>
          </cell>
          <cell r="B184" t="str">
            <v>Intermediate/StreamingAssets/Blueprints/decoration_halloween_skull_rock.json</v>
          </cell>
          <cell r="C184" t="str">
            <v>!!BLDG_NAME_SKULL_ROCK</v>
          </cell>
          <cell r="D184" t="str">
            <v>building</v>
          </cell>
        </row>
        <row r="185">
          <cell r="A185">
            <v>20061</v>
          </cell>
          <cell r="B185" t="str">
            <v>Intermediate/StreamingAssets/Blueprints/decoration_halloween_slimed_picnic_table.json</v>
          </cell>
          <cell r="C185" t="str">
            <v>!!BLDG_NAME_SLIMED_PICNIC_TABLE</v>
          </cell>
          <cell r="D185" t="str">
            <v>building</v>
          </cell>
        </row>
        <row r="186">
          <cell r="A186">
            <v>20062</v>
          </cell>
          <cell r="B186" t="str">
            <v>Intermediate/StreamingAssets/Blueprints/decoration_halloween_spooky_gas_lamps.json</v>
          </cell>
          <cell r="C186" t="str">
            <v>!!BLDG_NAME_GAS_LAMP</v>
          </cell>
          <cell r="D186" t="str">
            <v>building</v>
          </cell>
        </row>
        <row r="187">
          <cell r="A187">
            <v>20063</v>
          </cell>
          <cell r="B187" t="str">
            <v>Intermediate/StreamingAssets/Blueprints/decoration_halloween_submerged_wagon_wheel.json</v>
          </cell>
          <cell r="C187" t="str">
            <v>!!BLDG_NAME_WAGON_WHEEL</v>
          </cell>
          <cell r="D187" t="str">
            <v>building</v>
          </cell>
        </row>
        <row r="188">
          <cell r="A188">
            <v>20064</v>
          </cell>
          <cell r="B188" t="str">
            <v>Intermediate/StreamingAssets/Blueprints/decoration_halloween_sunken_skelly_ship.json</v>
          </cell>
          <cell r="C188" t="str">
            <v>!!BLDG_NAME_SUNKEN_SHIP</v>
          </cell>
          <cell r="D188" t="str">
            <v>building</v>
          </cell>
        </row>
        <row r="189">
          <cell r="A189">
            <v>20065</v>
          </cell>
          <cell r="B189" t="str">
            <v>Intermediate/StreamingAssets/Blueprints/decoration_halloween_torn_picnic_umbrella.json</v>
          </cell>
          <cell r="C189" t="str">
            <v>!!BLDG_NAME_TORN_UMBRELLA</v>
          </cell>
          <cell r="D189" t="str">
            <v>building</v>
          </cell>
        </row>
        <row r="190">
          <cell r="A190">
            <v>20066</v>
          </cell>
          <cell r="B190" t="str">
            <v>Intermediate/StreamingAssets/Blueprints/decoration_halloween_witchs_cauldron.json</v>
          </cell>
          <cell r="C190" t="str">
            <v>!!BLDG_NAME_WITCHS_CAULDRON</v>
          </cell>
          <cell r="D190" t="str">
            <v>building</v>
          </cell>
        </row>
        <row r="191">
          <cell r="A191">
            <v>20067</v>
          </cell>
          <cell r="B191" t="str">
            <v>Intermediate/StreamingAssets/Blueprints/decoration_halloween_fortune_tellers_table.json</v>
          </cell>
          <cell r="C191" t="str">
            <v>!!BLDG_NAME_FORTUNE_TELLERS_TABLE</v>
          </cell>
          <cell r="D191" t="str">
            <v>building</v>
          </cell>
        </row>
        <row r="192">
          <cell r="A192">
            <v>20068</v>
          </cell>
          <cell r="B192" t="str">
            <v>Intermediate/StreamingAssets/Blueprints/decoration_christmas_poinsettia.json</v>
          </cell>
          <cell r="C192" t="str">
            <v>!!BLDG_NAME_POINSETTIA</v>
          </cell>
          <cell r="D192" t="str">
            <v>building</v>
          </cell>
        </row>
        <row r="193">
          <cell r="A193">
            <v>20069</v>
          </cell>
          <cell r="B193" t="str">
            <v>Intermediate/StreamingAssets/Blueprints/decoration_christmas_tinsel_wrapped_pole.json</v>
          </cell>
          <cell r="C193" t="str">
            <v>!!BLDG_NAME_TINSEL_WRAPPED_POLE</v>
          </cell>
          <cell r="D193" t="str">
            <v>building</v>
          </cell>
        </row>
        <row r="194">
          <cell r="A194">
            <v>20070</v>
          </cell>
          <cell r="B194" t="str">
            <v>Intermediate/StreamingAssets/Blueprints/decoration_christmas_holiday_candle.json</v>
          </cell>
          <cell r="C194" t="str">
            <v>!!BLDG_NAME_HOLIDAY_CANDLE</v>
          </cell>
          <cell r="D194" t="str">
            <v>building</v>
          </cell>
        </row>
        <row r="195">
          <cell r="A195">
            <v>20071</v>
          </cell>
          <cell r="B195" t="str">
            <v>Intermediate/StreamingAssets/Blueprints/decoration_christmas_plastic_christmas_tree.json</v>
          </cell>
          <cell r="C195" t="str">
            <v>!!BLDG_NAME_PLASTIC_CHRISTMAS_TREE</v>
          </cell>
          <cell r="D195" t="str">
            <v>building</v>
          </cell>
        </row>
        <row r="196">
          <cell r="A196">
            <v>20072</v>
          </cell>
          <cell r="B196" t="str">
            <v>Intermediate/StreamingAssets/Blueprints/decoration_christmas_hug_me_tight_elf_doll.json</v>
          </cell>
          <cell r="C196" t="str">
            <v>!!BLDG_NAME_HUG_ME_TIGHT_ELF_DOLL</v>
          </cell>
          <cell r="D196" t="str">
            <v>building</v>
          </cell>
        </row>
        <row r="197">
          <cell r="A197">
            <v>20073</v>
          </cell>
          <cell r="B197" t="str">
            <v>Intermediate/StreamingAssets/Blueprints/decoration_christmas_magic_analyzer.json</v>
          </cell>
          <cell r="C197" t="str">
            <v>!!BLDG_NAME_MAGIC_ANALYZER</v>
          </cell>
          <cell r="D197" t="str">
            <v>building</v>
          </cell>
        </row>
        <row r="198">
          <cell r="A198">
            <v>20074</v>
          </cell>
          <cell r="B198" t="str">
            <v>Intermediate/StreamingAssets/Blueprints/decoration_christmas_patricks_santa_trap.json</v>
          </cell>
          <cell r="C198" t="str">
            <v>!!BLDG_NAME_PATRICKS_SANTA_TRAP</v>
          </cell>
          <cell r="D198" t="str">
            <v>building</v>
          </cell>
        </row>
        <row r="199">
          <cell r="A199">
            <v>20075</v>
          </cell>
          <cell r="B199" t="str">
            <v>Intermediate/StreamingAssets/Blueprints/decoration_christmas_north_pole.json</v>
          </cell>
          <cell r="C199" t="str">
            <v>!!BLDG_NAME_NORTH_POLE</v>
          </cell>
          <cell r="D199" t="str">
            <v>building</v>
          </cell>
        </row>
        <row r="200">
          <cell r="A200">
            <v>20076</v>
          </cell>
          <cell r="B200" t="str">
            <v>Intermediate/StreamingAssets/Blueprints/decoration_christmas_kelp_christmas_tree.json</v>
          </cell>
          <cell r="C200" t="str">
            <v>!!BLDG_NAME_KELP_CHRISTMAS_TREE</v>
          </cell>
          <cell r="D200" t="str">
            <v>building</v>
          </cell>
        </row>
        <row r="201">
          <cell r="A201">
            <v>20077</v>
          </cell>
          <cell r="B201" t="str">
            <v>Intermediate/StreamingAssets/Blueprints/decoration_christmas_snow_snorkeler.json</v>
          </cell>
          <cell r="C201" t="str">
            <v>!!BLDG_NAME_SNOW_SNORKELER</v>
          </cell>
          <cell r="D201" t="str">
            <v>building</v>
          </cell>
        </row>
        <row r="202">
          <cell r="A202">
            <v>20078</v>
          </cell>
          <cell r="B202" t="str">
            <v>Intermediate/StreamingAssets/Blueprints/decoration_christmas_wreath.json</v>
          </cell>
          <cell r="C202" t="str">
            <v>!!BLDG_NAME_WREATH</v>
          </cell>
          <cell r="D202" t="str">
            <v>building</v>
          </cell>
        </row>
        <row r="203">
          <cell r="A203">
            <v>20079</v>
          </cell>
          <cell r="B203" t="str">
            <v>Intermediate/StreamingAssets/Blueprints/decoration_christmas_christmas_tree.json</v>
          </cell>
          <cell r="C203" t="str">
            <v>!!BLDG_NAME_CHRISTMAS_TREE</v>
          </cell>
          <cell r="D203" t="str">
            <v>building</v>
          </cell>
        </row>
        <row r="204">
          <cell r="A204">
            <v>20080</v>
          </cell>
          <cell r="B204" t="str">
            <v>Intermediate/StreamingAssets/Blueprints/decoration_christmas_snowflake_bushes.json</v>
          </cell>
          <cell r="C204" t="str">
            <v>!!BLDG_NAME_SNOWFLAKE_BUSHES</v>
          </cell>
          <cell r="D204" t="str">
            <v>building</v>
          </cell>
        </row>
        <row r="205">
          <cell r="A205">
            <v>20081</v>
          </cell>
          <cell r="B205" t="str">
            <v>Intermediate/StreamingAssets/Blueprints/decoration_christmas_large_snow_globe.json</v>
          </cell>
          <cell r="C205" t="str">
            <v>!!BLDG_NAME_LARGE_SNOW_GLOBE</v>
          </cell>
          <cell r="D205" t="str">
            <v>building</v>
          </cell>
        </row>
        <row r="206">
          <cell r="A206">
            <v>20082</v>
          </cell>
          <cell r="B206" t="str">
            <v>Intermediate/StreamingAssets/Blueprints/decoration_christmas_stack_gifts_1.json</v>
          </cell>
          <cell r="C206" t="str">
            <v>!!BLDG_NAME_STACK_GIFTS_1</v>
          </cell>
          <cell r="D206" t="str">
            <v>building</v>
          </cell>
        </row>
        <row r="207">
          <cell r="A207">
            <v>20083</v>
          </cell>
          <cell r="B207" t="str">
            <v>Intermediate/StreamingAssets/Blueprints/decoration_christmas_stack_gifts_2.json</v>
          </cell>
          <cell r="C207" t="str">
            <v>!!BLDG_NAME_STACK_GIFTS_2</v>
          </cell>
          <cell r="D207" t="str">
            <v>building</v>
          </cell>
        </row>
        <row r="208">
          <cell r="A208">
            <v>20084</v>
          </cell>
          <cell r="B208" t="str">
            <v>Intermediate/StreamingAssets/Blueprints/decoration_christmas_stack_gifts_3.json</v>
          </cell>
          <cell r="C208" t="str">
            <v>!!BLDG_NAME_STACK_GIFTS_3</v>
          </cell>
          <cell r="D208" t="str">
            <v>building</v>
          </cell>
        </row>
        <row r="209">
          <cell r="A209">
            <v>20085</v>
          </cell>
          <cell r="B209" t="str">
            <v>Intermediate/StreamingAssets/Blueprints/decoration_christmas_santas_sleigh.json</v>
          </cell>
          <cell r="C209" t="str">
            <v>!!BLDG_NAME_SANTAS_SLEIGH</v>
          </cell>
          <cell r="D209" t="str">
            <v>building</v>
          </cell>
        </row>
        <row r="210">
          <cell r="A210">
            <v>20086</v>
          </cell>
          <cell r="B210" t="str">
            <v>Intermediate/StreamingAssets/Blueprints/decoration_christmas_snowman.json</v>
          </cell>
          <cell r="C210" t="str">
            <v>!!BLDG_NAME_SNOWMAN</v>
          </cell>
          <cell r="D210" t="str">
            <v>building</v>
          </cell>
        </row>
        <row r="211">
          <cell r="A211">
            <v>20087</v>
          </cell>
          <cell r="B211" t="str">
            <v>Intermediate/StreamingAssets/Blueprints/decoration_christmas_lawn_reindeer.json</v>
          </cell>
          <cell r="C211" t="str">
            <v>!!BLDG_NAME_LAWN_REINDEER</v>
          </cell>
          <cell r="D211" t="str">
            <v>building</v>
          </cell>
        </row>
        <row r="212">
          <cell r="A212">
            <v>20088</v>
          </cell>
          <cell r="B212" t="str">
            <v>Intermediate/StreamingAssets/Blueprints/decoration_christmas_nutcracker_1.json</v>
          </cell>
          <cell r="C212" t="str">
            <v>!!BLDG_NAME_NUTCRACKER_1</v>
          </cell>
          <cell r="D212" t="str">
            <v>building</v>
          </cell>
        </row>
        <row r="213">
          <cell r="A213">
            <v>20089</v>
          </cell>
          <cell r="B213" t="str">
            <v>Intermediate/StreamingAssets/Blueprints/decoration_christmas_nutcracker_2.json</v>
          </cell>
          <cell r="C213" t="str">
            <v>!!BLDG_NAME_NUTCRACKER_2</v>
          </cell>
          <cell r="D213" t="str">
            <v>building</v>
          </cell>
        </row>
        <row r="214">
          <cell r="A214">
            <v>20090</v>
          </cell>
          <cell r="B214" t="str">
            <v>Intermediate/StreamingAssets/Blueprints/decoration_christmas_nutcracker_3.json</v>
          </cell>
          <cell r="C214" t="str">
            <v>!!BLDG_NAME_NUTCRACKER_3</v>
          </cell>
          <cell r="D214" t="str">
            <v>building</v>
          </cell>
        </row>
        <row r="215">
          <cell r="A215">
            <v>20091</v>
          </cell>
          <cell r="B215" t="str">
            <v>Intermediate/StreamingAssets/Blueprints/decoration_christmas_massive_wreath.json</v>
          </cell>
          <cell r="C215" t="str">
            <v>!!BLDG_NAME_MASSIVE_WREATH</v>
          </cell>
          <cell r="D215" t="str">
            <v>building</v>
          </cell>
        </row>
        <row r="216">
          <cell r="A216">
            <v>20092</v>
          </cell>
          <cell r="B216" t="str">
            <v>Intermediate/StreamingAssets/Blueprints/decoration_christmas_mistletoe.json</v>
          </cell>
          <cell r="C216" t="str">
            <v>!!BLDG_NAME_MISTLETOE</v>
          </cell>
          <cell r="D216" t="str">
            <v>building</v>
          </cell>
        </row>
        <row r="217">
          <cell r="A217">
            <v>20093</v>
          </cell>
          <cell r="B217" t="str">
            <v>Intermediate/StreamingAssets/Blueprints/decoration_christmas_ornament_1.json</v>
          </cell>
          <cell r="C217" t="str">
            <v>!!BLDG_NAME_ORNAMENT_1</v>
          </cell>
          <cell r="D217" t="str">
            <v>building</v>
          </cell>
        </row>
        <row r="218">
          <cell r="A218">
            <v>20094</v>
          </cell>
          <cell r="B218" t="str">
            <v>Intermediate/StreamingAssets/Blueprints/decoration_christmas_ornament_2.json</v>
          </cell>
          <cell r="C218" t="str">
            <v>!!BLDG_NAME_ORNAMENT_2</v>
          </cell>
          <cell r="D218" t="str">
            <v>building</v>
          </cell>
        </row>
        <row r="219">
          <cell r="A219">
            <v>20095</v>
          </cell>
          <cell r="B219" t="str">
            <v>Intermediate/StreamingAssets/Blueprints/decoration_christmas_ornament_3.json</v>
          </cell>
          <cell r="C219" t="str">
            <v>!!BLDG_NAME_ORNAMENT_3</v>
          </cell>
          <cell r="D219" t="str">
            <v>building</v>
          </cell>
        </row>
        <row r="220">
          <cell r="A220">
            <v>20096</v>
          </cell>
          <cell r="B220" t="str">
            <v>Intermediate/StreamingAssets/Blueprints/decoration_christmas_ornament_4.json</v>
          </cell>
          <cell r="C220" t="str">
            <v>!!BLDG_NAME_ORNAMENT_4</v>
          </cell>
          <cell r="D220" t="str">
            <v>building</v>
          </cell>
        </row>
        <row r="221">
          <cell r="A221">
            <v>20097</v>
          </cell>
          <cell r="B221" t="str">
            <v>Intermediate/StreamingAssets/Blueprints/decoration_christmas_ornament_5.json</v>
          </cell>
          <cell r="C221" t="str">
            <v>!!BLDG_NAME_ORNAMENT_5</v>
          </cell>
          <cell r="D221" t="str">
            <v>building</v>
          </cell>
        </row>
        <row r="222">
          <cell r="A222">
            <v>20098</v>
          </cell>
          <cell r="B222" t="str">
            <v>Intermediate/StreamingAssets/Blueprints/decoration_christmas_candy_cane_arch.json</v>
          </cell>
          <cell r="C222" t="str">
            <v>!!BLDG_NAME_CANDY_CANE_ARCH</v>
          </cell>
          <cell r="D222" t="str">
            <v>building</v>
          </cell>
        </row>
        <row r="223">
          <cell r="A223">
            <v>20099</v>
          </cell>
          <cell r="B223" t="str">
            <v>Intermediate/StreamingAssets/Blueprints/decoration_christmas_garland_wrapped_pole.json</v>
          </cell>
          <cell r="C223" t="str">
            <v>!!BLDG_NAME_GARLAND_WRAPPED_POLE</v>
          </cell>
          <cell r="D223" t="str">
            <v>building</v>
          </cell>
        </row>
        <row r="224">
          <cell r="A224">
            <v>20100</v>
          </cell>
          <cell r="B224" t="str">
            <v>Intermediate/StreamingAssets/Blueprints/decoration_christmas_wild_christmas_tree.json</v>
          </cell>
          <cell r="C224" t="str">
            <v>!!BLDG_NAME_WILD_CHRISTMAS_TREE</v>
          </cell>
          <cell r="D224" t="str">
            <v>building</v>
          </cell>
        </row>
        <row r="225">
          <cell r="A225">
            <v>20101</v>
          </cell>
          <cell r="B225" t="str">
            <v>Intermediate/StreamingAssets/Blueprints/decoration_christmas_silver_christmas_tree.json</v>
          </cell>
          <cell r="C225" t="str">
            <v>!!BLDG_NAME_SILVER_CHRISTMAS_TREE</v>
          </cell>
          <cell r="D225" t="str">
            <v>building</v>
          </cell>
        </row>
        <row r="226">
          <cell r="A226">
            <v>20102</v>
          </cell>
          <cell r="B226" t="str">
            <v>Intermediate/StreamingAssets/Blueprints/decoration_christmas_wintry_plant_1.json</v>
          </cell>
          <cell r="C226" t="str">
            <v>!!BLDG_NAME_WINTRY_PLANT_1</v>
          </cell>
          <cell r="D226" t="str">
            <v>building</v>
          </cell>
        </row>
        <row r="227">
          <cell r="A227">
            <v>20103</v>
          </cell>
          <cell r="B227" t="str">
            <v>Intermediate/StreamingAssets/Blueprints/decoration_christmas_wintry_plant_2.json</v>
          </cell>
          <cell r="C227" t="str">
            <v>!!BLDG_NAME_WINTRY_PLANT_2</v>
          </cell>
          <cell r="D227" t="str">
            <v>building</v>
          </cell>
        </row>
        <row r="228">
          <cell r="A228">
            <v>20104</v>
          </cell>
          <cell r="B228" t="str">
            <v>Intermediate/StreamingAssets/Blueprints/decoration_christmas_wintry_plant_3.json</v>
          </cell>
          <cell r="C228" t="str">
            <v>!!BLDG_NAME_WINTRY_PLANT_3</v>
          </cell>
          <cell r="D228" t="str">
            <v>building</v>
          </cell>
        </row>
        <row r="229">
          <cell r="A229">
            <v>20105</v>
          </cell>
          <cell r="B229" t="str">
            <v>Intermediate/StreamingAssets/Blueprints/decoration_christmas_wintry_plant_4.json</v>
          </cell>
          <cell r="C229" t="str">
            <v>!!BLDG_NAME_WINTRY_PLANT_4</v>
          </cell>
          <cell r="D229" t="str">
            <v>building</v>
          </cell>
        </row>
        <row r="230">
          <cell r="A230">
            <v>20106</v>
          </cell>
          <cell r="B230" t="str">
            <v>Intermediate/StreamingAssets/Blueprints/decoration_christmas_wintry_plant_5.json</v>
          </cell>
          <cell r="C230" t="str">
            <v>!!BLDG_NAME_WINTRY_PLANT_5</v>
          </cell>
          <cell r="D230" t="str">
            <v>building</v>
          </cell>
        </row>
        <row r="231">
          <cell r="A231">
            <v>20107</v>
          </cell>
          <cell r="B231" t="str">
            <v>Intermediate/StreamingAssets/Blueprints/decoration_christmas_wintry_plant_6.json</v>
          </cell>
          <cell r="C231" t="str">
            <v>!!BLDG_NAME_WINTRY_PLANT_6</v>
          </cell>
          <cell r="D231" t="str">
            <v>building</v>
          </cell>
        </row>
        <row r="232">
          <cell r="A232">
            <v>20108</v>
          </cell>
          <cell r="B232" t="str">
            <v>Intermediate/StreamingAssets/Blueprints/decoration_christmas_sad_christmas_tree.json</v>
          </cell>
          <cell r="C232" t="str">
            <v>!!BLDG_NAME_SAD_CHRISTMAS_TREE</v>
          </cell>
          <cell r="D232" t="str">
            <v>building</v>
          </cell>
        </row>
        <row r="233">
          <cell r="A233">
            <v>20200</v>
          </cell>
          <cell r="B233" t="str">
            <v>Intermediate/StreamingAssets/Blueprints/decoration_valentines_carnival_entrance.json</v>
          </cell>
          <cell r="C233" t="str">
            <v>!!BLDG_NAME_CARNIVAL_ENTRANCE</v>
          </cell>
          <cell r="D233" t="str">
            <v>building</v>
          </cell>
        </row>
        <row r="234">
          <cell r="A234">
            <v>20201</v>
          </cell>
          <cell r="B234" t="str">
            <v>Intermediate/StreamingAssets/Blueprints/decoration_valentines_love_apples_stand.json</v>
          </cell>
          <cell r="C234" t="str">
            <v>!!BLDG_NAME_LOVE_APPLES_STAND</v>
          </cell>
          <cell r="D234" t="str">
            <v>building</v>
          </cell>
        </row>
        <row r="235">
          <cell r="A235">
            <v>20202</v>
          </cell>
          <cell r="B235" t="str">
            <v>Intermediate/StreamingAssets/Blueprints/decoration_valentines_the_mitten.json</v>
          </cell>
          <cell r="C235" t="str">
            <v>!!BLDG_NAME_THE_MITTEN</v>
          </cell>
          <cell r="D235" t="str">
            <v>building</v>
          </cell>
        </row>
        <row r="236">
          <cell r="A236">
            <v>20203</v>
          </cell>
          <cell r="B236" t="str">
            <v>Intermediate/StreamingAssets/Blueprints/decoration_valentines_balloon_cart.json</v>
          </cell>
          <cell r="C236" t="str">
            <v>!!BLDG_NAME_BALLOON_CART</v>
          </cell>
          <cell r="D236" t="str">
            <v>building</v>
          </cell>
        </row>
        <row r="237">
          <cell r="A237">
            <v>20204</v>
          </cell>
          <cell r="B237" t="str">
            <v>Intermediate/StreamingAssets/Blueprints/decoration_valentines_tent_1.json</v>
          </cell>
          <cell r="C237" t="str">
            <v>!!BLDG_NAME_TENT_1</v>
          </cell>
          <cell r="D237" t="str">
            <v>building</v>
          </cell>
        </row>
        <row r="238">
          <cell r="A238">
            <v>20205</v>
          </cell>
          <cell r="B238" t="str">
            <v>Intermediate/StreamingAssets/Blueprints/decoration_valentines_tent_2.json</v>
          </cell>
          <cell r="C238" t="str">
            <v>!!BLDG_NAME_TENT_2</v>
          </cell>
          <cell r="D238" t="str">
            <v>building</v>
          </cell>
        </row>
        <row r="239">
          <cell r="A239">
            <v>20206</v>
          </cell>
          <cell r="B239" t="str">
            <v>Intermediate/StreamingAssets/Blueprints/decoration_valentines_tent_3.json</v>
          </cell>
          <cell r="C239" t="str">
            <v>!!BLDG_NAME_TENT_3</v>
          </cell>
          <cell r="D239" t="str">
            <v>building</v>
          </cell>
        </row>
        <row r="240">
          <cell r="A240">
            <v>20207</v>
          </cell>
          <cell r="B240" t="str">
            <v>Intermediate/StreamingAssets/Blueprints/decoration_valentines_kissing_booth.json</v>
          </cell>
          <cell r="C240" t="str">
            <v>!!BLDG_NAME_KISSING_BOOTH</v>
          </cell>
          <cell r="D240" t="str">
            <v>building</v>
          </cell>
        </row>
        <row r="241">
          <cell r="A241">
            <v>20208</v>
          </cell>
          <cell r="B241" t="str">
            <v>Intermediate/StreamingAssets/Blueprints/decoration_valentines_toss_a_clam.json</v>
          </cell>
          <cell r="C241" t="str">
            <v>!!BLDG_NAME_TOSS_A_CLAM</v>
          </cell>
          <cell r="D241" t="str">
            <v>building</v>
          </cell>
        </row>
        <row r="242">
          <cell r="A242">
            <v>20209</v>
          </cell>
          <cell r="B242" t="str">
            <v>Intermediate/StreamingAssets/Blueprints/decoration_valentines_glovey_glove_mascot.json</v>
          </cell>
          <cell r="C242" t="str">
            <v>!!BLDG_NAME_GLOVEY_GLOVE_MASCOT</v>
          </cell>
          <cell r="D242" t="str">
            <v>building</v>
          </cell>
        </row>
        <row r="243">
          <cell r="A243">
            <v>20210</v>
          </cell>
          <cell r="B243" t="str">
            <v>Intermediate/StreamingAssets/Blueprints/decoration_valentines_fun_house.json</v>
          </cell>
          <cell r="C243" t="str">
            <v>!!BLDG_NAME_FUN_HOUSE</v>
          </cell>
          <cell r="D243" t="str">
            <v>building</v>
          </cell>
        </row>
        <row r="244">
          <cell r="A244">
            <v>20211</v>
          </cell>
          <cell r="B244" t="str">
            <v>Intermediate/StreamingAssets/Blueprints/decoration_valentines_buddy_bounce.json</v>
          </cell>
          <cell r="C244" t="str">
            <v>!!BLDG_NAME_BUDDY_BOUNCE</v>
          </cell>
          <cell r="D244" t="str">
            <v>building</v>
          </cell>
        </row>
        <row r="245">
          <cell r="A245">
            <v>20212</v>
          </cell>
          <cell r="B245" t="str">
            <v>Intermediate/StreamingAssets/Blueprints/decoration_valentines_saucer_ride.json</v>
          </cell>
          <cell r="C245" t="str">
            <v>!!BLDG_NAME_SAUCER_RIDE</v>
          </cell>
          <cell r="D245" t="str">
            <v>building</v>
          </cell>
        </row>
        <row r="246">
          <cell r="A246">
            <v>20213</v>
          </cell>
          <cell r="B246" t="str">
            <v>Intermediate/StreamingAssets/Blueprints/decoration_valentines_merry_go_round.json</v>
          </cell>
          <cell r="C246" t="str">
            <v>!!BLDG_NAME_MERRY_GO_ROUND</v>
          </cell>
          <cell r="D246" t="str">
            <v>building</v>
          </cell>
        </row>
        <row r="247">
          <cell r="A247">
            <v>20214</v>
          </cell>
          <cell r="B247" t="str">
            <v>Intermediate/StreamingAssets/Blueprints/decoration_valentines_ferris_wheel.json</v>
          </cell>
          <cell r="C247" t="str">
            <v>!!BLDG_NAME_FERRIS_WHEEL</v>
          </cell>
          <cell r="D247" t="str">
            <v>building</v>
          </cell>
        </row>
        <row r="248">
          <cell r="A248">
            <v>20216</v>
          </cell>
          <cell r="B248" t="str">
            <v>Intermediate/StreamingAssets/Blueprints/decoration_valentines_heart_a_whirl.json</v>
          </cell>
          <cell r="C248" t="str">
            <v>!!BLDG_NAME_HEART_A_WHIRL</v>
          </cell>
          <cell r="D248" t="str">
            <v>building</v>
          </cell>
        </row>
        <row r="249">
          <cell r="A249">
            <v>20217</v>
          </cell>
          <cell r="B249" t="str">
            <v>Intermediate/StreamingAssets/Blueprints/decoration_valentines_fiery_fist_o_pain.json</v>
          </cell>
          <cell r="C249" t="str">
            <v>!!BLDG_NAME_FIERY_FIST_O_PAIN</v>
          </cell>
          <cell r="D249" t="str">
            <v>building</v>
          </cell>
        </row>
        <row r="250">
          <cell r="A250">
            <v>60005</v>
          </cell>
          <cell r="B250" t="str">
            <v>Intermediate/StreamingAssets/Blueprints/decoration_flowercoral_blissgarden.json</v>
          </cell>
          <cell r="C250" t="str">
            <v>!!DECO_FLOWERCORAL_BLISSGARDEN</v>
          </cell>
          <cell r="D250" t="str">
            <v>building</v>
          </cell>
        </row>
        <row r="251">
          <cell r="A251">
            <v>60006</v>
          </cell>
          <cell r="B251" t="str">
            <v>Intermediate/StreamingAssets/Blueprints/decoration_flowercoral_branchcoralbouquet.json</v>
          </cell>
          <cell r="C251" t="str">
            <v>!!DECO_FLOWERCORAL_BRANCHCORALBOUQUET</v>
          </cell>
          <cell r="D251" t="str">
            <v>building</v>
          </cell>
        </row>
        <row r="252">
          <cell r="A252">
            <v>60007</v>
          </cell>
          <cell r="B252" t="str">
            <v>Intermediate/StreamingAssets/Blueprints/decoration_flowercoral_coralcastle.json</v>
          </cell>
          <cell r="C252" t="str">
            <v>!!DECO_FLOWERCORAL_CORALCASTLE</v>
          </cell>
          <cell r="D252" t="str">
            <v>building</v>
          </cell>
        </row>
        <row r="253">
          <cell r="A253">
            <v>60008</v>
          </cell>
          <cell r="B253" t="str">
            <v>Intermediate/StreamingAssets/Blueprints/decoration_flowercoral_cupcoralbed.json</v>
          </cell>
          <cell r="C253" t="str">
            <v>!!DECO_FLOWERCORAL_CUPCORALBED</v>
          </cell>
          <cell r="D253" t="str">
            <v>building</v>
          </cell>
        </row>
        <row r="254">
          <cell r="A254">
            <v>60009</v>
          </cell>
          <cell r="B254" t="str">
            <v>Intermediate/StreamingAssets/Blueprints/decoration_flowercoral_flowerbed.json</v>
          </cell>
          <cell r="C254" t="str">
            <v>!!DECO_FLOWERCORAL_FLOWERBED</v>
          </cell>
          <cell r="D254" t="str">
            <v>building</v>
          </cell>
        </row>
        <row r="255">
          <cell r="A255">
            <v>60010</v>
          </cell>
          <cell r="B255" t="str">
            <v>Intermediate/StreamingAssets/Blueprints/decoration_flowercoral_reefpatch.json</v>
          </cell>
          <cell r="C255" t="str">
            <v>!!DECO_FLOWERCORAL_REEFPATCH</v>
          </cell>
          <cell r="D255" t="str">
            <v>building</v>
          </cell>
        </row>
        <row r="256">
          <cell r="A256">
            <v>60011</v>
          </cell>
          <cell r="B256" t="str">
            <v>Intermediate/StreamingAssets/Blueprints/decoration_flowercoral_smellymedly.json</v>
          </cell>
          <cell r="C256" t="str">
            <v>!!DECO_FLOWERCORAL_SMELLYMEDLEY</v>
          </cell>
          <cell r="D256" t="str">
            <v>building</v>
          </cell>
        </row>
        <row r="257">
          <cell r="A257">
            <v>60012</v>
          </cell>
          <cell r="B257" t="str">
            <v>Intermediate/StreamingAssets/Blueprints/decoration_flowercoral_stinkyseacollection.json</v>
          </cell>
          <cell r="C257" t="str">
            <v>!!DECO_FLOWERCORAL_STINKYSEACOLLECTION</v>
          </cell>
          <cell r="D257" t="str">
            <v>building</v>
          </cell>
        </row>
        <row r="258">
          <cell r="A258">
            <v>60013</v>
          </cell>
          <cell r="B258" t="str">
            <v>Intermediate/StreamingAssets/Blueprints/decoration_flowercoral_tubesquare.json</v>
          </cell>
          <cell r="C258" t="str">
            <v>!!DECO_FLOWERCORAL_TUBESQUARE</v>
          </cell>
          <cell r="D258" t="str">
            <v>building</v>
          </cell>
        </row>
        <row r="259">
          <cell r="A259">
            <v>1027</v>
          </cell>
          <cell r="B259" t="str">
            <v>Intermediate/StreamingAssets/Blueprints/building_garden.json</v>
          </cell>
          <cell r="C259" t="str">
            <v>!!BLDG_NAME_GARDEN</v>
          </cell>
          <cell r="D259" t="str">
            <v>annex</v>
          </cell>
        </row>
        <row r="260">
          <cell r="A260">
            <v>1104</v>
          </cell>
          <cell r="B260" t="str">
            <v>Intermediate/StreamingAssets/Blueprints/building_flowerpot.json</v>
          </cell>
          <cell r="C260" t="str">
            <v>!!BLDG_NAME_FLOWERPOT</v>
          </cell>
          <cell r="D260" t="str">
            <v>annex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640"/>
  <sheetViews>
    <sheetView zoomScale="60" zoomScaleNormal="60" workbookViewId="0">
      <pane xSplit="3" ySplit="2" topLeftCell="D606" activePane="bottomRight" state="frozen"/>
      <selection pane="topRight" activeCell="D1" sqref="D1"/>
      <selection pane="bottomLeft" activeCell="A3" sqref="A3"/>
      <selection pane="bottomRight" activeCell="M476" sqref="M476"/>
    </sheetView>
  </sheetViews>
  <sheetFormatPr defaultRowHeight="15" x14ac:dyDescent="0.25"/>
  <cols>
    <col min="1" max="1" width="5.140625" bestFit="1" customWidth="1"/>
    <col min="2" max="2" width="9.42578125" bestFit="1" customWidth="1"/>
    <col min="3" max="3" width="21.85546875" customWidth="1"/>
    <col min="4" max="4" width="8.7109375" customWidth="1"/>
    <col min="5" max="5" width="33.85546875" bestFit="1" customWidth="1"/>
    <col min="6" max="6" width="9.85546875" customWidth="1"/>
    <col min="7" max="7" width="9.140625" customWidth="1"/>
    <col min="32" max="42" width="11.42578125" customWidth="1"/>
    <col min="51" max="51" width="9.85546875" customWidth="1"/>
  </cols>
  <sheetData>
    <row r="1" spans="1:67" s="1" customFormat="1" ht="60" x14ac:dyDescent="0.25">
      <c r="A1" s="1" t="s">
        <v>3</v>
      </c>
      <c r="B1" s="1" t="s">
        <v>7</v>
      </c>
      <c r="C1" s="1" t="s">
        <v>731</v>
      </c>
      <c r="D1" s="1" t="s">
        <v>6</v>
      </c>
      <c r="E1" s="1" t="s">
        <v>753</v>
      </c>
      <c r="F1" s="1" t="s">
        <v>4</v>
      </c>
      <c r="G1" s="1" t="s">
        <v>5</v>
      </c>
      <c r="H1" s="1" t="s">
        <v>34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1" t="s">
        <v>40</v>
      </c>
      <c r="AA1" s="1" t="s">
        <v>41</v>
      </c>
      <c r="AB1" s="1" t="s">
        <v>42</v>
      </c>
      <c r="AC1" s="1" t="s">
        <v>43</v>
      </c>
      <c r="AD1" s="1" t="s">
        <v>44</v>
      </c>
      <c r="AE1" s="1" t="s">
        <v>45</v>
      </c>
      <c r="AF1" s="1" t="s">
        <v>20</v>
      </c>
      <c r="AG1" s="1" t="s">
        <v>21</v>
      </c>
      <c r="AH1" s="1" t="s">
        <v>22</v>
      </c>
      <c r="AI1" s="1" t="s">
        <v>23</v>
      </c>
      <c r="AJ1" s="1" t="s">
        <v>24</v>
      </c>
      <c r="AK1" s="1" t="s">
        <v>25</v>
      </c>
      <c r="AL1" s="1" t="s">
        <v>26</v>
      </c>
      <c r="AM1" s="1" t="s">
        <v>27</v>
      </c>
      <c r="AN1" s="1" t="s">
        <v>28</v>
      </c>
      <c r="AO1" s="1" t="s">
        <v>29</v>
      </c>
      <c r="AP1" s="1" t="s">
        <v>30</v>
      </c>
      <c r="AQ1" s="1" t="s">
        <v>46</v>
      </c>
      <c r="AR1" s="1" t="s">
        <v>31</v>
      </c>
      <c r="AS1" s="1" t="s">
        <v>32</v>
      </c>
      <c r="AT1" s="1" t="s">
        <v>732</v>
      </c>
      <c r="AU1" s="1" t="s">
        <v>733</v>
      </c>
      <c r="AV1" s="1" t="s">
        <v>47</v>
      </c>
      <c r="AW1" s="1" t="s">
        <v>734</v>
      </c>
      <c r="AX1" s="1" t="s">
        <v>735</v>
      </c>
      <c r="AY1" s="1" t="s">
        <v>33</v>
      </c>
      <c r="AZ1" s="1" t="s">
        <v>736</v>
      </c>
      <c r="BA1" s="1" t="s">
        <v>737</v>
      </c>
      <c r="BB1" s="1" t="s">
        <v>738</v>
      </c>
      <c r="BC1" s="1" t="s">
        <v>739</v>
      </c>
      <c r="BD1" s="1" t="s">
        <v>740</v>
      </c>
      <c r="BE1" s="1" t="s">
        <v>741</v>
      </c>
      <c r="BF1" s="1" t="s">
        <v>742</v>
      </c>
      <c r="BG1" s="1" t="s">
        <v>746</v>
      </c>
      <c r="BH1" s="1" t="s">
        <v>743</v>
      </c>
      <c r="BI1" s="1" t="s">
        <v>744</v>
      </c>
      <c r="BJ1" s="1" t="s">
        <v>745</v>
      </c>
      <c r="BK1" s="1" t="s">
        <v>747</v>
      </c>
      <c r="BL1" s="1" t="s">
        <v>748</v>
      </c>
      <c r="BM1" s="1" t="s">
        <v>749</v>
      </c>
      <c r="BN1" s="1" t="s">
        <v>750</v>
      </c>
      <c r="BO1" s="1" t="s">
        <v>751</v>
      </c>
    </row>
    <row r="3" spans="1:67" x14ac:dyDescent="0.25">
      <c r="A3">
        <v>0</v>
      </c>
      <c r="B3">
        <v>1</v>
      </c>
      <c r="C3" t="str">
        <f>VLOOKUP(B3,[1]resources!$A$2:$D$300,3,FALSE)</f>
        <v>!!FOOD_KRABBYPATTY</v>
      </c>
      <c r="D3">
        <v>1</v>
      </c>
      <c r="E3" t="str">
        <f>VLOOKUP(D3,[1]bonus_paytable!$A$2:$D$300,3,FALSE)</f>
        <v>base</v>
      </c>
      <c r="F3">
        <v>3</v>
      </c>
      <c r="G3" t="s">
        <v>752</v>
      </c>
      <c r="H3">
        <v>0.5</v>
      </c>
      <c r="I3" t="s">
        <v>0</v>
      </c>
      <c r="J3">
        <v>3</v>
      </c>
      <c r="K3">
        <v>3</v>
      </c>
      <c r="L3">
        <v>3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0.5</v>
      </c>
      <c r="V3">
        <v>0.4</v>
      </c>
      <c r="W3">
        <v>0.1</v>
      </c>
      <c r="X3">
        <v>-1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5</v>
      </c>
      <c r="AG3">
        <v>10</v>
      </c>
      <c r="AH3">
        <v>15</v>
      </c>
      <c r="AI3">
        <v>-1</v>
      </c>
      <c r="AJ3">
        <v>-1</v>
      </c>
      <c r="AK3">
        <v>-1</v>
      </c>
      <c r="AL3">
        <v>-1</v>
      </c>
      <c r="AM3">
        <v>-1</v>
      </c>
      <c r="AN3">
        <v>-1</v>
      </c>
      <c r="AO3">
        <v>-1</v>
      </c>
      <c r="AP3">
        <v>-1</v>
      </c>
      <c r="AQ3">
        <v>0.5</v>
      </c>
      <c r="AR3" t="s">
        <v>0</v>
      </c>
      <c r="AS3">
        <v>5</v>
      </c>
      <c r="AT3">
        <v>5</v>
      </c>
      <c r="AU3">
        <v>5</v>
      </c>
      <c r="AV3">
        <v>0.5</v>
      </c>
      <c r="AW3">
        <v>0.4</v>
      </c>
      <c r="AX3">
        <v>0.1</v>
      </c>
      <c r="AY3">
        <v>1</v>
      </c>
      <c r="AZ3">
        <v>2</v>
      </c>
      <c r="BA3">
        <v>5</v>
      </c>
      <c r="BB3">
        <v>0</v>
      </c>
      <c r="BC3" t="s">
        <v>2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-1</v>
      </c>
      <c r="BJ3">
        <v>-1</v>
      </c>
      <c r="BK3">
        <v>-1</v>
      </c>
      <c r="BL3">
        <v>-1</v>
      </c>
      <c r="BM3">
        <v>-1</v>
      </c>
      <c r="BN3">
        <v>-1</v>
      </c>
      <c r="BO3">
        <v>-1</v>
      </c>
    </row>
    <row r="4" spans="1:67" x14ac:dyDescent="0.25">
      <c r="A4">
        <v>1</v>
      </c>
      <c r="B4">
        <v>4</v>
      </c>
      <c r="C4" t="str">
        <f>VLOOKUP(B4,[1]resources!$A$2:$D$300,3,FALSE)</f>
        <v>!!RESOURCE_LEVEL</v>
      </c>
      <c r="D4">
        <v>1</v>
      </c>
      <c r="E4" t="str">
        <f>VLOOKUP(D4,[1]bonus_paytable!$A$2:$D$300,3,FALSE)</f>
        <v>base</v>
      </c>
      <c r="F4">
        <v>-1</v>
      </c>
      <c r="G4">
        <v>-1</v>
      </c>
      <c r="H4">
        <v>0.5</v>
      </c>
      <c r="I4" t="s">
        <v>0</v>
      </c>
      <c r="J4">
        <v>3</v>
      </c>
      <c r="K4">
        <v>3</v>
      </c>
      <c r="L4">
        <v>3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  <c r="U4">
        <v>0.5</v>
      </c>
      <c r="V4">
        <v>0.4</v>
      </c>
      <c r="W4">
        <v>0.1</v>
      </c>
      <c r="X4">
        <v>-1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2</v>
      </c>
      <c r="AG4">
        <v>5</v>
      </c>
      <c r="AH4">
        <v>10</v>
      </c>
      <c r="AI4">
        <v>-1</v>
      </c>
      <c r="AJ4">
        <v>-1</v>
      </c>
      <c r="AK4">
        <v>-1</v>
      </c>
      <c r="AL4">
        <v>-1</v>
      </c>
      <c r="AM4">
        <v>-1</v>
      </c>
      <c r="AN4">
        <v>-1</v>
      </c>
      <c r="AO4">
        <v>-1</v>
      </c>
      <c r="AP4">
        <v>-1</v>
      </c>
      <c r="AQ4">
        <v>0.5</v>
      </c>
      <c r="AR4" t="s">
        <v>0</v>
      </c>
      <c r="AS4">
        <v>5</v>
      </c>
      <c r="AT4">
        <v>5</v>
      </c>
      <c r="AU4">
        <v>5</v>
      </c>
      <c r="AV4">
        <v>0.5</v>
      </c>
      <c r="AW4">
        <v>0.4</v>
      </c>
      <c r="AX4">
        <v>0.1</v>
      </c>
      <c r="AY4">
        <v>1</v>
      </c>
      <c r="AZ4">
        <v>2</v>
      </c>
      <c r="BA4">
        <v>5</v>
      </c>
      <c r="BB4">
        <v>0</v>
      </c>
      <c r="BC4" t="s">
        <v>2</v>
      </c>
      <c r="BD4">
        <v>-1</v>
      </c>
      <c r="BE4">
        <v>-1</v>
      </c>
      <c r="BF4">
        <v>-1</v>
      </c>
      <c r="BG4">
        <v>-1</v>
      </c>
      <c r="BH4">
        <v>-1</v>
      </c>
      <c r="BI4">
        <v>-1</v>
      </c>
      <c r="BJ4">
        <v>-1</v>
      </c>
      <c r="BK4">
        <v>-1</v>
      </c>
      <c r="BL4">
        <v>-1</v>
      </c>
      <c r="BM4">
        <v>-1</v>
      </c>
      <c r="BN4">
        <v>-1</v>
      </c>
      <c r="BO4">
        <v>-1</v>
      </c>
    </row>
    <row r="5" spans="1:67" x14ac:dyDescent="0.25">
      <c r="A5">
        <v>2</v>
      </c>
      <c r="B5">
        <v>15</v>
      </c>
      <c r="C5" t="str">
        <f>VLOOKUP(B5,[1]resources!$A$2:$D$300,3,FALSE)</f>
        <v>!!FOOD_CRYJOHNNY</v>
      </c>
      <c r="D5">
        <v>1</v>
      </c>
      <c r="E5" t="str">
        <f>VLOOKUP(D5,[1]bonus_paytable!$A$2:$D$300,3,FALSE)</f>
        <v>base</v>
      </c>
      <c r="F5">
        <v>-1</v>
      </c>
      <c r="G5">
        <v>-1</v>
      </c>
      <c r="H5">
        <v>0.5</v>
      </c>
      <c r="I5" t="s">
        <v>0</v>
      </c>
      <c r="J5">
        <v>3</v>
      </c>
      <c r="K5">
        <v>3</v>
      </c>
      <c r="L5">
        <v>3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  <c r="U5">
        <v>0.5</v>
      </c>
      <c r="V5">
        <v>0.4</v>
      </c>
      <c r="W5">
        <v>0.1</v>
      </c>
      <c r="X5">
        <v>-1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2</v>
      </c>
      <c r="AG5">
        <v>5</v>
      </c>
      <c r="AH5">
        <v>10</v>
      </c>
      <c r="AI5">
        <v>-1</v>
      </c>
      <c r="AJ5">
        <v>-1</v>
      </c>
      <c r="AK5">
        <v>-1</v>
      </c>
      <c r="AL5">
        <v>-1</v>
      </c>
      <c r="AM5">
        <v>-1</v>
      </c>
      <c r="AN5">
        <v>-1</v>
      </c>
      <c r="AO5">
        <v>-1</v>
      </c>
      <c r="AP5">
        <v>-1</v>
      </c>
      <c r="AQ5">
        <v>0.5</v>
      </c>
      <c r="AR5" t="s">
        <v>0</v>
      </c>
      <c r="AS5">
        <v>5</v>
      </c>
      <c r="AT5">
        <v>5</v>
      </c>
      <c r="AU5">
        <v>5</v>
      </c>
      <c r="AV5">
        <v>0.5</v>
      </c>
      <c r="AW5">
        <v>0.4</v>
      </c>
      <c r="AX5">
        <v>0.1</v>
      </c>
      <c r="AY5">
        <v>1</v>
      </c>
      <c r="AZ5">
        <v>2</v>
      </c>
      <c r="BA5">
        <v>5</v>
      </c>
      <c r="BB5">
        <v>0</v>
      </c>
      <c r="BC5" t="s">
        <v>2</v>
      </c>
      <c r="BD5">
        <v>-1</v>
      </c>
      <c r="BE5">
        <v>-1</v>
      </c>
      <c r="BF5">
        <v>-1</v>
      </c>
      <c r="BG5">
        <v>-1</v>
      </c>
      <c r="BH5">
        <v>-1</v>
      </c>
      <c r="BI5">
        <v>-1</v>
      </c>
      <c r="BJ5">
        <v>-1</v>
      </c>
      <c r="BK5">
        <v>-1</v>
      </c>
      <c r="BL5">
        <v>-1</v>
      </c>
      <c r="BM5">
        <v>-1</v>
      </c>
      <c r="BN5">
        <v>-1</v>
      </c>
      <c r="BO5">
        <v>-1</v>
      </c>
    </row>
    <row r="6" spans="1:67" x14ac:dyDescent="0.25">
      <c r="A6">
        <v>3</v>
      </c>
      <c r="B6">
        <v>16</v>
      </c>
      <c r="C6" t="str">
        <f>VLOOKUP(B6,[1]resources!$A$2:$D$300,3,FALSE)</f>
        <v>!!FOOD_DUTCHDOUBLE</v>
      </c>
      <c r="D6">
        <v>1</v>
      </c>
      <c r="E6" t="str">
        <f>VLOOKUP(D6,[1]bonus_paytable!$A$2:$D$300,3,FALSE)</f>
        <v>base</v>
      </c>
      <c r="F6">
        <v>-1</v>
      </c>
      <c r="G6">
        <v>-1</v>
      </c>
      <c r="H6">
        <v>0.5</v>
      </c>
      <c r="I6" t="s">
        <v>0</v>
      </c>
      <c r="J6">
        <v>3</v>
      </c>
      <c r="K6">
        <v>3</v>
      </c>
      <c r="L6">
        <v>3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  <c r="U6">
        <v>0.5</v>
      </c>
      <c r="V6">
        <v>0.4</v>
      </c>
      <c r="W6">
        <v>0.1</v>
      </c>
      <c r="X6">
        <v>-1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2</v>
      </c>
      <c r="AG6">
        <v>5</v>
      </c>
      <c r="AH6">
        <v>10</v>
      </c>
      <c r="AI6">
        <v>-1</v>
      </c>
      <c r="AJ6">
        <v>-1</v>
      </c>
      <c r="AK6">
        <v>-1</v>
      </c>
      <c r="AL6">
        <v>-1</v>
      </c>
      <c r="AM6">
        <v>-1</v>
      </c>
      <c r="AN6">
        <v>-1</v>
      </c>
      <c r="AO6">
        <v>-1</v>
      </c>
      <c r="AP6">
        <v>-1</v>
      </c>
      <c r="AQ6">
        <v>0.5</v>
      </c>
      <c r="AR6" t="s">
        <v>0</v>
      </c>
      <c r="AS6">
        <v>5</v>
      </c>
      <c r="AT6">
        <v>5</v>
      </c>
      <c r="AU6">
        <v>5</v>
      </c>
      <c r="AV6">
        <v>0.5</v>
      </c>
      <c r="AW6">
        <v>0.4</v>
      </c>
      <c r="AX6">
        <v>0.1</v>
      </c>
      <c r="AY6">
        <v>1</v>
      </c>
      <c r="AZ6">
        <v>2</v>
      </c>
      <c r="BA6">
        <v>5</v>
      </c>
      <c r="BB6">
        <v>0</v>
      </c>
      <c r="BC6" t="s">
        <v>2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-1</v>
      </c>
      <c r="BJ6">
        <v>-1</v>
      </c>
      <c r="BK6">
        <v>-1</v>
      </c>
      <c r="BL6">
        <v>-1</v>
      </c>
      <c r="BM6">
        <v>-1</v>
      </c>
      <c r="BN6">
        <v>-1</v>
      </c>
      <c r="BO6">
        <v>-1</v>
      </c>
    </row>
    <row r="7" spans="1:67" x14ac:dyDescent="0.25">
      <c r="A7">
        <v>4</v>
      </c>
      <c r="B7">
        <v>18</v>
      </c>
      <c r="C7" t="str">
        <f>VLOOKUP(B7,[1]resources!$A$2:$D$300,3,FALSE)</f>
        <v>!!FOOD_KELPFRIES</v>
      </c>
      <c r="D7">
        <v>1</v>
      </c>
      <c r="E7" t="str">
        <f>VLOOKUP(D7,[1]bonus_paytable!$A$2:$D$300,3,FALSE)</f>
        <v>base</v>
      </c>
      <c r="F7">
        <v>-1</v>
      </c>
      <c r="G7">
        <v>-1</v>
      </c>
      <c r="H7">
        <v>0.5</v>
      </c>
      <c r="I7" t="s">
        <v>0</v>
      </c>
      <c r="J7">
        <v>3</v>
      </c>
      <c r="K7">
        <v>3</v>
      </c>
      <c r="L7">
        <v>3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  <c r="U7">
        <v>0.5</v>
      </c>
      <c r="V7">
        <v>0.4</v>
      </c>
      <c r="W7">
        <v>0.1</v>
      </c>
      <c r="X7">
        <v>-1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2</v>
      </c>
      <c r="AG7">
        <v>5</v>
      </c>
      <c r="AH7">
        <v>10</v>
      </c>
      <c r="AI7">
        <v>-1</v>
      </c>
      <c r="AJ7">
        <v>-1</v>
      </c>
      <c r="AK7">
        <v>-1</v>
      </c>
      <c r="AL7">
        <v>-1</v>
      </c>
      <c r="AM7">
        <v>-1</v>
      </c>
      <c r="AN7">
        <v>-1</v>
      </c>
      <c r="AO7">
        <v>-1</v>
      </c>
      <c r="AP7">
        <v>-1</v>
      </c>
      <c r="AQ7">
        <v>0.5</v>
      </c>
      <c r="AR7" t="s">
        <v>0</v>
      </c>
      <c r="AS7">
        <v>5</v>
      </c>
      <c r="AT7">
        <v>5</v>
      </c>
      <c r="AU7">
        <v>5</v>
      </c>
      <c r="AV7">
        <v>0.5</v>
      </c>
      <c r="AW7">
        <v>0.4</v>
      </c>
      <c r="AX7">
        <v>0.1</v>
      </c>
      <c r="AY7">
        <v>1</v>
      </c>
      <c r="AZ7">
        <v>2</v>
      </c>
      <c r="BA7">
        <v>5</v>
      </c>
      <c r="BB7">
        <v>0</v>
      </c>
      <c r="BC7" t="s">
        <v>2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-1</v>
      </c>
      <c r="BJ7">
        <v>-1</v>
      </c>
      <c r="BK7">
        <v>-1</v>
      </c>
      <c r="BL7">
        <v>-1</v>
      </c>
      <c r="BM7">
        <v>-1</v>
      </c>
      <c r="BN7">
        <v>-1</v>
      </c>
      <c r="BO7">
        <v>-1</v>
      </c>
    </row>
    <row r="8" spans="1:67" x14ac:dyDescent="0.25">
      <c r="A8">
        <v>5</v>
      </c>
      <c r="B8">
        <v>19</v>
      </c>
      <c r="C8" t="str">
        <f>VLOOKUP(B8,[1]resources!$A$2:$D$300,3,FALSE)</f>
        <v>!!FOOD_KELPCAKE</v>
      </c>
      <c r="D8">
        <v>1</v>
      </c>
      <c r="E8" t="str">
        <f>VLOOKUP(D8,[1]bonus_paytable!$A$2:$D$300,3,FALSE)</f>
        <v>base</v>
      </c>
      <c r="F8">
        <v>-1</v>
      </c>
      <c r="G8">
        <v>-1</v>
      </c>
      <c r="H8">
        <v>0.5</v>
      </c>
      <c r="I8" t="s">
        <v>0</v>
      </c>
      <c r="J8">
        <v>3</v>
      </c>
      <c r="K8">
        <v>3</v>
      </c>
      <c r="L8">
        <v>3</v>
      </c>
      <c r="M8">
        <v>-1</v>
      </c>
      <c r="N8">
        <v>-1</v>
      </c>
      <c r="O8">
        <v>-1</v>
      </c>
      <c r="P8">
        <v>-1</v>
      </c>
      <c r="Q8">
        <v>-1</v>
      </c>
      <c r="R8">
        <v>-1</v>
      </c>
      <c r="S8">
        <v>-1</v>
      </c>
      <c r="T8">
        <v>-1</v>
      </c>
      <c r="U8">
        <v>0.5</v>
      </c>
      <c r="V8">
        <v>0.4</v>
      </c>
      <c r="W8">
        <v>0.1</v>
      </c>
      <c r="X8">
        <v>-1</v>
      </c>
      <c r="Y8">
        <v>-1</v>
      </c>
      <c r="Z8">
        <v>-1</v>
      </c>
      <c r="AA8">
        <v>-1</v>
      </c>
      <c r="AB8">
        <v>-1</v>
      </c>
      <c r="AC8">
        <v>-1</v>
      </c>
      <c r="AD8">
        <v>-1</v>
      </c>
      <c r="AE8">
        <v>-1</v>
      </c>
      <c r="AF8">
        <v>2</v>
      </c>
      <c r="AG8">
        <v>5</v>
      </c>
      <c r="AH8">
        <v>10</v>
      </c>
      <c r="AI8">
        <v>-1</v>
      </c>
      <c r="AJ8">
        <v>-1</v>
      </c>
      <c r="AK8">
        <v>-1</v>
      </c>
      <c r="AL8">
        <v>-1</v>
      </c>
      <c r="AM8">
        <v>-1</v>
      </c>
      <c r="AN8">
        <v>-1</v>
      </c>
      <c r="AO8">
        <v>-1</v>
      </c>
      <c r="AP8">
        <v>-1</v>
      </c>
      <c r="AQ8">
        <v>0.5</v>
      </c>
      <c r="AR8" t="s">
        <v>0</v>
      </c>
      <c r="AS8">
        <v>5</v>
      </c>
      <c r="AT8">
        <v>5</v>
      </c>
      <c r="AU8">
        <v>5</v>
      </c>
      <c r="AV8">
        <v>0.5</v>
      </c>
      <c r="AW8">
        <v>0.4</v>
      </c>
      <c r="AX8">
        <v>0.1</v>
      </c>
      <c r="AY8">
        <v>1</v>
      </c>
      <c r="AZ8">
        <v>2</v>
      </c>
      <c r="BA8">
        <v>5</v>
      </c>
      <c r="BB8">
        <v>0</v>
      </c>
      <c r="BC8" t="s">
        <v>2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-1</v>
      </c>
      <c r="BJ8">
        <v>-1</v>
      </c>
      <c r="BK8">
        <v>-1</v>
      </c>
      <c r="BL8">
        <v>-1</v>
      </c>
      <c r="BM8">
        <v>-1</v>
      </c>
      <c r="BN8">
        <v>-1</v>
      </c>
      <c r="BO8">
        <v>-1</v>
      </c>
    </row>
    <row r="9" spans="1:67" x14ac:dyDescent="0.25">
      <c r="A9">
        <v>6</v>
      </c>
      <c r="B9">
        <v>21</v>
      </c>
      <c r="C9" t="str">
        <f>VLOOKUP(B9,[1]resources!$A$2:$D$300,3,FALSE)</f>
        <v>!!FOOD_KELPDOG</v>
      </c>
      <c r="D9">
        <v>1</v>
      </c>
      <c r="E9" t="str">
        <f>VLOOKUP(D9,[1]bonus_paytable!$A$2:$D$300,3,FALSE)</f>
        <v>base</v>
      </c>
      <c r="F9">
        <v>-1</v>
      </c>
      <c r="G9">
        <v>-1</v>
      </c>
      <c r="H9">
        <v>0.5</v>
      </c>
      <c r="I9" t="s">
        <v>0</v>
      </c>
      <c r="J9">
        <v>3</v>
      </c>
      <c r="K9">
        <v>3</v>
      </c>
      <c r="L9">
        <v>3</v>
      </c>
      <c r="M9">
        <v>-1</v>
      </c>
      <c r="N9">
        <v>-1</v>
      </c>
      <c r="O9">
        <v>-1</v>
      </c>
      <c r="P9">
        <v>-1</v>
      </c>
      <c r="Q9">
        <v>-1</v>
      </c>
      <c r="R9">
        <v>-1</v>
      </c>
      <c r="S9">
        <v>-1</v>
      </c>
      <c r="T9">
        <v>-1</v>
      </c>
      <c r="U9">
        <v>0.5</v>
      </c>
      <c r="V9">
        <v>0.4</v>
      </c>
      <c r="W9">
        <v>0.1</v>
      </c>
      <c r="X9">
        <v>-1</v>
      </c>
      <c r="Y9">
        <v>-1</v>
      </c>
      <c r="Z9">
        <v>-1</v>
      </c>
      <c r="AA9">
        <v>-1</v>
      </c>
      <c r="AB9">
        <v>-1</v>
      </c>
      <c r="AC9">
        <v>-1</v>
      </c>
      <c r="AD9">
        <v>-1</v>
      </c>
      <c r="AE9">
        <v>-1</v>
      </c>
      <c r="AF9">
        <v>2</v>
      </c>
      <c r="AG9">
        <v>5</v>
      </c>
      <c r="AH9">
        <v>10</v>
      </c>
      <c r="AI9">
        <v>-1</v>
      </c>
      <c r="AJ9">
        <v>-1</v>
      </c>
      <c r="AK9">
        <v>-1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0.5</v>
      </c>
      <c r="AR9" t="s">
        <v>0</v>
      </c>
      <c r="AS9">
        <v>5</v>
      </c>
      <c r="AT9">
        <v>5</v>
      </c>
      <c r="AU9">
        <v>5</v>
      </c>
      <c r="AV9">
        <v>0.5</v>
      </c>
      <c r="AW9">
        <v>0.4</v>
      </c>
      <c r="AX9">
        <v>0.1</v>
      </c>
      <c r="AY9">
        <v>1</v>
      </c>
      <c r="AZ9">
        <v>2</v>
      </c>
      <c r="BA9">
        <v>5</v>
      </c>
      <c r="BB9">
        <v>0</v>
      </c>
      <c r="BC9" t="s">
        <v>2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-1</v>
      </c>
      <c r="BJ9">
        <v>-1</v>
      </c>
      <c r="BK9">
        <v>-1</v>
      </c>
      <c r="BL9">
        <v>-1</v>
      </c>
      <c r="BM9">
        <v>-1</v>
      </c>
      <c r="BN9">
        <v>-1</v>
      </c>
      <c r="BO9">
        <v>-1</v>
      </c>
    </row>
    <row r="10" spans="1:67" x14ac:dyDescent="0.25">
      <c r="A10">
        <v>7</v>
      </c>
      <c r="B10">
        <v>22</v>
      </c>
      <c r="C10" t="str">
        <f>VLOOKUP(B10,[1]resources!$A$2:$D$300,3,FALSE)</f>
        <v>!!FOOD_SEAWEEDSALAD</v>
      </c>
      <c r="D10">
        <v>1</v>
      </c>
      <c r="E10" t="str">
        <f>VLOOKUP(D10,[1]bonus_paytable!$A$2:$D$300,3,FALSE)</f>
        <v>base</v>
      </c>
      <c r="F10">
        <v>-1</v>
      </c>
      <c r="G10">
        <v>-1</v>
      </c>
      <c r="H10">
        <v>0.5</v>
      </c>
      <c r="I10" t="s">
        <v>0</v>
      </c>
      <c r="J10">
        <v>3</v>
      </c>
      <c r="K10">
        <v>3</v>
      </c>
      <c r="L10">
        <v>3</v>
      </c>
      <c r="M10">
        <v>-1</v>
      </c>
      <c r="N10">
        <v>-1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  <c r="U10">
        <v>0.5</v>
      </c>
      <c r="V10">
        <v>0.4</v>
      </c>
      <c r="W10">
        <v>0.1</v>
      </c>
      <c r="X10">
        <v>-1</v>
      </c>
      <c r="Y10">
        <v>-1</v>
      </c>
      <c r="Z10">
        <v>-1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2</v>
      </c>
      <c r="AG10">
        <v>5</v>
      </c>
      <c r="AH10">
        <v>10</v>
      </c>
      <c r="AI10">
        <v>-1</v>
      </c>
      <c r="AJ10">
        <v>-1</v>
      </c>
      <c r="AK10">
        <v>-1</v>
      </c>
      <c r="AL10">
        <v>-1</v>
      </c>
      <c r="AM10">
        <v>-1</v>
      </c>
      <c r="AN10">
        <v>-1</v>
      </c>
      <c r="AO10">
        <v>-1</v>
      </c>
      <c r="AP10">
        <v>-1</v>
      </c>
      <c r="AQ10">
        <v>0.5</v>
      </c>
      <c r="AR10" t="s">
        <v>0</v>
      </c>
      <c r="AS10">
        <v>5</v>
      </c>
      <c r="AT10">
        <v>5</v>
      </c>
      <c r="AU10">
        <v>5</v>
      </c>
      <c r="AV10">
        <v>0.5</v>
      </c>
      <c r="AW10">
        <v>0.4</v>
      </c>
      <c r="AX10">
        <v>0.1</v>
      </c>
      <c r="AY10">
        <v>1</v>
      </c>
      <c r="AZ10">
        <v>2</v>
      </c>
      <c r="BA10">
        <v>5</v>
      </c>
      <c r="BB10">
        <v>0</v>
      </c>
      <c r="BC10" t="s">
        <v>2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-1</v>
      </c>
      <c r="BJ10">
        <v>-1</v>
      </c>
      <c r="BK10">
        <v>-1</v>
      </c>
      <c r="BL10">
        <v>-1</v>
      </c>
      <c r="BM10">
        <v>-1</v>
      </c>
      <c r="BN10">
        <v>-1</v>
      </c>
      <c r="BO10">
        <v>-1</v>
      </c>
    </row>
    <row r="11" spans="1:67" x14ac:dyDescent="0.25">
      <c r="A11">
        <v>8</v>
      </c>
      <c r="B11">
        <v>23</v>
      </c>
      <c r="C11" t="str">
        <f>VLOOKUP(B11,[1]resources!$A$2:$D$300,3,FALSE)</f>
        <v>!!FOOD_KELPKLT</v>
      </c>
      <c r="D11">
        <v>1</v>
      </c>
      <c r="E11" t="str">
        <f>VLOOKUP(D11,[1]bonus_paytable!$A$2:$D$300,3,FALSE)</f>
        <v>base</v>
      </c>
      <c r="F11">
        <v>-1</v>
      </c>
      <c r="G11">
        <v>-1</v>
      </c>
      <c r="H11">
        <v>0.5</v>
      </c>
      <c r="I11" t="s">
        <v>0</v>
      </c>
      <c r="J11">
        <v>3</v>
      </c>
      <c r="K11">
        <v>3</v>
      </c>
      <c r="L11">
        <v>3</v>
      </c>
      <c r="M11">
        <v>-1</v>
      </c>
      <c r="N11">
        <v>-1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  <c r="U11">
        <v>0.5</v>
      </c>
      <c r="V11">
        <v>0.4</v>
      </c>
      <c r="W11">
        <v>0.1</v>
      </c>
      <c r="X11">
        <v>-1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2</v>
      </c>
      <c r="AG11">
        <v>5</v>
      </c>
      <c r="AH11">
        <v>10</v>
      </c>
      <c r="AI11">
        <v>-1</v>
      </c>
      <c r="AJ11">
        <v>-1</v>
      </c>
      <c r="AK11">
        <v>-1</v>
      </c>
      <c r="AL11">
        <v>-1</v>
      </c>
      <c r="AM11">
        <v>-1</v>
      </c>
      <c r="AN11">
        <v>-1</v>
      </c>
      <c r="AO11">
        <v>-1</v>
      </c>
      <c r="AP11">
        <v>-1</v>
      </c>
      <c r="AQ11">
        <v>0.5</v>
      </c>
      <c r="AR11" t="s">
        <v>0</v>
      </c>
      <c r="AS11">
        <v>5</v>
      </c>
      <c r="AT11">
        <v>5</v>
      </c>
      <c r="AU11">
        <v>5</v>
      </c>
      <c r="AV11">
        <v>0.5</v>
      </c>
      <c r="AW11">
        <v>0.4</v>
      </c>
      <c r="AX11">
        <v>0.1</v>
      </c>
      <c r="AY11">
        <v>1</v>
      </c>
      <c r="AZ11">
        <v>2</v>
      </c>
      <c r="BA11">
        <v>5</v>
      </c>
      <c r="BB11">
        <v>0</v>
      </c>
      <c r="BC11" t="s">
        <v>2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-1</v>
      </c>
      <c r="BJ11">
        <v>-1</v>
      </c>
      <c r="BK11">
        <v>-1</v>
      </c>
      <c r="BL11">
        <v>-1</v>
      </c>
      <c r="BM11">
        <v>-1</v>
      </c>
      <c r="BN11">
        <v>-1</v>
      </c>
      <c r="BO11">
        <v>-1</v>
      </c>
    </row>
    <row r="12" spans="1:67" x14ac:dyDescent="0.25">
      <c r="A12">
        <v>9</v>
      </c>
      <c r="B12">
        <v>27</v>
      </c>
      <c r="C12" t="str">
        <f>VLOOKUP(B12,[1]resources!$A$2:$D$300,3,FALSE)</f>
        <v>!!FOOD_BRUSCHETTA</v>
      </c>
      <c r="D12">
        <v>1</v>
      </c>
      <c r="E12" t="str">
        <f>VLOOKUP(D12,[1]bonus_paytable!$A$2:$D$300,3,FALSE)</f>
        <v>base</v>
      </c>
      <c r="F12">
        <v>-1</v>
      </c>
      <c r="G12">
        <v>-1</v>
      </c>
      <c r="H12">
        <v>0.5</v>
      </c>
      <c r="I12" t="s">
        <v>0</v>
      </c>
      <c r="J12">
        <v>3</v>
      </c>
      <c r="K12">
        <v>3</v>
      </c>
      <c r="L12">
        <v>3</v>
      </c>
      <c r="M12">
        <v>-1</v>
      </c>
      <c r="N12">
        <v>-1</v>
      </c>
      <c r="O12">
        <v>-1</v>
      </c>
      <c r="P12">
        <v>-1</v>
      </c>
      <c r="Q12">
        <v>-1</v>
      </c>
      <c r="R12">
        <v>-1</v>
      </c>
      <c r="S12">
        <v>-1</v>
      </c>
      <c r="T12">
        <v>-1</v>
      </c>
      <c r="U12">
        <v>0.5</v>
      </c>
      <c r="V12">
        <v>0.4</v>
      </c>
      <c r="W12">
        <v>0.1</v>
      </c>
      <c r="X12">
        <v>-1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2</v>
      </c>
      <c r="AG12">
        <v>5</v>
      </c>
      <c r="AH12">
        <v>10</v>
      </c>
      <c r="AI12">
        <v>-1</v>
      </c>
      <c r="AJ12">
        <v>-1</v>
      </c>
      <c r="AK12">
        <v>-1</v>
      </c>
      <c r="AL12">
        <v>-1</v>
      </c>
      <c r="AM12">
        <v>-1</v>
      </c>
      <c r="AN12">
        <v>-1</v>
      </c>
      <c r="AO12">
        <v>-1</v>
      </c>
      <c r="AP12">
        <v>-1</v>
      </c>
      <c r="AQ12">
        <v>0.5</v>
      </c>
      <c r="AR12" t="s">
        <v>0</v>
      </c>
      <c r="AS12">
        <v>5</v>
      </c>
      <c r="AT12">
        <v>5</v>
      </c>
      <c r="AU12">
        <v>5</v>
      </c>
      <c r="AV12">
        <v>0.5</v>
      </c>
      <c r="AW12">
        <v>0.4</v>
      </c>
      <c r="AX12">
        <v>0.1</v>
      </c>
      <c r="AY12">
        <v>1</v>
      </c>
      <c r="AZ12">
        <v>2</v>
      </c>
      <c r="BA12">
        <v>5</v>
      </c>
      <c r="BB12">
        <v>0</v>
      </c>
      <c r="BC12" t="s">
        <v>2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-1</v>
      </c>
      <c r="BJ12">
        <v>-1</v>
      </c>
      <c r="BK12">
        <v>-1</v>
      </c>
      <c r="BL12">
        <v>-1</v>
      </c>
      <c r="BM12">
        <v>-1</v>
      </c>
      <c r="BN12">
        <v>-1</v>
      </c>
      <c r="BO12">
        <v>-1</v>
      </c>
    </row>
    <row r="13" spans="1:67" x14ac:dyDescent="0.25">
      <c r="A13">
        <v>10</v>
      </c>
      <c r="B13">
        <v>28</v>
      </c>
      <c r="C13" t="str">
        <f>VLOOKUP(B13,[1]resources!$A$2:$D$300,3,FALSE)</f>
        <v>!!FOOD_BISQUE</v>
      </c>
      <c r="D13">
        <v>1</v>
      </c>
      <c r="E13" t="str">
        <f>VLOOKUP(D13,[1]bonus_paytable!$A$2:$D$300,3,FALSE)</f>
        <v>base</v>
      </c>
      <c r="F13">
        <v>-1</v>
      </c>
      <c r="G13">
        <v>-1</v>
      </c>
      <c r="H13">
        <v>0.5</v>
      </c>
      <c r="I13" t="s">
        <v>0</v>
      </c>
      <c r="J13">
        <v>3</v>
      </c>
      <c r="K13">
        <v>3</v>
      </c>
      <c r="L13">
        <v>3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0.5</v>
      </c>
      <c r="V13">
        <v>0.4</v>
      </c>
      <c r="W13">
        <v>0.1</v>
      </c>
      <c r="X13">
        <v>-1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2</v>
      </c>
      <c r="AG13">
        <v>5</v>
      </c>
      <c r="AH13">
        <v>10</v>
      </c>
      <c r="AI13">
        <v>-1</v>
      </c>
      <c r="AJ13">
        <v>-1</v>
      </c>
      <c r="AK13">
        <v>-1</v>
      </c>
      <c r="AL13">
        <v>-1</v>
      </c>
      <c r="AM13">
        <v>-1</v>
      </c>
      <c r="AN13">
        <v>-1</v>
      </c>
      <c r="AO13">
        <v>-1</v>
      </c>
      <c r="AP13">
        <v>-1</v>
      </c>
      <c r="AQ13">
        <v>0.5</v>
      </c>
      <c r="AR13" t="s">
        <v>0</v>
      </c>
      <c r="AS13">
        <v>5</v>
      </c>
      <c r="AT13">
        <v>5</v>
      </c>
      <c r="AU13">
        <v>5</v>
      </c>
      <c r="AV13">
        <v>0.5</v>
      </c>
      <c r="AW13">
        <v>0.4</v>
      </c>
      <c r="AX13">
        <v>0.1</v>
      </c>
      <c r="AY13">
        <v>1</v>
      </c>
      <c r="AZ13">
        <v>2</v>
      </c>
      <c r="BA13">
        <v>5</v>
      </c>
      <c r="BB13">
        <v>0</v>
      </c>
      <c r="BC13" t="s">
        <v>2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-1</v>
      </c>
      <c r="BJ13">
        <v>-1</v>
      </c>
      <c r="BK13">
        <v>-1</v>
      </c>
      <c r="BL13">
        <v>-1</v>
      </c>
      <c r="BM13">
        <v>-1</v>
      </c>
      <c r="BN13">
        <v>-1</v>
      </c>
      <c r="BO13">
        <v>-1</v>
      </c>
    </row>
    <row r="14" spans="1:67" x14ac:dyDescent="0.25">
      <c r="A14">
        <v>11</v>
      </c>
      <c r="B14">
        <v>31</v>
      </c>
      <c r="C14" t="str">
        <f>VLOOKUP(B14,[1]resources!$A$2:$D$300,3,FALSE)</f>
        <v>!!FOOD_CAESAR_SALAD</v>
      </c>
      <c r="D14">
        <v>1</v>
      </c>
      <c r="E14" t="str">
        <f>VLOOKUP(D14,[1]bonus_paytable!$A$2:$D$300,3,FALSE)</f>
        <v>base</v>
      </c>
      <c r="F14">
        <v>-1</v>
      </c>
      <c r="G14">
        <v>-1</v>
      </c>
      <c r="H14">
        <v>0.5</v>
      </c>
      <c r="I14" t="s">
        <v>0</v>
      </c>
      <c r="J14">
        <v>3</v>
      </c>
      <c r="K14">
        <v>3</v>
      </c>
      <c r="L14">
        <v>3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0.5</v>
      </c>
      <c r="V14">
        <v>0.4</v>
      </c>
      <c r="W14">
        <v>0.1</v>
      </c>
      <c r="X14">
        <v>-1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2</v>
      </c>
      <c r="AG14">
        <v>5</v>
      </c>
      <c r="AH14">
        <v>10</v>
      </c>
      <c r="AI14">
        <v>-1</v>
      </c>
      <c r="AJ14">
        <v>-1</v>
      </c>
      <c r="AK14">
        <v>-1</v>
      </c>
      <c r="AL14">
        <v>-1</v>
      </c>
      <c r="AM14">
        <v>-1</v>
      </c>
      <c r="AN14">
        <v>-1</v>
      </c>
      <c r="AO14">
        <v>-1</v>
      </c>
      <c r="AP14">
        <v>-1</v>
      </c>
      <c r="AQ14">
        <v>0.5</v>
      </c>
      <c r="AR14" t="s">
        <v>0</v>
      </c>
      <c r="AS14">
        <v>5</v>
      </c>
      <c r="AT14">
        <v>5</v>
      </c>
      <c r="AU14">
        <v>5</v>
      </c>
      <c r="AV14">
        <v>0.5</v>
      </c>
      <c r="AW14">
        <v>0.4</v>
      </c>
      <c r="AX14">
        <v>0.1</v>
      </c>
      <c r="AY14">
        <v>1</v>
      </c>
      <c r="AZ14">
        <v>2</v>
      </c>
      <c r="BA14">
        <v>5</v>
      </c>
      <c r="BB14">
        <v>0</v>
      </c>
      <c r="BC14" t="s">
        <v>2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-1</v>
      </c>
      <c r="BJ14">
        <v>-1</v>
      </c>
      <c r="BK14">
        <v>-1</v>
      </c>
      <c r="BL14">
        <v>-1</v>
      </c>
      <c r="BM14">
        <v>-1</v>
      </c>
      <c r="BN14">
        <v>-1</v>
      </c>
      <c r="BO14">
        <v>-1</v>
      </c>
    </row>
    <row r="15" spans="1:67" x14ac:dyDescent="0.25">
      <c r="A15">
        <v>12</v>
      </c>
      <c r="B15">
        <v>32</v>
      </c>
      <c r="C15" t="str">
        <f>VLOOKUP(B15,[1]resources!$A$2:$D$300,3,FALSE)</f>
        <v>!!FOOD_JELLYPATTY</v>
      </c>
      <c r="D15">
        <v>1</v>
      </c>
      <c r="E15" t="str">
        <f>VLOOKUP(D15,[1]bonus_paytable!$A$2:$D$300,3,FALSE)</f>
        <v>base</v>
      </c>
      <c r="F15">
        <v>-1</v>
      </c>
      <c r="G15">
        <v>-1</v>
      </c>
      <c r="H15">
        <v>0.25</v>
      </c>
      <c r="I15" t="s">
        <v>0</v>
      </c>
      <c r="J15">
        <v>3</v>
      </c>
      <c r="K15">
        <v>3</v>
      </c>
      <c r="L15">
        <v>3</v>
      </c>
      <c r="M15">
        <v>-1</v>
      </c>
      <c r="N15">
        <v>-1</v>
      </c>
      <c r="O15">
        <v>-1</v>
      </c>
      <c r="P15">
        <v>-1</v>
      </c>
      <c r="Q15">
        <v>-1</v>
      </c>
      <c r="R15">
        <v>-1</v>
      </c>
      <c r="S15">
        <v>-1</v>
      </c>
      <c r="T15">
        <v>-1</v>
      </c>
      <c r="U15">
        <v>0.5</v>
      </c>
      <c r="V15">
        <v>0.4</v>
      </c>
      <c r="W15">
        <v>0.1</v>
      </c>
      <c r="X15">
        <v>-1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5</v>
      </c>
      <c r="AG15">
        <v>10</v>
      </c>
      <c r="AH15">
        <v>15</v>
      </c>
      <c r="AI15">
        <v>-1</v>
      </c>
      <c r="AJ15">
        <v>-1</v>
      </c>
      <c r="AK15">
        <v>-1</v>
      </c>
      <c r="AL15">
        <v>-1</v>
      </c>
      <c r="AM15">
        <v>-1</v>
      </c>
      <c r="AN15">
        <v>-1</v>
      </c>
      <c r="AO15">
        <v>-1</v>
      </c>
      <c r="AP15">
        <v>-1</v>
      </c>
      <c r="AQ15">
        <v>0.25</v>
      </c>
      <c r="AR15" t="s">
        <v>0</v>
      </c>
      <c r="AS15">
        <v>5</v>
      </c>
      <c r="AT15">
        <v>5</v>
      </c>
      <c r="AU15">
        <v>5</v>
      </c>
      <c r="AV15">
        <v>0.5</v>
      </c>
      <c r="AW15">
        <v>0.4</v>
      </c>
      <c r="AX15">
        <v>0.1</v>
      </c>
      <c r="AY15">
        <v>1</v>
      </c>
      <c r="AZ15">
        <v>2</v>
      </c>
      <c r="BA15">
        <v>5</v>
      </c>
      <c r="BB15">
        <v>0.5</v>
      </c>
      <c r="BC15" t="s">
        <v>0</v>
      </c>
      <c r="BD15">
        <v>2</v>
      </c>
      <c r="BE15">
        <v>2</v>
      </c>
      <c r="BF15">
        <v>2</v>
      </c>
      <c r="BG15">
        <v>2</v>
      </c>
      <c r="BH15">
        <v>0.75</v>
      </c>
      <c r="BI15">
        <v>0.2</v>
      </c>
      <c r="BJ15">
        <v>0.03</v>
      </c>
      <c r="BK15">
        <v>0.02</v>
      </c>
      <c r="BL15">
        <v>1</v>
      </c>
      <c r="BM15">
        <v>2</v>
      </c>
      <c r="BN15">
        <v>5</v>
      </c>
      <c r="BO15">
        <v>25</v>
      </c>
    </row>
    <row r="16" spans="1:67" x14ac:dyDescent="0.25">
      <c r="A16">
        <v>13</v>
      </c>
      <c r="B16">
        <v>40</v>
      </c>
      <c r="C16" t="str">
        <f>VLOOKUP(B16,[1]resources!$A$2:$D$300,3,FALSE)</f>
        <v>!!FOOD_VEGGIEPATTY</v>
      </c>
      <c r="D16">
        <v>1</v>
      </c>
      <c r="E16" t="str">
        <f>VLOOKUP(D16,[1]bonus_paytable!$A$2:$D$300,3,FALSE)</f>
        <v>base</v>
      </c>
      <c r="F16">
        <v>-1</v>
      </c>
      <c r="G16">
        <v>-1</v>
      </c>
      <c r="H16">
        <v>0.5</v>
      </c>
      <c r="I16" t="s">
        <v>0</v>
      </c>
      <c r="J16">
        <v>3</v>
      </c>
      <c r="K16">
        <v>3</v>
      </c>
      <c r="L16">
        <v>3</v>
      </c>
      <c r="M16">
        <v>-1</v>
      </c>
      <c r="N16">
        <v>-1</v>
      </c>
      <c r="O16">
        <v>-1</v>
      </c>
      <c r="P16">
        <v>-1</v>
      </c>
      <c r="Q16">
        <v>-1</v>
      </c>
      <c r="R16">
        <v>-1</v>
      </c>
      <c r="S16">
        <v>-1</v>
      </c>
      <c r="T16">
        <v>-1</v>
      </c>
      <c r="U16">
        <v>0.5</v>
      </c>
      <c r="V16">
        <v>0.4</v>
      </c>
      <c r="W16">
        <v>0.1</v>
      </c>
      <c r="X16">
        <v>-1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2</v>
      </c>
      <c r="AG16">
        <v>5</v>
      </c>
      <c r="AH16">
        <v>10</v>
      </c>
      <c r="AI16">
        <v>-1</v>
      </c>
      <c r="AJ16">
        <v>-1</v>
      </c>
      <c r="AK16">
        <v>-1</v>
      </c>
      <c r="AL16">
        <v>-1</v>
      </c>
      <c r="AM16">
        <v>-1</v>
      </c>
      <c r="AN16">
        <v>-1</v>
      </c>
      <c r="AO16">
        <v>-1</v>
      </c>
      <c r="AP16">
        <v>-1</v>
      </c>
      <c r="AQ16">
        <v>0.5</v>
      </c>
      <c r="AR16" t="s">
        <v>0</v>
      </c>
      <c r="AS16">
        <v>5</v>
      </c>
      <c r="AT16">
        <v>5</v>
      </c>
      <c r="AU16">
        <v>5</v>
      </c>
      <c r="AV16">
        <v>0.5</v>
      </c>
      <c r="AW16">
        <v>0.4</v>
      </c>
      <c r="AX16">
        <v>0.1</v>
      </c>
      <c r="AY16">
        <v>1</v>
      </c>
      <c r="AZ16">
        <v>2</v>
      </c>
      <c r="BA16">
        <v>5</v>
      </c>
      <c r="BB16">
        <v>0</v>
      </c>
      <c r="BC16" t="s">
        <v>2</v>
      </c>
      <c r="BD16">
        <v>-1</v>
      </c>
      <c r="BE16">
        <v>-1</v>
      </c>
      <c r="BF16">
        <v>-1</v>
      </c>
      <c r="BG16">
        <v>-1</v>
      </c>
      <c r="BH16">
        <v>-1</v>
      </c>
      <c r="BI16">
        <v>-1</v>
      </c>
      <c r="BJ16">
        <v>-1</v>
      </c>
      <c r="BK16">
        <v>-1</v>
      </c>
      <c r="BL16">
        <v>-1</v>
      </c>
      <c r="BM16">
        <v>-1</v>
      </c>
      <c r="BN16">
        <v>-1</v>
      </c>
      <c r="BO16">
        <v>-1</v>
      </c>
    </row>
    <row r="17" spans="1:67" x14ac:dyDescent="0.25">
      <c r="A17">
        <v>14</v>
      </c>
      <c r="B17">
        <v>41</v>
      </c>
      <c r="C17" t="str">
        <f>VLOOKUP(B17,[1]resources!$A$2:$D$300,3,FALSE)</f>
        <v>!!FOOD_GARLICBREAD</v>
      </c>
      <c r="D17">
        <v>1</v>
      </c>
      <c r="E17" t="str">
        <f>VLOOKUP(D17,[1]bonus_paytable!$A$2:$D$300,3,FALSE)</f>
        <v>base</v>
      </c>
      <c r="F17">
        <v>-1</v>
      </c>
      <c r="G17">
        <v>-1</v>
      </c>
      <c r="H17">
        <v>0.5</v>
      </c>
      <c r="I17" t="s">
        <v>0</v>
      </c>
      <c r="J17">
        <v>3</v>
      </c>
      <c r="K17">
        <v>3</v>
      </c>
      <c r="L17">
        <v>3</v>
      </c>
      <c r="M17">
        <v>-1</v>
      </c>
      <c r="N17">
        <v>-1</v>
      </c>
      <c r="O17">
        <v>-1</v>
      </c>
      <c r="P17">
        <v>-1</v>
      </c>
      <c r="Q17">
        <v>-1</v>
      </c>
      <c r="R17">
        <v>-1</v>
      </c>
      <c r="S17">
        <v>-1</v>
      </c>
      <c r="T17">
        <v>-1</v>
      </c>
      <c r="U17">
        <v>0.5</v>
      </c>
      <c r="V17">
        <v>0.4</v>
      </c>
      <c r="W17">
        <v>0.1</v>
      </c>
      <c r="X17">
        <v>-1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2</v>
      </c>
      <c r="AG17">
        <v>5</v>
      </c>
      <c r="AH17">
        <v>10</v>
      </c>
      <c r="AI17">
        <v>-1</v>
      </c>
      <c r="AJ17">
        <v>-1</v>
      </c>
      <c r="AK17">
        <v>-1</v>
      </c>
      <c r="AL17">
        <v>-1</v>
      </c>
      <c r="AM17">
        <v>-1</v>
      </c>
      <c r="AN17">
        <v>-1</v>
      </c>
      <c r="AO17">
        <v>-1</v>
      </c>
      <c r="AP17">
        <v>-1</v>
      </c>
      <c r="AQ17">
        <v>0.5</v>
      </c>
      <c r="AR17" t="s">
        <v>0</v>
      </c>
      <c r="AS17">
        <v>5</v>
      </c>
      <c r="AT17">
        <v>5</v>
      </c>
      <c r="AU17">
        <v>5</v>
      </c>
      <c r="AV17">
        <v>0.5</v>
      </c>
      <c r="AW17">
        <v>0.4</v>
      </c>
      <c r="AX17">
        <v>0.1</v>
      </c>
      <c r="AY17">
        <v>1</v>
      </c>
      <c r="AZ17">
        <v>2</v>
      </c>
      <c r="BA17">
        <v>5</v>
      </c>
      <c r="BB17">
        <v>0</v>
      </c>
      <c r="BC17" t="s">
        <v>2</v>
      </c>
      <c r="BD17">
        <v>-1</v>
      </c>
      <c r="BE17">
        <v>-1</v>
      </c>
      <c r="BF17">
        <v>-1</v>
      </c>
      <c r="BG17">
        <v>-1</v>
      </c>
      <c r="BH17">
        <v>-1</v>
      </c>
      <c r="BI17">
        <v>-1</v>
      </c>
      <c r="BJ17">
        <v>-1</v>
      </c>
      <c r="BK17">
        <v>-1</v>
      </c>
      <c r="BL17">
        <v>-1</v>
      </c>
      <c r="BM17">
        <v>-1</v>
      </c>
      <c r="BN17">
        <v>-1</v>
      </c>
      <c r="BO17">
        <v>-1</v>
      </c>
    </row>
    <row r="18" spans="1:67" x14ac:dyDescent="0.25">
      <c r="A18">
        <v>15</v>
      </c>
      <c r="B18">
        <v>46</v>
      </c>
      <c r="C18" t="str">
        <f>VLOOKUP(B18,[1]resources!$A$2:$D$300,3,FALSE)</f>
        <v>!!FOOD_SALAD</v>
      </c>
      <c r="D18">
        <v>1</v>
      </c>
      <c r="E18" t="str">
        <f>VLOOKUP(D18,[1]bonus_paytable!$A$2:$D$300,3,FALSE)</f>
        <v>base</v>
      </c>
      <c r="F18">
        <v>-1</v>
      </c>
      <c r="G18">
        <v>-1</v>
      </c>
      <c r="H18">
        <v>0.5</v>
      </c>
      <c r="I18" t="s">
        <v>0</v>
      </c>
      <c r="J18">
        <v>3</v>
      </c>
      <c r="K18">
        <v>3</v>
      </c>
      <c r="L18">
        <v>3</v>
      </c>
      <c r="M18">
        <v>-1</v>
      </c>
      <c r="N18">
        <v>-1</v>
      </c>
      <c r="O18">
        <v>-1</v>
      </c>
      <c r="P18">
        <v>-1</v>
      </c>
      <c r="Q18">
        <v>-1</v>
      </c>
      <c r="R18">
        <v>-1</v>
      </c>
      <c r="S18">
        <v>-1</v>
      </c>
      <c r="T18">
        <v>-1</v>
      </c>
      <c r="U18">
        <v>0.5</v>
      </c>
      <c r="V18">
        <v>0.4</v>
      </c>
      <c r="W18">
        <v>0.1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5</v>
      </c>
      <c r="AG18">
        <v>10</v>
      </c>
      <c r="AH18">
        <v>15</v>
      </c>
      <c r="AI18">
        <v>-1</v>
      </c>
      <c r="AJ18">
        <v>-1</v>
      </c>
      <c r="AK18">
        <v>-1</v>
      </c>
      <c r="AL18">
        <v>-1</v>
      </c>
      <c r="AM18">
        <v>-1</v>
      </c>
      <c r="AN18">
        <v>-1</v>
      </c>
      <c r="AO18">
        <v>-1</v>
      </c>
      <c r="AP18">
        <v>-1</v>
      </c>
      <c r="AQ18">
        <v>0.5</v>
      </c>
      <c r="AR18" t="s">
        <v>0</v>
      </c>
      <c r="AS18">
        <v>5</v>
      </c>
      <c r="AT18">
        <v>5</v>
      </c>
      <c r="AU18">
        <v>5</v>
      </c>
      <c r="AV18">
        <v>0.5</v>
      </c>
      <c r="AW18">
        <v>0.4</v>
      </c>
      <c r="AX18">
        <v>0.1</v>
      </c>
      <c r="AY18">
        <v>1</v>
      </c>
      <c r="AZ18">
        <v>2</v>
      </c>
      <c r="BA18">
        <v>5</v>
      </c>
      <c r="BB18">
        <v>0</v>
      </c>
      <c r="BC18" t="s">
        <v>2</v>
      </c>
      <c r="BD18">
        <v>-1</v>
      </c>
      <c r="BE18">
        <v>-1</v>
      </c>
      <c r="BF18">
        <v>-1</v>
      </c>
      <c r="BG18">
        <v>-1</v>
      </c>
      <c r="BH18">
        <v>-1</v>
      </c>
      <c r="BI18">
        <v>-1</v>
      </c>
      <c r="BJ18">
        <v>-1</v>
      </c>
      <c r="BK18">
        <v>-1</v>
      </c>
      <c r="BL18">
        <v>-1</v>
      </c>
      <c r="BM18">
        <v>-1</v>
      </c>
      <c r="BN18">
        <v>-1</v>
      </c>
      <c r="BO18">
        <v>-1</v>
      </c>
    </row>
    <row r="19" spans="1:67" x14ac:dyDescent="0.25">
      <c r="A19">
        <v>16</v>
      </c>
      <c r="B19">
        <v>92</v>
      </c>
      <c r="C19" t="str">
        <f>VLOOKUP(B19,[1]resources!$A$2:$D$300,3,FALSE)</f>
        <v>!!FOOD_TOAST</v>
      </c>
      <c r="D19">
        <v>1</v>
      </c>
      <c r="E19" t="str">
        <f>VLOOKUP(D19,[1]bonus_paytable!$A$2:$D$300,3,FALSE)</f>
        <v>base</v>
      </c>
      <c r="F19">
        <v>-1</v>
      </c>
      <c r="G19">
        <v>-1</v>
      </c>
      <c r="H19">
        <v>0.5</v>
      </c>
      <c r="I19" t="s">
        <v>0</v>
      </c>
      <c r="J19">
        <v>3</v>
      </c>
      <c r="K19">
        <v>3</v>
      </c>
      <c r="L19">
        <v>3</v>
      </c>
      <c r="M19">
        <v>-1</v>
      </c>
      <c r="N19">
        <v>-1</v>
      </c>
      <c r="O19">
        <v>-1</v>
      </c>
      <c r="P19">
        <v>-1</v>
      </c>
      <c r="Q19">
        <v>-1</v>
      </c>
      <c r="R19">
        <v>-1</v>
      </c>
      <c r="S19">
        <v>-1</v>
      </c>
      <c r="T19">
        <v>-1</v>
      </c>
      <c r="U19">
        <v>0.5</v>
      </c>
      <c r="V19">
        <v>0.4</v>
      </c>
      <c r="W19">
        <v>0.1</v>
      </c>
      <c r="X19">
        <v>-1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2</v>
      </c>
      <c r="AG19">
        <v>5</v>
      </c>
      <c r="AH19">
        <v>10</v>
      </c>
      <c r="AI19">
        <v>-1</v>
      </c>
      <c r="AJ19">
        <v>-1</v>
      </c>
      <c r="AK19">
        <v>-1</v>
      </c>
      <c r="AL19">
        <v>-1</v>
      </c>
      <c r="AM19">
        <v>-1</v>
      </c>
      <c r="AN19">
        <v>-1</v>
      </c>
      <c r="AO19">
        <v>-1</v>
      </c>
      <c r="AP19">
        <v>-1</v>
      </c>
      <c r="AQ19">
        <v>0.5</v>
      </c>
      <c r="AR19" t="s">
        <v>0</v>
      </c>
      <c r="AS19">
        <v>5</v>
      </c>
      <c r="AT19">
        <v>5</v>
      </c>
      <c r="AU19">
        <v>5</v>
      </c>
      <c r="AV19">
        <v>0.5</v>
      </c>
      <c r="AW19">
        <v>0.4</v>
      </c>
      <c r="AX19">
        <v>0.1</v>
      </c>
      <c r="AY19">
        <v>1</v>
      </c>
      <c r="AZ19">
        <v>2</v>
      </c>
      <c r="BA19">
        <v>5</v>
      </c>
      <c r="BB19">
        <v>0</v>
      </c>
      <c r="BC19" t="s">
        <v>2</v>
      </c>
      <c r="BD19">
        <v>-1</v>
      </c>
      <c r="BE19">
        <v>-1</v>
      </c>
      <c r="BF19">
        <v>-1</v>
      </c>
      <c r="BG19">
        <v>-1</v>
      </c>
      <c r="BH19">
        <v>-1</v>
      </c>
      <c r="BI19">
        <v>-1</v>
      </c>
      <c r="BJ19">
        <v>-1</v>
      </c>
      <c r="BK19">
        <v>-1</v>
      </c>
      <c r="BL19">
        <v>-1</v>
      </c>
      <c r="BM19">
        <v>-1</v>
      </c>
      <c r="BN19">
        <v>-1</v>
      </c>
      <c r="BO19">
        <v>-1</v>
      </c>
    </row>
    <row r="20" spans="1:67" x14ac:dyDescent="0.25">
      <c r="A20">
        <v>17</v>
      </c>
      <c r="B20">
        <v>95</v>
      </c>
      <c r="C20" t="str">
        <f>VLOOKUP(B20,[1]resources!$A$2:$D$300,3,FALSE)</f>
        <v>!!FOOD_CUBEDKETCHUPKABOBS</v>
      </c>
      <c r="D20">
        <v>1</v>
      </c>
      <c r="E20" t="str">
        <f>VLOOKUP(D20,[1]bonus_paytable!$A$2:$D$300,3,FALSE)</f>
        <v>base</v>
      </c>
      <c r="F20">
        <v>-1</v>
      </c>
      <c r="G20">
        <v>-1</v>
      </c>
      <c r="H20">
        <v>0.5</v>
      </c>
      <c r="I20" t="s">
        <v>0</v>
      </c>
      <c r="J20">
        <v>3</v>
      </c>
      <c r="K20">
        <v>3</v>
      </c>
      <c r="L20">
        <v>3</v>
      </c>
      <c r="M20">
        <v>-1</v>
      </c>
      <c r="N20">
        <v>-1</v>
      </c>
      <c r="O20">
        <v>-1</v>
      </c>
      <c r="P20">
        <v>-1</v>
      </c>
      <c r="Q20">
        <v>-1</v>
      </c>
      <c r="R20">
        <v>-1</v>
      </c>
      <c r="S20">
        <v>-1</v>
      </c>
      <c r="T20">
        <v>-1</v>
      </c>
      <c r="U20">
        <v>0.5</v>
      </c>
      <c r="V20">
        <v>0.4</v>
      </c>
      <c r="W20">
        <v>0.1</v>
      </c>
      <c r="X20">
        <v>-1</v>
      </c>
      <c r="Y20">
        <v>-1</v>
      </c>
      <c r="Z20">
        <v>-1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2</v>
      </c>
      <c r="AG20">
        <v>5</v>
      </c>
      <c r="AH20">
        <v>10</v>
      </c>
      <c r="AI20">
        <v>-1</v>
      </c>
      <c r="AJ20">
        <v>-1</v>
      </c>
      <c r="AK20">
        <v>-1</v>
      </c>
      <c r="AL20">
        <v>-1</v>
      </c>
      <c r="AM20">
        <v>-1</v>
      </c>
      <c r="AN20">
        <v>-1</v>
      </c>
      <c r="AO20">
        <v>-1</v>
      </c>
      <c r="AP20">
        <v>-1</v>
      </c>
      <c r="AQ20">
        <v>0.5</v>
      </c>
      <c r="AR20" t="s">
        <v>0</v>
      </c>
      <c r="AS20">
        <v>5</v>
      </c>
      <c r="AT20">
        <v>5</v>
      </c>
      <c r="AU20">
        <v>5</v>
      </c>
      <c r="AV20">
        <v>0.5</v>
      </c>
      <c r="AW20">
        <v>0.4</v>
      </c>
      <c r="AX20">
        <v>0.1</v>
      </c>
      <c r="AY20">
        <v>1</v>
      </c>
      <c r="AZ20">
        <v>2</v>
      </c>
      <c r="BA20">
        <v>5</v>
      </c>
      <c r="BB20">
        <v>0</v>
      </c>
      <c r="BC20" t="s">
        <v>2</v>
      </c>
      <c r="BD20">
        <v>-1</v>
      </c>
      <c r="BE20">
        <v>-1</v>
      </c>
      <c r="BF20">
        <v>-1</v>
      </c>
      <c r="BG20">
        <v>-1</v>
      </c>
      <c r="BH20">
        <v>-1</v>
      </c>
      <c r="BI20">
        <v>-1</v>
      </c>
      <c r="BJ20">
        <v>-1</v>
      </c>
      <c r="BK20">
        <v>-1</v>
      </c>
      <c r="BL20">
        <v>-1</v>
      </c>
      <c r="BM20">
        <v>-1</v>
      </c>
      <c r="BN20">
        <v>-1</v>
      </c>
      <c r="BO20">
        <v>-1</v>
      </c>
    </row>
    <row r="21" spans="1:67" x14ac:dyDescent="0.25">
      <c r="A21">
        <v>18</v>
      </c>
      <c r="B21">
        <v>96</v>
      </c>
      <c r="C21" t="str">
        <f>VLOOKUP(B21,[1]resources!$A$2:$D$300,3,FALSE)</f>
        <v>!!FOOD_JELLIEDTOAST</v>
      </c>
      <c r="D21">
        <v>1</v>
      </c>
      <c r="E21" t="str">
        <f>VLOOKUP(D21,[1]bonus_paytable!$A$2:$D$300,3,FALSE)</f>
        <v>base</v>
      </c>
      <c r="F21">
        <v>-1</v>
      </c>
      <c r="G21">
        <v>-1</v>
      </c>
      <c r="H21">
        <v>0.25</v>
      </c>
      <c r="I21" t="s">
        <v>0</v>
      </c>
      <c r="J21">
        <v>3</v>
      </c>
      <c r="K21">
        <v>3</v>
      </c>
      <c r="L21">
        <v>3</v>
      </c>
      <c r="M21">
        <v>-1</v>
      </c>
      <c r="N21">
        <v>-1</v>
      </c>
      <c r="O21">
        <v>-1</v>
      </c>
      <c r="P21">
        <v>-1</v>
      </c>
      <c r="Q21">
        <v>-1</v>
      </c>
      <c r="R21">
        <v>-1</v>
      </c>
      <c r="S21">
        <v>-1</v>
      </c>
      <c r="T21">
        <v>-1</v>
      </c>
      <c r="U21">
        <v>0.5</v>
      </c>
      <c r="V21">
        <v>0.4</v>
      </c>
      <c r="W21">
        <v>0.1</v>
      </c>
      <c r="X21">
        <v>-1</v>
      </c>
      <c r="Y21">
        <v>-1</v>
      </c>
      <c r="Z21">
        <v>-1</v>
      </c>
      <c r="AA21">
        <v>-1</v>
      </c>
      <c r="AB21">
        <v>-1</v>
      </c>
      <c r="AC21">
        <v>-1</v>
      </c>
      <c r="AD21">
        <v>-1</v>
      </c>
      <c r="AE21">
        <v>-1</v>
      </c>
      <c r="AF21">
        <v>5</v>
      </c>
      <c r="AG21">
        <v>10</v>
      </c>
      <c r="AH21">
        <v>15</v>
      </c>
      <c r="AI21">
        <v>-1</v>
      </c>
      <c r="AJ21">
        <v>-1</v>
      </c>
      <c r="AK21">
        <v>-1</v>
      </c>
      <c r="AL21">
        <v>-1</v>
      </c>
      <c r="AM21">
        <v>-1</v>
      </c>
      <c r="AN21">
        <v>-1</v>
      </c>
      <c r="AO21">
        <v>-1</v>
      </c>
      <c r="AP21">
        <v>-1</v>
      </c>
      <c r="AQ21">
        <v>0.25</v>
      </c>
      <c r="AR21" t="s">
        <v>0</v>
      </c>
      <c r="AS21">
        <v>5</v>
      </c>
      <c r="AT21">
        <v>5</v>
      </c>
      <c r="AU21">
        <v>5</v>
      </c>
      <c r="AV21">
        <v>0.5</v>
      </c>
      <c r="AW21">
        <v>0.4</v>
      </c>
      <c r="AX21">
        <v>0.1</v>
      </c>
      <c r="AY21">
        <v>1</v>
      </c>
      <c r="AZ21">
        <v>2</v>
      </c>
      <c r="BA21">
        <v>5</v>
      </c>
      <c r="BB21">
        <v>0.5</v>
      </c>
      <c r="BC21" t="s">
        <v>0</v>
      </c>
      <c r="BD21">
        <v>2</v>
      </c>
      <c r="BE21">
        <v>2</v>
      </c>
      <c r="BF21">
        <v>2</v>
      </c>
      <c r="BG21">
        <v>2</v>
      </c>
      <c r="BH21">
        <v>0.75</v>
      </c>
      <c r="BI21">
        <v>0.2</v>
      </c>
      <c r="BJ21">
        <v>0.03</v>
      </c>
      <c r="BK21">
        <v>0.02</v>
      </c>
      <c r="BL21">
        <v>1</v>
      </c>
      <c r="BM21">
        <v>2</v>
      </c>
      <c r="BN21">
        <v>5</v>
      </c>
      <c r="BO21">
        <v>25</v>
      </c>
    </row>
    <row r="22" spans="1:67" x14ac:dyDescent="0.25">
      <c r="A22">
        <v>19</v>
      </c>
      <c r="B22">
        <v>97</v>
      </c>
      <c r="C22" t="str">
        <f>VLOOKUP(B22,[1]resources!$A$2:$D$300,3,FALSE)</f>
        <v>!!FOOD_PICODEGALLO</v>
      </c>
      <c r="D22">
        <v>1</v>
      </c>
      <c r="E22" t="str">
        <f>VLOOKUP(D22,[1]bonus_paytable!$A$2:$D$300,3,FALSE)</f>
        <v>base</v>
      </c>
      <c r="F22">
        <v>-1</v>
      </c>
      <c r="G22">
        <v>-1</v>
      </c>
      <c r="H22">
        <v>0.5</v>
      </c>
      <c r="I22" t="s">
        <v>0</v>
      </c>
      <c r="J22">
        <v>3</v>
      </c>
      <c r="K22">
        <v>3</v>
      </c>
      <c r="L22">
        <v>3</v>
      </c>
      <c r="M22">
        <v>-1</v>
      </c>
      <c r="N22">
        <v>-1</v>
      </c>
      <c r="O22">
        <v>-1</v>
      </c>
      <c r="P22">
        <v>-1</v>
      </c>
      <c r="Q22">
        <v>-1</v>
      </c>
      <c r="R22">
        <v>-1</v>
      </c>
      <c r="S22">
        <v>-1</v>
      </c>
      <c r="T22">
        <v>-1</v>
      </c>
      <c r="U22">
        <v>0.5</v>
      </c>
      <c r="V22">
        <v>0.4</v>
      </c>
      <c r="W22">
        <v>0.1</v>
      </c>
      <c r="X22">
        <v>-1</v>
      </c>
      <c r="Y22">
        <v>-1</v>
      </c>
      <c r="Z22">
        <v>-1</v>
      </c>
      <c r="AA22">
        <v>-1</v>
      </c>
      <c r="AB22">
        <v>-1</v>
      </c>
      <c r="AC22">
        <v>-1</v>
      </c>
      <c r="AD22">
        <v>-1</v>
      </c>
      <c r="AE22">
        <v>-1</v>
      </c>
      <c r="AF22">
        <v>2</v>
      </c>
      <c r="AG22">
        <v>5</v>
      </c>
      <c r="AH22">
        <v>10</v>
      </c>
      <c r="AI22">
        <v>-1</v>
      </c>
      <c r="AJ22">
        <v>-1</v>
      </c>
      <c r="AK22">
        <v>-1</v>
      </c>
      <c r="AL22">
        <v>-1</v>
      </c>
      <c r="AM22">
        <v>-1</v>
      </c>
      <c r="AN22">
        <v>-1</v>
      </c>
      <c r="AO22">
        <v>-1</v>
      </c>
      <c r="AP22">
        <v>-1</v>
      </c>
      <c r="AQ22">
        <v>0.5</v>
      </c>
      <c r="AR22" t="s">
        <v>0</v>
      </c>
      <c r="AS22">
        <v>5</v>
      </c>
      <c r="AT22">
        <v>5</v>
      </c>
      <c r="AU22">
        <v>5</v>
      </c>
      <c r="AV22">
        <v>0.5</v>
      </c>
      <c r="AW22">
        <v>0.4</v>
      </c>
      <c r="AX22">
        <v>0.1</v>
      </c>
      <c r="AY22">
        <v>1</v>
      </c>
      <c r="AZ22">
        <v>2</v>
      </c>
      <c r="BA22">
        <v>5</v>
      </c>
      <c r="BB22">
        <v>0</v>
      </c>
      <c r="BC22" t="s">
        <v>2</v>
      </c>
      <c r="BD22">
        <v>-1</v>
      </c>
      <c r="BE22">
        <v>-1</v>
      </c>
      <c r="BF22">
        <v>-1</v>
      </c>
      <c r="BG22">
        <v>-1</v>
      </c>
      <c r="BH22">
        <v>-1</v>
      </c>
      <c r="BI22">
        <v>-1</v>
      </c>
      <c r="BJ22">
        <v>-1</v>
      </c>
      <c r="BK22">
        <v>-1</v>
      </c>
      <c r="BL22">
        <v>-1</v>
      </c>
      <c r="BM22">
        <v>-1</v>
      </c>
      <c r="BN22">
        <v>-1</v>
      </c>
      <c r="BO22">
        <v>-1</v>
      </c>
    </row>
    <row r="23" spans="1:67" x14ac:dyDescent="0.25">
      <c r="A23">
        <v>20</v>
      </c>
      <c r="B23">
        <v>99</v>
      </c>
      <c r="C23" t="str">
        <f>VLOOKUP(B23,[1]resources!$A$2:$D$300,3,FALSE)</f>
        <v>!!FOOD_PIPSQUEAKPATTY</v>
      </c>
      <c r="D23">
        <v>1</v>
      </c>
      <c r="E23" t="str">
        <f>VLOOKUP(D23,[1]bonus_paytable!$A$2:$D$300,3,FALSE)</f>
        <v>base</v>
      </c>
      <c r="F23">
        <v>-1</v>
      </c>
      <c r="G23">
        <v>-1</v>
      </c>
      <c r="H23">
        <v>0.5</v>
      </c>
      <c r="I23" t="s">
        <v>0</v>
      </c>
      <c r="J23">
        <v>3</v>
      </c>
      <c r="K23">
        <v>3</v>
      </c>
      <c r="L23">
        <v>3</v>
      </c>
      <c r="M23">
        <v>-1</v>
      </c>
      <c r="N23">
        <v>-1</v>
      </c>
      <c r="O23">
        <v>-1</v>
      </c>
      <c r="P23">
        <v>-1</v>
      </c>
      <c r="Q23">
        <v>-1</v>
      </c>
      <c r="R23">
        <v>-1</v>
      </c>
      <c r="S23">
        <v>-1</v>
      </c>
      <c r="T23">
        <v>-1</v>
      </c>
      <c r="U23">
        <v>0.5</v>
      </c>
      <c r="V23">
        <v>0.4</v>
      </c>
      <c r="W23">
        <v>0.1</v>
      </c>
      <c r="X23">
        <v>-1</v>
      </c>
      <c r="Y23">
        <v>-1</v>
      </c>
      <c r="Z23">
        <v>-1</v>
      </c>
      <c r="AA23">
        <v>-1</v>
      </c>
      <c r="AB23">
        <v>-1</v>
      </c>
      <c r="AC23">
        <v>-1</v>
      </c>
      <c r="AD23">
        <v>-1</v>
      </c>
      <c r="AE23">
        <v>-1</v>
      </c>
      <c r="AF23">
        <v>2</v>
      </c>
      <c r="AG23">
        <v>5</v>
      </c>
      <c r="AH23">
        <v>10</v>
      </c>
      <c r="AI23">
        <v>-1</v>
      </c>
      <c r="AJ23">
        <v>-1</v>
      </c>
      <c r="AK23">
        <v>-1</v>
      </c>
      <c r="AL23">
        <v>-1</v>
      </c>
      <c r="AM23">
        <v>-1</v>
      </c>
      <c r="AN23">
        <v>-1</v>
      </c>
      <c r="AO23">
        <v>-1</v>
      </c>
      <c r="AP23">
        <v>-1</v>
      </c>
      <c r="AQ23">
        <v>0.5</v>
      </c>
      <c r="AR23" t="s">
        <v>0</v>
      </c>
      <c r="AS23">
        <v>5</v>
      </c>
      <c r="AT23">
        <v>5</v>
      </c>
      <c r="AU23">
        <v>5</v>
      </c>
      <c r="AV23">
        <v>0.5</v>
      </c>
      <c r="AW23">
        <v>0.4</v>
      </c>
      <c r="AX23">
        <v>0.1</v>
      </c>
      <c r="AY23">
        <v>1</v>
      </c>
      <c r="AZ23">
        <v>2</v>
      </c>
      <c r="BA23">
        <v>5</v>
      </c>
      <c r="BB23">
        <v>0</v>
      </c>
      <c r="BC23" t="s">
        <v>2</v>
      </c>
      <c r="BD23">
        <v>-1</v>
      </c>
      <c r="BE23">
        <v>-1</v>
      </c>
      <c r="BF23">
        <v>-1</v>
      </c>
      <c r="BG23">
        <v>-1</v>
      </c>
      <c r="BH23">
        <v>-1</v>
      </c>
      <c r="BI23">
        <v>-1</v>
      </c>
      <c r="BJ23">
        <v>-1</v>
      </c>
      <c r="BK23">
        <v>-1</v>
      </c>
      <c r="BL23">
        <v>-1</v>
      </c>
      <c r="BM23">
        <v>-1</v>
      </c>
      <c r="BN23">
        <v>-1</v>
      </c>
      <c r="BO23">
        <v>-1</v>
      </c>
    </row>
    <row r="24" spans="1:67" x14ac:dyDescent="0.25">
      <c r="A24">
        <v>21</v>
      </c>
      <c r="B24">
        <v>10000</v>
      </c>
      <c r="C24" t="str">
        <f>VLOOKUP(B24,[1]resources!$A$2:$D$300,3,FALSE)</f>
        <v>!!FOOD_BANANA</v>
      </c>
      <c r="D24">
        <v>1</v>
      </c>
      <c r="E24" t="str">
        <f>VLOOKUP(D24,[1]bonus_paytable!$A$2:$D$300,3,FALSE)</f>
        <v>base</v>
      </c>
      <c r="F24">
        <v>-1</v>
      </c>
      <c r="G24">
        <v>-1</v>
      </c>
      <c r="H24">
        <v>0.5</v>
      </c>
      <c r="I24" t="s">
        <v>0</v>
      </c>
      <c r="J24">
        <v>3</v>
      </c>
      <c r="K24">
        <v>3</v>
      </c>
      <c r="L24">
        <v>3</v>
      </c>
      <c r="M24">
        <v>-1</v>
      </c>
      <c r="N24">
        <v>-1</v>
      </c>
      <c r="O24">
        <v>-1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0.5</v>
      </c>
      <c r="V24">
        <v>0.4</v>
      </c>
      <c r="W24">
        <v>0.1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2</v>
      </c>
      <c r="AG24">
        <v>5</v>
      </c>
      <c r="AH24">
        <v>10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0.5</v>
      </c>
      <c r="AR24" t="s">
        <v>0</v>
      </c>
      <c r="AS24">
        <v>5</v>
      </c>
      <c r="AT24">
        <v>5</v>
      </c>
      <c r="AU24">
        <v>5</v>
      </c>
      <c r="AV24">
        <v>0.5</v>
      </c>
      <c r="AW24">
        <v>0.4</v>
      </c>
      <c r="AX24">
        <v>0.1</v>
      </c>
      <c r="AY24">
        <v>1</v>
      </c>
      <c r="AZ24">
        <v>2</v>
      </c>
      <c r="BA24">
        <v>5</v>
      </c>
      <c r="BB24">
        <v>0</v>
      </c>
      <c r="BC24" t="s">
        <v>2</v>
      </c>
      <c r="BD24">
        <v>-1</v>
      </c>
      <c r="BE24">
        <v>-1</v>
      </c>
      <c r="BF24">
        <v>-1</v>
      </c>
      <c r="BG24">
        <v>-1</v>
      </c>
      <c r="BH24">
        <v>-1</v>
      </c>
      <c r="BI24">
        <v>-1</v>
      </c>
      <c r="BJ24">
        <v>-1</v>
      </c>
      <c r="BK24">
        <v>-1</v>
      </c>
      <c r="BL24">
        <v>-1</v>
      </c>
      <c r="BM24">
        <v>-1</v>
      </c>
      <c r="BN24">
        <v>-1</v>
      </c>
      <c r="BO24">
        <v>-1</v>
      </c>
    </row>
    <row r="25" spans="1:67" x14ac:dyDescent="0.25">
      <c r="A25">
        <v>22</v>
      </c>
      <c r="B25">
        <v>10001</v>
      </c>
      <c r="C25" t="str">
        <f>VLOOKUP(B25,[1]resources!$A$2:$D$300,3,FALSE)</f>
        <v>!!FOOD_APPLE</v>
      </c>
      <c r="D25">
        <v>1</v>
      </c>
      <c r="E25" t="str">
        <f>VLOOKUP(D25,[1]bonus_paytable!$A$2:$D$300,3,FALSE)</f>
        <v>base</v>
      </c>
      <c r="F25">
        <v>-1</v>
      </c>
      <c r="G25">
        <v>-1</v>
      </c>
      <c r="H25">
        <v>0.5</v>
      </c>
      <c r="I25" t="s">
        <v>0</v>
      </c>
      <c r="J25">
        <v>3</v>
      </c>
      <c r="K25">
        <v>3</v>
      </c>
      <c r="L25">
        <v>3</v>
      </c>
      <c r="M25">
        <v>-1</v>
      </c>
      <c r="N25">
        <v>-1</v>
      </c>
      <c r="O25">
        <v>-1</v>
      </c>
      <c r="P25">
        <v>-1</v>
      </c>
      <c r="Q25">
        <v>-1</v>
      </c>
      <c r="R25">
        <v>-1</v>
      </c>
      <c r="S25">
        <v>-1</v>
      </c>
      <c r="T25">
        <v>-1</v>
      </c>
      <c r="U25">
        <v>0.5</v>
      </c>
      <c r="V25">
        <v>0.4</v>
      </c>
      <c r="W25">
        <v>0.1</v>
      </c>
      <c r="X25">
        <v>-1</v>
      </c>
      <c r="Y25">
        <v>-1</v>
      </c>
      <c r="Z25">
        <v>-1</v>
      </c>
      <c r="AA25">
        <v>-1</v>
      </c>
      <c r="AB25">
        <v>-1</v>
      </c>
      <c r="AC25">
        <v>-1</v>
      </c>
      <c r="AD25">
        <v>-1</v>
      </c>
      <c r="AE25">
        <v>-1</v>
      </c>
      <c r="AF25">
        <v>2</v>
      </c>
      <c r="AG25">
        <v>5</v>
      </c>
      <c r="AH25">
        <v>10</v>
      </c>
      <c r="AI25">
        <v>-1</v>
      </c>
      <c r="AJ25">
        <v>-1</v>
      </c>
      <c r="AK25">
        <v>-1</v>
      </c>
      <c r="AL25">
        <v>-1</v>
      </c>
      <c r="AM25">
        <v>-1</v>
      </c>
      <c r="AN25">
        <v>-1</v>
      </c>
      <c r="AO25">
        <v>-1</v>
      </c>
      <c r="AP25">
        <v>-1</v>
      </c>
      <c r="AQ25">
        <v>0.5</v>
      </c>
      <c r="AR25" t="s">
        <v>0</v>
      </c>
      <c r="AS25">
        <v>5</v>
      </c>
      <c r="AT25">
        <v>5</v>
      </c>
      <c r="AU25">
        <v>5</v>
      </c>
      <c r="AV25">
        <v>0.5</v>
      </c>
      <c r="AW25">
        <v>0.4</v>
      </c>
      <c r="AX25">
        <v>0.1</v>
      </c>
      <c r="AY25">
        <v>1</v>
      </c>
      <c r="AZ25">
        <v>2</v>
      </c>
      <c r="BA25">
        <v>5</v>
      </c>
      <c r="BB25">
        <v>0</v>
      </c>
      <c r="BC25" t="s">
        <v>2</v>
      </c>
      <c r="BD25">
        <v>-1</v>
      </c>
      <c r="BE25">
        <v>-1</v>
      </c>
      <c r="BF25">
        <v>-1</v>
      </c>
      <c r="BG25">
        <v>-1</v>
      </c>
      <c r="BH25">
        <v>-1</v>
      </c>
      <c r="BI25">
        <v>-1</v>
      </c>
      <c r="BJ25">
        <v>-1</v>
      </c>
      <c r="BK25">
        <v>-1</v>
      </c>
      <c r="BL25">
        <v>-1</v>
      </c>
      <c r="BM25">
        <v>-1</v>
      </c>
      <c r="BN25">
        <v>-1</v>
      </c>
      <c r="BO25">
        <v>-1</v>
      </c>
    </row>
    <row r="26" spans="1:67" x14ac:dyDescent="0.25">
      <c r="A26">
        <v>23</v>
      </c>
      <c r="B26">
        <v>10006</v>
      </c>
      <c r="C26" t="str">
        <f>VLOOKUP(B26,[1]resources!$A$2:$D$300,3,FALSE)</f>
        <v>!!FOOD_ORANGE</v>
      </c>
      <c r="D26">
        <v>1</v>
      </c>
      <c r="E26" t="str">
        <f>VLOOKUP(D26,[1]bonus_paytable!$A$2:$D$300,3,FALSE)</f>
        <v>base</v>
      </c>
      <c r="F26">
        <v>-1</v>
      </c>
      <c r="G26">
        <v>-1</v>
      </c>
      <c r="H26">
        <v>0.5</v>
      </c>
      <c r="I26" t="s">
        <v>0</v>
      </c>
      <c r="J26">
        <v>3</v>
      </c>
      <c r="K26">
        <v>3</v>
      </c>
      <c r="L26">
        <v>3</v>
      </c>
      <c r="M26">
        <v>-1</v>
      </c>
      <c r="N26">
        <v>-1</v>
      </c>
      <c r="O26">
        <v>-1</v>
      </c>
      <c r="P26">
        <v>-1</v>
      </c>
      <c r="Q26">
        <v>-1</v>
      </c>
      <c r="R26">
        <v>-1</v>
      </c>
      <c r="S26">
        <v>-1</v>
      </c>
      <c r="T26">
        <v>-1</v>
      </c>
      <c r="U26">
        <v>0.5</v>
      </c>
      <c r="V26">
        <v>0.4</v>
      </c>
      <c r="W26">
        <v>0.1</v>
      </c>
      <c r="X26">
        <v>-1</v>
      </c>
      <c r="Y26">
        <v>-1</v>
      </c>
      <c r="Z26">
        <v>-1</v>
      </c>
      <c r="AA26">
        <v>-1</v>
      </c>
      <c r="AB26">
        <v>-1</v>
      </c>
      <c r="AC26">
        <v>-1</v>
      </c>
      <c r="AD26">
        <v>-1</v>
      </c>
      <c r="AE26">
        <v>-1</v>
      </c>
      <c r="AF26">
        <v>2</v>
      </c>
      <c r="AG26">
        <v>5</v>
      </c>
      <c r="AH26">
        <v>10</v>
      </c>
      <c r="AI26">
        <v>-1</v>
      </c>
      <c r="AJ26">
        <v>-1</v>
      </c>
      <c r="AK26">
        <v>-1</v>
      </c>
      <c r="AL26">
        <v>-1</v>
      </c>
      <c r="AM26">
        <v>-1</v>
      </c>
      <c r="AN26">
        <v>-1</v>
      </c>
      <c r="AO26">
        <v>-1</v>
      </c>
      <c r="AP26">
        <v>-1</v>
      </c>
      <c r="AQ26">
        <v>0.5</v>
      </c>
      <c r="AR26" t="s">
        <v>0</v>
      </c>
      <c r="AS26">
        <v>5</v>
      </c>
      <c r="AT26">
        <v>5</v>
      </c>
      <c r="AU26">
        <v>5</v>
      </c>
      <c r="AV26">
        <v>0.5</v>
      </c>
      <c r="AW26">
        <v>0.4</v>
      </c>
      <c r="AX26">
        <v>0.1</v>
      </c>
      <c r="AY26">
        <v>1</v>
      </c>
      <c r="AZ26">
        <v>2</v>
      </c>
      <c r="BA26">
        <v>5</v>
      </c>
      <c r="BB26">
        <v>0</v>
      </c>
      <c r="BC26" t="s">
        <v>2</v>
      </c>
      <c r="BD26">
        <v>-1</v>
      </c>
      <c r="BE26">
        <v>-1</v>
      </c>
      <c r="BF26">
        <v>-1</v>
      </c>
      <c r="BG26">
        <v>-1</v>
      </c>
      <c r="BH26">
        <v>-1</v>
      </c>
      <c r="BI26">
        <v>-1</v>
      </c>
      <c r="BJ26">
        <v>-1</v>
      </c>
      <c r="BK26">
        <v>-1</v>
      </c>
      <c r="BL26">
        <v>-1</v>
      </c>
      <c r="BM26">
        <v>-1</v>
      </c>
      <c r="BN26">
        <v>-1</v>
      </c>
      <c r="BO26">
        <v>-1</v>
      </c>
    </row>
    <row r="27" spans="1:67" x14ac:dyDescent="0.25">
      <c r="A27">
        <v>24</v>
      </c>
      <c r="B27">
        <v>10007</v>
      </c>
      <c r="C27" t="str">
        <f>VLOOKUP(B27,[1]resources!$A$2:$D$300,3,FALSE)</f>
        <v>!!FOOD_PEACH</v>
      </c>
      <c r="D27">
        <v>1</v>
      </c>
      <c r="E27" t="str">
        <f>VLOOKUP(D27,[1]bonus_paytable!$A$2:$D$300,3,FALSE)</f>
        <v>base</v>
      </c>
      <c r="F27">
        <v>-1</v>
      </c>
      <c r="G27">
        <v>-1</v>
      </c>
      <c r="H27">
        <v>0.5</v>
      </c>
      <c r="I27" t="s">
        <v>0</v>
      </c>
      <c r="J27">
        <v>3</v>
      </c>
      <c r="K27">
        <v>3</v>
      </c>
      <c r="L27">
        <v>3</v>
      </c>
      <c r="M27">
        <v>-1</v>
      </c>
      <c r="N27">
        <v>-1</v>
      </c>
      <c r="O27">
        <v>-1</v>
      </c>
      <c r="P27">
        <v>-1</v>
      </c>
      <c r="Q27">
        <v>-1</v>
      </c>
      <c r="R27">
        <v>-1</v>
      </c>
      <c r="S27">
        <v>-1</v>
      </c>
      <c r="T27">
        <v>-1</v>
      </c>
      <c r="U27">
        <v>0.5</v>
      </c>
      <c r="V27">
        <v>0.4</v>
      </c>
      <c r="W27">
        <v>0.1</v>
      </c>
      <c r="X27">
        <v>-1</v>
      </c>
      <c r="Y27">
        <v>-1</v>
      </c>
      <c r="Z27">
        <v>-1</v>
      </c>
      <c r="AA27">
        <v>-1</v>
      </c>
      <c r="AB27">
        <v>-1</v>
      </c>
      <c r="AC27">
        <v>-1</v>
      </c>
      <c r="AD27">
        <v>-1</v>
      </c>
      <c r="AE27">
        <v>-1</v>
      </c>
      <c r="AF27">
        <v>2</v>
      </c>
      <c r="AG27">
        <v>5</v>
      </c>
      <c r="AH27">
        <v>10</v>
      </c>
      <c r="AI27">
        <v>-1</v>
      </c>
      <c r="AJ27">
        <v>-1</v>
      </c>
      <c r="AK27">
        <v>-1</v>
      </c>
      <c r="AL27">
        <v>-1</v>
      </c>
      <c r="AM27">
        <v>-1</v>
      </c>
      <c r="AN27">
        <v>-1</v>
      </c>
      <c r="AO27">
        <v>-1</v>
      </c>
      <c r="AP27">
        <v>-1</v>
      </c>
      <c r="AQ27">
        <v>0.5</v>
      </c>
      <c r="AR27" t="s">
        <v>0</v>
      </c>
      <c r="AS27">
        <v>5</v>
      </c>
      <c r="AT27">
        <v>5</v>
      </c>
      <c r="AU27">
        <v>5</v>
      </c>
      <c r="AV27">
        <v>0.5</v>
      </c>
      <c r="AW27">
        <v>0.4</v>
      </c>
      <c r="AX27">
        <v>0.1</v>
      </c>
      <c r="AY27">
        <v>1</v>
      </c>
      <c r="AZ27">
        <v>2</v>
      </c>
      <c r="BA27">
        <v>5</v>
      </c>
      <c r="BB27">
        <v>0</v>
      </c>
      <c r="BC27" t="s">
        <v>2</v>
      </c>
      <c r="BD27">
        <v>-1</v>
      </c>
      <c r="BE27">
        <v>-1</v>
      </c>
      <c r="BF27">
        <v>-1</v>
      </c>
      <c r="BG27">
        <v>-1</v>
      </c>
      <c r="BH27">
        <v>-1</v>
      </c>
      <c r="BI27">
        <v>-1</v>
      </c>
      <c r="BJ27">
        <v>-1</v>
      </c>
      <c r="BK27">
        <v>-1</v>
      </c>
      <c r="BL27">
        <v>-1</v>
      </c>
      <c r="BM27">
        <v>-1</v>
      </c>
      <c r="BN27">
        <v>-1</v>
      </c>
      <c r="BO27">
        <v>-1</v>
      </c>
    </row>
    <row r="28" spans="1:67" x14ac:dyDescent="0.25">
      <c r="A28">
        <v>25</v>
      </c>
      <c r="B28">
        <v>20000</v>
      </c>
      <c r="C28" t="str">
        <f>VLOOKUP(B28,[1]resources!$A$2:$D$300,3,FALSE)</f>
        <v>!!JUICE_APPLE</v>
      </c>
      <c r="D28">
        <v>1</v>
      </c>
      <c r="E28" t="str">
        <f>VLOOKUP(D28,[1]bonus_paytable!$A$2:$D$300,3,FALSE)</f>
        <v>base</v>
      </c>
      <c r="F28">
        <v>-1</v>
      </c>
      <c r="G28">
        <v>-1</v>
      </c>
      <c r="H28">
        <v>0.5</v>
      </c>
      <c r="I28" t="s">
        <v>0</v>
      </c>
      <c r="J28">
        <v>3</v>
      </c>
      <c r="K28">
        <v>3</v>
      </c>
      <c r="L28">
        <v>3</v>
      </c>
      <c r="M28">
        <v>-1</v>
      </c>
      <c r="N28">
        <v>-1</v>
      </c>
      <c r="O28">
        <v>-1</v>
      </c>
      <c r="P28">
        <v>-1</v>
      </c>
      <c r="Q28">
        <v>-1</v>
      </c>
      <c r="R28">
        <v>-1</v>
      </c>
      <c r="S28">
        <v>-1</v>
      </c>
      <c r="T28">
        <v>-1</v>
      </c>
      <c r="U28">
        <v>0.5</v>
      </c>
      <c r="V28">
        <v>0.4</v>
      </c>
      <c r="W28">
        <v>0.1</v>
      </c>
      <c r="X28">
        <v>-1</v>
      </c>
      <c r="Y28">
        <v>-1</v>
      </c>
      <c r="Z28">
        <v>-1</v>
      </c>
      <c r="AA28">
        <v>-1</v>
      </c>
      <c r="AB28">
        <v>-1</v>
      </c>
      <c r="AC28">
        <v>-1</v>
      </c>
      <c r="AD28">
        <v>-1</v>
      </c>
      <c r="AE28">
        <v>-1</v>
      </c>
      <c r="AF28">
        <v>2</v>
      </c>
      <c r="AG28">
        <v>5</v>
      </c>
      <c r="AH28">
        <v>10</v>
      </c>
      <c r="AI28">
        <v>-1</v>
      </c>
      <c r="AJ28">
        <v>-1</v>
      </c>
      <c r="AK28">
        <v>-1</v>
      </c>
      <c r="AL28">
        <v>-1</v>
      </c>
      <c r="AM28">
        <v>-1</v>
      </c>
      <c r="AN28">
        <v>-1</v>
      </c>
      <c r="AO28">
        <v>-1</v>
      </c>
      <c r="AP28">
        <v>-1</v>
      </c>
      <c r="AQ28">
        <v>0.5</v>
      </c>
      <c r="AR28" t="s">
        <v>0</v>
      </c>
      <c r="AS28">
        <v>5</v>
      </c>
      <c r="AT28">
        <v>5</v>
      </c>
      <c r="AU28">
        <v>5</v>
      </c>
      <c r="AV28">
        <v>0.5</v>
      </c>
      <c r="AW28">
        <v>0.4</v>
      </c>
      <c r="AX28">
        <v>0.1</v>
      </c>
      <c r="AY28">
        <v>1</v>
      </c>
      <c r="AZ28">
        <v>2</v>
      </c>
      <c r="BA28">
        <v>5</v>
      </c>
      <c r="BB28">
        <v>0</v>
      </c>
      <c r="BC28" t="s">
        <v>2</v>
      </c>
      <c r="BD28">
        <v>-1</v>
      </c>
      <c r="BE28">
        <v>-1</v>
      </c>
      <c r="BF28">
        <v>-1</v>
      </c>
      <c r="BG28">
        <v>-1</v>
      </c>
      <c r="BH28">
        <v>-1</v>
      </c>
      <c r="BI28">
        <v>-1</v>
      </c>
      <c r="BJ28">
        <v>-1</v>
      </c>
      <c r="BK28">
        <v>-1</v>
      </c>
      <c r="BL28">
        <v>-1</v>
      </c>
      <c r="BM28">
        <v>-1</v>
      </c>
      <c r="BN28">
        <v>-1</v>
      </c>
      <c r="BO28">
        <v>-1</v>
      </c>
    </row>
    <row r="29" spans="1:67" x14ac:dyDescent="0.25">
      <c r="A29">
        <v>26</v>
      </c>
      <c r="B29">
        <v>20001</v>
      </c>
      <c r="C29" t="str">
        <f>VLOOKUP(B29,[1]resources!$A$2:$D$300,3,FALSE)</f>
        <v>!!JUICE_LEMONADE</v>
      </c>
      <c r="D29">
        <v>1</v>
      </c>
      <c r="E29" t="str">
        <f>VLOOKUP(D29,[1]bonus_paytable!$A$2:$D$300,3,FALSE)</f>
        <v>base</v>
      </c>
      <c r="F29">
        <v>-1</v>
      </c>
      <c r="G29">
        <v>-1</v>
      </c>
      <c r="H29">
        <v>0.5</v>
      </c>
      <c r="I29" t="s">
        <v>0</v>
      </c>
      <c r="J29">
        <v>3</v>
      </c>
      <c r="K29">
        <v>3</v>
      </c>
      <c r="L29">
        <v>3</v>
      </c>
      <c r="M29">
        <v>-1</v>
      </c>
      <c r="N29">
        <v>-1</v>
      </c>
      <c r="O29">
        <v>-1</v>
      </c>
      <c r="P29">
        <v>-1</v>
      </c>
      <c r="Q29">
        <v>-1</v>
      </c>
      <c r="R29">
        <v>-1</v>
      </c>
      <c r="S29">
        <v>-1</v>
      </c>
      <c r="T29">
        <v>-1</v>
      </c>
      <c r="U29">
        <v>0.5</v>
      </c>
      <c r="V29">
        <v>0.4</v>
      </c>
      <c r="W29">
        <v>0.1</v>
      </c>
      <c r="X29">
        <v>-1</v>
      </c>
      <c r="Y29">
        <v>-1</v>
      </c>
      <c r="Z29">
        <v>-1</v>
      </c>
      <c r="AA29">
        <v>-1</v>
      </c>
      <c r="AB29">
        <v>-1</v>
      </c>
      <c r="AC29">
        <v>-1</v>
      </c>
      <c r="AD29">
        <v>-1</v>
      </c>
      <c r="AE29">
        <v>-1</v>
      </c>
      <c r="AF29">
        <v>2</v>
      </c>
      <c r="AG29">
        <v>5</v>
      </c>
      <c r="AH29">
        <v>10</v>
      </c>
      <c r="AI29">
        <v>-1</v>
      </c>
      <c r="AJ29">
        <v>-1</v>
      </c>
      <c r="AK29">
        <v>-1</v>
      </c>
      <c r="AL29">
        <v>-1</v>
      </c>
      <c r="AM29">
        <v>-1</v>
      </c>
      <c r="AN29">
        <v>-1</v>
      </c>
      <c r="AO29">
        <v>-1</v>
      </c>
      <c r="AP29">
        <v>-1</v>
      </c>
      <c r="AQ29">
        <v>0.5</v>
      </c>
      <c r="AR29" t="s">
        <v>0</v>
      </c>
      <c r="AS29">
        <v>5</v>
      </c>
      <c r="AT29">
        <v>5</v>
      </c>
      <c r="AU29">
        <v>5</v>
      </c>
      <c r="AV29">
        <v>0.5</v>
      </c>
      <c r="AW29">
        <v>0.4</v>
      </c>
      <c r="AX29">
        <v>0.1</v>
      </c>
      <c r="AY29">
        <v>1</v>
      </c>
      <c r="AZ29">
        <v>2</v>
      </c>
      <c r="BA29">
        <v>5</v>
      </c>
      <c r="BB29">
        <v>0</v>
      </c>
      <c r="BC29" t="s">
        <v>2</v>
      </c>
      <c r="BD29">
        <v>-1</v>
      </c>
      <c r="BE29">
        <v>-1</v>
      </c>
      <c r="BF29">
        <v>-1</v>
      </c>
      <c r="BG29">
        <v>-1</v>
      </c>
      <c r="BH29">
        <v>-1</v>
      </c>
      <c r="BI29">
        <v>-1</v>
      </c>
      <c r="BJ29">
        <v>-1</v>
      </c>
      <c r="BK29">
        <v>-1</v>
      </c>
      <c r="BL29">
        <v>-1</v>
      </c>
      <c r="BM29">
        <v>-1</v>
      </c>
      <c r="BN29">
        <v>-1</v>
      </c>
      <c r="BO29">
        <v>-1</v>
      </c>
    </row>
    <row r="30" spans="1:67" x14ac:dyDescent="0.25">
      <c r="A30">
        <v>27</v>
      </c>
      <c r="B30">
        <v>20002</v>
      </c>
      <c r="C30" t="str">
        <f>VLOOKUP(B30,[1]resources!$A$2:$D$300,3,FALSE)</f>
        <v>!!JUICE_LIMEADE</v>
      </c>
      <c r="D30">
        <v>1</v>
      </c>
      <c r="E30" t="str">
        <f>VLOOKUP(D30,[1]bonus_paytable!$A$2:$D$300,3,FALSE)</f>
        <v>base</v>
      </c>
      <c r="F30">
        <v>-1</v>
      </c>
      <c r="G30">
        <v>-1</v>
      </c>
      <c r="H30">
        <v>0.5</v>
      </c>
      <c r="I30" t="s">
        <v>0</v>
      </c>
      <c r="J30">
        <v>3</v>
      </c>
      <c r="K30">
        <v>3</v>
      </c>
      <c r="L30">
        <v>3</v>
      </c>
      <c r="M30">
        <v>-1</v>
      </c>
      <c r="N30">
        <v>-1</v>
      </c>
      <c r="O30">
        <v>-1</v>
      </c>
      <c r="P30">
        <v>-1</v>
      </c>
      <c r="Q30">
        <v>-1</v>
      </c>
      <c r="R30">
        <v>-1</v>
      </c>
      <c r="S30">
        <v>-1</v>
      </c>
      <c r="T30">
        <v>-1</v>
      </c>
      <c r="U30">
        <v>0.5</v>
      </c>
      <c r="V30">
        <v>0.4</v>
      </c>
      <c r="W30">
        <v>0.1</v>
      </c>
      <c r="X30">
        <v>-1</v>
      </c>
      <c r="Y30">
        <v>-1</v>
      </c>
      <c r="Z30">
        <v>-1</v>
      </c>
      <c r="AA30">
        <v>-1</v>
      </c>
      <c r="AB30">
        <v>-1</v>
      </c>
      <c r="AC30">
        <v>-1</v>
      </c>
      <c r="AD30">
        <v>-1</v>
      </c>
      <c r="AE30">
        <v>-1</v>
      </c>
      <c r="AF30">
        <v>2</v>
      </c>
      <c r="AG30">
        <v>5</v>
      </c>
      <c r="AH30">
        <v>10</v>
      </c>
      <c r="AI30">
        <v>-1</v>
      </c>
      <c r="AJ30">
        <v>-1</v>
      </c>
      <c r="AK30">
        <v>-1</v>
      </c>
      <c r="AL30">
        <v>-1</v>
      </c>
      <c r="AM30">
        <v>-1</v>
      </c>
      <c r="AN30">
        <v>-1</v>
      </c>
      <c r="AO30">
        <v>-1</v>
      </c>
      <c r="AP30">
        <v>-1</v>
      </c>
      <c r="AQ30">
        <v>0.5</v>
      </c>
      <c r="AR30" t="s">
        <v>0</v>
      </c>
      <c r="AS30">
        <v>5</v>
      </c>
      <c r="AT30">
        <v>5</v>
      </c>
      <c r="AU30">
        <v>5</v>
      </c>
      <c r="AV30">
        <v>0.5</v>
      </c>
      <c r="AW30">
        <v>0.4</v>
      </c>
      <c r="AX30">
        <v>0.1</v>
      </c>
      <c r="AY30">
        <v>1</v>
      </c>
      <c r="AZ30">
        <v>2</v>
      </c>
      <c r="BA30">
        <v>5</v>
      </c>
      <c r="BB30">
        <v>0</v>
      </c>
      <c r="BC30" t="s">
        <v>2</v>
      </c>
      <c r="BD30">
        <v>-1</v>
      </c>
      <c r="BE30">
        <v>-1</v>
      </c>
      <c r="BF30">
        <v>-1</v>
      </c>
      <c r="BG30">
        <v>-1</v>
      </c>
      <c r="BH30">
        <v>-1</v>
      </c>
      <c r="BI30">
        <v>-1</v>
      </c>
      <c r="BJ30">
        <v>-1</v>
      </c>
      <c r="BK30">
        <v>-1</v>
      </c>
      <c r="BL30">
        <v>-1</v>
      </c>
      <c r="BM30">
        <v>-1</v>
      </c>
      <c r="BN30">
        <v>-1</v>
      </c>
      <c r="BO30">
        <v>-1</v>
      </c>
    </row>
    <row r="31" spans="1:67" x14ac:dyDescent="0.25">
      <c r="A31">
        <v>28</v>
      </c>
      <c r="B31">
        <v>20003</v>
      </c>
      <c r="C31" t="str">
        <f>VLOOKUP(B31,[1]resources!$A$2:$D$300,3,FALSE)</f>
        <v>!!JUICE_ORANGE</v>
      </c>
      <c r="D31">
        <v>1</v>
      </c>
      <c r="E31" t="str">
        <f>VLOOKUP(D31,[1]bonus_paytable!$A$2:$D$300,3,FALSE)</f>
        <v>base</v>
      </c>
      <c r="F31">
        <v>-1</v>
      </c>
      <c r="G31">
        <v>-1</v>
      </c>
      <c r="H31">
        <v>0.5</v>
      </c>
      <c r="I31" t="s">
        <v>0</v>
      </c>
      <c r="J31">
        <v>3</v>
      </c>
      <c r="K31">
        <v>3</v>
      </c>
      <c r="L31">
        <v>3</v>
      </c>
      <c r="M31">
        <v>-1</v>
      </c>
      <c r="N31">
        <v>-1</v>
      </c>
      <c r="O31">
        <v>-1</v>
      </c>
      <c r="P31">
        <v>-1</v>
      </c>
      <c r="Q31">
        <v>-1</v>
      </c>
      <c r="R31">
        <v>-1</v>
      </c>
      <c r="S31">
        <v>-1</v>
      </c>
      <c r="T31">
        <v>-1</v>
      </c>
      <c r="U31">
        <v>0.5</v>
      </c>
      <c r="V31">
        <v>0.4</v>
      </c>
      <c r="W31">
        <v>0.1</v>
      </c>
      <c r="X31">
        <v>-1</v>
      </c>
      <c r="Y31">
        <v>-1</v>
      </c>
      <c r="Z31">
        <v>-1</v>
      </c>
      <c r="AA31">
        <v>-1</v>
      </c>
      <c r="AB31">
        <v>-1</v>
      </c>
      <c r="AC31">
        <v>-1</v>
      </c>
      <c r="AD31">
        <v>-1</v>
      </c>
      <c r="AE31">
        <v>-1</v>
      </c>
      <c r="AF31">
        <v>2</v>
      </c>
      <c r="AG31">
        <v>5</v>
      </c>
      <c r="AH31">
        <v>10</v>
      </c>
      <c r="AI31">
        <v>-1</v>
      </c>
      <c r="AJ31">
        <v>-1</v>
      </c>
      <c r="AK31">
        <v>-1</v>
      </c>
      <c r="AL31">
        <v>-1</v>
      </c>
      <c r="AM31">
        <v>-1</v>
      </c>
      <c r="AN31">
        <v>-1</v>
      </c>
      <c r="AO31">
        <v>-1</v>
      </c>
      <c r="AP31">
        <v>-1</v>
      </c>
      <c r="AQ31">
        <v>0.5</v>
      </c>
      <c r="AR31" t="s">
        <v>0</v>
      </c>
      <c r="AS31">
        <v>5</v>
      </c>
      <c r="AT31">
        <v>5</v>
      </c>
      <c r="AU31">
        <v>5</v>
      </c>
      <c r="AV31">
        <v>0.5</v>
      </c>
      <c r="AW31">
        <v>0.4</v>
      </c>
      <c r="AX31">
        <v>0.1</v>
      </c>
      <c r="AY31">
        <v>1</v>
      </c>
      <c r="AZ31">
        <v>2</v>
      </c>
      <c r="BA31">
        <v>5</v>
      </c>
      <c r="BB31">
        <v>0</v>
      </c>
      <c r="BC31" t="s">
        <v>2</v>
      </c>
      <c r="BD31">
        <v>-1</v>
      </c>
      <c r="BE31">
        <v>-1</v>
      </c>
      <c r="BF31">
        <v>-1</v>
      </c>
      <c r="BG31">
        <v>-1</v>
      </c>
      <c r="BH31">
        <v>-1</v>
      </c>
      <c r="BI31">
        <v>-1</v>
      </c>
      <c r="BJ31">
        <v>-1</v>
      </c>
      <c r="BK31">
        <v>-1</v>
      </c>
      <c r="BL31">
        <v>-1</v>
      </c>
      <c r="BM31">
        <v>-1</v>
      </c>
      <c r="BN31">
        <v>-1</v>
      </c>
      <c r="BO31">
        <v>-1</v>
      </c>
    </row>
    <row r="32" spans="1:67" x14ac:dyDescent="0.25">
      <c r="A32">
        <v>29</v>
      </c>
      <c r="B32">
        <v>20004</v>
      </c>
      <c r="C32" t="str">
        <f>VLOOKUP(B32,[1]resources!$A$2:$D$300,3,FALSE)</f>
        <v>!!JUICE_PEACHNECTAR</v>
      </c>
      <c r="D32">
        <v>1</v>
      </c>
      <c r="E32" t="str">
        <f>VLOOKUP(D32,[1]bonus_paytable!$A$2:$D$300,3,FALSE)</f>
        <v>base</v>
      </c>
      <c r="F32">
        <v>-1</v>
      </c>
      <c r="G32">
        <v>-1</v>
      </c>
      <c r="H32">
        <v>0.5</v>
      </c>
      <c r="I32" t="s">
        <v>0</v>
      </c>
      <c r="J32">
        <v>3</v>
      </c>
      <c r="K32">
        <v>3</v>
      </c>
      <c r="L32">
        <v>3</v>
      </c>
      <c r="M32">
        <v>-1</v>
      </c>
      <c r="N32">
        <v>-1</v>
      </c>
      <c r="O32">
        <v>-1</v>
      </c>
      <c r="P32">
        <v>-1</v>
      </c>
      <c r="Q32">
        <v>-1</v>
      </c>
      <c r="R32">
        <v>-1</v>
      </c>
      <c r="S32">
        <v>-1</v>
      </c>
      <c r="T32">
        <v>-1</v>
      </c>
      <c r="U32">
        <v>0.5</v>
      </c>
      <c r="V32">
        <v>0.4</v>
      </c>
      <c r="W32">
        <v>0.1</v>
      </c>
      <c r="X32">
        <v>-1</v>
      </c>
      <c r="Y32">
        <v>-1</v>
      </c>
      <c r="Z32">
        <v>-1</v>
      </c>
      <c r="AA32">
        <v>-1</v>
      </c>
      <c r="AB32">
        <v>-1</v>
      </c>
      <c r="AC32">
        <v>-1</v>
      </c>
      <c r="AD32">
        <v>-1</v>
      </c>
      <c r="AE32">
        <v>-1</v>
      </c>
      <c r="AF32">
        <v>2</v>
      </c>
      <c r="AG32">
        <v>5</v>
      </c>
      <c r="AH32">
        <v>10</v>
      </c>
      <c r="AI32">
        <v>-1</v>
      </c>
      <c r="AJ32">
        <v>-1</v>
      </c>
      <c r="AK32">
        <v>-1</v>
      </c>
      <c r="AL32">
        <v>-1</v>
      </c>
      <c r="AM32">
        <v>-1</v>
      </c>
      <c r="AN32">
        <v>-1</v>
      </c>
      <c r="AO32">
        <v>-1</v>
      </c>
      <c r="AP32">
        <v>-1</v>
      </c>
      <c r="AQ32">
        <v>0.5</v>
      </c>
      <c r="AR32" t="s">
        <v>0</v>
      </c>
      <c r="AS32">
        <v>5</v>
      </c>
      <c r="AT32">
        <v>5</v>
      </c>
      <c r="AU32">
        <v>5</v>
      </c>
      <c r="AV32">
        <v>0.5</v>
      </c>
      <c r="AW32">
        <v>0.4</v>
      </c>
      <c r="AX32">
        <v>0.1</v>
      </c>
      <c r="AY32">
        <v>1</v>
      </c>
      <c r="AZ32">
        <v>2</v>
      </c>
      <c r="BA32">
        <v>5</v>
      </c>
      <c r="BB32">
        <v>0</v>
      </c>
      <c r="BC32" t="s">
        <v>2</v>
      </c>
      <c r="BD32">
        <v>-1</v>
      </c>
      <c r="BE32">
        <v>-1</v>
      </c>
      <c r="BF32">
        <v>-1</v>
      </c>
      <c r="BG32">
        <v>-1</v>
      </c>
      <c r="BH32">
        <v>-1</v>
      </c>
      <c r="BI32">
        <v>-1</v>
      </c>
      <c r="BJ32">
        <v>-1</v>
      </c>
      <c r="BK32">
        <v>-1</v>
      </c>
      <c r="BL32">
        <v>-1</v>
      </c>
      <c r="BM32">
        <v>-1</v>
      </c>
      <c r="BN32">
        <v>-1</v>
      </c>
      <c r="BO32">
        <v>-1</v>
      </c>
    </row>
    <row r="33" spans="1:67" x14ac:dyDescent="0.25">
      <c r="A33">
        <v>30</v>
      </c>
      <c r="B33">
        <v>30000</v>
      </c>
      <c r="C33" t="str">
        <f>VLOOKUP(B33,[1]resources!$A$2:$D$300,3,FALSE)</f>
        <v>!!SMOOTHIE_BANANA_BREAKER</v>
      </c>
      <c r="D33">
        <v>1</v>
      </c>
      <c r="E33" t="str">
        <f>VLOOKUP(D33,[1]bonus_paytable!$A$2:$D$300,3,FALSE)</f>
        <v>base</v>
      </c>
      <c r="F33">
        <v>-1</v>
      </c>
      <c r="G33">
        <v>-1</v>
      </c>
      <c r="H33">
        <v>0.5</v>
      </c>
      <c r="I33" t="s">
        <v>0</v>
      </c>
      <c r="J33">
        <v>3</v>
      </c>
      <c r="K33">
        <v>3</v>
      </c>
      <c r="L33">
        <v>3</v>
      </c>
      <c r="M33">
        <v>-1</v>
      </c>
      <c r="N33">
        <v>-1</v>
      </c>
      <c r="O33">
        <v>-1</v>
      </c>
      <c r="P33">
        <v>-1</v>
      </c>
      <c r="Q33">
        <v>-1</v>
      </c>
      <c r="R33">
        <v>-1</v>
      </c>
      <c r="S33">
        <v>-1</v>
      </c>
      <c r="T33">
        <v>-1</v>
      </c>
      <c r="U33">
        <v>0.5</v>
      </c>
      <c r="V33">
        <v>0.4</v>
      </c>
      <c r="W33">
        <v>0.1</v>
      </c>
      <c r="X33">
        <v>-1</v>
      </c>
      <c r="Y33">
        <v>-1</v>
      </c>
      <c r="Z33">
        <v>-1</v>
      </c>
      <c r="AA33">
        <v>-1</v>
      </c>
      <c r="AB33">
        <v>-1</v>
      </c>
      <c r="AC33">
        <v>-1</v>
      </c>
      <c r="AD33">
        <v>-1</v>
      </c>
      <c r="AE33">
        <v>-1</v>
      </c>
      <c r="AF33">
        <v>2</v>
      </c>
      <c r="AG33">
        <v>5</v>
      </c>
      <c r="AH33">
        <v>10</v>
      </c>
      <c r="AI33">
        <v>-1</v>
      </c>
      <c r="AJ33">
        <v>-1</v>
      </c>
      <c r="AK33">
        <v>-1</v>
      </c>
      <c r="AL33">
        <v>-1</v>
      </c>
      <c r="AM33">
        <v>-1</v>
      </c>
      <c r="AN33">
        <v>-1</v>
      </c>
      <c r="AO33">
        <v>-1</v>
      </c>
      <c r="AP33">
        <v>-1</v>
      </c>
      <c r="AQ33">
        <v>0.5</v>
      </c>
      <c r="AR33" t="s">
        <v>0</v>
      </c>
      <c r="AS33">
        <v>5</v>
      </c>
      <c r="AT33">
        <v>5</v>
      </c>
      <c r="AU33">
        <v>5</v>
      </c>
      <c r="AV33">
        <v>0.5</v>
      </c>
      <c r="AW33">
        <v>0.4</v>
      </c>
      <c r="AX33">
        <v>0.1</v>
      </c>
      <c r="AY33">
        <v>1</v>
      </c>
      <c r="AZ33">
        <v>2</v>
      </c>
      <c r="BA33">
        <v>5</v>
      </c>
      <c r="BB33">
        <v>0</v>
      </c>
      <c r="BC33" t="s">
        <v>2</v>
      </c>
      <c r="BD33">
        <v>-1</v>
      </c>
      <c r="BE33">
        <v>-1</v>
      </c>
      <c r="BF33">
        <v>-1</v>
      </c>
      <c r="BG33">
        <v>-1</v>
      </c>
      <c r="BH33">
        <v>-1</v>
      </c>
      <c r="BI33">
        <v>-1</v>
      </c>
      <c r="BJ33">
        <v>-1</v>
      </c>
      <c r="BK33">
        <v>-1</v>
      </c>
      <c r="BL33">
        <v>-1</v>
      </c>
      <c r="BM33">
        <v>-1</v>
      </c>
      <c r="BN33">
        <v>-1</v>
      </c>
      <c r="BO33">
        <v>-1</v>
      </c>
    </row>
    <row r="34" spans="1:67" x14ac:dyDescent="0.25">
      <c r="A34">
        <v>31</v>
      </c>
      <c r="B34">
        <v>30001</v>
      </c>
      <c r="C34" t="str">
        <f>VLOOKUP(B34,[1]resources!$A$2:$D$300,3,FALSE)</f>
        <v>!!SMOOTHIE_BERRY_BLAST</v>
      </c>
      <c r="D34">
        <v>1</v>
      </c>
      <c r="E34" t="str">
        <f>VLOOKUP(D34,[1]bonus_paytable!$A$2:$D$300,3,FALSE)</f>
        <v>base</v>
      </c>
      <c r="F34">
        <v>-1</v>
      </c>
      <c r="G34">
        <v>-1</v>
      </c>
      <c r="H34">
        <v>0.5</v>
      </c>
      <c r="I34" t="s">
        <v>0</v>
      </c>
      <c r="J34">
        <v>3</v>
      </c>
      <c r="K34">
        <v>3</v>
      </c>
      <c r="L34">
        <v>3</v>
      </c>
      <c r="M34">
        <v>-1</v>
      </c>
      <c r="N34">
        <v>-1</v>
      </c>
      <c r="O34">
        <v>-1</v>
      </c>
      <c r="P34">
        <v>-1</v>
      </c>
      <c r="Q34">
        <v>-1</v>
      </c>
      <c r="R34">
        <v>-1</v>
      </c>
      <c r="S34">
        <v>-1</v>
      </c>
      <c r="T34">
        <v>-1</v>
      </c>
      <c r="U34">
        <v>0.5</v>
      </c>
      <c r="V34">
        <v>0.4</v>
      </c>
      <c r="W34">
        <v>0.1</v>
      </c>
      <c r="X34">
        <v>-1</v>
      </c>
      <c r="Y34">
        <v>-1</v>
      </c>
      <c r="Z34">
        <v>-1</v>
      </c>
      <c r="AA34">
        <v>-1</v>
      </c>
      <c r="AB34">
        <v>-1</v>
      </c>
      <c r="AC34">
        <v>-1</v>
      </c>
      <c r="AD34">
        <v>-1</v>
      </c>
      <c r="AE34">
        <v>-1</v>
      </c>
      <c r="AF34">
        <v>2</v>
      </c>
      <c r="AG34">
        <v>5</v>
      </c>
      <c r="AH34">
        <v>10</v>
      </c>
      <c r="AI34">
        <v>-1</v>
      </c>
      <c r="AJ34">
        <v>-1</v>
      </c>
      <c r="AK34">
        <v>-1</v>
      </c>
      <c r="AL34">
        <v>-1</v>
      </c>
      <c r="AM34">
        <v>-1</v>
      </c>
      <c r="AN34">
        <v>-1</v>
      </c>
      <c r="AO34">
        <v>-1</v>
      </c>
      <c r="AP34">
        <v>-1</v>
      </c>
      <c r="AQ34">
        <v>0.5</v>
      </c>
      <c r="AR34" t="s">
        <v>0</v>
      </c>
      <c r="AS34">
        <v>5</v>
      </c>
      <c r="AT34">
        <v>5</v>
      </c>
      <c r="AU34">
        <v>5</v>
      </c>
      <c r="AV34">
        <v>0.5</v>
      </c>
      <c r="AW34">
        <v>0.4</v>
      </c>
      <c r="AX34">
        <v>0.1</v>
      </c>
      <c r="AY34">
        <v>1</v>
      </c>
      <c r="AZ34">
        <v>2</v>
      </c>
      <c r="BA34">
        <v>5</v>
      </c>
      <c r="BB34">
        <v>0</v>
      </c>
      <c r="BC34" t="s">
        <v>2</v>
      </c>
      <c r="BD34">
        <v>-1</v>
      </c>
      <c r="BE34">
        <v>-1</v>
      </c>
      <c r="BF34">
        <v>-1</v>
      </c>
      <c r="BG34">
        <v>-1</v>
      </c>
      <c r="BH34">
        <v>-1</v>
      </c>
      <c r="BI34">
        <v>-1</v>
      </c>
      <c r="BJ34">
        <v>-1</v>
      </c>
      <c r="BK34">
        <v>-1</v>
      </c>
      <c r="BL34">
        <v>-1</v>
      </c>
      <c r="BM34">
        <v>-1</v>
      </c>
      <c r="BN34">
        <v>-1</v>
      </c>
      <c r="BO34">
        <v>-1</v>
      </c>
    </row>
    <row r="35" spans="1:67" x14ac:dyDescent="0.25">
      <c r="A35">
        <v>32</v>
      </c>
      <c r="B35">
        <v>30002</v>
      </c>
      <c r="C35" t="str">
        <f>VLOOKUP(B35,[1]resources!$A$2:$D$300,3,FALSE)</f>
        <v>!!SMOOTHIE_CHERRY_SLURVEY</v>
      </c>
      <c r="D35">
        <v>1</v>
      </c>
      <c r="E35" t="str">
        <f>VLOOKUP(D35,[1]bonus_paytable!$A$2:$D$300,3,FALSE)</f>
        <v>base</v>
      </c>
      <c r="F35">
        <v>-1</v>
      </c>
      <c r="G35">
        <v>-1</v>
      </c>
      <c r="H35">
        <v>0.5</v>
      </c>
      <c r="I35" t="s">
        <v>0</v>
      </c>
      <c r="J35">
        <v>3</v>
      </c>
      <c r="K35">
        <v>3</v>
      </c>
      <c r="L35">
        <v>3</v>
      </c>
      <c r="M35">
        <v>-1</v>
      </c>
      <c r="N35">
        <v>-1</v>
      </c>
      <c r="O35">
        <v>-1</v>
      </c>
      <c r="P35">
        <v>-1</v>
      </c>
      <c r="Q35">
        <v>-1</v>
      </c>
      <c r="R35">
        <v>-1</v>
      </c>
      <c r="S35">
        <v>-1</v>
      </c>
      <c r="T35">
        <v>-1</v>
      </c>
      <c r="U35">
        <v>0.5</v>
      </c>
      <c r="V35">
        <v>0.4</v>
      </c>
      <c r="W35">
        <v>0.1</v>
      </c>
      <c r="X35">
        <v>-1</v>
      </c>
      <c r="Y35">
        <v>-1</v>
      </c>
      <c r="Z35">
        <v>-1</v>
      </c>
      <c r="AA35">
        <v>-1</v>
      </c>
      <c r="AB35">
        <v>-1</v>
      </c>
      <c r="AC35">
        <v>-1</v>
      </c>
      <c r="AD35">
        <v>-1</v>
      </c>
      <c r="AE35">
        <v>-1</v>
      </c>
      <c r="AF35">
        <v>2</v>
      </c>
      <c r="AG35">
        <v>5</v>
      </c>
      <c r="AH35">
        <v>10</v>
      </c>
      <c r="AI35">
        <v>-1</v>
      </c>
      <c r="AJ35">
        <v>-1</v>
      </c>
      <c r="AK35">
        <v>-1</v>
      </c>
      <c r="AL35">
        <v>-1</v>
      </c>
      <c r="AM35">
        <v>-1</v>
      </c>
      <c r="AN35">
        <v>-1</v>
      </c>
      <c r="AO35">
        <v>-1</v>
      </c>
      <c r="AP35">
        <v>-1</v>
      </c>
      <c r="AQ35">
        <v>0.5</v>
      </c>
      <c r="AR35" t="s">
        <v>0</v>
      </c>
      <c r="AS35">
        <v>5</v>
      </c>
      <c r="AT35">
        <v>5</v>
      </c>
      <c r="AU35">
        <v>5</v>
      </c>
      <c r="AV35">
        <v>0.5</v>
      </c>
      <c r="AW35">
        <v>0.4</v>
      </c>
      <c r="AX35">
        <v>0.1</v>
      </c>
      <c r="AY35">
        <v>1</v>
      </c>
      <c r="AZ35">
        <v>2</v>
      </c>
      <c r="BA35">
        <v>5</v>
      </c>
      <c r="BB35">
        <v>0</v>
      </c>
      <c r="BC35" t="s">
        <v>2</v>
      </c>
      <c r="BD35">
        <v>-1</v>
      </c>
      <c r="BE35">
        <v>-1</v>
      </c>
      <c r="BF35">
        <v>-1</v>
      </c>
      <c r="BG35">
        <v>-1</v>
      </c>
      <c r="BH35">
        <v>-1</v>
      </c>
      <c r="BI35">
        <v>-1</v>
      </c>
      <c r="BJ35">
        <v>-1</v>
      </c>
      <c r="BK35">
        <v>-1</v>
      </c>
      <c r="BL35">
        <v>-1</v>
      </c>
      <c r="BM35">
        <v>-1</v>
      </c>
      <c r="BN35">
        <v>-1</v>
      </c>
      <c r="BO35">
        <v>-1</v>
      </c>
    </row>
    <row r="36" spans="1:67" x14ac:dyDescent="0.25">
      <c r="A36">
        <v>33</v>
      </c>
      <c r="B36">
        <v>30003</v>
      </c>
      <c r="C36" t="str">
        <f>VLOOKUP(B36,[1]resources!$A$2:$D$300,3,FALSE)</f>
        <v>!!SMOOTHIE_CHERRYADE_CHILLER</v>
      </c>
      <c r="D36">
        <v>1</v>
      </c>
      <c r="E36" t="str">
        <f>VLOOKUP(D36,[1]bonus_paytable!$A$2:$D$300,3,FALSE)</f>
        <v>base</v>
      </c>
      <c r="F36">
        <v>-1</v>
      </c>
      <c r="G36">
        <v>-1</v>
      </c>
      <c r="H36">
        <v>0.5</v>
      </c>
      <c r="I36" t="s">
        <v>0</v>
      </c>
      <c r="J36">
        <v>3</v>
      </c>
      <c r="K36">
        <v>3</v>
      </c>
      <c r="L36">
        <v>3</v>
      </c>
      <c r="M36">
        <v>-1</v>
      </c>
      <c r="N36">
        <v>-1</v>
      </c>
      <c r="O36">
        <v>-1</v>
      </c>
      <c r="P36">
        <v>-1</v>
      </c>
      <c r="Q36">
        <v>-1</v>
      </c>
      <c r="R36">
        <v>-1</v>
      </c>
      <c r="S36">
        <v>-1</v>
      </c>
      <c r="T36">
        <v>-1</v>
      </c>
      <c r="U36">
        <v>0.5</v>
      </c>
      <c r="V36">
        <v>0.4</v>
      </c>
      <c r="W36">
        <v>0.1</v>
      </c>
      <c r="X36">
        <v>-1</v>
      </c>
      <c r="Y36">
        <v>-1</v>
      </c>
      <c r="Z36">
        <v>-1</v>
      </c>
      <c r="AA36">
        <v>-1</v>
      </c>
      <c r="AB36">
        <v>-1</v>
      </c>
      <c r="AC36">
        <v>-1</v>
      </c>
      <c r="AD36">
        <v>-1</v>
      </c>
      <c r="AE36">
        <v>-1</v>
      </c>
      <c r="AF36">
        <v>2</v>
      </c>
      <c r="AG36">
        <v>5</v>
      </c>
      <c r="AH36">
        <v>10</v>
      </c>
      <c r="AI36">
        <v>-1</v>
      </c>
      <c r="AJ36">
        <v>-1</v>
      </c>
      <c r="AK36">
        <v>-1</v>
      </c>
      <c r="AL36">
        <v>-1</v>
      </c>
      <c r="AM36">
        <v>-1</v>
      </c>
      <c r="AN36">
        <v>-1</v>
      </c>
      <c r="AO36">
        <v>-1</v>
      </c>
      <c r="AP36">
        <v>-1</v>
      </c>
      <c r="AQ36">
        <v>0.5</v>
      </c>
      <c r="AR36" t="s">
        <v>0</v>
      </c>
      <c r="AS36">
        <v>5</v>
      </c>
      <c r="AT36">
        <v>5</v>
      </c>
      <c r="AU36">
        <v>5</v>
      </c>
      <c r="AV36">
        <v>0.5</v>
      </c>
      <c r="AW36">
        <v>0.4</v>
      </c>
      <c r="AX36">
        <v>0.1</v>
      </c>
      <c r="AY36">
        <v>1</v>
      </c>
      <c r="AZ36">
        <v>2</v>
      </c>
      <c r="BA36">
        <v>5</v>
      </c>
      <c r="BB36">
        <v>0</v>
      </c>
      <c r="BC36" t="s">
        <v>2</v>
      </c>
      <c r="BD36">
        <v>-1</v>
      </c>
      <c r="BE36">
        <v>-1</v>
      </c>
      <c r="BF36">
        <v>-1</v>
      </c>
      <c r="BG36">
        <v>-1</v>
      </c>
      <c r="BH36">
        <v>-1</v>
      </c>
      <c r="BI36">
        <v>-1</v>
      </c>
      <c r="BJ36">
        <v>-1</v>
      </c>
      <c r="BK36">
        <v>-1</v>
      </c>
      <c r="BL36">
        <v>-1</v>
      </c>
      <c r="BM36">
        <v>-1</v>
      </c>
      <c r="BN36">
        <v>-1</v>
      </c>
      <c r="BO36">
        <v>-1</v>
      </c>
    </row>
    <row r="37" spans="1:67" x14ac:dyDescent="0.25">
      <c r="A37">
        <v>34</v>
      </c>
      <c r="B37">
        <v>30004</v>
      </c>
      <c r="C37" t="str">
        <f>VLOOKUP(B37,[1]resources!$A$2:$D$300,3,FALSE)</f>
        <v>!!SMOOTHIE_CITRUS_SLURVEY</v>
      </c>
      <c r="D37">
        <v>1</v>
      </c>
      <c r="E37" t="str">
        <f>VLOOKUP(D37,[1]bonus_paytable!$A$2:$D$300,3,FALSE)</f>
        <v>base</v>
      </c>
      <c r="F37">
        <v>-1</v>
      </c>
      <c r="G37">
        <v>-1</v>
      </c>
      <c r="H37">
        <v>0.5</v>
      </c>
      <c r="I37" t="s">
        <v>0</v>
      </c>
      <c r="J37">
        <v>3</v>
      </c>
      <c r="K37">
        <v>3</v>
      </c>
      <c r="L37">
        <v>3</v>
      </c>
      <c r="M37">
        <v>-1</v>
      </c>
      <c r="N37">
        <v>-1</v>
      </c>
      <c r="O37">
        <v>-1</v>
      </c>
      <c r="P37">
        <v>-1</v>
      </c>
      <c r="Q37">
        <v>-1</v>
      </c>
      <c r="R37">
        <v>-1</v>
      </c>
      <c r="S37">
        <v>-1</v>
      </c>
      <c r="T37">
        <v>-1</v>
      </c>
      <c r="U37">
        <v>0.5</v>
      </c>
      <c r="V37">
        <v>0.4</v>
      </c>
      <c r="W37">
        <v>0.1</v>
      </c>
      <c r="X37">
        <v>-1</v>
      </c>
      <c r="Y37">
        <v>-1</v>
      </c>
      <c r="Z37">
        <v>-1</v>
      </c>
      <c r="AA37">
        <v>-1</v>
      </c>
      <c r="AB37">
        <v>-1</v>
      </c>
      <c r="AC37">
        <v>-1</v>
      </c>
      <c r="AD37">
        <v>-1</v>
      </c>
      <c r="AE37">
        <v>-1</v>
      </c>
      <c r="AF37">
        <v>2</v>
      </c>
      <c r="AG37">
        <v>5</v>
      </c>
      <c r="AH37">
        <v>10</v>
      </c>
      <c r="AI37">
        <v>-1</v>
      </c>
      <c r="AJ37">
        <v>-1</v>
      </c>
      <c r="AK37">
        <v>-1</v>
      </c>
      <c r="AL37">
        <v>-1</v>
      </c>
      <c r="AM37">
        <v>-1</v>
      </c>
      <c r="AN37">
        <v>-1</v>
      </c>
      <c r="AO37">
        <v>-1</v>
      </c>
      <c r="AP37">
        <v>-1</v>
      </c>
      <c r="AQ37">
        <v>0.5</v>
      </c>
      <c r="AR37" t="s">
        <v>0</v>
      </c>
      <c r="AS37">
        <v>5</v>
      </c>
      <c r="AT37">
        <v>5</v>
      </c>
      <c r="AU37">
        <v>5</v>
      </c>
      <c r="AV37">
        <v>0.5</v>
      </c>
      <c r="AW37">
        <v>0.4</v>
      </c>
      <c r="AX37">
        <v>0.1</v>
      </c>
      <c r="AY37">
        <v>1</v>
      </c>
      <c r="AZ37">
        <v>2</v>
      </c>
      <c r="BA37">
        <v>5</v>
      </c>
      <c r="BB37">
        <v>0</v>
      </c>
      <c r="BC37" t="s">
        <v>2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-1</v>
      </c>
      <c r="BJ37">
        <v>-1</v>
      </c>
      <c r="BK37">
        <v>-1</v>
      </c>
      <c r="BL37">
        <v>-1</v>
      </c>
      <c r="BM37">
        <v>-1</v>
      </c>
      <c r="BN37">
        <v>-1</v>
      </c>
      <c r="BO37">
        <v>-1</v>
      </c>
    </row>
    <row r="38" spans="1:67" x14ac:dyDescent="0.25">
      <c r="A38">
        <v>35</v>
      </c>
      <c r="B38">
        <v>30005</v>
      </c>
      <c r="C38" t="str">
        <f>VLOOKUP(B38,[1]resources!$A$2:$D$300,3,FALSE)</f>
        <v>!!SMOOTHIE_HANG_8</v>
      </c>
      <c r="D38">
        <v>1</v>
      </c>
      <c r="E38" t="str">
        <f>VLOOKUP(D38,[1]bonus_paytable!$A$2:$D$300,3,FALSE)</f>
        <v>base</v>
      </c>
      <c r="F38">
        <v>-1</v>
      </c>
      <c r="G38">
        <v>-1</v>
      </c>
      <c r="H38">
        <v>0.5</v>
      </c>
      <c r="I38" t="s">
        <v>0</v>
      </c>
      <c r="J38">
        <v>3</v>
      </c>
      <c r="K38">
        <v>3</v>
      </c>
      <c r="L38">
        <v>3</v>
      </c>
      <c r="M38">
        <v>-1</v>
      </c>
      <c r="N38">
        <v>-1</v>
      </c>
      <c r="O38">
        <v>-1</v>
      </c>
      <c r="P38">
        <v>-1</v>
      </c>
      <c r="Q38">
        <v>-1</v>
      </c>
      <c r="R38">
        <v>-1</v>
      </c>
      <c r="S38">
        <v>-1</v>
      </c>
      <c r="T38">
        <v>-1</v>
      </c>
      <c r="U38">
        <v>0.5</v>
      </c>
      <c r="V38">
        <v>0.4</v>
      </c>
      <c r="W38">
        <v>0.1</v>
      </c>
      <c r="X38">
        <v>-1</v>
      </c>
      <c r="Y38">
        <v>-1</v>
      </c>
      <c r="Z38">
        <v>-1</v>
      </c>
      <c r="AA38">
        <v>-1</v>
      </c>
      <c r="AB38">
        <v>-1</v>
      </c>
      <c r="AC38">
        <v>-1</v>
      </c>
      <c r="AD38">
        <v>-1</v>
      </c>
      <c r="AE38">
        <v>-1</v>
      </c>
      <c r="AF38">
        <v>2</v>
      </c>
      <c r="AG38">
        <v>5</v>
      </c>
      <c r="AH38">
        <v>10</v>
      </c>
      <c r="AI38">
        <v>-1</v>
      </c>
      <c r="AJ38">
        <v>-1</v>
      </c>
      <c r="AK38">
        <v>-1</v>
      </c>
      <c r="AL38">
        <v>-1</v>
      </c>
      <c r="AM38">
        <v>-1</v>
      </c>
      <c r="AN38">
        <v>-1</v>
      </c>
      <c r="AO38">
        <v>-1</v>
      </c>
      <c r="AP38">
        <v>-1</v>
      </c>
      <c r="AQ38">
        <v>0.5</v>
      </c>
      <c r="AR38" t="s">
        <v>0</v>
      </c>
      <c r="AS38">
        <v>5</v>
      </c>
      <c r="AT38">
        <v>5</v>
      </c>
      <c r="AU38">
        <v>5</v>
      </c>
      <c r="AV38">
        <v>0.5</v>
      </c>
      <c r="AW38">
        <v>0.4</v>
      </c>
      <c r="AX38">
        <v>0.1</v>
      </c>
      <c r="AY38">
        <v>1</v>
      </c>
      <c r="AZ38">
        <v>2</v>
      </c>
      <c r="BA38">
        <v>5</v>
      </c>
      <c r="BB38">
        <v>0</v>
      </c>
      <c r="BC38" t="s">
        <v>2</v>
      </c>
      <c r="BD38">
        <v>-1</v>
      </c>
      <c r="BE38">
        <v>-1</v>
      </c>
      <c r="BF38">
        <v>-1</v>
      </c>
      <c r="BG38">
        <v>-1</v>
      </c>
      <c r="BH38">
        <v>-1</v>
      </c>
      <c r="BI38">
        <v>-1</v>
      </c>
      <c r="BJ38">
        <v>-1</v>
      </c>
      <c r="BK38">
        <v>-1</v>
      </c>
      <c r="BL38">
        <v>-1</v>
      </c>
      <c r="BM38">
        <v>-1</v>
      </c>
      <c r="BN38">
        <v>-1</v>
      </c>
      <c r="BO38">
        <v>-1</v>
      </c>
    </row>
    <row r="39" spans="1:67" x14ac:dyDescent="0.25">
      <c r="A39">
        <v>36</v>
      </c>
      <c r="B39">
        <v>30006</v>
      </c>
      <c r="C39" t="str">
        <f>VLOOKUP(B39,[1]resources!$A$2:$D$300,3,FALSE)</f>
        <v>!!SMOOTHIE_LIQUID_COBBLER</v>
      </c>
      <c r="D39">
        <v>1</v>
      </c>
      <c r="E39" t="str">
        <f>VLOOKUP(D39,[1]bonus_paytable!$A$2:$D$300,3,FALSE)</f>
        <v>base</v>
      </c>
      <c r="F39">
        <v>-1</v>
      </c>
      <c r="G39">
        <v>-1</v>
      </c>
      <c r="H39">
        <v>0.5</v>
      </c>
      <c r="I39" t="s">
        <v>0</v>
      </c>
      <c r="J39">
        <v>3</v>
      </c>
      <c r="K39">
        <v>3</v>
      </c>
      <c r="L39">
        <v>3</v>
      </c>
      <c r="M39">
        <v>-1</v>
      </c>
      <c r="N39">
        <v>-1</v>
      </c>
      <c r="O39">
        <v>-1</v>
      </c>
      <c r="P39">
        <v>-1</v>
      </c>
      <c r="Q39">
        <v>-1</v>
      </c>
      <c r="R39">
        <v>-1</v>
      </c>
      <c r="S39">
        <v>-1</v>
      </c>
      <c r="T39">
        <v>-1</v>
      </c>
      <c r="U39">
        <v>0.5</v>
      </c>
      <c r="V39">
        <v>0.4</v>
      </c>
      <c r="W39">
        <v>0.1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v>2</v>
      </c>
      <c r="AG39">
        <v>5</v>
      </c>
      <c r="AH39">
        <v>10</v>
      </c>
      <c r="AI39">
        <v>-1</v>
      </c>
      <c r="AJ39">
        <v>-1</v>
      </c>
      <c r="AK39">
        <v>-1</v>
      </c>
      <c r="AL39">
        <v>-1</v>
      </c>
      <c r="AM39">
        <v>-1</v>
      </c>
      <c r="AN39">
        <v>-1</v>
      </c>
      <c r="AO39">
        <v>-1</v>
      </c>
      <c r="AP39">
        <v>-1</v>
      </c>
      <c r="AQ39">
        <v>0.5</v>
      </c>
      <c r="AR39" t="s">
        <v>0</v>
      </c>
      <c r="AS39">
        <v>5</v>
      </c>
      <c r="AT39">
        <v>5</v>
      </c>
      <c r="AU39">
        <v>5</v>
      </c>
      <c r="AV39">
        <v>0.5</v>
      </c>
      <c r="AW39">
        <v>0.4</v>
      </c>
      <c r="AX39">
        <v>0.1</v>
      </c>
      <c r="AY39">
        <v>1</v>
      </c>
      <c r="AZ39">
        <v>2</v>
      </c>
      <c r="BA39">
        <v>5</v>
      </c>
      <c r="BB39">
        <v>0</v>
      </c>
      <c r="BC39" t="s">
        <v>2</v>
      </c>
      <c r="BD39">
        <v>-1</v>
      </c>
      <c r="BE39">
        <v>-1</v>
      </c>
      <c r="BF39">
        <v>-1</v>
      </c>
      <c r="BG39">
        <v>-1</v>
      </c>
      <c r="BH39">
        <v>-1</v>
      </c>
      <c r="BI39">
        <v>-1</v>
      </c>
      <c r="BJ39">
        <v>-1</v>
      </c>
      <c r="BK39">
        <v>-1</v>
      </c>
      <c r="BL39">
        <v>-1</v>
      </c>
      <c r="BM39">
        <v>-1</v>
      </c>
      <c r="BN39">
        <v>-1</v>
      </c>
      <c r="BO39">
        <v>-1</v>
      </c>
    </row>
    <row r="40" spans="1:67" x14ac:dyDescent="0.25">
      <c r="A40">
        <v>37</v>
      </c>
      <c r="B40">
        <v>30007</v>
      </c>
      <c r="C40" t="str">
        <f>VLOOKUP(B40,[1]resources!$A$2:$D$300,3,FALSE)</f>
        <v>!!SMOOTHIE_NANNAS_C_SERENADE</v>
      </c>
      <c r="D40">
        <v>1</v>
      </c>
      <c r="E40" t="str">
        <f>VLOOKUP(D40,[1]bonus_paytable!$A$2:$D$300,3,FALSE)</f>
        <v>base</v>
      </c>
      <c r="F40">
        <v>-1</v>
      </c>
      <c r="G40">
        <v>-1</v>
      </c>
      <c r="H40">
        <v>0.5</v>
      </c>
      <c r="I40" t="s">
        <v>0</v>
      </c>
      <c r="J40">
        <v>3</v>
      </c>
      <c r="K40">
        <v>3</v>
      </c>
      <c r="L40">
        <v>3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0.5</v>
      </c>
      <c r="V40">
        <v>0.4</v>
      </c>
      <c r="W40">
        <v>0.1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2</v>
      </c>
      <c r="AG40">
        <v>5</v>
      </c>
      <c r="AH40">
        <v>10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0.5</v>
      </c>
      <c r="AR40" t="s">
        <v>0</v>
      </c>
      <c r="AS40">
        <v>5</v>
      </c>
      <c r="AT40">
        <v>5</v>
      </c>
      <c r="AU40">
        <v>5</v>
      </c>
      <c r="AV40">
        <v>0.5</v>
      </c>
      <c r="AW40">
        <v>0.4</v>
      </c>
      <c r="AX40">
        <v>0.1</v>
      </c>
      <c r="AY40">
        <v>1</v>
      </c>
      <c r="AZ40">
        <v>2</v>
      </c>
      <c r="BA40">
        <v>5</v>
      </c>
      <c r="BB40">
        <v>0</v>
      </c>
      <c r="BC40" t="s">
        <v>2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</row>
    <row r="41" spans="1:67" x14ac:dyDescent="0.25">
      <c r="A41">
        <v>38</v>
      </c>
      <c r="B41">
        <v>30008</v>
      </c>
      <c r="C41" t="str">
        <f>VLOOKUP(B41,[1]resources!$A$2:$D$300,3,FALSE)</f>
        <v>!!SMOOTHIE_ORANGE_NUT</v>
      </c>
      <c r="D41">
        <v>1</v>
      </c>
      <c r="E41" t="str">
        <f>VLOOKUP(D41,[1]bonus_paytable!$A$2:$D$300,3,FALSE)</f>
        <v>base</v>
      </c>
      <c r="F41">
        <v>-1</v>
      </c>
      <c r="G41">
        <v>-1</v>
      </c>
      <c r="H41">
        <v>0.5</v>
      </c>
      <c r="I41" t="s">
        <v>0</v>
      </c>
      <c r="J41">
        <v>3</v>
      </c>
      <c r="K41">
        <v>3</v>
      </c>
      <c r="L41">
        <v>3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-1</v>
      </c>
      <c r="S41">
        <v>-1</v>
      </c>
      <c r="T41">
        <v>-1</v>
      </c>
      <c r="U41">
        <v>0.5</v>
      </c>
      <c r="V41">
        <v>0.4</v>
      </c>
      <c r="W41">
        <v>0.1</v>
      </c>
      <c r="X41">
        <v>-1</v>
      </c>
      <c r="Y41">
        <v>-1</v>
      </c>
      <c r="Z41">
        <v>-1</v>
      </c>
      <c r="AA41">
        <v>-1</v>
      </c>
      <c r="AB41">
        <v>-1</v>
      </c>
      <c r="AC41">
        <v>-1</v>
      </c>
      <c r="AD41">
        <v>-1</v>
      </c>
      <c r="AE41">
        <v>-1</v>
      </c>
      <c r="AF41">
        <v>2</v>
      </c>
      <c r="AG41">
        <v>5</v>
      </c>
      <c r="AH41">
        <v>10</v>
      </c>
      <c r="AI41">
        <v>-1</v>
      </c>
      <c r="AJ41">
        <v>-1</v>
      </c>
      <c r="AK41">
        <v>-1</v>
      </c>
      <c r="AL41">
        <v>-1</v>
      </c>
      <c r="AM41">
        <v>-1</v>
      </c>
      <c r="AN41">
        <v>-1</v>
      </c>
      <c r="AO41">
        <v>-1</v>
      </c>
      <c r="AP41">
        <v>-1</v>
      </c>
      <c r="AQ41">
        <v>0.5</v>
      </c>
      <c r="AR41" t="s">
        <v>0</v>
      </c>
      <c r="AS41">
        <v>5</v>
      </c>
      <c r="AT41">
        <v>5</v>
      </c>
      <c r="AU41">
        <v>5</v>
      </c>
      <c r="AV41">
        <v>0.5</v>
      </c>
      <c r="AW41">
        <v>0.4</v>
      </c>
      <c r="AX41">
        <v>0.1</v>
      </c>
      <c r="AY41">
        <v>1</v>
      </c>
      <c r="AZ41">
        <v>2</v>
      </c>
      <c r="BA41">
        <v>5</v>
      </c>
      <c r="BB41">
        <v>0</v>
      </c>
      <c r="BC41" t="s">
        <v>2</v>
      </c>
      <c r="BD41">
        <v>-1</v>
      </c>
      <c r="BE41">
        <v>-1</v>
      </c>
      <c r="BF41">
        <v>-1</v>
      </c>
      <c r="BG41">
        <v>-1</v>
      </c>
      <c r="BH41">
        <v>-1</v>
      </c>
      <c r="BI41">
        <v>-1</v>
      </c>
      <c r="BJ41">
        <v>-1</v>
      </c>
      <c r="BK41">
        <v>-1</v>
      </c>
      <c r="BL41">
        <v>-1</v>
      </c>
      <c r="BM41">
        <v>-1</v>
      </c>
      <c r="BN41">
        <v>-1</v>
      </c>
      <c r="BO41">
        <v>-1</v>
      </c>
    </row>
    <row r="42" spans="1:67" x14ac:dyDescent="0.25">
      <c r="A42">
        <v>39</v>
      </c>
      <c r="B42">
        <v>30009</v>
      </c>
      <c r="C42" t="str">
        <f>VLOOKUP(B42,[1]resources!$A$2:$D$300,3,FALSE)</f>
        <v>!!SMOOTHIE_STRAWBERRY_SQUEEZE</v>
      </c>
      <c r="D42">
        <v>1</v>
      </c>
      <c r="E42" t="str">
        <f>VLOOKUP(D42,[1]bonus_paytable!$A$2:$D$300,3,FALSE)</f>
        <v>base</v>
      </c>
      <c r="F42">
        <v>-1</v>
      </c>
      <c r="G42">
        <v>-1</v>
      </c>
      <c r="H42">
        <v>0.5</v>
      </c>
      <c r="I42" t="s">
        <v>0</v>
      </c>
      <c r="J42">
        <v>3</v>
      </c>
      <c r="K42">
        <v>3</v>
      </c>
      <c r="L42">
        <v>3</v>
      </c>
      <c r="M42">
        <v>-1</v>
      </c>
      <c r="N42">
        <v>-1</v>
      </c>
      <c r="O42">
        <v>-1</v>
      </c>
      <c r="P42">
        <v>-1</v>
      </c>
      <c r="Q42">
        <v>-1</v>
      </c>
      <c r="R42">
        <v>-1</v>
      </c>
      <c r="S42">
        <v>-1</v>
      </c>
      <c r="T42">
        <v>-1</v>
      </c>
      <c r="U42">
        <v>0.5</v>
      </c>
      <c r="V42">
        <v>0.4</v>
      </c>
      <c r="W42">
        <v>0.1</v>
      </c>
      <c r="X42">
        <v>-1</v>
      </c>
      <c r="Y42">
        <v>-1</v>
      </c>
      <c r="Z42">
        <v>-1</v>
      </c>
      <c r="AA42">
        <v>-1</v>
      </c>
      <c r="AB42">
        <v>-1</v>
      </c>
      <c r="AC42">
        <v>-1</v>
      </c>
      <c r="AD42">
        <v>-1</v>
      </c>
      <c r="AE42">
        <v>-1</v>
      </c>
      <c r="AF42">
        <v>2</v>
      </c>
      <c r="AG42">
        <v>5</v>
      </c>
      <c r="AH42">
        <v>10</v>
      </c>
      <c r="AI42">
        <v>-1</v>
      </c>
      <c r="AJ42">
        <v>-1</v>
      </c>
      <c r="AK42">
        <v>-1</v>
      </c>
      <c r="AL42">
        <v>-1</v>
      </c>
      <c r="AM42">
        <v>-1</v>
      </c>
      <c r="AN42">
        <v>-1</v>
      </c>
      <c r="AO42">
        <v>-1</v>
      </c>
      <c r="AP42">
        <v>-1</v>
      </c>
      <c r="AQ42">
        <v>0.5</v>
      </c>
      <c r="AR42" t="s">
        <v>0</v>
      </c>
      <c r="AS42">
        <v>5</v>
      </c>
      <c r="AT42">
        <v>5</v>
      </c>
      <c r="AU42">
        <v>5</v>
      </c>
      <c r="AV42">
        <v>0.5</v>
      </c>
      <c r="AW42">
        <v>0.4</v>
      </c>
      <c r="AX42">
        <v>0.1</v>
      </c>
      <c r="AY42">
        <v>1</v>
      </c>
      <c r="AZ42">
        <v>2</v>
      </c>
      <c r="BA42">
        <v>5</v>
      </c>
      <c r="BB42">
        <v>0</v>
      </c>
      <c r="BC42" t="s">
        <v>2</v>
      </c>
      <c r="BD42">
        <v>-1</v>
      </c>
      <c r="BE42">
        <v>-1</v>
      </c>
      <c r="BF42">
        <v>-1</v>
      </c>
      <c r="BG42">
        <v>-1</v>
      </c>
      <c r="BH42">
        <v>-1</v>
      </c>
      <c r="BI42">
        <v>-1</v>
      </c>
      <c r="BJ42">
        <v>-1</v>
      </c>
      <c r="BK42">
        <v>-1</v>
      </c>
      <c r="BL42">
        <v>-1</v>
      </c>
      <c r="BM42">
        <v>-1</v>
      </c>
      <c r="BN42">
        <v>-1</v>
      </c>
      <c r="BO42">
        <v>-1</v>
      </c>
    </row>
    <row r="43" spans="1:67" x14ac:dyDescent="0.25">
      <c r="A43">
        <v>40</v>
      </c>
      <c r="B43">
        <v>30010</v>
      </c>
      <c r="C43" t="str">
        <f>VLOOKUP(B43,[1]resources!$A$2:$D$300,3,FALSE)</f>
        <v>!!SMOOTHIE_STRAWNANA_TSUNAMI</v>
      </c>
      <c r="D43">
        <v>1</v>
      </c>
      <c r="E43" t="str">
        <f>VLOOKUP(D43,[1]bonus_paytable!$A$2:$D$300,3,FALSE)</f>
        <v>base</v>
      </c>
      <c r="F43">
        <v>-1</v>
      </c>
      <c r="G43">
        <v>-1</v>
      </c>
      <c r="H43">
        <v>0.5</v>
      </c>
      <c r="I43" t="s">
        <v>0</v>
      </c>
      <c r="J43">
        <v>3</v>
      </c>
      <c r="K43">
        <v>3</v>
      </c>
      <c r="L43">
        <v>3</v>
      </c>
      <c r="M43">
        <v>-1</v>
      </c>
      <c r="N43">
        <v>-1</v>
      </c>
      <c r="O43">
        <v>-1</v>
      </c>
      <c r="P43">
        <v>-1</v>
      </c>
      <c r="Q43">
        <v>-1</v>
      </c>
      <c r="R43">
        <v>-1</v>
      </c>
      <c r="S43">
        <v>-1</v>
      </c>
      <c r="T43">
        <v>-1</v>
      </c>
      <c r="U43">
        <v>0.5</v>
      </c>
      <c r="V43">
        <v>0.4</v>
      </c>
      <c r="W43">
        <v>0.1</v>
      </c>
      <c r="X43">
        <v>-1</v>
      </c>
      <c r="Y43">
        <v>-1</v>
      </c>
      <c r="Z43">
        <v>-1</v>
      </c>
      <c r="AA43">
        <v>-1</v>
      </c>
      <c r="AB43">
        <v>-1</v>
      </c>
      <c r="AC43">
        <v>-1</v>
      </c>
      <c r="AD43">
        <v>-1</v>
      </c>
      <c r="AE43">
        <v>-1</v>
      </c>
      <c r="AF43">
        <v>2</v>
      </c>
      <c r="AG43">
        <v>5</v>
      </c>
      <c r="AH43">
        <v>10</v>
      </c>
      <c r="AI43">
        <v>-1</v>
      </c>
      <c r="AJ43">
        <v>-1</v>
      </c>
      <c r="AK43">
        <v>-1</v>
      </c>
      <c r="AL43">
        <v>-1</v>
      </c>
      <c r="AM43">
        <v>-1</v>
      </c>
      <c r="AN43">
        <v>-1</v>
      </c>
      <c r="AO43">
        <v>-1</v>
      </c>
      <c r="AP43">
        <v>-1</v>
      </c>
      <c r="AQ43">
        <v>0.5</v>
      </c>
      <c r="AR43" t="s">
        <v>0</v>
      </c>
      <c r="AS43">
        <v>5</v>
      </c>
      <c r="AT43">
        <v>5</v>
      </c>
      <c r="AU43">
        <v>5</v>
      </c>
      <c r="AV43">
        <v>0.5</v>
      </c>
      <c r="AW43">
        <v>0.4</v>
      </c>
      <c r="AX43">
        <v>0.1</v>
      </c>
      <c r="AY43">
        <v>1</v>
      </c>
      <c r="AZ43">
        <v>2</v>
      </c>
      <c r="BA43">
        <v>5</v>
      </c>
      <c r="BB43">
        <v>0</v>
      </c>
      <c r="BC43" t="s">
        <v>2</v>
      </c>
      <c r="BD43">
        <v>-1</v>
      </c>
      <c r="BE43">
        <v>-1</v>
      </c>
      <c r="BF43">
        <v>-1</v>
      </c>
      <c r="BG43">
        <v>-1</v>
      </c>
      <c r="BH43">
        <v>-1</v>
      </c>
      <c r="BI43">
        <v>-1</v>
      </c>
      <c r="BJ43">
        <v>-1</v>
      </c>
      <c r="BK43">
        <v>-1</v>
      </c>
      <c r="BL43">
        <v>-1</v>
      </c>
      <c r="BM43">
        <v>-1</v>
      </c>
      <c r="BN43">
        <v>-1</v>
      </c>
      <c r="BO43">
        <v>-1</v>
      </c>
    </row>
    <row r="44" spans="1:67" x14ac:dyDescent="0.25">
      <c r="A44">
        <v>41</v>
      </c>
      <c r="B44">
        <v>30011</v>
      </c>
      <c r="C44" t="str">
        <f>VLOOKUP(B44,[1]resources!$A$2:$D$300,3,FALSE)</f>
        <v>!!SMOOTHIE_WANNANANA</v>
      </c>
      <c r="D44">
        <v>1</v>
      </c>
      <c r="E44" t="str">
        <f>VLOOKUP(D44,[1]bonus_paytable!$A$2:$D$300,3,FALSE)</f>
        <v>base</v>
      </c>
      <c r="F44">
        <v>-1</v>
      </c>
      <c r="G44">
        <v>-1</v>
      </c>
      <c r="H44">
        <v>0.5</v>
      </c>
      <c r="I44" t="s">
        <v>0</v>
      </c>
      <c r="J44">
        <v>3</v>
      </c>
      <c r="K44">
        <v>3</v>
      </c>
      <c r="L44">
        <v>3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-1</v>
      </c>
      <c r="S44">
        <v>-1</v>
      </c>
      <c r="T44">
        <v>-1</v>
      </c>
      <c r="U44">
        <v>0.5</v>
      </c>
      <c r="V44">
        <v>0.4</v>
      </c>
      <c r="W44">
        <v>0.1</v>
      </c>
      <c r="X44">
        <v>-1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2</v>
      </c>
      <c r="AG44">
        <v>5</v>
      </c>
      <c r="AH44">
        <v>10</v>
      </c>
      <c r="AI44">
        <v>-1</v>
      </c>
      <c r="AJ44">
        <v>-1</v>
      </c>
      <c r="AK44">
        <v>-1</v>
      </c>
      <c r="AL44">
        <v>-1</v>
      </c>
      <c r="AM44">
        <v>-1</v>
      </c>
      <c r="AN44">
        <v>-1</v>
      </c>
      <c r="AO44">
        <v>-1</v>
      </c>
      <c r="AP44">
        <v>-1</v>
      </c>
      <c r="AQ44">
        <v>0.5</v>
      </c>
      <c r="AR44" t="s">
        <v>0</v>
      </c>
      <c r="AS44">
        <v>5</v>
      </c>
      <c r="AT44">
        <v>5</v>
      </c>
      <c r="AU44">
        <v>5</v>
      </c>
      <c r="AV44">
        <v>0.5</v>
      </c>
      <c r="AW44">
        <v>0.4</v>
      </c>
      <c r="AX44">
        <v>0.1</v>
      </c>
      <c r="AY44">
        <v>1</v>
      </c>
      <c r="AZ44">
        <v>2</v>
      </c>
      <c r="BA44">
        <v>5</v>
      </c>
      <c r="BB44">
        <v>0</v>
      </c>
      <c r="BC44" t="s">
        <v>2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-1</v>
      </c>
      <c r="BJ44">
        <v>-1</v>
      </c>
      <c r="BK44">
        <v>-1</v>
      </c>
      <c r="BL44">
        <v>-1</v>
      </c>
      <c r="BM44">
        <v>-1</v>
      </c>
      <c r="BN44">
        <v>-1</v>
      </c>
      <c r="BO44">
        <v>-1</v>
      </c>
    </row>
    <row r="45" spans="1:67" x14ac:dyDescent="0.25">
      <c r="A45">
        <v>42</v>
      </c>
      <c r="B45">
        <v>40000</v>
      </c>
      <c r="C45" t="str">
        <f>VLOOKUP(B45,[1]resources!$A$2:$D$300,3,FALSE)</f>
        <v>!!ICECREAM_BANANA</v>
      </c>
      <c r="D45">
        <v>1</v>
      </c>
      <c r="E45" t="str">
        <f>VLOOKUP(D45,[1]bonus_paytable!$A$2:$D$300,3,FALSE)</f>
        <v>base</v>
      </c>
      <c r="F45">
        <v>-1</v>
      </c>
      <c r="G45">
        <v>-1</v>
      </c>
      <c r="H45">
        <v>0.5</v>
      </c>
      <c r="I45" t="s">
        <v>0</v>
      </c>
      <c r="J45">
        <v>3</v>
      </c>
      <c r="K45">
        <v>3</v>
      </c>
      <c r="L45">
        <v>3</v>
      </c>
      <c r="M45">
        <v>-1</v>
      </c>
      <c r="N45">
        <v>-1</v>
      </c>
      <c r="O45">
        <v>-1</v>
      </c>
      <c r="P45">
        <v>-1</v>
      </c>
      <c r="Q45">
        <v>-1</v>
      </c>
      <c r="R45">
        <v>-1</v>
      </c>
      <c r="S45">
        <v>-1</v>
      </c>
      <c r="T45">
        <v>-1</v>
      </c>
      <c r="U45">
        <v>0.5</v>
      </c>
      <c r="V45">
        <v>0.4</v>
      </c>
      <c r="W45">
        <v>0.1</v>
      </c>
      <c r="X45">
        <v>-1</v>
      </c>
      <c r="Y45">
        <v>-1</v>
      </c>
      <c r="Z45">
        <v>-1</v>
      </c>
      <c r="AA45">
        <v>-1</v>
      </c>
      <c r="AB45">
        <v>-1</v>
      </c>
      <c r="AC45">
        <v>-1</v>
      </c>
      <c r="AD45">
        <v>-1</v>
      </c>
      <c r="AE45">
        <v>-1</v>
      </c>
      <c r="AF45">
        <v>2</v>
      </c>
      <c r="AG45">
        <v>5</v>
      </c>
      <c r="AH45">
        <v>10</v>
      </c>
      <c r="AI45">
        <v>-1</v>
      </c>
      <c r="AJ45">
        <v>-1</v>
      </c>
      <c r="AK45">
        <v>-1</v>
      </c>
      <c r="AL45">
        <v>-1</v>
      </c>
      <c r="AM45">
        <v>-1</v>
      </c>
      <c r="AN45">
        <v>-1</v>
      </c>
      <c r="AO45">
        <v>-1</v>
      </c>
      <c r="AP45">
        <v>-1</v>
      </c>
      <c r="AQ45">
        <v>0.5</v>
      </c>
      <c r="AR45" t="s">
        <v>0</v>
      </c>
      <c r="AS45">
        <v>5</v>
      </c>
      <c r="AT45">
        <v>5</v>
      </c>
      <c r="AU45">
        <v>5</v>
      </c>
      <c r="AV45">
        <v>0.5</v>
      </c>
      <c r="AW45">
        <v>0.4</v>
      </c>
      <c r="AX45">
        <v>0.1</v>
      </c>
      <c r="AY45">
        <v>1</v>
      </c>
      <c r="AZ45">
        <v>2</v>
      </c>
      <c r="BA45">
        <v>5</v>
      </c>
      <c r="BB45">
        <v>0</v>
      </c>
      <c r="BC45" t="s">
        <v>2</v>
      </c>
      <c r="BD45">
        <v>-1</v>
      </c>
      <c r="BE45">
        <v>-1</v>
      </c>
      <c r="BF45">
        <v>-1</v>
      </c>
      <c r="BG45">
        <v>-1</v>
      </c>
      <c r="BH45">
        <v>-1</v>
      </c>
      <c r="BI45">
        <v>-1</v>
      </c>
      <c r="BJ45">
        <v>-1</v>
      </c>
      <c r="BK45">
        <v>-1</v>
      </c>
      <c r="BL45">
        <v>-1</v>
      </c>
      <c r="BM45">
        <v>-1</v>
      </c>
      <c r="BN45">
        <v>-1</v>
      </c>
      <c r="BO45">
        <v>-1</v>
      </c>
    </row>
    <row r="46" spans="1:67" x14ac:dyDescent="0.25">
      <c r="A46">
        <v>43</v>
      </c>
      <c r="B46">
        <v>40001</v>
      </c>
      <c r="C46" t="str">
        <f>VLOOKUP(B46,[1]resources!$A$2:$D$300,3,FALSE)</f>
        <v>!!ICECREAM_BANANA_SPLIT</v>
      </c>
      <c r="D46">
        <v>1</v>
      </c>
      <c r="E46" t="str">
        <f>VLOOKUP(D46,[1]bonus_paytable!$A$2:$D$300,3,FALSE)</f>
        <v>base</v>
      </c>
      <c r="F46">
        <v>-1</v>
      </c>
      <c r="G46">
        <v>-1</v>
      </c>
      <c r="H46">
        <v>0.5</v>
      </c>
      <c r="I46" t="s">
        <v>0</v>
      </c>
      <c r="J46">
        <v>3</v>
      </c>
      <c r="K46">
        <v>3</v>
      </c>
      <c r="L46">
        <v>3</v>
      </c>
      <c r="M46">
        <v>-1</v>
      </c>
      <c r="N46">
        <v>-1</v>
      </c>
      <c r="O46">
        <v>-1</v>
      </c>
      <c r="P46">
        <v>-1</v>
      </c>
      <c r="Q46">
        <v>-1</v>
      </c>
      <c r="R46">
        <v>-1</v>
      </c>
      <c r="S46">
        <v>-1</v>
      </c>
      <c r="T46">
        <v>-1</v>
      </c>
      <c r="U46">
        <v>0.5</v>
      </c>
      <c r="V46">
        <v>0.4</v>
      </c>
      <c r="W46">
        <v>0.1</v>
      </c>
      <c r="X46">
        <v>-1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-1</v>
      </c>
      <c r="AF46">
        <v>2</v>
      </c>
      <c r="AG46">
        <v>5</v>
      </c>
      <c r="AH46">
        <v>10</v>
      </c>
      <c r="AI46">
        <v>-1</v>
      </c>
      <c r="AJ46">
        <v>-1</v>
      </c>
      <c r="AK46">
        <v>-1</v>
      </c>
      <c r="AL46">
        <v>-1</v>
      </c>
      <c r="AM46">
        <v>-1</v>
      </c>
      <c r="AN46">
        <v>-1</v>
      </c>
      <c r="AO46">
        <v>-1</v>
      </c>
      <c r="AP46">
        <v>-1</v>
      </c>
      <c r="AQ46">
        <v>0.5</v>
      </c>
      <c r="AR46" t="s">
        <v>0</v>
      </c>
      <c r="AS46">
        <v>5</v>
      </c>
      <c r="AT46">
        <v>5</v>
      </c>
      <c r="AU46">
        <v>5</v>
      </c>
      <c r="AV46">
        <v>0.5</v>
      </c>
      <c r="AW46">
        <v>0.4</v>
      </c>
      <c r="AX46">
        <v>0.1</v>
      </c>
      <c r="AY46">
        <v>1</v>
      </c>
      <c r="AZ46">
        <v>2</v>
      </c>
      <c r="BA46">
        <v>5</v>
      </c>
      <c r="BB46">
        <v>0</v>
      </c>
      <c r="BC46" t="s">
        <v>2</v>
      </c>
      <c r="BD46">
        <v>-1</v>
      </c>
      <c r="BE46">
        <v>-1</v>
      </c>
      <c r="BF46">
        <v>-1</v>
      </c>
      <c r="BG46">
        <v>-1</v>
      </c>
      <c r="BH46">
        <v>-1</v>
      </c>
      <c r="BI46">
        <v>-1</v>
      </c>
      <c r="BJ46">
        <v>-1</v>
      </c>
      <c r="BK46">
        <v>-1</v>
      </c>
      <c r="BL46">
        <v>-1</v>
      </c>
      <c r="BM46">
        <v>-1</v>
      </c>
      <c r="BN46">
        <v>-1</v>
      </c>
      <c r="BO46">
        <v>-1</v>
      </c>
    </row>
    <row r="47" spans="1:67" x14ac:dyDescent="0.25">
      <c r="A47">
        <v>44</v>
      </c>
      <c r="B47">
        <v>40002</v>
      </c>
      <c r="C47" t="str">
        <f>VLOOKUP(B47,[1]resources!$A$2:$D$300,3,FALSE)</f>
        <v>!!ICECREAM_BERRY_SCOOPS</v>
      </c>
      <c r="D47">
        <v>1</v>
      </c>
      <c r="E47" t="str">
        <f>VLOOKUP(D47,[1]bonus_paytable!$A$2:$D$300,3,FALSE)</f>
        <v>base</v>
      </c>
      <c r="F47">
        <v>-1</v>
      </c>
      <c r="G47">
        <v>-1</v>
      </c>
      <c r="H47">
        <v>0.5</v>
      </c>
      <c r="I47" t="s">
        <v>0</v>
      </c>
      <c r="J47">
        <v>3</v>
      </c>
      <c r="K47">
        <v>3</v>
      </c>
      <c r="L47">
        <v>3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-1</v>
      </c>
      <c r="T47">
        <v>-1</v>
      </c>
      <c r="U47">
        <v>0.5</v>
      </c>
      <c r="V47">
        <v>0.4</v>
      </c>
      <c r="W47">
        <v>0.1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2</v>
      </c>
      <c r="AG47">
        <v>5</v>
      </c>
      <c r="AH47">
        <v>10</v>
      </c>
      <c r="AI47">
        <v>-1</v>
      </c>
      <c r="AJ47">
        <v>-1</v>
      </c>
      <c r="AK47">
        <v>-1</v>
      </c>
      <c r="AL47">
        <v>-1</v>
      </c>
      <c r="AM47">
        <v>-1</v>
      </c>
      <c r="AN47">
        <v>-1</v>
      </c>
      <c r="AO47">
        <v>-1</v>
      </c>
      <c r="AP47">
        <v>-1</v>
      </c>
      <c r="AQ47">
        <v>0.5</v>
      </c>
      <c r="AR47" t="s">
        <v>0</v>
      </c>
      <c r="AS47">
        <v>5</v>
      </c>
      <c r="AT47">
        <v>5</v>
      </c>
      <c r="AU47">
        <v>5</v>
      </c>
      <c r="AV47">
        <v>0.5</v>
      </c>
      <c r="AW47">
        <v>0.4</v>
      </c>
      <c r="AX47">
        <v>0.1</v>
      </c>
      <c r="AY47">
        <v>1</v>
      </c>
      <c r="AZ47">
        <v>2</v>
      </c>
      <c r="BA47">
        <v>5</v>
      </c>
      <c r="BB47">
        <v>0</v>
      </c>
      <c r="BC47" t="s">
        <v>2</v>
      </c>
      <c r="BD47">
        <v>-1</v>
      </c>
      <c r="BE47">
        <v>-1</v>
      </c>
      <c r="BF47">
        <v>-1</v>
      </c>
      <c r="BG47">
        <v>-1</v>
      </c>
      <c r="BH47">
        <v>-1</v>
      </c>
      <c r="BI47">
        <v>-1</v>
      </c>
      <c r="BJ47">
        <v>-1</v>
      </c>
      <c r="BK47">
        <v>-1</v>
      </c>
      <c r="BL47">
        <v>-1</v>
      </c>
      <c r="BM47">
        <v>-1</v>
      </c>
      <c r="BN47">
        <v>-1</v>
      </c>
      <c r="BO47">
        <v>-1</v>
      </c>
    </row>
    <row r="48" spans="1:67" x14ac:dyDescent="0.25">
      <c r="A48">
        <v>45</v>
      </c>
      <c r="B48">
        <v>40003</v>
      </c>
      <c r="C48" t="str">
        <f>VLOOKUP(B48,[1]resources!$A$2:$D$300,3,FALSE)</f>
        <v>!!ICECREAM_CARAMEL</v>
      </c>
      <c r="D48">
        <v>1</v>
      </c>
      <c r="E48" t="str">
        <f>VLOOKUP(D48,[1]bonus_paytable!$A$2:$D$300,3,FALSE)</f>
        <v>base</v>
      </c>
      <c r="F48">
        <v>-1</v>
      </c>
      <c r="G48">
        <v>-1</v>
      </c>
      <c r="H48">
        <v>0.5</v>
      </c>
      <c r="I48" t="s">
        <v>0</v>
      </c>
      <c r="J48">
        <v>3</v>
      </c>
      <c r="K48">
        <v>3</v>
      </c>
      <c r="L48">
        <v>3</v>
      </c>
      <c r="M48">
        <v>-1</v>
      </c>
      <c r="N48">
        <v>-1</v>
      </c>
      <c r="O48">
        <v>-1</v>
      </c>
      <c r="P48">
        <v>-1</v>
      </c>
      <c r="Q48">
        <v>-1</v>
      </c>
      <c r="R48">
        <v>-1</v>
      </c>
      <c r="S48">
        <v>-1</v>
      </c>
      <c r="T48">
        <v>-1</v>
      </c>
      <c r="U48">
        <v>0.5</v>
      </c>
      <c r="V48">
        <v>0.4</v>
      </c>
      <c r="W48">
        <v>0.1</v>
      </c>
      <c r="X48">
        <v>-1</v>
      </c>
      <c r="Y48">
        <v>-1</v>
      </c>
      <c r="Z48">
        <v>-1</v>
      </c>
      <c r="AA48">
        <v>-1</v>
      </c>
      <c r="AB48">
        <v>-1</v>
      </c>
      <c r="AC48">
        <v>-1</v>
      </c>
      <c r="AD48">
        <v>-1</v>
      </c>
      <c r="AE48">
        <v>-1</v>
      </c>
      <c r="AF48">
        <v>2</v>
      </c>
      <c r="AG48">
        <v>5</v>
      </c>
      <c r="AH48">
        <v>10</v>
      </c>
      <c r="AI48">
        <v>-1</v>
      </c>
      <c r="AJ48">
        <v>-1</v>
      </c>
      <c r="AK48">
        <v>-1</v>
      </c>
      <c r="AL48">
        <v>-1</v>
      </c>
      <c r="AM48">
        <v>-1</v>
      </c>
      <c r="AN48">
        <v>-1</v>
      </c>
      <c r="AO48">
        <v>-1</v>
      </c>
      <c r="AP48">
        <v>-1</v>
      </c>
      <c r="AQ48">
        <v>0.5</v>
      </c>
      <c r="AR48" t="s">
        <v>0</v>
      </c>
      <c r="AS48">
        <v>5</v>
      </c>
      <c r="AT48">
        <v>5</v>
      </c>
      <c r="AU48">
        <v>5</v>
      </c>
      <c r="AV48">
        <v>0.5</v>
      </c>
      <c r="AW48">
        <v>0.4</v>
      </c>
      <c r="AX48">
        <v>0.1</v>
      </c>
      <c r="AY48">
        <v>1</v>
      </c>
      <c r="AZ48">
        <v>2</v>
      </c>
      <c r="BA48">
        <v>5</v>
      </c>
      <c r="BB48">
        <v>0</v>
      </c>
      <c r="BC48" t="s">
        <v>2</v>
      </c>
      <c r="BD48">
        <v>-1</v>
      </c>
      <c r="BE48">
        <v>-1</v>
      </c>
      <c r="BF48">
        <v>-1</v>
      </c>
      <c r="BG48">
        <v>-1</v>
      </c>
      <c r="BH48">
        <v>-1</v>
      </c>
      <c r="BI48">
        <v>-1</v>
      </c>
      <c r="BJ48">
        <v>-1</v>
      </c>
      <c r="BK48">
        <v>-1</v>
      </c>
      <c r="BL48">
        <v>-1</v>
      </c>
      <c r="BM48">
        <v>-1</v>
      </c>
      <c r="BN48">
        <v>-1</v>
      </c>
      <c r="BO48">
        <v>-1</v>
      </c>
    </row>
    <row r="49" spans="1:67" x14ac:dyDescent="0.25">
      <c r="A49">
        <v>46</v>
      </c>
      <c r="B49">
        <v>40004</v>
      </c>
      <c r="C49" t="str">
        <f>VLOOKUP(B49,[1]resources!$A$2:$D$300,3,FALSE)</f>
        <v>!!ICECREAM_CORAL_BITS</v>
      </c>
      <c r="D49">
        <v>1</v>
      </c>
      <c r="E49" t="str">
        <f>VLOOKUP(D49,[1]bonus_paytable!$A$2:$D$300,3,FALSE)</f>
        <v>base</v>
      </c>
      <c r="F49">
        <v>-1</v>
      </c>
      <c r="G49">
        <v>-1</v>
      </c>
      <c r="H49">
        <v>0.5</v>
      </c>
      <c r="I49" t="s">
        <v>0</v>
      </c>
      <c r="J49">
        <v>3</v>
      </c>
      <c r="K49">
        <v>3</v>
      </c>
      <c r="L49">
        <v>3</v>
      </c>
      <c r="M49">
        <v>-1</v>
      </c>
      <c r="N49">
        <v>-1</v>
      </c>
      <c r="O49">
        <v>-1</v>
      </c>
      <c r="P49">
        <v>-1</v>
      </c>
      <c r="Q49">
        <v>-1</v>
      </c>
      <c r="R49">
        <v>-1</v>
      </c>
      <c r="S49">
        <v>-1</v>
      </c>
      <c r="T49">
        <v>-1</v>
      </c>
      <c r="U49">
        <v>0.5</v>
      </c>
      <c r="V49">
        <v>0.4</v>
      </c>
      <c r="W49">
        <v>0.1</v>
      </c>
      <c r="X49">
        <v>-1</v>
      </c>
      <c r="Y49">
        <v>-1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2</v>
      </c>
      <c r="AG49">
        <v>5</v>
      </c>
      <c r="AH49">
        <v>10</v>
      </c>
      <c r="AI49">
        <v>-1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0.5</v>
      </c>
      <c r="AR49" t="s">
        <v>0</v>
      </c>
      <c r="AS49">
        <v>5</v>
      </c>
      <c r="AT49">
        <v>5</v>
      </c>
      <c r="AU49">
        <v>5</v>
      </c>
      <c r="AV49">
        <v>0.5</v>
      </c>
      <c r="AW49">
        <v>0.4</v>
      </c>
      <c r="AX49">
        <v>0.1</v>
      </c>
      <c r="AY49">
        <v>1</v>
      </c>
      <c r="AZ49">
        <v>2</v>
      </c>
      <c r="BA49">
        <v>5</v>
      </c>
      <c r="BB49">
        <v>0</v>
      </c>
      <c r="BC49" t="s">
        <v>2</v>
      </c>
      <c r="BD49">
        <v>-1</v>
      </c>
      <c r="BE49">
        <v>-1</v>
      </c>
      <c r="BF49">
        <v>-1</v>
      </c>
      <c r="BG49">
        <v>-1</v>
      </c>
      <c r="BH49">
        <v>-1</v>
      </c>
      <c r="BI49">
        <v>-1</v>
      </c>
      <c r="BJ49">
        <v>-1</v>
      </c>
      <c r="BK49">
        <v>-1</v>
      </c>
      <c r="BL49">
        <v>-1</v>
      </c>
      <c r="BM49">
        <v>-1</v>
      </c>
      <c r="BN49">
        <v>-1</v>
      </c>
      <c r="BO49">
        <v>-1</v>
      </c>
    </row>
    <row r="50" spans="1:67" x14ac:dyDescent="0.25">
      <c r="A50">
        <v>47</v>
      </c>
      <c r="B50">
        <v>40005</v>
      </c>
      <c r="C50" t="str">
        <f>VLOOKUP(B50,[1]resources!$A$2:$D$300,3,FALSE)</f>
        <v>!!ICECREAM_LEMON_GELATO</v>
      </c>
      <c r="D50">
        <v>1</v>
      </c>
      <c r="E50" t="str">
        <f>VLOOKUP(D50,[1]bonus_paytable!$A$2:$D$300,3,FALSE)</f>
        <v>base</v>
      </c>
      <c r="F50">
        <v>-1</v>
      </c>
      <c r="G50">
        <v>-1</v>
      </c>
      <c r="H50">
        <v>0.5</v>
      </c>
      <c r="I50" t="s">
        <v>0</v>
      </c>
      <c r="J50">
        <v>3</v>
      </c>
      <c r="K50">
        <v>3</v>
      </c>
      <c r="L50">
        <v>3</v>
      </c>
      <c r="M50">
        <v>-1</v>
      </c>
      <c r="N50">
        <v>-1</v>
      </c>
      <c r="O50">
        <v>-1</v>
      </c>
      <c r="P50">
        <v>-1</v>
      </c>
      <c r="Q50">
        <v>-1</v>
      </c>
      <c r="R50">
        <v>-1</v>
      </c>
      <c r="S50">
        <v>-1</v>
      </c>
      <c r="T50">
        <v>-1</v>
      </c>
      <c r="U50">
        <v>0.5</v>
      </c>
      <c r="V50">
        <v>0.4</v>
      </c>
      <c r="W50">
        <v>0.1</v>
      </c>
      <c r="X50">
        <v>-1</v>
      </c>
      <c r="Y50">
        <v>-1</v>
      </c>
      <c r="Z50">
        <v>-1</v>
      </c>
      <c r="AA50">
        <v>-1</v>
      </c>
      <c r="AB50">
        <v>-1</v>
      </c>
      <c r="AC50">
        <v>-1</v>
      </c>
      <c r="AD50">
        <v>-1</v>
      </c>
      <c r="AE50">
        <v>-1</v>
      </c>
      <c r="AF50">
        <v>2</v>
      </c>
      <c r="AG50">
        <v>5</v>
      </c>
      <c r="AH50">
        <v>10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0.5</v>
      </c>
      <c r="AR50" t="s">
        <v>0</v>
      </c>
      <c r="AS50">
        <v>5</v>
      </c>
      <c r="AT50">
        <v>5</v>
      </c>
      <c r="AU50">
        <v>5</v>
      </c>
      <c r="AV50">
        <v>0.5</v>
      </c>
      <c r="AW50">
        <v>0.4</v>
      </c>
      <c r="AX50">
        <v>0.1</v>
      </c>
      <c r="AY50">
        <v>1</v>
      </c>
      <c r="AZ50">
        <v>2</v>
      </c>
      <c r="BA50">
        <v>5</v>
      </c>
      <c r="BB50">
        <v>0</v>
      </c>
      <c r="BC50" t="s">
        <v>2</v>
      </c>
      <c r="BD50">
        <v>-1</v>
      </c>
      <c r="BE50">
        <v>-1</v>
      </c>
      <c r="BF50">
        <v>-1</v>
      </c>
      <c r="BG50">
        <v>-1</v>
      </c>
      <c r="BH50">
        <v>-1</v>
      </c>
      <c r="BI50">
        <v>-1</v>
      </c>
      <c r="BJ50">
        <v>-1</v>
      </c>
      <c r="BK50">
        <v>-1</v>
      </c>
      <c r="BL50">
        <v>-1</v>
      </c>
      <c r="BM50">
        <v>-1</v>
      </c>
      <c r="BN50">
        <v>-1</v>
      </c>
      <c r="BO50">
        <v>-1</v>
      </c>
    </row>
    <row r="51" spans="1:67" x14ac:dyDescent="0.25">
      <c r="A51">
        <v>48</v>
      </c>
      <c r="B51">
        <v>40006</v>
      </c>
      <c r="C51" t="str">
        <f>VLOOKUP(B51,[1]resources!$A$2:$D$300,3,FALSE)</f>
        <v>!!ICECREAM_SEASALT</v>
      </c>
      <c r="D51">
        <v>1</v>
      </c>
      <c r="E51" t="str">
        <f>VLOOKUP(D51,[1]bonus_paytable!$A$2:$D$300,3,FALSE)</f>
        <v>base</v>
      </c>
      <c r="F51">
        <v>-1</v>
      </c>
      <c r="G51">
        <v>-1</v>
      </c>
      <c r="H51">
        <v>0.5</v>
      </c>
      <c r="I51" t="s">
        <v>0</v>
      </c>
      <c r="J51">
        <v>3</v>
      </c>
      <c r="K51">
        <v>3</v>
      </c>
      <c r="L51">
        <v>3</v>
      </c>
      <c r="M51">
        <v>-1</v>
      </c>
      <c r="N51">
        <v>-1</v>
      </c>
      <c r="O51">
        <v>-1</v>
      </c>
      <c r="P51">
        <v>-1</v>
      </c>
      <c r="Q51">
        <v>-1</v>
      </c>
      <c r="R51">
        <v>-1</v>
      </c>
      <c r="S51">
        <v>-1</v>
      </c>
      <c r="T51">
        <v>-1</v>
      </c>
      <c r="U51">
        <v>0.5</v>
      </c>
      <c r="V51">
        <v>0.4</v>
      </c>
      <c r="W51">
        <v>0.1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-1</v>
      </c>
      <c r="AE51">
        <v>-1</v>
      </c>
      <c r="AF51">
        <v>2</v>
      </c>
      <c r="AG51">
        <v>5</v>
      </c>
      <c r="AH51">
        <v>10</v>
      </c>
      <c r="AI51">
        <v>-1</v>
      </c>
      <c r="AJ51">
        <v>-1</v>
      </c>
      <c r="AK51">
        <v>-1</v>
      </c>
      <c r="AL51">
        <v>-1</v>
      </c>
      <c r="AM51">
        <v>-1</v>
      </c>
      <c r="AN51">
        <v>-1</v>
      </c>
      <c r="AO51">
        <v>-1</v>
      </c>
      <c r="AP51">
        <v>-1</v>
      </c>
      <c r="AQ51">
        <v>0.5</v>
      </c>
      <c r="AR51" t="s">
        <v>0</v>
      </c>
      <c r="AS51">
        <v>5</v>
      </c>
      <c r="AT51">
        <v>5</v>
      </c>
      <c r="AU51">
        <v>5</v>
      </c>
      <c r="AV51">
        <v>0.5</v>
      </c>
      <c r="AW51">
        <v>0.4</v>
      </c>
      <c r="AX51">
        <v>0.1</v>
      </c>
      <c r="AY51">
        <v>1</v>
      </c>
      <c r="AZ51">
        <v>2</v>
      </c>
      <c r="BA51">
        <v>5</v>
      </c>
      <c r="BB51">
        <v>0</v>
      </c>
      <c r="BC51" t="s">
        <v>2</v>
      </c>
      <c r="BD51">
        <v>-1</v>
      </c>
      <c r="BE51">
        <v>-1</v>
      </c>
      <c r="BF51">
        <v>-1</v>
      </c>
      <c r="BG51">
        <v>-1</v>
      </c>
      <c r="BH51">
        <v>-1</v>
      </c>
      <c r="BI51">
        <v>-1</v>
      </c>
      <c r="BJ51">
        <v>-1</v>
      </c>
      <c r="BK51">
        <v>-1</v>
      </c>
      <c r="BL51">
        <v>-1</v>
      </c>
      <c r="BM51">
        <v>-1</v>
      </c>
      <c r="BN51">
        <v>-1</v>
      </c>
      <c r="BO51">
        <v>-1</v>
      </c>
    </row>
    <row r="52" spans="1:67" x14ac:dyDescent="0.25">
      <c r="A52">
        <v>49</v>
      </c>
      <c r="B52">
        <v>40007</v>
      </c>
      <c r="C52" t="str">
        <f>VLOOKUP(B52,[1]resources!$A$2:$D$300,3,FALSE)</f>
        <v>!!ICECREAM_STRAWBERRY</v>
      </c>
      <c r="D52">
        <v>1</v>
      </c>
      <c r="E52" t="str">
        <f>VLOOKUP(D52,[1]bonus_paytable!$A$2:$D$300,3,FALSE)</f>
        <v>base</v>
      </c>
      <c r="F52">
        <v>-1</v>
      </c>
      <c r="G52">
        <v>-1</v>
      </c>
      <c r="H52">
        <v>0.5</v>
      </c>
      <c r="I52" t="s">
        <v>0</v>
      </c>
      <c r="J52">
        <v>3</v>
      </c>
      <c r="K52">
        <v>3</v>
      </c>
      <c r="L52">
        <v>3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-1</v>
      </c>
      <c r="S52">
        <v>-1</v>
      </c>
      <c r="T52">
        <v>-1</v>
      </c>
      <c r="U52">
        <v>0.5</v>
      </c>
      <c r="V52">
        <v>0.4</v>
      </c>
      <c r="W52">
        <v>0.1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2</v>
      </c>
      <c r="AG52">
        <v>5</v>
      </c>
      <c r="AH52">
        <v>10</v>
      </c>
      <c r="AI52">
        <v>-1</v>
      </c>
      <c r="AJ52">
        <v>-1</v>
      </c>
      <c r="AK52">
        <v>-1</v>
      </c>
      <c r="AL52">
        <v>-1</v>
      </c>
      <c r="AM52">
        <v>-1</v>
      </c>
      <c r="AN52">
        <v>-1</v>
      </c>
      <c r="AO52">
        <v>-1</v>
      </c>
      <c r="AP52">
        <v>-1</v>
      </c>
      <c r="AQ52">
        <v>0.5</v>
      </c>
      <c r="AR52" t="s">
        <v>0</v>
      </c>
      <c r="AS52">
        <v>5</v>
      </c>
      <c r="AT52">
        <v>5</v>
      </c>
      <c r="AU52">
        <v>5</v>
      </c>
      <c r="AV52">
        <v>0.5</v>
      </c>
      <c r="AW52">
        <v>0.4</v>
      </c>
      <c r="AX52">
        <v>0.1</v>
      </c>
      <c r="AY52">
        <v>1</v>
      </c>
      <c r="AZ52">
        <v>2</v>
      </c>
      <c r="BA52">
        <v>5</v>
      </c>
      <c r="BB52">
        <v>0</v>
      </c>
      <c r="BC52" t="s">
        <v>2</v>
      </c>
      <c r="BD52">
        <v>-1</v>
      </c>
      <c r="BE52">
        <v>-1</v>
      </c>
      <c r="BF52">
        <v>-1</v>
      </c>
      <c r="BG52">
        <v>-1</v>
      </c>
      <c r="BH52">
        <v>-1</v>
      </c>
      <c r="BI52">
        <v>-1</v>
      </c>
      <c r="BJ52">
        <v>-1</v>
      </c>
      <c r="BK52">
        <v>-1</v>
      </c>
      <c r="BL52">
        <v>-1</v>
      </c>
      <c r="BM52">
        <v>-1</v>
      </c>
      <c r="BN52">
        <v>-1</v>
      </c>
      <c r="BO52">
        <v>-1</v>
      </c>
    </row>
    <row r="53" spans="1:67" x14ac:dyDescent="0.25">
      <c r="A53">
        <v>50</v>
      </c>
      <c r="B53">
        <v>40008</v>
      </c>
      <c r="C53" t="str">
        <f>VLOOKUP(B53,[1]resources!$A$2:$D$300,3,FALSE)</f>
        <v>!!ICECREAM_VANILLA</v>
      </c>
      <c r="D53">
        <v>1</v>
      </c>
      <c r="E53" t="str">
        <f>VLOOKUP(D53,[1]bonus_paytable!$A$2:$D$300,3,FALSE)</f>
        <v>base</v>
      </c>
      <c r="F53">
        <v>-1</v>
      </c>
      <c r="G53">
        <v>-1</v>
      </c>
      <c r="H53">
        <v>0.5</v>
      </c>
      <c r="I53" t="s">
        <v>0</v>
      </c>
      <c r="J53">
        <v>3</v>
      </c>
      <c r="K53">
        <v>3</v>
      </c>
      <c r="L53">
        <v>3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-1</v>
      </c>
      <c r="S53">
        <v>-1</v>
      </c>
      <c r="T53">
        <v>-1</v>
      </c>
      <c r="U53">
        <v>0.5</v>
      </c>
      <c r="V53">
        <v>0.4</v>
      </c>
      <c r="W53">
        <v>0.1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-1</v>
      </c>
      <c r="AE53">
        <v>-1</v>
      </c>
      <c r="AF53">
        <v>2</v>
      </c>
      <c r="AG53">
        <v>5</v>
      </c>
      <c r="AH53">
        <v>10</v>
      </c>
      <c r="AI53">
        <v>-1</v>
      </c>
      <c r="AJ53">
        <v>-1</v>
      </c>
      <c r="AK53">
        <v>-1</v>
      </c>
      <c r="AL53">
        <v>-1</v>
      </c>
      <c r="AM53">
        <v>-1</v>
      </c>
      <c r="AN53">
        <v>-1</v>
      </c>
      <c r="AO53">
        <v>-1</v>
      </c>
      <c r="AP53">
        <v>-1</v>
      </c>
      <c r="AQ53">
        <v>0.5</v>
      </c>
      <c r="AR53" t="s">
        <v>0</v>
      </c>
      <c r="AS53">
        <v>5</v>
      </c>
      <c r="AT53">
        <v>5</v>
      </c>
      <c r="AU53">
        <v>5</v>
      </c>
      <c r="AV53">
        <v>0.5</v>
      </c>
      <c r="AW53">
        <v>0.4</v>
      </c>
      <c r="AX53">
        <v>0.1</v>
      </c>
      <c r="AY53">
        <v>1</v>
      </c>
      <c r="AZ53">
        <v>2</v>
      </c>
      <c r="BA53">
        <v>5</v>
      </c>
      <c r="BB53">
        <v>0</v>
      </c>
      <c r="BC53" t="s">
        <v>2</v>
      </c>
      <c r="BD53">
        <v>-1</v>
      </c>
      <c r="BE53">
        <v>-1</v>
      </c>
      <c r="BF53">
        <v>-1</v>
      </c>
      <c r="BG53">
        <v>-1</v>
      </c>
      <c r="BH53">
        <v>-1</v>
      </c>
      <c r="BI53">
        <v>-1</v>
      </c>
      <c r="BJ53">
        <v>-1</v>
      </c>
      <c r="BK53">
        <v>-1</v>
      </c>
      <c r="BL53">
        <v>-1</v>
      </c>
      <c r="BM53">
        <v>-1</v>
      </c>
      <c r="BN53">
        <v>-1</v>
      </c>
      <c r="BO53">
        <v>-1</v>
      </c>
    </row>
    <row r="54" spans="1:67" x14ac:dyDescent="0.25">
      <c r="A54">
        <v>51</v>
      </c>
      <c r="B54">
        <v>50000</v>
      </c>
      <c r="C54" t="str">
        <f>VLOOKUP(B54,[1]resources!$A$2:$D$300,3,FALSE)</f>
        <v>!!SHAKE_BANANAS_N_BITS</v>
      </c>
      <c r="D54">
        <v>1</v>
      </c>
      <c r="E54" t="str">
        <f>VLOOKUP(D54,[1]bonus_paytable!$A$2:$D$300,3,FALSE)</f>
        <v>base</v>
      </c>
      <c r="F54">
        <v>-1</v>
      </c>
      <c r="G54">
        <v>-1</v>
      </c>
      <c r="H54">
        <v>0.5</v>
      </c>
      <c r="I54" t="s">
        <v>0</v>
      </c>
      <c r="J54">
        <v>3</v>
      </c>
      <c r="K54">
        <v>3</v>
      </c>
      <c r="L54">
        <v>3</v>
      </c>
      <c r="M54">
        <v>-1</v>
      </c>
      <c r="N54">
        <v>-1</v>
      </c>
      <c r="O54">
        <v>-1</v>
      </c>
      <c r="P54">
        <v>-1</v>
      </c>
      <c r="Q54">
        <v>-1</v>
      </c>
      <c r="R54">
        <v>-1</v>
      </c>
      <c r="S54">
        <v>-1</v>
      </c>
      <c r="T54">
        <v>-1</v>
      </c>
      <c r="U54">
        <v>0.5</v>
      </c>
      <c r="V54">
        <v>0.4</v>
      </c>
      <c r="W54">
        <v>0.1</v>
      </c>
      <c r="X54">
        <v>-1</v>
      </c>
      <c r="Y54">
        <v>-1</v>
      </c>
      <c r="Z54">
        <v>-1</v>
      </c>
      <c r="AA54">
        <v>-1</v>
      </c>
      <c r="AB54">
        <v>-1</v>
      </c>
      <c r="AC54">
        <v>-1</v>
      </c>
      <c r="AD54">
        <v>-1</v>
      </c>
      <c r="AE54">
        <v>-1</v>
      </c>
      <c r="AF54">
        <v>2</v>
      </c>
      <c r="AG54">
        <v>5</v>
      </c>
      <c r="AH54">
        <v>10</v>
      </c>
      <c r="AI54">
        <v>-1</v>
      </c>
      <c r="AJ54">
        <v>-1</v>
      </c>
      <c r="AK54">
        <v>-1</v>
      </c>
      <c r="AL54">
        <v>-1</v>
      </c>
      <c r="AM54">
        <v>-1</v>
      </c>
      <c r="AN54">
        <v>-1</v>
      </c>
      <c r="AO54">
        <v>-1</v>
      </c>
      <c r="AP54">
        <v>-1</v>
      </c>
      <c r="AQ54">
        <v>0.5</v>
      </c>
      <c r="AR54" t="s">
        <v>0</v>
      </c>
      <c r="AS54">
        <v>5</v>
      </c>
      <c r="AT54">
        <v>5</v>
      </c>
      <c r="AU54">
        <v>5</v>
      </c>
      <c r="AV54">
        <v>0.5</v>
      </c>
      <c r="AW54">
        <v>0.4</v>
      </c>
      <c r="AX54">
        <v>0.1</v>
      </c>
      <c r="AY54">
        <v>1</v>
      </c>
      <c r="AZ54">
        <v>2</v>
      </c>
      <c r="BA54">
        <v>5</v>
      </c>
      <c r="BB54">
        <v>0</v>
      </c>
      <c r="BC54" t="s">
        <v>2</v>
      </c>
      <c r="BD54">
        <v>-1</v>
      </c>
      <c r="BE54">
        <v>-1</v>
      </c>
      <c r="BF54">
        <v>-1</v>
      </c>
      <c r="BG54">
        <v>-1</v>
      </c>
      <c r="BH54">
        <v>-1</v>
      </c>
      <c r="BI54">
        <v>-1</v>
      </c>
      <c r="BJ54">
        <v>-1</v>
      </c>
      <c r="BK54">
        <v>-1</v>
      </c>
      <c r="BL54">
        <v>-1</v>
      </c>
      <c r="BM54">
        <v>-1</v>
      </c>
      <c r="BN54">
        <v>-1</v>
      </c>
      <c r="BO54">
        <v>-1</v>
      </c>
    </row>
    <row r="55" spans="1:67" x14ac:dyDescent="0.25">
      <c r="A55">
        <v>52</v>
      </c>
      <c r="B55">
        <v>50001</v>
      </c>
      <c r="C55" t="str">
        <f>VLOOKUP(B55,[1]resources!$A$2:$D$300,3,FALSE)</f>
        <v>!!SHAKE_BERRY_BLISS</v>
      </c>
      <c r="D55">
        <v>1</v>
      </c>
      <c r="E55" t="str">
        <f>VLOOKUP(D55,[1]bonus_paytable!$A$2:$D$300,3,FALSE)</f>
        <v>base</v>
      </c>
      <c r="F55">
        <v>-1</v>
      </c>
      <c r="G55">
        <v>-1</v>
      </c>
      <c r="H55">
        <v>0.5</v>
      </c>
      <c r="I55" t="s">
        <v>0</v>
      </c>
      <c r="J55">
        <v>3</v>
      </c>
      <c r="K55">
        <v>3</v>
      </c>
      <c r="L55">
        <v>3</v>
      </c>
      <c r="M55">
        <v>-1</v>
      </c>
      <c r="N55">
        <v>-1</v>
      </c>
      <c r="O55">
        <v>-1</v>
      </c>
      <c r="P55">
        <v>-1</v>
      </c>
      <c r="Q55">
        <v>-1</v>
      </c>
      <c r="R55">
        <v>-1</v>
      </c>
      <c r="S55">
        <v>-1</v>
      </c>
      <c r="T55">
        <v>-1</v>
      </c>
      <c r="U55">
        <v>0.5</v>
      </c>
      <c r="V55">
        <v>0.4</v>
      </c>
      <c r="W55">
        <v>0.1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-1</v>
      </c>
      <c r="AD55">
        <v>-1</v>
      </c>
      <c r="AE55">
        <v>-1</v>
      </c>
      <c r="AF55">
        <v>2</v>
      </c>
      <c r="AG55">
        <v>5</v>
      </c>
      <c r="AH55">
        <v>10</v>
      </c>
      <c r="AI55">
        <v>-1</v>
      </c>
      <c r="AJ55">
        <v>-1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0.5</v>
      </c>
      <c r="AR55" t="s">
        <v>0</v>
      </c>
      <c r="AS55">
        <v>5</v>
      </c>
      <c r="AT55">
        <v>5</v>
      </c>
      <c r="AU55">
        <v>5</v>
      </c>
      <c r="AV55">
        <v>0.5</v>
      </c>
      <c r="AW55">
        <v>0.4</v>
      </c>
      <c r="AX55">
        <v>0.1</v>
      </c>
      <c r="AY55">
        <v>1</v>
      </c>
      <c r="AZ55">
        <v>2</v>
      </c>
      <c r="BA55">
        <v>5</v>
      </c>
      <c r="BB55">
        <v>0</v>
      </c>
      <c r="BC55" t="s">
        <v>2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</row>
    <row r="56" spans="1:67" x14ac:dyDescent="0.25">
      <c r="A56">
        <v>53</v>
      </c>
      <c r="B56">
        <v>50002</v>
      </c>
      <c r="C56" t="str">
        <f>VLOOKUP(B56,[1]resources!$A$2:$D$300,3,FALSE)</f>
        <v>!!SHAKE_CORAL_CRUSH</v>
      </c>
      <c r="D56">
        <v>1</v>
      </c>
      <c r="E56" t="str">
        <f>VLOOKUP(D56,[1]bonus_paytable!$A$2:$D$300,3,FALSE)</f>
        <v>base</v>
      </c>
      <c r="F56">
        <v>-1</v>
      </c>
      <c r="G56">
        <v>-1</v>
      </c>
      <c r="H56">
        <v>0.5</v>
      </c>
      <c r="I56" t="s">
        <v>0</v>
      </c>
      <c r="J56">
        <v>3</v>
      </c>
      <c r="K56">
        <v>3</v>
      </c>
      <c r="L56">
        <v>3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-1</v>
      </c>
      <c r="T56">
        <v>-1</v>
      </c>
      <c r="U56">
        <v>0.5</v>
      </c>
      <c r="V56">
        <v>0.4</v>
      </c>
      <c r="W56">
        <v>0.1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2</v>
      </c>
      <c r="AG56">
        <v>5</v>
      </c>
      <c r="AH56">
        <v>10</v>
      </c>
      <c r="AI56">
        <v>-1</v>
      </c>
      <c r="AJ56">
        <v>-1</v>
      </c>
      <c r="AK56">
        <v>-1</v>
      </c>
      <c r="AL56">
        <v>-1</v>
      </c>
      <c r="AM56">
        <v>-1</v>
      </c>
      <c r="AN56">
        <v>-1</v>
      </c>
      <c r="AO56">
        <v>-1</v>
      </c>
      <c r="AP56">
        <v>-1</v>
      </c>
      <c r="AQ56">
        <v>0.5</v>
      </c>
      <c r="AR56" t="s">
        <v>0</v>
      </c>
      <c r="AS56">
        <v>5</v>
      </c>
      <c r="AT56">
        <v>5</v>
      </c>
      <c r="AU56">
        <v>5</v>
      </c>
      <c r="AV56">
        <v>0.5</v>
      </c>
      <c r="AW56">
        <v>0.4</v>
      </c>
      <c r="AX56">
        <v>0.1</v>
      </c>
      <c r="AY56">
        <v>1</v>
      </c>
      <c r="AZ56">
        <v>2</v>
      </c>
      <c r="BA56">
        <v>5</v>
      </c>
      <c r="BB56">
        <v>0</v>
      </c>
      <c r="BC56" t="s">
        <v>2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-1</v>
      </c>
      <c r="BJ56">
        <v>-1</v>
      </c>
      <c r="BK56">
        <v>-1</v>
      </c>
      <c r="BL56">
        <v>-1</v>
      </c>
      <c r="BM56">
        <v>-1</v>
      </c>
      <c r="BN56">
        <v>-1</v>
      </c>
      <c r="BO56">
        <v>-1</v>
      </c>
    </row>
    <row r="57" spans="1:67" x14ac:dyDescent="0.25">
      <c r="A57">
        <v>54</v>
      </c>
      <c r="B57">
        <v>50003</v>
      </c>
      <c r="C57" t="str">
        <f>VLOOKUP(B57,[1]resources!$A$2:$D$300,3,FALSE)</f>
        <v>!!SHAKE_FRUTIY_BREEZE</v>
      </c>
      <c r="D57">
        <v>1</v>
      </c>
      <c r="E57" t="str">
        <f>VLOOKUP(D57,[1]bonus_paytable!$A$2:$D$300,3,FALSE)</f>
        <v>base</v>
      </c>
      <c r="F57">
        <v>-1</v>
      </c>
      <c r="G57">
        <v>-1</v>
      </c>
      <c r="H57">
        <v>0.5</v>
      </c>
      <c r="I57" t="s">
        <v>0</v>
      </c>
      <c r="J57">
        <v>3</v>
      </c>
      <c r="K57">
        <v>3</v>
      </c>
      <c r="L57">
        <v>3</v>
      </c>
      <c r="M57">
        <v>-1</v>
      </c>
      <c r="N57">
        <v>-1</v>
      </c>
      <c r="O57">
        <v>-1</v>
      </c>
      <c r="P57">
        <v>-1</v>
      </c>
      <c r="Q57">
        <v>-1</v>
      </c>
      <c r="R57">
        <v>-1</v>
      </c>
      <c r="S57">
        <v>-1</v>
      </c>
      <c r="T57">
        <v>-1</v>
      </c>
      <c r="U57">
        <v>0.5</v>
      </c>
      <c r="V57">
        <v>0.4</v>
      </c>
      <c r="W57">
        <v>0.1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-1</v>
      </c>
      <c r="AD57">
        <v>-1</v>
      </c>
      <c r="AE57">
        <v>-1</v>
      </c>
      <c r="AF57">
        <v>2</v>
      </c>
      <c r="AG57">
        <v>5</v>
      </c>
      <c r="AH57">
        <v>10</v>
      </c>
      <c r="AI57">
        <v>-1</v>
      </c>
      <c r="AJ57">
        <v>-1</v>
      </c>
      <c r="AK57">
        <v>-1</v>
      </c>
      <c r="AL57">
        <v>-1</v>
      </c>
      <c r="AM57">
        <v>-1</v>
      </c>
      <c r="AN57">
        <v>-1</v>
      </c>
      <c r="AO57">
        <v>-1</v>
      </c>
      <c r="AP57">
        <v>-1</v>
      </c>
      <c r="AQ57">
        <v>0.5</v>
      </c>
      <c r="AR57" t="s">
        <v>0</v>
      </c>
      <c r="AS57">
        <v>5</v>
      </c>
      <c r="AT57">
        <v>5</v>
      </c>
      <c r="AU57">
        <v>5</v>
      </c>
      <c r="AV57">
        <v>0.5</v>
      </c>
      <c r="AW57">
        <v>0.4</v>
      </c>
      <c r="AX57">
        <v>0.1</v>
      </c>
      <c r="AY57">
        <v>1</v>
      </c>
      <c r="AZ57">
        <v>2</v>
      </c>
      <c r="BA57">
        <v>5</v>
      </c>
      <c r="BB57">
        <v>0</v>
      </c>
      <c r="BC57" t="s">
        <v>2</v>
      </c>
      <c r="BD57">
        <v>-1</v>
      </c>
      <c r="BE57">
        <v>-1</v>
      </c>
      <c r="BF57">
        <v>-1</v>
      </c>
      <c r="BG57">
        <v>-1</v>
      </c>
      <c r="BH57">
        <v>-1</v>
      </c>
      <c r="BI57">
        <v>-1</v>
      </c>
      <c r="BJ57">
        <v>-1</v>
      </c>
      <c r="BK57">
        <v>-1</v>
      </c>
      <c r="BL57">
        <v>-1</v>
      </c>
      <c r="BM57">
        <v>-1</v>
      </c>
      <c r="BN57">
        <v>-1</v>
      </c>
      <c r="BO57">
        <v>-1</v>
      </c>
    </row>
    <row r="58" spans="1:67" x14ac:dyDescent="0.25">
      <c r="A58">
        <v>55</v>
      </c>
      <c r="B58">
        <v>50004</v>
      </c>
      <c r="C58" t="str">
        <f>VLOOKUP(B58,[1]resources!$A$2:$D$300,3,FALSE)</f>
        <v>!!SHAKE_SALTY_BANANA</v>
      </c>
      <c r="D58">
        <v>1</v>
      </c>
      <c r="E58" t="str">
        <f>VLOOKUP(D58,[1]bonus_paytable!$A$2:$D$300,3,FALSE)</f>
        <v>base</v>
      </c>
      <c r="F58">
        <v>-1</v>
      </c>
      <c r="G58">
        <v>-1</v>
      </c>
      <c r="H58">
        <v>0.5</v>
      </c>
      <c r="I58" t="s">
        <v>0</v>
      </c>
      <c r="J58">
        <v>3</v>
      </c>
      <c r="K58">
        <v>3</v>
      </c>
      <c r="L58">
        <v>3</v>
      </c>
      <c r="M58">
        <v>-1</v>
      </c>
      <c r="N58">
        <v>-1</v>
      </c>
      <c r="O58">
        <v>-1</v>
      </c>
      <c r="P58">
        <v>-1</v>
      </c>
      <c r="Q58">
        <v>-1</v>
      </c>
      <c r="R58">
        <v>-1</v>
      </c>
      <c r="S58">
        <v>-1</v>
      </c>
      <c r="T58">
        <v>-1</v>
      </c>
      <c r="U58">
        <v>0.5</v>
      </c>
      <c r="V58">
        <v>0.4</v>
      </c>
      <c r="W58">
        <v>0.1</v>
      </c>
      <c r="X58">
        <v>-1</v>
      </c>
      <c r="Y58">
        <v>-1</v>
      </c>
      <c r="Z58">
        <v>-1</v>
      </c>
      <c r="AA58">
        <v>-1</v>
      </c>
      <c r="AB58">
        <v>-1</v>
      </c>
      <c r="AC58">
        <v>-1</v>
      </c>
      <c r="AD58">
        <v>-1</v>
      </c>
      <c r="AE58">
        <v>-1</v>
      </c>
      <c r="AF58">
        <v>2</v>
      </c>
      <c r="AG58">
        <v>5</v>
      </c>
      <c r="AH58">
        <v>10</v>
      </c>
      <c r="AI58">
        <v>-1</v>
      </c>
      <c r="AJ58">
        <v>-1</v>
      </c>
      <c r="AK58">
        <v>-1</v>
      </c>
      <c r="AL58">
        <v>-1</v>
      </c>
      <c r="AM58">
        <v>-1</v>
      </c>
      <c r="AN58">
        <v>-1</v>
      </c>
      <c r="AO58">
        <v>-1</v>
      </c>
      <c r="AP58">
        <v>-1</v>
      </c>
      <c r="AQ58">
        <v>0.5</v>
      </c>
      <c r="AR58" t="s">
        <v>0</v>
      </c>
      <c r="AS58">
        <v>5</v>
      </c>
      <c r="AT58">
        <v>5</v>
      </c>
      <c r="AU58">
        <v>5</v>
      </c>
      <c r="AV58">
        <v>0.5</v>
      </c>
      <c r="AW58">
        <v>0.4</v>
      </c>
      <c r="AX58">
        <v>0.1</v>
      </c>
      <c r="AY58">
        <v>1</v>
      </c>
      <c r="AZ58">
        <v>2</v>
      </c>
      <c r="BA58">
        <v>5</v>
      </c>
      <c r="BB58">
        <v>0</v>
      </c>
      <c r="BC58" t="s">
        <v>2</v>
      </c>
      <c r="BD58">
        <v>-1</v>
      </c>
      <c r="BE58">
        <v>-1</v>
      </c>
      <c r="BF58">
        <v>-1</v>
      </c>
      <c r="BG58">
        <v>-1</v>
      </c>
      <c r="BH58">
        <v>-1</v>
      </c>
      <c r="BI58">
        <v>-1</v>
      </c>
      <c r="BJ58">
        <v>-1</v>
      </c>
      <c r="BK58">
        <v>-1</v>
      </c>
      <c r="BL58">
        <v>-1</v>
      </c>
      <c r="BM58">
        <v>-1</v>
      </c>
      <c r="BN58">
        <v>-1</v>
      </c>
      <c r="BO58">
        <v>-1</v>
      </c>
    </row>
    <row r="59" spans="1:67" x14ac:dyDescent="0.25">
      <c r="A59">
        <v>56</v>
      </c>
      <c r="B59">
        <v>50005</v>
      </c>
      <c r="C59" t="str">
        <f>VLOOKUP(B59,[1]resources!$A$2:$D$300,3,FALSE)</f>
        <v>!!SHAKE_STRAWBERRY_RIPTIDE</v>
      </c>
      <c r="D59">
        <v>1</v>
      </c>
      <c r="E59" t="str">
        <f>VLOOKUP(D59,[1]bonus_paytable!$A$2:$D$300,3,FALSE)</f>
        <v>base</v>
      </c>
      <c r="F59">
        <v>-1</v>
      </c>
      <c r="G59">
        <v>-1</v>
      </c>
      <c r="H59">
        <v>0.5</v>
      </c>
      <c r="I59" t="s">
        <v>0</v>
      </c>
      <c r="J59">
        <v>3</v>
      </c>
      <c r="K59">
        <v>3</v>
      </c>
      <c r="L59">
        <v>3</v>
      </c>
      <c r="M59">
        <v>-1</v>
      </c>
      <c r="N59">
        <v>-1</v>
      </c>
      <c r="O59">
        <v>-1</v>
      </c>
      <c r="P59">
        <v>-1</v>
      </c>
      <c r="Q59">
        <v>-1</v>
      </c>
      <c r="R59">
        <v>-1</v>
      </c>
      <c r="S59">
        <v>-1</v>
      </c>
      <c r="T59">
        <v>-1</v>
      </c>
      <c r="U59">
        <v>0.5</v>
      </c>
      <c r="V59">
        <v>0.4</v>
      </c>
      <c r="W59">
        <v>0.1</v>
      </c>
      <c r="X59">
        <v>-1</v>
      </c>
      <c r="Y59">
        <v>-1</v>
      </c>
      <c r="Z59">
        <v>-1</v>
      </c>
      <c r="AA59">
        <v>-1</v>
      </c>
      <c r="AB59">
        <v>-1</v>
      </c>
      <c r="AC59">
        <v>-1</v>
      </c>
      <c r="AD59">
        <v>-1</v>
      </c>
      <c r="AE59">
        <v>-1</v>
      </c>
      <c r="AF59">
        <v>2</v>
      </c>
      <c r="AG59">
        <v>5</v>
      </c>
      <c r="AH59">
        <v>10</v>
      </c>
      <c r="AI59">
        <v>-1</v>
      </c>
      <c r="AJ59">
        <v>-1</v>
      </c>
      <c r="AK59">
        <v>-1</v>
      </c>
      <c r="AL59">
        <v>-1</v>
      </c>
      <c r="AM59">
        <v>-1</v>
      </c>
      <c r="AN59">
        <v>-1</v>
      </c>
      <c r="AO59">
        <v>-1</v>
      </c>
      <c r="AP59">
        <v>-1</v>
      </c>
      <c r="AQ59">
        <v>0.5</v>
      </c>
      <c r="AR59" t="s">
        <v>0</v>
      </c>
      <c r="AS59">
        <v>5</v>
      </c>
      <c r="AT59">
        <v>5</v>
      </c>
      <c r="AU59">
        <v>5</v>
      </c>
      <c r="AV59">
        <v>0.5</v>
      </c>
      <c r="AW59">
        <v>0.4</v>
      </c>
      <c r="AX59">
        <v>0.1</v>
      </c>
      <c r="AY59">
        <v>1</v>
      </c>
      <c r="AZ59">
        <v>2</v>
      </c>
      <c r="BA59">
        <v>5</v>
      </c>
      <c r="BB59">
        <v>0</v>
      </c>
      <c r="BC59" t="s">
        <v>2</v>
      </c>
      <c r="BD59">
        <v>-1</v>
      </c>
      <c r="BE59">
        <v>-1</v>
      </c>
      <c r="BF59">
        <v>-1</v>
      </c>
      <c r="BG59">
        <v>-1</v>
      </c>
      <c r="BH59">
        <v>-1</v>
      </c>
      <c r="BI59">
        <v>-1</v>
      </c>
      <c r="BJ59">
        <v>-1</v>
      </c>
      <c r="BK59">
        <v>-1</v>
      </c>
      <c r="BL59">
        <v>-1</v>
      </c>
      <c r="BM59">
        <v>-1</v>
      </c>
      <c r="BN59">
        <v>-1</v>
      </c>
      <c r="BO59">
        <v>-1</v>
      </c>
    </row>
    <row r="60" spans="1:67" x14ac:dyDescent="0.25">
      <c r="A60">
        <v>57</v>
      </c>
      <c r="B60">
        <v>50006</v>
      </c>
      <c r="C60" t="str">
        <f>VLOOKUP(B60,[1]resources!$A$2:$D$300,3,FALSE)</f>
        <v>!!SHAKE_TARTBERRY_TWIST</v>
      </c>
      <c r="D60">
        <v>1</v>
      </c>
      <c r="E60" t="str">
        <f>VLOOKUP(D60,[1]bonus_paytable!$A$2:$D$300,3,FALSE)</f>
        <v>base</v>
      </c>
      <c r="F60">
        <v>-1</v>
      </c>
      <c r="G60">
        <v>-1</v>
      </c>
      <c r="H60">
        <v>0.5</v>
      </c>
      <c r="I60" t="s">
        <v>0</v>
      </c>
      <c r="J60">
        <v>3</v>
      </c>
      <c r="K60">
        <v>3</v>
      </c>
      <c r="L60">
        <v>3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0.5</v>
      </c>
      <c r="V60">
        <v>0.4</v>
      </c>
      <c r="W60">
        <v>0.1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2</v>
      </c>
      <c r="AG60">
        <v>5</v>
      </c>
      <c r="AH60">
        <v>10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0.5</v>
      </c>
      <c r="AR60" t="s">
        <v>0</v>
      </c>
      <c r="AS60">
        <v>5</v>
      </c>
      <c r="AT60">
        <v>5</v>
      </c>
      <c r="AU60">
        <v>5</v>
      </c>
      <c r="AV60">
        <v>0.5</v>
      </c>
      <c r="AW60">
        <v>0.4</v>
      </c>
      <c r="AX60">
        <v>0.1</v>
      </c>
      <c r="AY60">
        <v>1</v>
      </c>
      <c r="AZ60">
        <v>2</v>
      </c>
      <c r="BA60">
        <v>5</v>
      </c>
      <c r="BB60">
        <v>0</v>
      </c>
      <c r="BC60" t="s">
        <v>2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</row>
    <row r="61" spans="1:67" x14ac:dyDescent="0.25">
      <c r="A61">
        <v>58</v>
      </c>
      <c r="B61">
        <v>50007</v>
      </c>
      <c r="C61" t="str">
        <f>VLOOKUP(B61,[1]resources!$A$2:$D$300,3,FALSE)</f>
        <v>!!SHAKE_VANILLA_BLAST</v>
      </c>
      <c r="D61">
        <v>1</v>
      </c>
      <c r="E61" t="str">
        <f>VLOOKUP(D61,[1]bonus_paytable!$A$2:$D$300,3,FALSE)</f>
        <v>base</v>
      </c>
      <c r="F61">
        <v>-1</v>
      </c>
      <c r="G61">
        <v>-1</v>
      </c>
      <c r="H61">
        <v>0.5</v>
      </c>
      <c r="I61" t="s">
        <v>0</v>
      </c>
      <c r="J61">
        <v>3</v>
      </c>
      <c r="K61">
        <v>3</v>
      </c>
      <c r="L61">
        <v>3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0.5</v>
      </c>
      <c r="V61">
        <v>0.4</v>
      </c>
      <c r="W61">
        <v>0.1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2</v>
      </c>
      <c r="AG61">
        <v>5</v>
      </c>
      <c r="AH61">
        <v>10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0.5</v>
      </c>
      <c r="AR61" t="s">
        <v>0</v>
      </c>
      <c r="AS61">
        <v>5</v>
      </c>
      <c r="AT61">
        <v>5</v>
      </c>
      <c r="AU61">
        <v>5</v>
      </c>
      <c r="AV61">
        <v>0.5</v>
      </c>
      <c r="AW61">
        <v>0.4</v>
      </c>
      <c r="AX61">
        <v>0.1</v>
      </c>
      <c r="AY61">
        <v>1</v>
      </c>
      <c r="AZ61">
        <v>2</v>
      </c>
      <c r="BA61">
        <v>5</v>
      </c>
      <c r="BB61">
        <v>0</v>
      </c>
      <c r="BC61" t="s">
        <v>2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</row>
    <row r="62" spans="1:67" x14ac:dyDescent="0.25">
      <c r="A62">
        <v>59</v>
      </c>
      <c r="B62">
        <v>60000</v>
      </c>
      <c r="C62" t="str">
        <f>VLOOKUP(B62,[1]resources!$A$2:$D$300,3,FALSE)</f>
        <v>!!FLOWERCORAL_BRANCHCORAL</v>
      </c>
      <c r="D62">
        <v>1</v>
      </c>
      <c r="E62" t="str">
        <f>VLOOKUP(D62,[1]bonus_paytable!$A$2:$D$300,3,FALSE)</f>
        <v>base</v>
      </c>
      <c r="F62">
        <v>-1</v>
      </c>
      <c r="G62">
        <v>-1</v>
      </c>
      <c r="H62">
        <v>0.5</v>
      </c>
      <c r="I62" t="s">
        <v>0</v>
      </c>
      <c r="J62">
        <v>3</v>
      </c>
      <c r="K62">
        <v>3</v>
      </c>
      <c r="L62">
        <v>3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0.5</v>
      </c>
      <c r="V62">
        <v>0.4</v>
      </c>
      <c r="W62">
        <v>0.1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2</v>
      </c>
      <c r="AG62">
        <v>5</v>
      </c>
      <c r="AH62">
        <v>10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0.5</v>
      </c>
      <c r="AR62" t="s">
        <v>0</v>
      </c>
      <c r="AS62">
        <v>5</v>
      </c>
      <c r="AT62">
        <v>5</v>
      </c>
      <c r="AU62">
        <v>5</v>
      </c>
      <c r="AV62">
        <v>0.5</v>
      </c>
      <c r="AW62">
        <v>0.4</v>
      </c>
      <c r="AX62">
        <v>0.1</v>
      </c>
      <c r="AY62">
        <v>1</v>
      </c>
      <c r="AZ62">
        <v>2</v>
      </c>
      <c r="BA62">
        <v>5</v>
      </c>
      <c r="BB62">
        <v>0</v>
      </c>
      <c r="BC62" t="s">
        <v>2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</row>
    <row r="63" spans="1:67" x14ac:dyDescent="0.25">
      <c r="A63">
        <v>60</v>
      </c>
      <c r="B63">
        <v>60001</v>
      </c>
      <c r="C63" t="str">
        <f>VLOOKUP(B63,[1]resources!$A$2:$D$300,3,FALSE)</f>
        <v>!!FLOWERCORAL_CUPCORAL</v>
      </c>
      <c r="D63">
        <v>1</v>
      </c>
      <c r="E63" t="str">
        <f>VLOOKUP(D63,[1]bonus_paytable!$A$2:$D$300,3,FALSE)</f>
        <v>base</v>
      </c>
      <c r="F63">
        <v>-1</v>
      </c>
      <c r="G63">
        <v>-1</v>
      </c>
      <c r="H63">
        <v>0.5</v>
      </c>
      <c r="I63" t="s">
        <v>0</v>
      </c>
      <c r="J63">
        <v>3</v>
      </c>
      <c r="K63">
        <v>3</v>
      </c>
      <c r="L63">
        <v>3</v>
      </c>
      <c r="M63">
        <v>-1</v>
      </c>
      <c r="N63">
        <v>-1</v>
      </c>
      <c r="O63">
        <v>-1</v>
      </c>
      <c r="P63">
        <v>-1</v>
      </c>
      <c r="Q63">
        <v>-1</v>
      </c>
      <c r="R63">
        <v>-1</v>
      </c>
      <c r="S63">
        <v>-1</v>
      </c>
      <c r="T63">
        <v>-1</v>
      </c>
      <c r="U63">
        <v>0.5</v>
      </c>
      <c r="V63">
        <v>0.4</v>
      </c>
      <c r="W63">
        <v>0.1</v>
      </c>
      <c r="X63">
        <v>-1</v>
      </c>
      <c r="Y63">
        <v>-1</v>
      </c>
      <c r="Z63">
        <v>-1</v>
      </c>
      <c r="AA63">
        <v>-1</v>
      </c>
      <c r="AB63">
        <v>-1</v>
      </c>
      <c r="AC63">
        <v>-1</v>
      </c>
      <c r="AD63">
        <v>-1</v>
      </c>
      <c r="AE63">
        <v>-1</v>
      </c>
      <c r="AF63">
        <v>2</v>
      </c>
      <c r="AG63">
        <v>5</v>
      </c>
      <c r="AH63">
        <v>10</v>
      </c>
      <c r="AI63">
        <v>-1</v>
      </c>
      <c r="AJ63">
        <v>-1</v>
      </c>
      <c r="AK63">
        <v>-1</v>
      </c>
      <c r="AL63">
        <v>-1</v>
      </c>
      <c r="AM63">
        <v>-1</v>
      </c>
      <c r="AN63">
        <v>-1</v>
      </c>
      <c r="AO63">
        <v>-1</v>
      </c>
      <c r="AP63">
        <v>-1</v>
      </c>
      <c r="AQ63">
        <v>0.5</v>
      </c>
      <c r="AR63" t="s">
        <v>0</v>
      </c>
      <c r="AS63">
        <v>5</v>
      </c>
      <c r="AT63">
        <v>5</v>
      </c>
      <c r="AU63">
        <v>5</v>
      </c>
      <c r="AV63">
        <v>0.5</v>
      </c>
      <c r="AW63">
        <v>0.4</v>
      </c>
      <c r="AX63">
        <v>0.1</v>
      </c>
      <c r="AY63">
        <v>1</v>
      </c>
      <c r="AZ63">
        <v>2</v>
      </c>
      <c r="BA63">
        <v>5</v>
      </c>
      <c r="BB63">
        <v>0</v>
      </c>
      <c r="BC63" t="s">
        <v>2</v>
      </c>
      <c r="BD63">
        <v>-1</v>
      </c>
      <c r="BE63">
        <v>-1</v>
      </c>
      <c r="BF63">
        <v>-1</v>
      </c>
      <c r="BG63">
        <v>-1</v>
      </c>
      <c r="BH63">
        <v>-1</v>
      </c>
      <c r="BI63">
        <v>-1</v>
      </c>
      <c r="BJ63">
        <v>-1</v>
      </c>
      <c r="BK63">
        <v>-1</v>
      </c>
      <c r="BL63">
        <v>-1</v>
      </c>
      <c r="BM63">
        <v>-1</v>
      </c>
      <c r="BN63">
        <v>-1</v>
      </c>
      <c r="BO63">
        <v>-1</v>
      </c>
    </row>
    <row r="64" spans="1:67" x14ac:dyDescent="0.25">
      <c r="A64">
        <v>61</v>
      </c>
      <c r="B64">
        <v>60002</v>
      </c>
      <c r="C64" t="str">
        <f>VLOOKUP(B64,[1]resources!$A$2:$D$300,3,FALSE)</f>
        <v>!!FLOWERCORAL_FLOWER</v>
      </c>
      <c r="D64">
        <v>1</v>
      </c>
      <c r="E64" t="str">
        <f>VLOOKUP(D64,[1]bonus_paytable!$A$2:$D$300,3,FALSE)</f>
        <v>base</v>
      </c>
      <c r="F64">
        <v>-1</v>
      </c>
      <c r="G64">
        <v>-1</v>
      </c>
      <c r="H64">
        <v>0.5</v>
      </c>
      <c r="I64" t="s">
        <v>0</v>
      </c>
      <c r="J64">
        <v>3</v>
      </c>
      <c r="K64">
        <v>3</v>
      </c>
      <c r="L64">
        <v>3</v>
      </c>
      <c r="M64">
        <v>-1</v>
      </c>
      <c r="N64">
        <v>-1</v>
      </c>
      <c r="O64">
        <v>-1</v>
      </c>
      <c r="P64">
        <v>-1</v>
      </c>
      <c r="Q64">
        <v>-1</v>
      </c>
      <c r="R64">
        <v>-1</v>
      </c>
      <c r="S64">
        <v>-1</v>
      </c>
      <c r="T64">
        <v>-1</v>
      </c>
      <c r="U64">
        <v>0.5</v>
      </c>
      <c r="V64">
        <v>0.4</v>
      </c>
      <c r="W64">
        <v>0.1</v>
      </c>
      <c r="X64">
        <v>-1</v>
      </c>
      <c r="Y64">
        <v>-1</v>
      </c>
      <c r="Z64">
        <v>-1</v>
      </c>
      <c r="AA64">
        <v>-1</v>
      </c>
      <c r="AB64">
        <v>-1</v>
      </c>
      <c r="AC64">
        <v>-1</v>
      </c>
      <c r="AD64">
        <v>-1</v>
      </c>
      <c r="AE64">
        <v>-1</v>
      </c>
      <c r="AF64">
        <v>2</v>
      </c>
      <c r="AG64">
        <v>5</v>
      </c>
      <c r="AH64">
        <v>10</v>
      </c>
      <c r="AI64">
        <v>-1</v>
      </c>
      <c r="AJ64">
        <v>-1</v>
      </c>
      <c r="AK64">
        <v>-1</v>
      </c>
      <c r="AL64">
        <v>-1</v>
      </c>
      <c r="AM64">
        <v>-1</v>
      </c>
      <c r="AN64">
        <v>-1</v>
      </c>
      <c r="AO64">
        <v>-1</v>
      </c>
      <c r="AP64">
        <v>-1</v>
      </c>
      <c r="AQ64">
        <v>0.5</v>
      </c>
      <c r="AR64" t="s">
        <v>0</v>
      </c>
      <c r="AS64">
        <v>5</v>
      </c>
      <c r="AT64">
        <v>5</v>
      </c>
      <c r="AU64">
        <v>5</v>
      </c>
      <c r="AV64">
        <v>0.5</v>
      </c>
      <c r="AW64">
        <v>0.4</v>
      </c>
      <c r="AX64">
        <v>0.1</v>
      </c>
      <c r="AY64">
        <v>1</v>
      </c>
      <c r="AZ64">
        <v>2</v>
      </c>
      <c r="BA64">
        <v>5</v>
      </c>
      <c r="BB64">
        <v>0</v>
      </c>
      <c r="BC64" t="s">
        <v>2</v>
      </c>
      <c r="BD64">
        <v>-1</v>
      </c>
      <c r="BE64">
        <v>-1</v>
      </c>
      <c r="BF64">
        <v>-1</v>
      </c>
      <c r="BG64">
        <v>-1</v>
      </c>
      <c r="BH64">
        <v>-1</v>
      </c>
      <c r="BI64">
        <v>-1</v>
      </c>
      <c r="BJ64">
        <v>-1</v>
      </c>
      <c r="BK64">
        <v>-1</v>
      </c>
      <c r="BL64">
        <v>-1</v>
      </c>
      <c r="BM64">
        <v>-1</v>
      </c>
      <c r="BN64">
        <v>-1</v>
      </c>
      <c r="BO64">
        <v>-1</v>
      </c>
    </row>
    <row r="65" spans="1:67" x14ac:dyDescent="0.25">
      <c r="A65">
        <v>62</v>
      </c>
      <c r="B65">
        <v>60003</v>
      </c>
      <c r="C65" t="str">
        <f>VLOOKUP(B65,[1]resources!$A$2:$D$300,3,FALSE)</f>
        <v>!!FLOWERCORAL_STINKYSEAROSE</v>
      </c>
      <c r="D65">
        <v>1</v>
      </c>
      <c r="E65" t="str">
        <f>VLOOKUP(D65,[1]bonus_paytable!$A$2:$D$300,3,FALSE)</f>
        <v>base</v>
      </c>
      <c r="F65">
        <v>-1</v>
      </c>
      <c r="G65">
        <v>-1</v>
      </c>
      <c r="H65">
        <v>0.5</v>
      </c>
      <c r="I65" t="s">
        <v>0</v>
      </c>
      <c r="J65">
        <v>3</v>
      </c>
      <c r="K65">
        <v>3</v>
      </c>
      <c r="L65">
        <v>3</v>
      </c>
      <c r="M65">
        <v>-1</v>
      </c>
      <c r="N65">
        <v>-1</v>
      </c>
      <c r="O65">
        <v>-1</v>
      </c>
      <c r="P65">
        <v>-1</v>
      </c>
      <c r="Q65">
        <v>-1</v>
      </c>
      <c r="R65">
        <v>-1</v>
      </c>
      <c r="S65">
        <v>-1</v>
      </c>
      <c r="T65">
        <v>-1</v>
      </c>
      <c r="U65">
        <v>0.5</v>
      </c>
      <c r="V65">
        <v>0.4</v>
      </c>
      <c r="W65">
        <v>0.1</v>
      </c>
      <c r="X65">
        <v>-1</v>
      </c>
      <c r="Y65">
        <v>-1</v>
      </c>
      <c r="Z65">
        <v>-1</v>
      </c>
      <c r="AA65">
        <v>-1</v>
      </c>
      <c r="AB65">
        <v>-1</v>
      </c>
      <c r="AC65">
        <v>-1</v>
      </c>
      <c r="AD65">
        <v>-1</v>
      </c>
      <c r="AE65">
        <v>-1</v>
      </c>
      <c r="AF65">
        <v>2</v>
      </c>
      <c r="AG65">
        <v>5</v>
      </c>
      <c r="AH65">
        <v>10</v>
      </c>
      <c r="AI65">
        <v>-1</v>
      </c>
      <c r="AJ65">
        <v>-1</v>
      </c>
      <c r="AK65">
        <v>-1</v>
      </c>
      <c r="AL65">
        <v>-1</v>
      </c>
      <c r="AM65">
        <v>-1</v>
      </c>
      <c r="AN65">
        <v>-1</v>
      </c>
      <c r="AO65">
        <v>-1</v>
      </c>
      <c r="AP65">
        <v>-1</v>
      </c>
      <c r="AQ65">
        <v>0.5</v>
      </c>
      <c r="AR65" t="s">
        <v>0</v>
      </c>
      <c r="AS65">
        <v>5</v>
      </c>
      <c r="AT65">
        <v>5</v>
      </c>
      <c r="AU65">
        <v>5</v>
      </c>
      <c r="AV65">
        <v>0.5</v>
      </c>
      <c r="AW65">
        <v>0.4</v>
      </c>
      <c r="AX65">
        <v>0.1</v>
      </c>
      <c r="AY65">
        <v>1</v>
      </c>
      <c r="AZ65">
        <v>2</v>
      </c>
      <c r="BA65">
        <v>5</v>
      </c>
      <c r="BB65">
        <v>0</v>
      </c>
      <c r="BC65" t="s">
        <v>2</v>
      </c>
      <c r="BD65">
        <v>-1</v>
      </c>
      <c r="BE65">
        <v>-1</v>
      </c>
      <c r="BF65">
        <v>-1</v>
      </c>
      <c r="BG65">
        <v>-1</v>
      </c>
      <c r="BH65">
        <v>-1</v>
      </c>
      <c r="BI65">
        <v>-1</v>
      </c>
      <c r="BJ65">
        <v>-1</v>
      </c>
      <c r="BK65">
        <v>-1</v>
      </c>
      <c r="BL65">
        <v>-1</v>
      </c>
      <c r="BM65">
        <v>-1</v>
      </c>
      <c r="BN65">
        <v>-1</v>
      </c>
      <c r="BO65">
        <v>-1</v>
      </c>
    </row>
    <row r="66" spans="1:67" x14ac:dyDescent="0.25">
      <c r="A66">
        <v>63</v>
      </c>
      <c r="B66">
        <v>60004</v>
      </c>
      <c r="C66" t="str">
        <f>VLOOKUP(B66,[1]resources!$A$2:$D$300,3,FALSE)</f>
        <v>!!FLOWERCORAL_TUBECORAL</v>
      </c>
      <c r="D66">
        <v>1</v>
      </c>
      <c r="E66" t="str">
        <f>VLOOKUP(D66,[1]bonus_paytable!$A$2:$D$300,3,FALSE)</f>
        <v>base</v>
      </c>
      <c r="F66">
        <v>-1</v>
      </c>
      <c r="G66">
        <v>-1</v>
      </c>
      <c r="H66">
        <v>0.5</v>
      </c>
      <c r="I66" t="s">
        <v>0</v>
      </c>
      <c r="J66">
        <v>3</v>
      </c>
      <c r="K66">
        <v>3</v>
      </c>
      <c r="L66">
        <v>3</v>
      </c>
      <c r="M66">
        <v>-1</v>
      </c>
      <c r="N66">
        <v>-1</v>
      </c>
      <c r="O66">
        <v>-1</v>
      </c>
      <c r="P66">
        <v>-1</v>
      </c>
      <c r="Q66">
        <v>-1</v>
      </c>
      <c r="R66">
        <v>-1</v>
      </c>
      <c r="S66">
        <v>-1</v>
      </c>
      <c r="T66">
        <v>-1</v>
      </c>
      <c r="U66">
        <v>0.5</v>
      </c>
      <c r="V66">
        <v>0.4</v>
      </c>
      <c r="W66">
        <v>0.1</v>
      </c>
      <c r="X66">
        <v>-1</v>
      </c>
      <c r="Y66">
        <v>-1</v>
      </c>
      <c r="Z66">
        <v>-1</v>
      </c>
      <c r="AA66">
        <v>-1</v>
      </c>
      <c r="AB66">
        <v>-1</v>
      </c>
      <c r="AC66">
        <v>-1</v>
      </c>
      <c r="AD66">
        <v>-1</v>
      </c>
      <c r="AE66">
        <v>-1</v>
      </c>
      <c r="AF66">
        <v>2</v>
      </c>
      <c r="AG66">
        <v>5</v>
      </c>
      <c r="AH66">
        <v>10</v>
      </c>
      <c r="AI66">
        <v>-1</v>
      </c>
      <c r="AJ66">
        <v>-1</v>
      </c>
      <c r="AK66">
        <v>-1</v>
      </c>
      <c r="AL66">
        <v>-1</v>
      </c>
      <c r="AM66">
        <v>-1</v>
      </c>
      <c r="AN66">
        <v>-1</v>
      </c>
      <c r="AO66">
        <v>-1</v>
      </c>
      <c r="AP66">
        <v>-1</v>
      </c>
      <c r="AQ66">
        <v>0.5</v>
      </c>
      <c r="AR66" t="s">
        <v>0</v>
      </c>
      <c r="AS66">
        <v>5</v>
      </c>
      <c r="AT66">
        <v>5</v>
      </c>
      <c r="AU66">
        <v>5</v>
      </c>
      <c r="AV66">
        <v>0.5</v>
      </c>
      <c r="AW66">
        <v>0.4</v>
      </c>
      <c r="AX66">
        <v>0.1</v>
      </c>
      <c r="AY66">
        <v>1</v>
      </c>
      <c r="AZ66">
        <v>2</v>
      </c>
      <c r="BA66">
        <v>5</v>
      </c>
      <c r="BB66">
        <v>0</v>
      </c>
      <c r="BC66" t="s">
        <v>2</v>
      </c>
      <c r="BD66">
        <v>-1</v>
      </c>
      <c r="BE66">
        <v>-1</v>
      </c>
      <c r="BF66">
        <v>-1</v>
      </c>
      <c r="BG66">
        <v>-1</v>
      </c>
      <c r="BH66">
        <v>-1</v>
      </c>
      <c r="BI66">
        <v>-1</v>
      </c>
      <c r="BJ66">
        <v>-1</v>
      </c>
      <c r="BK66">
        <v>-1</v>
      </c>
      <c r="BL66">
        <v>-1</v>
      </c>
      <c r="BM66">
        <v>-1</v>
      </c>
      <c r="BN66">
        <v>-1</v>
      </c>
      <c r="BO66">
        <v>-1</v>
      </c>
    </row>
    <row r="67" spans="1:67" x14ac:dyDescent="0.25">
      <c r="A67">
        <v>64</v>
      </c>
      <c r="B67">
        <v>60014</v>
      </c>
      <c r="C67" t="str">
        <f>VLOOKUP(B67,[1]resources!$A$2:$D$300,3,FALSE)</f>
        <v>!!BOUQUET_FLOWERCORAL_FRIENDLYFLOWER</v>
      </c>
      <c r="D67">
        <v>1</v>
      </c>
      <c r="E67" t="str">
        <f>VLOOKUP(D67,[1]bonus_paytable!$A$2:$D$300,3,FALSE)</f>
        <v>base</v>
      </c>
      <c r="F67">
        <v>-1</v>
      </c>
      <c r="G67">
        <v>-1</v>
      </c>
      <c r="H67">
        <v>0.5</v>
      </c>
      <c r="I67" t="s">
        <v>0</v>
      </c>
      <c r="J67">
        <v>3</v>
      </c>
      <c r="K67">
        <v>3</v>
      </c>
      <c r="L67">
        <v>3</v>
      </c>
      <c r="M67">
        <v>-1</v>
      </c>
      <c r="N67">
        <v>-1</v>
      </c>
      <c r="O67">
        <v>-1</v>
      </c>
      <c r="P67">
        <v>-1</v>
      </c>
      <c r="Q67">
        <v>-1</v>
      </c>
      <c r="R67">
        <v>-1</v>
      </c>
      <c r="S67">
        <v>-1</v>
      </c>
      <c r="T67">
        <v>-1</v>
      </c>
      <c r="U67">
        <v>0.5</v>
      </c>
      <c r="V67">
        <v>0.4</v>
      </c>
      <c r="W67">
        <v>0.1</v>
      </c>
      <c r="X67">
        <v>-1</v>
      </c>
      <c r="Y67">
        <v>-1</v>
      </c>
      <c r="Z67">
        <v>-1</v>
      </c>
      <c r="AA67">
        <v>-1</v>
      </c>
      <c r="AB67">
        <v>-1</v>
      </c>
      <c r="AC67">
        <v>-1</v>
      </c>
      <c r="AD67">
        <v>-1</v>
      </c>
      <c r="AE67">
        <v>-1</v>
      </c>
      <c r="AF67">
        <v>2</v>
      </c>
      <c r="AG67">
        <v>5</v>
      </c>
      <c r="AH67">
        <v>10</v>
      </c>
      <c r="AI67">
        <v>-1</v>
      </c>
      <c r="AJ67">
        <v>-1</v>
      </c>
      <c r="AK67">
        <v>-1</v>
      </c>
      <c r="AL67">
        <v>-1</v>
      </c>
      <c r="AM67">
        <v>-1</v>
      </c>
      <c r="AN67">
        <v>-1</v>
      </c>
      <c r="AO67">
        <v>-1</v>
      </c>
      <c r="AP67">
        <v>-1</v>
      </c>
      <c r="AQ67">
        <v>0.5</v>
      </c>
      <c r="AR67" t="s">
        <v>0</v>
      </c>
      <c r="AS67">
        <v>5</v>
      </c>
      <c r="AT67">
        <v>5</v>
      </c>
      <c r="AU67">
        <v>5</v>
      </c>
      <c r="AV67">
        <v>0.5</v>
      </c>
      <c r="AW67">
        <v>0.4</v>
      </c>
      <c r="AX67">
        <v>0.1</v>
      </c>
      <c r="AY67">
        <v>1</v>
      </c>
      <c r="AZ67">
        <v>2</v>
      </c>
      <c r="BA67">
        <v>5</v>
      </c>
      <c r="BB67">
        <v>0</v>
      </c>
      <c r="BC67" t="s">
        <v>2</v>
      </c>
      <c r="BD67">
        <v>-1</v>
      </c>
      <c r="BE67">
        <v>-1</v>
      </c>
      <c r="BF67">
        <v>-1</v>
      </c>
      <c r="BG67">
        <v>-1</v>
      </c>
      <c r="BH67">
        <v>-1</v>
      </c>
      <c r="BI67">
        <v>-1</v>
      </c>
      <c r="BJ67">
        <v>-1</v>
      </c>
      <c r="BK67">
        <v>-1</v>
      </c>
      <c r="BL67">
        <v>-1</v>
      </c>
      <c r="BM67">
        <v>-1</v>
      </c>
      <c r="BN67">
        <v>-1</v>
      </c>
      <c r="BO67">
        <v>-1</v>
      </c>
    </row>
    <row r="68" spans="1:67" x14ac:dyDescent="0.25">
      <c r="A68">
        <v>65</v>
      </c>
      <c r="B68">
        <v>60015</v>
      </c>
      <c r="C68" t="str">
        <f>VLOOKUP(B68,[1]resources!$A$2:$D$300,3,FALSE)</f>
        <v>!!BOUQUET_FLOWERCORAL_CUPN2FLOWERS</v>
      </c>
      <c r="D68">
        <v>1</v>
      </c>
      <c r="E68" t="str">
        <f>VLOOKUP(D68,[1]bonus_paytable!$A$2:$D$300,3,FALSE)</f>
        <v>base</v>
      </c>
      <c r="F68">
        <v>-1</v>
      </c>
      <c r="G68">
        <v>-1</v>
      </c>
      <c r="H68">
        <v>0.5</v>
      </c>
      <c r="I68" t="s">
        <v>0</v>
      </c>
      <c r="J68">
        <v>3</v>
      </c>
      <c r="K68">
        <v>3</v>
      </c>
      <c r="L68">
        <v>3</v>
      </c>
      <c r="M68">
        <v>-1</v>
      </c>
      <c r="N68">
        <v>-1</v>
      </c>
      <c r="O68">
        <v>-1</v>
      </c>
      <c r="P68">
        <v>-1</v>
      </c>
      <c r="Q68">
        <v>-1</v>
      </c>
      <c r="R68">
        <v>-1</v>
      </c>
      <c r="S68">
        <v>-1</v>
      </c>
      <c r="T68">
        <v>-1</v>
      </c>
      <c r="U68">
        <v>0.5</v>
      </c>
      <c r="V68">
        <v>0.4</v>
      </c>
      <c r="W68">
        <v>0.1</v>
      </c>
      <c r="X68">
        <v>-1</v>
      </c>
      <c r="Y68">
        <v>-1</v>
      </c>
      <c r="Z68">
        <v>-1</v>
      </c>
      <c r="AA68">
        <v>-1</v>
      </c>
      <c r="AB68">
        <v>-1</v>
      </c>
      <c r="AC68">
        <v>-1</v>
      </c>
      <c r="AD68">
        <v>-1</v>
      </c>
      <c r="AE68">
        <v>-1</v>
      </c>
      <c r="AF68">
        <v>2</v>
      </c>
      <c r="AG68">
        <v>5</v>
      </c>
      <c r="AH68">
        <v>10</v>
      </c>
      <c r="AI68">
        <v>-1</v>
      </c>
      <c r="AJ68">
        <v>-1</v>
      </c>
      <c r="AK68">
        <v>-1</v>
      </c>
      <c r="AL68">
        <v>-1</v>
      </c>
      <c r="AM68">
        <v>-1</v>
      </c>
      <c r="AN68">
        <v>-1</v>
      </c>
      <c r="AO68">
        <v>-1</v>
      </c>
      <c r="AP68">
        <v>-1</v>
      </c>
      <c r="AQ68">
        <v>0.5</v>
      </c>
      <c r="AR68" t="s">
        <v>0</v>
      </c>
      <c r="AS68">
        <v>5</v>
      </c>
      <c r="AT68">
        <v>5</v>
      </c>
      <c r="AU68">
        <v>5</v>
      </c>
      <c r="AV68">
        <v>0.5</v>
      </c>
      <c r="AW68">
        <v>0.4</v>
      </c>
      <c r="AX68">
        <v>0.1</v>
      </c>
      <c r="AY68">
        <v>1</v>
      </c>
      <c r="AZ68">
        <v>2</v>
      </c>
      <c r="BA68">
        <v>5</v>
      </c>
      <c r="BB68">
        <v>0</v>
      </c>
      <c r="BC68" t="s">
        <v>2</v>
      </c>
      <c r="BD68">
        <v>-1</v>
      </c>
      <c r="BE68">
        <v>-1</v>
      </c>
      <c r="BF68">
        <v>-1</v>
      </c>
      <c r="BG68">
        <v>-1</v>
      </c>
      <c r="BH68">
        <v>-1</v>
      </c>
      <c r="BI68">
        <v>-1</v>
      </c>
      <c r="BJ68">
        <v>-1</v>
      </c>
      <c r="BK68">
        <v>-1</v>
      </c>
      <c r="BL68">
        <v>-1</v>
      </c>
      <c r="BM68">
        <v>-1</v>
      </c>
      <c r="BN68">
        <v>-1</v>
      </c>
      <c r="BO68">
        <v>-1</v>
      </c>
    </row>
    <row r="69" spans="1:67" x14ac:dyDescent="0.25">
      <c r="A69">
        <v>66</v>
      </c>
      <c r="B69">
        <v>60016</v>
      </c>
      <c r="C69" t="str">
        <f>VLOOKUP(B69,[1]resources!$A$2:$D$300,3,FALSE)</f>
        <v>!!BOUQUET_FLOWERCORAL_BUNCHOBRANCHES</v>
      </c>
      <c r="D69">
        <v>1</v>
      </c>
      <c r="E69" t="str">
        <f>VLOOKUP(D69,[1]bonus_paytable!$A$2:$D$300,3,FALSE)</f>
        <v>base</v>
      </c>
      <c r="F69">
        <v>-1</v>
      </c>
      <c r="G69">
        <v>-1</v>
      </c>
      <c r="H69">
        <v>0.5</v>
      </c>
      <c r="I69" t="s">
        <v>0</v>
      </c>
      <c r="J69">
        <v>3</v>
      </c>
      <c r="K69">
        <v>3</v>
      </c>
      <c r="L69">
        <v>3</v>
      </c>
      <c r="M69">
        <v>-1</v>
      </c>
      <c r="N69">
        <v>-1</v>
      </c>
      <c r="O69">
        <v>-1</v>
      </c>
      <c r="P69">
        <v>-1</v>
      </c>
      <c r="Q69">
        <v>-1</v>
      </c>
      <c r="R69">
        <v>-1</v>
      </c>
      <c r="S69">
        <v>-1</v>
      </c>
      <c r="T69">
        <v>-1</v>
      </c>
      <c r="U69">
        <v>0.5</v>
      </c>
      <c r="V69">
        <v>0.4</v>
      </c>
      <c r="W69">
        <v>0.1</v>
      </c>
      <c r="X69">
        <v>-1</v>
      </c>
      <c r="Y69">
        <v>-1</v>
      </c>
      <c r="Z69">
        <v>-1</v>
      </c>
      <c r="AA69">
        <v>-1</v>
      </c>
      <c r="AB69">
        <v>-1</v>
      </c>
      <c r="AC69">
        <v>-1</v>
      </c>
      <c r="AD69">
        <v>-1</v>
      </c>
      <c r="AE69">
        <v>-1</v>
      </c>
      <c r="AF69">
        <v>2</v>
      </c>
      <c r="AG69">
        <v>5</v>
      </c>
      <c r="AH69">
        <v>10</v>
      </c>
      <c r="AI69">
        <v>-1</v>
      </c>
      <c r="AJ69">
        <v>-1</v>
      </c>
      <c r="AK69">
        <v>-1</v>
      </c>
      <c r="AL69">
        <v>-1</v>
      </c>
      <c r="AM69">
        <v>-1</v>
      </c>
      <c r="AN69">
        <v>-1</v>
      </c>
      <c r="AO69">
        <v>-1</v>
      </c>
      <c r="AP69">
        <v>-1</v>
      </c>
      <c r="AQ69">
        <v>0.5</v>
      </c>
      <c r="AR69" t="s">
        <v>0</v>
      </c>
      <c r="AS69">
        <v>5</v>
      </c>
      <c r="AT69">
        <v>5</v>
      </c>
      <c r="AU69">
        <v>5</v>
      </c>
      <c r="AV69">
        <v>0.5</v>
      </c>
      <c r="AW69">
        <v>0.4</v>
      </c>
      <c r="AX69">
        <v>0.1</v>
      </c>
      <c r="AY69">
        <v>1</v>
      </c>
      <c r="AZ69">
        <v>2</v>
      </c>
      <c r="BA69">
        <v>5</v>
      </c>
      <c r="BB69">
        <v>0</v>
      </c>
      <c r="BC69" t="s">
        <v>2</v>
      </c>
      <c r="BD69">
        <v>-1</v>
      </c>
      <c r="BE69">
        <v>-1</v>
      </c>
      <c r="BF69">
        <v>-1</v>
      </c>
      <c r="BG69">
        <v>-1</v>
      </c>
      <c r="BH69">
        <v>-1</v>
      </c>
      <c r="BI69">
        <v>-1</v>
      </c>
      <c r="BJ69">
        <v>-1</v>
      </c>
      <c r="BK69">
        <v>-1</v>
      </c>
      <c r="BL69">
        <v>-1</v>
      </c>
      <c r="BM69">
        <v>-1</v>
      </c>
      <c r="BN69">
        <v>-1</v>
      </c>
      <c r="BO69">
        <v>-1</v>
      </c>
    </row>
    <row r="70" spans="1:67" x14ac:dyDescent="0.25">
      <c r="A70">
        <v>67</v>
      </c>
      <c r="B70">
        <v>60017</v>
      </c>
      <c r="C70" t="str">
        <f>VLOOKUP(B70,[1]resources!$A$2:$D$300,3,FALSE)</f>
        <v>!!BOUQUET_FLOWERCORAL_CUPCORALTREE</v>
      </c>
      <c r="D70">
        <v>1</v>
      </c>
      <c r="E70" t="str">
        <f>VLOOKUP(D70,[1]bonus_paytable!$A$2:$D$300,3,FALSE)</f>
        <v>base</v>
      </c>
      <c r="F70">
        <v>-1</v>
      </c>
      <c r="G70">
        <v>-1</v>
      </c>
      <c r="H70">
        <v>0.5</v>
      </c>
      <c r="I70" t="s">
        <v>0</v>
      </c>
      <c r="J70">
        <v>3</v>
      </c>
      <c r="K70">
        <v>3</v>
      </c>
      <c r="L70">
        <v>3</v>
      </c>
      <c r="M70">
        <v>-1</v>
      </c>
      <c r="N70">
        <v>-1</v>
      </c>
      <c r="O70">
        <v>-1</v>
      </c>
      <c r="P70">
        <v>-1</v>
      </c>
      <c r="Q70">
        <v>-1</v>
      </c>
      <c r="R70">
        <v>-1</v>
      </c>
      <c r="S70">
        <v>-1</v>
      </c>
      <c r="T70">
        <v>-1</v>
      </c>
      <c r="U70">
        <v>0.5</v>
      </c>
      <c r="V70">
        <v>0.4</v>
      </c>
      <c r="W70">
        <v>0.1</v>
      </c>
      <c r="X70">
        <v>-1</v>
      </c>
      <c r="Y70">
        <v>-1</v>
      </c>
      <c r="Z70">
        <v>-1</v>
      </c>
      <c r="AA70">
        <v>-1</v>
      </c>
      <c r="AB70">
        <v>-1</v>
      </c>
      <c r="AC70">
        <v>-1</v>
      </c>
      <c r="AD70">
        <v>-1</v>
      </c>
      <c r="AE70">
        <v>-1</v>
      </c>
      <c r="AF70">
        <v>2</v>
      </c>
      <c r="AG70">
        <v>5</v>
      </c>
      <c r="AH70">
        <v>10</v>
      </c>
      <c r="AI70">
        <v>-1</v>
      </c>
      <c r="AJ70">
        <v>-1</v>
      </c>
      <c r="AK70">
        <v>-1</v>
      </c>
      <c r="AL70">
        <v>-1</v>
      </c>
      <c r="AM70">
        <v>-1</v>
      </c>
      <c r="AN70">
        <v>-1</v>
      </c>
      <c r="AO70">
        <v>-1</v>
      </c>
      <c r="AP70">
        <v>-1</v>
      </c>
      <c r="AQ70">
        <v>0.5</v>
      </c>
      <c r="AR70" t="s">
        <v>0</v>
      </c>
      <c r="AS70">
        <v>5</v>
      </c>
      <c r="AT70">
        <v>5</v>
      </c>
      <c r="AU70">
        <v>5</v>
      </c>
      <c r="AV70">
        <v>0.5</v>
      </c>
      <c r="AW70">
        <v>0.4</v>
      </c>
      <c r="AX70">
        <v>0.1</v>
      </c>
      <c r="AY70">
        <v>1</v>
      </c>
      <c r="AZ70">
        <v>2</v>
      </c>
      <c r="BA70">
        <v>5</v>
      </c>
      <c r="BB70">
        <v>0</v>
      </c>
      <c r="BC70" t="s">
        <v>2</v>
      </c>
      <c r="BD70">
        <v>-1</v>
      </c>
      <c r="BE70">
        <v>-1</v>
      </c>
      <c r="BF70">
        <v>-1</v>
      </c>
      <c r="BG70">
        <v>-1</v>
      </c>
      <c r="BH70">
        <v>-1</v>
      </c>
      <c r="BI70">
        <v>-1</v>
      </c>
      <c r="BJ70">
        <v>-1</v>
      </c>
      <c r="BK70">
        <v>-1</v>
      </c>
      <c r="BL70">
        <v>-1</v>
      </c>
      <c r="BM70">
        <v>-1</v>
      </c>
      <c r="BN70">
        <v>-1</v>
      </c>
      <c r="BO70">
        <v>-1</v>
      </c>
    </row>
    <row r="71" spans="1:67" x14ac:dyDescent="0.25">
      <c r="A71">
        <v>68</v>
      </c>
      <c r="B71">
        <v>60018</v>
      </c>
      <c r="C71" t="str">
        <f>VLOOKUP(B71,[1]resources!$A$2:$D$300,3,FALSE)</f>
        <v>!!BOUQUET_FLOWERCORAL_CORALPARADISE</v>
      </c>
      <c r="D71">
        <v>1</v>
      </c>
      <c r="E71" t="str">
        <f>VLOOKUP(D71,[1]bonus_paytable!$A$2:$D$300,3,FALSE)</f>
        <v>base</v>
      </c>
      <c r="F71">
        <v>-1</v>
      </c>
      <c r="G71">
        <v>-1</v>
      </c>
      <c r="H71">
        <v>0.5</v>
      </c>
      <c r="I71" t="s">
        <v>0</v>
      </c>
      <c r="J71">
        <v>3</v>
      </c>
      <c r="K71">
        <v>3</v>
      </c>
      <c r="L71">
        <v>3</v>
      </c>
      <c r="M71">
        <v>-1</v>
      </c>
      <c r="N71">
        <v>-1</v>
      </c>
      <c r="O71">
        <v>-1</v>
      </c>
      <c r="P71">
        <v>-1</v>
      </c>
      <c r="Q71">
        <v>-1</v>
      </c>
      <c r="R71">
        <v>-1</v>
      </c>
      <c r="S71">
        <v>-1</v>
      </c>
      <c r="T71">
        <v>-1</v>
      </c>
      <c r="U71">
        <v>0.5</v>
      </c>
      <c r="V71">
        <v>0.4</v>
      </c>
      <c r="W71">
        <v>0.1</v>
      </c>
      <c r="X71">
        <v>-1</v>
      </c>
      <c r="Y71">
        <v>-1</v>
      </c>
      <c r="Z71">
        <v>-1</v>
      </c>
      <c r="AA71">
        <v>-1</v>
      </c>
      <c r="AB71">
        <v>-1</v>
      </c>
      <c r="AC71">
        <v>-1</v>
      </c>
      <c r="AD71">
        <v>-1</v>
      </c>
      <c r="AE71">
        <v>-1</v>
      </c>
      <c r="AF71">
        <v>2</v>
      </c>
      <c r="AG71">
        <v>5</v>
      </c>
      <c r="AH71">
        <v>10</v>
      </c>
      <c r="AI71">
        <v>-1</v>
      </c>
      <c r="AJ71">
        <v>-1</v>
      </c>
      <c r="AK71">
        <v>-1</v>
      </c>
      <c r="AL71">
        <v>-1</v>
      </c>
      <c r="AM71">
        <v>-1</v>
      </c>
      <c r="AN71">
        <v>-1</v>
      </c>
      <c r="AO71">
        <v>-1</v>
      </c>
      <c r="AP71">
        <v>-1</v>
      </c>
      <c r="AQ71">
        <v>0.5</v>
      </c>
      <c r="AR71" t="s">
        <v>0</v>
      </c>
      <c r="AS71">
        <v>5</v>
      </c>
      <c r="AT71">
        <v>5</v>
      </c>
      <c r="AU71">
        <v>5</v>
      </c>
      <c r="AV71">
        <v>0.5</v>
      </c>
      <c r="AW71">
        <v>0.4</v>
      </c>
      <c r="AX71">
        <v>0.1</v>
      </c>
      <c r="AY71">
        <v>1</v>
      </c>
      <c r="AZ71">
        <v>2</v>
      </c>
      <c r="BA71">
        <v>5</v>
      </c>
      <c r="BB71">
        <v>0</v>
      </c>
      <c r="BC71" t="s">
        <v>2</v>
      </c>
      <c r="BD71">
        <v>-1</v>
      </c>
      <c r="BE71">
        <v>-1</v>
      </c>
      <c r="BF71">
        <v>-1</v>
      </c>
      <c r="BG71">
        <v>-1</v>
      </c>
      <c r="BH71">
        <v>-1</v>
      </c>
      <c r="BI71">
        <v>-1</v>
      </c>
      <c r="BJ71">
        <v>-1</v>
      </c>
      <c r="BK71">
        <v>-1</v>
      </c>
      <c r="BL71">
        <v>-1</v>
      </c>
      <c r="BM71">
        <v>-1</v>
      </c>
      <c r="BN71">
        <v>-1</v>
      </c>
      <c r="BO71">
        <v>-1</v>
      </c>
    </row>
    <row r="72" spans="1:67" x14ac:dyDescent="0.25">
      <c r="A72">
        <v>69</v>
      </c>
      <c r="B72">
        <v>70000</v>
      </c>
      <c r="C72" t="str">
        <f>VLOOKUP(B72,[1]resources!$A$2:$D$300,3,FALSE)</f>
        <v>!!PERFUME_4OFCUPS</v>
      </c>
      <c r="D72">
        <v>1</v>
      </c>
      <c r="E72" t="str">
        <f>VLOOKUP(D72,[1]bonus_paytable!$A$2:$D$300,3,FALSE)</f>
        <v>base</v>
      </c>
      <c r="F72">
        <v>-1</v>
      </c>
      <c r="G72">
        <v>-1</v>
      </c>
      <c r="H72">
        <v>0.5</v>
      </c>
      <c r="I72" t="s">
        <v>0</v>
      </c>
      <c r="J72">
        <v>3</v>
      </c>
      <c r="K72">
        <v>3</v>
      </c>
      <c r="L72">
        <v>3</v>
      </c>
      <c r="M72">
        <v>-1</v>
      </c>
      <c r="N72">
        <v>-1</v>
      </c>
      <c r="O72">
        <v>-1</v>
      </c>
      <c r="P72">
        <v>-1</v>
      </c>
      <c r="Q72">
        <v>-1</v>
      </c>
      <c r="R72">
        <v>-1</v>
      </c>
      <c r="S72">
        <v>-1</v>
      </c>
      <c r="T72">
        <v>-1</v>
      </c>
      <c r="U72">
        <v>0.5</v>
      </c>
      <c r="V72">
        <v>0.4</v>
      </c>
      <c r="W72">
        <v>0.1</v>
      </c>
      <c r="X72">
        <v>-1</v>
      </c>
      <c r="Y72">
        <v>-1</v>
      </c>
      <c r="Z72">
        <v>-1</v>
      </c>
      <c r="AA72">
        <v>-1</v>
      </c>
      <c r="AB72">
        <v>-1</v>
      </c>
      <c r="AC72">
        <v>-1</v>
      </c>
      <c r="AD72">
        <v>-1</v>
      </c>
      <c r="AE72">
        <v>-1</v>
      </c>
      <c r="AF72">
        <v>2</v>
      </c>
      <c r="AG72">
        <v>5</v>
      </c>
      <c r="AH72">
        <v>10</v>
      </c>
      <c r="AI72">
        <v>-1</v>
      </c>
      <c r="AJ72">
        <v>-1</v>
      </c>
      <c r="AK72">
        <v>-1</v>
      </c>
      <c r="AL72">
        <v>-1</v>
      </c>
      <c r="AM72">
        <v>-1</v>
      </c>
      <c r="AN72">
        <v>-1</v>
      </c>
      <c r="AO72">
        <v>-1</v>
      </c>
      <c r="AP72">
        <v>-1</v>
      </c>
      <c r="AQ72">
        <v>0.5</v>
      </c>
      <c r="AR72" t="s">
        <v>0</v>
      </c>
      <c r="AS72">
        <v>5</v>
      </c>
      <c r="AT72">
        <v>5</v>
      </c>
      <c r="AU72">
        <v>5</v>
      </c>
      <c r="AV72">
        <v>0.5</v>
      </c>
      <c r="AW72">
        <v>0.4</v>
      </c>
      <c r="AX72">
        <v>0.1</v>
      </c>
      <c r="AY72">
        <v>1</v>
      </c>
      <c r="AZ72">
        <v>2</v>
      </c>
      <c r="BA72">
        <v>5</v>
      </c>
      <c r="BB72">
        <v>0</v>
      </c>
      <c r="BC72" t="s">
        <v>2</v>
      </c>
      <c r="BD72">
        <v>-1</v>
      </c>
      <c r="BE72">
        <v>-1</v>
      </c>
      <c r="BF72">
        <v>-1</v>
      </c>
      <c r="BG72">
        <v>-1</v>
      </c>
      <c r="BH72">
        <v>-1</v>
      </c>
      <c r="BI72">
        <v>-1</v>
      </c>
      <c r="BJ72">
        <v>-1</v>
      </c>
      <c r="BK72">
        <v>-1</v>
      </c>
      <c r="BL72">
        <v>-1</v>
      </c>
      <c r="BM72">
        <v>-1</v>
      </c>
      <c r="BN72">
        <v>-1</v>
      </c>
      <c r="BO72">
        <v>-1</v>
      </c>
    </row>
    <row r="73" spans="1:67" x14ac:dyDescent="0.25">
      <c r="A73">
        <v>70</v>
      </c>
      <c r="B73">
        <v>70001</v>
      </c>
      <c r="C73" t="str">
        <f>VLOOKUP(B73,[1]resources!$A$2:$D$300,3,FALSE)</f>
        <v>!!PERFUME_CAPSIZEFORHER</v>
      </c>
      <c r="D73">
        <v>1</v>
      </c>
      <c r="E73" t="str">
        <f>VLOOKUP(D73,[1]bonus_paytable!$A$2:$D$300,3,FALSE)</f>
        <v>base</v>
      </c>
      <c r="F73">
        <v>-1</v>
      </c>
      <c r="G73">
        <v>-1</v>
      </c>
      <c r="H73">
        <v>0.5</v>
      </c>
      <c r="I73" t="s">
        <v>0</v>
      </c>
      <c r="J73">
        <v>3</v>
      </c>
      <c r="K73">
        <v>3</v>
      </c>
      <c r="L73">
        <v>3</v>
      </c>
      <c r="M73">
        <v>-1</v>
      </c>
      <c r="N73">
        <v>-1</v>
      </c>
      <c r="O73">
        <v>-1</v>
      </c>
      <c r="P73">
        <v>-1</v>
      </c>
      <c r="Q73">
        <v>-1</v>
      </c>
      <c r="R73">
        <v>-1</v>
      </c>
      <c r="S73">
        <v>-1</v>
      </c>
      <c r="T73">
        <v>-1</v>
      </c>
      <c r="U73">
        <v>0.5</v>
      </c>
      <c r="V73">
        <v>0.4</v>
      </c>
      <c r="W73">
        <v>0.1</v>
      </c>
      <c r="X73">
        <v>-1</v>
      </c>
      <c r="Y73">
        <v>-1</v>
      </c>
      <c r="Z73">
        <v>-1</v>
      </c>
      <c r="AA73">
        <v>-1</v>
      </c>
      <c r="AB73">
        <v>-1</v>
      </c>
      <c r="AC73">
        <v>-1</v>
      </c>
      <c r="AD73">
        <v>-1</v>
      </c>
      <c r="AE73">
        <v>-1</v>
      </c>
      <c r="AF73">
        <v>2</v>
      </c>
      <c r="AG73">
        <v>5</v>
      </c>
      <c r="AH73">
        <v>10</v>
      </c>
      <c r="AI73">
        <v>-1</v>
      </c>
      <c r="AJ73">
        <v>-1</v>
      </c>
      <c r="AK73">
        <v>-1</v>
      </c>
      <c r="AL73">
        <v>-1</v>
      </c>
      <c r="AM73">
        <v>-1</v>
      </c>
      <c r="AN73">
        <v>-1</v>
      </c>
      <c r="AO73">
        <v>-1</v>
      </c>
      <c r="AP73">
        <v>-1</v>
      </c>
      <c r="AQ73">
        <v>0.5</v>
      </c>
      <c r="AR73" t="s">
        <v>0</v>
      </c>
      <c r="AS73">
        <v>5</v>
      </c>
      <c r="AT73">
        <v>5</v>
      </c>
      <c r="AU73">
        <v>5</v>
      </c>
      <c r="AV73">
        <v>0.5</v>
      </c>
      <c r="AW73">
        <v>0.4</v>
      </c>
      <c r="AX73">
        <v>0.1</v>
      </c>
      <c r="AY73">
        <v>1</v>
      </c>
      <c r="AZ73">
        <v>2</v>
      </c>
      <c r="BA73">
        <v>5</v>
      </c>
      <c r="BB73">
        <v>0</v>
      </c>
      <c r="BC73" t="s">
        <v>2</v>
      </c>
      <c r="BD73">
        <v>-1</v>
      </c>
      <c r="BE73">
        <v>-1</v>
      </c>
      <c r="BF73">
        <v>-1</v>
      </c>
      <c r="BG73">
        <v>-1</v>
      </c>
      <c r="BH73">
        <v>-1</v>
      </c>
      <c r="BI73">
        <v>-1</v>
      </c>
      <c r="BJ73">
        <v>-1</v>
      </c>
      <c r="BK73">
        <v>-1</v>
      </c>
      <c r="BL73">
        <v>-1</v>
      </c>
      <c r="BM73">
        <v>-1</v>
      </c>
      <c r="BN73">
        <v>-1</v>
      </c>
      <c r="BO73">
        <v>-1</v>
      </c>
    </row>
    <row r="74" spans="1:67" x14ac:dyDescent="0.25">
      <c r="A74">
        <v>71</v>
      </c>
      <c r="B74">
        <v>70002</v>
      </c>
      <c r="C74" t="str">
        <f>VLOOKUP(B74,[1]resources!$A$2:$D$300,3,FALSE)</f>
        <v>!!PERFUME_CAPSIZEFORHIM</v>
      </c>
      <c r="D74">
        <v>1</v>
      </c>
      <c r="E74" t="str">
        <f>VLOOKUP(D74,[1]bonus_paytable!$A$2:$D$300,3,FALSE)</f>
        <v>base</v>
      </c>
      <c r="F74">
        <v>-1</v>
      </c>
      <c r="G74">
        <v>-1</v>
      </c>
      <c r="H74">
        <v>0.5</v>
      </c>
      <c r="I74" t="s">
        <v>0</v>
      </c>
      <c r="J74">
        <v>3</v>
      </c>
      <c r="K74">
        <v>3</v>
      </c>
      <c r="L74">
        <v>3</v>
      </c>
      <c r="M74">
        <v>-1</v>
      </c>
      <c r="N74">
        <v>-1</v>
      </c>
      <c r="O74">
        <v>-1</v>
      </c>
      <c r="P74">
        <v>-1</v>
      </c>
      <c r="Q74">
        <v>-1</v>
      </c>
      <c r="R74">
        <v>-1</v>
      </c>
      <c r="S74">
        <v>-1</v>
      </c>
      <c r="T74">
        <v>-1</v>
      </c>
      <c r="U74">
        <v>0.5</v>
      </c>
      <c r="V74">
        <v>0.4</v>
      </c>
      <c r="W74">
        <v>0.1</v>
      </c>
      <c r="X74">
        <v>-1</v>
      </c>
      <c r="Y74">
        <v>-1</v>
      </c>
      <c r="Z74">
        <v>-1</v>
      </c>
      <c r="AA74">
        <v>-1</v>
      </c>
      <c r="AB74">
        <v>-1</v>
      </c>
      <c r="AC74">
        <v>-1</v>
      </c>
      <c r="AD74">
        <v>-1</v>
      </c>
      <c r="AE74">
        <v>-1</v>
      </c>
      <c r="AF74">
        <v>2</v>
      </c>
      <c r="AG74">
        <v>5</v>
      </c>
      <c r="AH74">
        <v>10</v>
      </c>
      <c r="AI74">
        <v>-1</v>
      </c>
      <c r="AJ74">
        <v>-1</v>
      </c>
      <c r="AK74">
        <v>-1</v>
      </c>
      <c r="AL74">
        <v>-1</v>
      </c>
      <c r="AM74">
        <v>-1</v>
      </c>
      <c r="AN74">
        <v>-1</v>
      </c>
      <c r="AO74">
        <v>-1</v>
      </c>
      <c r="AP74">
        <v>-1</v>
      </c>
      <c r="AQ74">
        <v>0.5</v>
      </c>
      <c r="AR74" t="s">
        <v>0</v>
      </c>
      <c r="AS74">
        <v>5</v>
      </c>
      <c r="AT74">
        <v>5</v>
      </c>
      <c r="AU74">
        <v>5</v>
      </c>
      <c r="AV74">
        <v>0.5</v>
      </c>
      <c r="AW74">
        <v>0.4</v>
      </c>
      <c r="AX74">
        <v>0.1</v>
      </c>
      <c r="AY74">
        <v>1</v>
      </c>
      <c r="AZ74">
        <v>2</v>
      </c>
      <c r="BA74">
        <v>5</v>
      </c>
      <c r="BB74">
        <v>0</v>
      </c>
      <c r="BC74" t="s">
        <v>2</v>
      </c>
      <c r="BD74">
        <v>-1</v>
      </c>
      <c r="BE74">
        <v>-1</v>
      </c>
      <c r="BF74">
        <v>-1</v>
      </c>
      <c r="BG74">
        <v>-1</v>
      </c>
      <c r="BH74">
        <v>-1</v>
      </c>
      <c r="BI74">
        <v>-1</v>
      </c>
      <c r="BJ74">
        <v>-1</v>
      </c>
      <c r="BK74">
        <v>-1</v>
      </c>
      <c r="BL74">
        <v>-1</v>
      </c>
      <c r="BM74">
        <v>-1</v>
      </c>
      <c r="BN74">
        <v>-1</v>
      </c>
      <c r="BO74">
        <v>-1</v>
      </c>
    </row>
    <row r="75" spans="1:67" x14ac:dyDescent="0.25">
      <c r="A75">
        <v>72</v>
      </c>
      <c r="B75">
        <v>70003</v>
      </c>
      <c r="C75" t="str">
        <f>VLOOKUP(B75,[1]resources!$A$2:$D$300,3,FALSE)</f>
        <v>!!PERFUME_CHUMODERANT</v>
      </c>
      <c r="D75">
        <v>1</v>
      </c>
      <c r="E75" t="str">
        <f>VLOOKUP(D75,[1]bonus_paytable!$A$2:$D$300,3,FALSE)</f>
        <v>base</v>
      </c>
      <c r="F75">
        <v>-1</v>
      </c>
      <c r="G75">
        <v>-1</v>
      </c>
      <c r="H75">
        <v>0.5</v>
      </c>
      <c r="I75" t="s">
        <v>0</v>
      </c>
      <c r="J75">
        <v>3</v>
      </c>
      <c r="K75">
        <v>3</v>
      </c>
      <c r="L75">
        <v>3</v>
      </c>
      <c r="M75">
        <v>-1</v>
      </c>
      <c r="N75">
        <v>-1</v>
      </c>
      <c r="O75">
        <v>-1</v>
      </c>
      <c r="P75">
        <v>-1</v>
      </c>
      <c r="Q75">
        <v>-1</v>
      </c>
      <c r="R75">
        <v>-1</v>
      </c>
      <c r="S75">
        <v>-1</v>
      </c>
      <c r="T75">
        <v>-1</v>
      </c>
      <c r="U75">
        <v>0.5</v>
      </c>
      <c r="V75">
        <v>0.4</v>
      </c>
      <c r="W75">
        <v>0.1</v>
      </c>
      <c r="X75">
        <v>-1</v>
      </c>
      <c r="Y75">
        <v>-1</v>
      </c>
      <c r="Z75">
        <v>-1</v>
      </c>
      <c r="AA75">
        <v>-1</v>
      </c>
      <c r="AB75">
        <v>-1</v>
      </c>
      <c r="AC75">
        <v>-1</v>
      </c>
      <c r="AD75">
        <v>-1</v>
      </c>
      <c r="AE75">
        <v>-1</v>
      </c>
      <c r="AF75">
        <v>2</v>
      </c>
      <c r="AG75">
        <v>5</v>
      </c>
      <c r="AH75">
        <v>10</v>
      </c>
      <c r="AI75">
        <v>-1</v>
      </c>
      <c r="AJ75">
        <v>-1</v>
      </c>
      <c r="AK75">
        <v>-1</v>
      </c>
      <c r="AL75">
        <v>-1</v>
      </c>
      <c r="AM75">
        <v>-1</v>
      </c>
      <c r="AN75">
        <v>-1</v>
      </c>
      <c r="AO75">
        <v>-1</v>
      </c>
      <c r="AP75">
        <v>-1</v>
      </c>
      <c r="AQ75">
        <v>0.5</v>
      </c>
      <c r="AR75" t="s">
        <v>0</v>
      </c>
      <c r="AS75">
        <v>5</v>
      </c>
      <c r="AT75">
        <v>5</v>
      </c>
      <c r="AU75">
        <v>5</v>
      </c>
      <c r="AV75">
        <v>0.5</v>
      </c>
      <c r="AW75">
        <v>0.4</v>
      </c>
      <c r="AX75">
        <v>0.1</v>
      </c>
      <c r="AY75">
        <v>1</v>
      </c>
      <c r="AZ75">
        <v>2</v>
      </c>
      <c r="BA75">
        <v>5</v>
      </c>
      <c r="BB75">
        <v>0</v>
      </c>
      <c r="BC75" t="s">
        <v>2</v>
      </c>
      <c r="BD75">
        <v>-1</v>
      </c>
      <c r="BE75">
        <v>-1</v>
      </c>
      <c r="BF75">
        <v>-1</v>
      </c>
      <c r="BG75">
        <v>-1</v>
      </c>
      <c r="BH75">
        <v>-1</v>
      </c>
      <c r="BI75">
        <v>-1</v>
      </c>
      <c r="BJ75">
        <v>-1</v>
      </c>
      <c r="BK75">
        <v>-1</v>
      </c>
      <c r="BL75">
        <v>-1</v>
      </c>
      <c r="BM75">
        <v>-1</v>
      </c>
      <c r="BN75">
        <v>-1</v>
      </c>
      <c r="BO75">
        <v>-1</v>
      </c>
    </row>
    <row r="76" spans="1:67" x14ac:dyDescent="0.25">
      <c r="A76">
        <v>73</v>
      </c>
      <c r="B76">
        <v>70004</v>
      </c>
      <c r="C76" t="str">
        <f>VLOOKUP(B76,[1]resources!$A$2:$D$300,3,FALSE)</f>
        <v>!!PERFUME_CHUMSNIFF</v>
      </c>
      <c r="D76">
        <v>1</v>
      </c>
      <c r="E76" t="str">
        <f>VLOOKUP(D76,[1]bonus_paytable!$A$2:$D$300,3,FALSE)</f>
        <v>base</v>
      </c>
      <c r="F76">
        <v>-1</v>
      </c>
      <c r="G76">
        <v>-1</v>
      </c>
      <c r="H76">
        <v>0.5</v>
      </c>
      <c r="I76" t="s">
        <v>0</v>
      </c>
      <c r="J76">
        <v>3</v>
      </c>
      <c r="K76">
        <v>3</v>
      </c>
      <c r="L76">
        <v>3</v>
      </c>
      <c r="M76">
        <v>-1</v>
      </c>
      <c r="N76">
        <v>-1</v>
      </c>
      <c r="O76">
        <v>-1</v>
      </c>
      <c r="P76">
        <v>-1</v>
      </c>
      <c r="Q76">
        <v>-1</v>
      </c>
      <c r="R76">
        <v>-1</v>
      </c>
      <c r="S76">
        <v>-1</v>
      </c>
      <c r="T76">
        <v>-1</v>
      </c>
      <c r="U76">
        <v>0.5</v>
      </c>
      <c r="V76">
        <v>0.4</v>
      </c>
      <c r="W76">
        <v>0.1</v>
      </c>
      <c r="X76">
        <v>-1</v>
      </c>
      <c r="Y76">
        <v>-1</v>
      </c>
      <c r="Z76">
        <v>-1</v>
      </c>
      <c r="AA76">
        <v>-1</v>
      </c>
      <c r="AB76">
        <v>-1</v>
      </c>
      <c r="AC76">
        <v>-1</v>
      </c>
      <c r="AD76">
        <v>-1</v>
      </c>
      <c r="AE76">
        <v>-1</v>
      </c>
      <c r="AF76">
        <v>2</v>
      </c>
      <c r="AG76">
        <v>5</v>
      </c>
      <c r="AH76">
        <v>10</v>
      </c>
      <c r="AI76">
        <v>-1</v>
      </c>
      <c r="AJ76">
        <v>-1</v>
      </c>
      <c r="AK76">
        <v>-1</v>
      </c>
      <c r="AL76">
        <v>-1</v>
      </c>
      <c r="AM76">
        <v>-1</v>
      </c>
      <c r="AN76">
        <v>-1</v>
      </c>
      <c r="AO76">
        <v>-1</v>
      </c>
      <c r="AP76">
        <v>-1</v>
      </c>
      <c r="AQ76">
        <v>0.5</v>
      </c>
      <c r="AR76" t="s">
        <v>0</v>
      </c>
      <c r="AS76">
        <v>5</v>
      </c>
      <c r="AT76">
        <v>5</v>
      </c>
      <c r="AU76">
        <v>5</v>
      </c>
      <c r="AV76">
        <v>0.5</v>
      </c>
      <c r="AW76">
        <v>0.4</v>
      </c>
      <c r="AX76">
        <v>0.1</v>
      </c>
      <c r="AY76">
        <v>1</v>
      </c>
      <c r="AZ76">
        <v>2</v>
      </c>
      <c r="BA76">
        <v>5</v>
      </c>
      <c r="BB76">
        <v>0</v>
      </c>
      <c r="BC76" t="s">
        <v>2</v>
      </c>
      <c r="BD76">
        <v>-1</v>
      </c>
      <c r="BE76">
        <v>-1</v>
      </c>
      <c r="BF76">
        <v>-1</v>
      </c>
      <c r="BG76">
        <v>-1</v>
      </c>
      <c r="BH76">
        <v>-1</v>
      </c>
      <c r="BI76">
        <v>-1</v>
      </c>
      <c r="BJ76">
        <v>-1</v>
      </c>
      <c r="BK76">
        <v>-1</v>
      </c>
      <c r="BL76">
        <v>-1</v>
      </c>
      <c r="BM76">
        <v>-1</v>
      </c>
      <c r="BN76">
        <v>-1</v>
      </c>
      <c r="BO76">
        <v>-1</v>
      </c>
    </row>
    <row r="77" spans="1:67" x14ac:dyDescent="0.25">
      <c r="A77">
        <v>74</v>
      </c>
      <c r="B77">
        <v>70005</v>
      </c>
      <c r="C77" t="str">
        <f>VLOOKUP(B77,[1]resources!$A$2:$D$300,3,FALSE)</f>
        <v>!!PERFUME_CORALBREEZE</v>
      </c>
      <c r="D77">
        <v>1</v>
      </c>
      <c r="E77" t="str">
        <f>VLOOKUP(D77,[1]bonus_paytable!$A$2:$D$300,3,FALSE)</f>
        <v>base</v>
      </c>
      <c r="F77">
        <v>-1</v>
      </c>
      <c r="G77">
        <v>-1</v>
      </c>
      <c r="H77">
        <v>0.5</v>
      </c>
      <c r="I77" t="s">
        <v>0</v>
      </c>
      <c r="J77">
        <v>3</v>
      </c>
      <c r="K77">
        <v>3</v>
      </c>
      <c r="L77">
        <v>3</v>
      </c>
      <c r="M77">
        <v>-1</v>
      </c>
      <c r="N77">
        <v>-1</v>
      </c>
      <c r="O77">
        <v>-1</v>
      </c>
      <c r="P77">
        <v>-1</v>
      </c>
      <c r="Q77">
        <v>-1</v>
      </c>
      <c r="R77">
        <v>-1</v>
      </c>
      <c r="S77">
        <v>-1</v>
      </c>
      <c r="T77">
        <v>-1</v>
      </c>
      <c r="U77">
        <v>0.5</v>
      </c>
      <c r="V77">
        <v>0.4</v>
      </c>
      <c r="W77">
        <v>0.1</v>
      </c>
      <c r="X77">
        <v>-1</v>
      </c>
      <c r="Y77">
        <v>-1</v>
      </c>
      <c r="Z77">
        <v>-1</v>
      </c>
      <c r="AA77">
        <v>-1</v>
      </c>
      <c r="AB77">
        <v>-1</v>
      </c>
      <c r="AC77">
        <v>-1</v>
      </c>
      <c r="AD77">
        <v>-1</v>
      </c>
      <c r="AE77">
        <v>-1</v>
      </c>
      <c r="AF77">
        <v>2</v>
      </c>
      <c r="AG77">
        <v>5</v>
      </c>
      <c r="AH77">
        <v>10</v>
      </c>
      <c r="AI77">
        <v>-1</v>
      </c>
      <c r="AJ77">
        <v>-1</v>
      </c>
      <c r="AK77">
        <v>-1</v>
      </c>
      <c r="AL77">
        <v>-1</v>
      </c>
      <c r="AM77">
        <v>-1</v>
      </c>
      <c r="AN77">
        <v>-1</v>
      </c>
      <c r="AO77">
        <v>-1</v>
      </c>
      <c r="AP77">
        <v>-1</v>
      </c>
      <c r="AQ77">
        <v>0.5</v>
      </c>
      <c r="AR77" t="s">
        <v>0</v>
      </c>
      <c r="AS77">
        <v>5</v>
      </c>
      <c r="AT77">
        <v>5</v>
      </c>
      <c r="AU77">
        <v>5</v>
      </c>
      <c r="AV77">
        <v>0.5</v>
      </c>
      <c r="AW77">
        <v>0.4</v>
      </c>
      <c r="AX77">
        <v>0.1</v>
      </c>
      <c r="AY77">
        <v>1</v>
      </c>
      <c r="AZ77">
        <v>2</v>
      </c>
      <c r="BA77">
        <v>5</v>
      </c>
      <c r="BB77">
        <v>0</v>
      </c>
      <c r="BC77" t="s">
        <v>2</v>
      </c>
      <c r="BD77">
        <v>-1</v>
      </c>
      <c r="BE77">
        <v>-1</v>
      </c>
      <c r="BF77">
        <v>-1</v>
      </c>
      <c r="BG77">
        <v>-1</v>
      </c>
      <c r="BH77">
        <v>-1</v>
      </c>
      <c r="BI77">
        <v>-1</v>
      </c>
      <c r="BJ77">
        <v>-1</v>
      </c>
      <c r="BK77">
        <v>-1</v>
      </c>
      <c r="BL77">
        <v>-1</v>
      </c>
      <c r="BM77">
        <v>-1</v>
      </c>
      <c r="BN77">
        <v>-1</v>
      </c>
      <c r="BO77">
        <v>-1</v>
      </c>
    </row>
    <row r="78" spans="1:67" x14ac:dyDescent="0.25">
      <c r="A78">
        <v>75</v>
      </c>
      <c r="B78">
        <v>70006</v>
      </c>
      <c r="C78" t="str">
        <f>VLOOKUP(B78,[1]resources!$A$2:$D$300,3,FALSE)</f>
        <v>!!PERFUME_FISHERMANSFLOWERS</v>
      </c>
      <c r="D78">
        <v>1</v>
      </c>
      <c r="E78" t="str">
        <f>VLOOKUP(D78,[1]bonus_paytable!$A$2:$D$300,3,FALSE)</f>
        <v>base</v>
      </c>
      <c r="F78">
        <v>-1</v>
      </c>
      <c r="G78">
        <v>-1</v>
      </c>
      <c r="H78">
        <v>0.5</v>
      </c>
      <c r="I78" t="s">
        <v>0</v>
      </c>
      <c r="J78">
        <v>3</v>
      </c>
      <c r="K78">
        <v>3</v>
      </c>
      <c r="L78">
        <v>3</v>
      </c>
      <c r="M78">
        <v>-1</v>
      </c>
      <c r="N78">
        <v>-1</v>
      </c>
      <c r="O78">
        <v>-1</v>
      </c>
      <c r="P78">
        <v>-1</v>
      </c>
      <c r="Q78">
        <v>-1</v>
      </c>
      <c r="R78">
        <v>-1</v>
      </c>
      <c r="S78">
        <v>-1</v>
      </c>
      <c r="T78">
        <v>-1</v>
      </c>
      <c r="U78">
        <v>0.5</v>
      </c>
      <c r="V78">
        <v>0.4</v>
      </c>
      <c r="W78">
        <v>0.1</v>
      </c>
      <c r="X78">
        <v>-1</v>
      </c>
      <c r="Y78">
        <v>-1</v>
      </c>
      <c r="Z78">
        <v>-1</v>
      </c>
      <c r="AA78">
        <v>-1</v>
      </c>
      <c r="AB78">
        <v>-1</v>
      </c>
      <c r="AC78">
        <v>-1</v>
      </c>
      <c r="AD78">
        <v>-1</v>
      </c>
      <c r="AE78">
        <v>-1</v>
      </c>
      <c r="AF78">
        <v>2</v>
      </c>
      <c r="AG78">
        <v>5</v>
      </c>
      <c r="AH78">
        <v>10</v>
      </c>
      <c r="AI78">
        <v>-1</v>
      </c>
      <c r="AJ78">
        <v>-1</v>
      </c>
      <c r="AK78">
        <v>-1</v>
      </c>
      <c r="AL78">
        <v>-1</v>
      </c>
      <c r="AM78">
        <v>-1</v>
      </c>
      <c r="AN78">
        <v>-1</v>
      </c>
      <c r="AO78">
        <v>-1</v>
      </c>
      <c r="AP78">
        <v>-1</v>
      </c>
      <c r="AQ78">
        <v>0.5</v>
      </c>
      <c r="AR78" t="s">
        <v>0</v>
      </c>
      <c r="AS78">
        <v>5</v>
      </c>
      <c r="AT78">
        <v>5</v>
      </c>
      <c r="AU78">
        <v>5</v>
      </c>
      <c r="AV78">
        <v>0.5</v>
      </c>
      <c r="AW78">
        <v>0.4</v>
      </c>
      <c r="AX78">
        <v>0.1</v>
      </c>
      <c r="AY78">
        <v>1</v>
      </c>
      <c r="AZ78">
        <v>2</v>
      </c>
      <c r="BA78">
        <v>5</v>
      </c>
      <c r="BB78">
        <v>0</v>
      </c>
      <c r="BC78" t="s">
        <v>2</v>
      </c>
      <c r="BD78">
        <v>-1</v>
      </c>
      <c r="BE78">
        <v>-1</v>
      </c>
      <c r="BF78">
        <v>-1</v>
      </c>
      <c r="BG78">
        <v>-1</v>
      </c>
      <c r="BH78">
        <v>-1</v>
      </c>
      <c r="BI78">
        <v>-1</v>
      </c>
      <c r="BJ78">
        <v>-1</v>
      </c>
      <c r="BK78">
        <v>-1</v>
      </c>
      <c r="BL78">
        <v>-1</v>
      </c>
      <c r="BM78">
        <v>-1</v>
      </c>
      <c r="BN78">
        <v>-1</v>
      </c>
      <c r="BO78">
        <v>-1</v>
      </c>
    </row>
    <row r="79" spans="1:67" x14ac:dyDescent="0.25">
      <c r="A79">
        <v>76</v>
      </c>
      <c r="B79">
        <v>70007</v>
      </c>
      <c r="C79" t="str">
        <f>VLOOKUP(B79,[1]resources!$A$2:$D$300,3,FALSE)</f>
        <v>!!PERFUME_LAMPREYAWAY</v>
      </c>
      <c r="D79">
        <v>1</v>
      </c>
      <c r="E79" t="str">
        <f>VLOOKUP(D79,[1]bonus_paytable!$A$2:$D$300,3,FALSE)</f>
        <v>base</v>
      </c>
      <c r="F79">
        <v>-1</v>
      </c>
      <c r="G79">
        <v>-1</v>
      </c>
      <c r="H79">
        <v>0.5</v>
      </c>
      <c r="I79" t="s">
        <v>0</v>
      </c>
      <c r="J79">
        <v>3</v>
      </c>
      <c r="K79">
        <v>3</v>
      </c>
      <c r="L79">
        <v>3</v>
      </c>
      <c r="M79">
        <v>-1</v>
      </c>
      <c r="N79">
        <v>-1</v>
      </c>
      <c r="O79">
        <v>-1</v>
      </c>
      <c r="P79">
        <v>-1</v>
      </c>
      <c r="Q79">
        <v>-1</v>
      </c>
      <c r="R79">
        <v>-1</v>
      </c>
      <c r="S79">
        <v>-1</v>
      </c>
      <c r="T79">
        <v>-1</v>
      </c>
      <c r="U79">
        <v>0.5</v>
      </c>
      <c r="V79">
        <v>0.4</v>
      </c>
      <c r="W79">
        <v>0.1</v>
      </c>
      <c r="X79">
        <v>-1</v>
      </c>
      <c r="Y79">
        <v>-1</v>
      </c>
      <c r="Z79">
        <v>-1</v>
      </c>
      <c r="AA79">
        <v>-1</v>
      </c>
      <c r="AB79">
        <v>-1</v>
      </c>
      <c r="AC79">
        <v>-1</v>
      </c>
      <c r="AD79">
        <v>-1</v>
      </c>
      <c r="AE79">
        <v>-1</v>
      </c>
      <c r="AF79">
        <v>2</v>
      </c>
      <c r="AG79">
        <v>5</v>
      </c>
      <c r="AH79">
        <v>10</v>
      </c>
      <c r="AI79">
        <v>-1</v>
      </c>
      <c r="AJ79">
        <v>-1</v>
      </c>
      <c r="AK79">
        <v>-1</v>
      </c>
      <c r="AL79">
        <v>-1</v>
      </c>
      <c r="AM79">
        <v>-1</v>
      </c>
      <c r="AN79">
        <v>-1</v>
      </c>
      <c r="AO79">
        <v>-1</v>
      </c>
      <c r="AP79">
        <v>-1</v>
      </c>
      <c r="AQ79">
        <v>0.5</v>
      </c>
      <c r="AR79" t="s">
        <v>0</v>
      </c>
      <c r="AS79">
        <v>5</v>
      </c>
      <c r="AT79">
        <v>5</v>
      </c>
      <c r="AU79">
        <v>5</v>
      </c>
      <c r="AV79">
        <v>0.5</v>
      </c>
      <c r="AW79">
        <v>0.4</v>
      </c>
      <c r="AX79">
        <v>0.1</v>
      </c>
      <c r="AY79">
        <v>1</v>
      </c>
      <c r="AZ79">
        <v>2</v>
      </c>
      <c r="BA79">
        <v>5</v>
      </c>
      <c r="BB79">
        <v>0</v>
      </c>
      <c r="BC79" t="s">
        <v>2</v>
      </c>
      <c r="BD79">
        <v>-1</v>
      </c>
      <c r="BE79">
        <v>-1</v>
      </c>
      <c r="BF79">
        <v>-1</v>
      </c>
      <c r="BG79">
        <v>-1</v>
      </c>
      <c r="BH79">
        <v>-1</v>
      </c>
      <c r="BI79">
        <v>-1</v>
      </c>
      <c r="BJ79">
        <v>-1</v>
      </c>
      <c r="BK79">
        <v>-1</v>
      </c>
      <c r="BL79">
        <v>-1</v>
      </c>
      <c r="BM79">
        <v>-1</v>
      </c>
      <c r="BN79">
        <v>-1</v>
      </c>
      <c r="BO79">
        <v>-1</v>
      </c>
    </row>
    <row r="80" spans="1:67" x14ac:dyDescent="0.25">
      <c r="A80">
        <v>77</v>
      </c>
      <c r="B80">
        <v>70008</v>
      </c>
      <c r="C80" t="str">
        <f>VLOOKUP(B80,[1]resources!$A$2:$D$300,3,FALSE)</f>
        <v>!!PERFUME_SCENTOSAILOR</v>
      </c>
      <c r="D80">
        <v>1</v>
      </c>
      <c r="E80" t="str">
        <f>VLOOKUP(D80,[1]bonus_paytable!$A$2:$D$300,3,FALSE)</f>
        <v>base</v>
      </c>
      <c r="F80">
        <v>-1</v>
      </c>
      <c r="G80">
        <v>-1</v>
      </c>
      <c r="H80">
        <v>0.5</v>
      </c>
      <c r="I80" t="s">
        <v>0</v>
      </c>
      <c r="J80">
        <v>3</v>
      </c>
      <c r="K80">
        <v>3</v>
      </c>
      <c r="L80">
        <v>3</v>
      </c>
      <c r="M80">
        <v>-1</v>
      </c>
      <c r="N80">
        <v>-1</v>
      </c>
      <c r="O80">
        <v>-1</v>
      </c>
      <c r="P80">
        <v>-1</v>
      </c>
      <c r="Q80">
        <v>-1</v>
      </c>
      <c r="R80">
        <v>-1</v>
      </c>
      <c r="S80">
        <v>-1</v>
      </c>
      <c r="T80">
        <v>-1</v>
      </c>
      <c r="U80">
        <v>0.5</v>
      </c>
      <c r="V80">
        <v>0.4</v>
      </c>
      <c r="W80">
        <v>0.1</v>
      </c>
      <c r="X80">
        <v>-1</v>
      </c>
      <c r="Y80">
        <v>-1</v>
      </c>
      <c r="Z80">
        <v>-1</v>
      </c>
      <c r="AA80">
        <v>-1</v>
      </c>
      <c r="AB80">
        <v>-1</v>
      </c>
      <c r="AC80">
        <v>-1</v>
      </c>
      <c r="AD80">
        <v>-1</v>
      </c>
      <c r="AE80">
        <v>-1</v>
      </c>
      <c r="AF80">
        <v>2</v>
      </c>
      <c r="AG80">
        <v>5</v>
      </c>
      <c r="AH80">
        <v>10</v>
      </c>
      <c r="AI80">
        <v>-1</v>
      </c>
      <c r="AJ80">
        <v>-1</v>
      </c>
      <c r="AK80">
        <v>-1</v>
      </c>
      <c r="AL80">
        <v>-1</v>
      </c>
      <c r="AM80">
        <v>-1</v>
      </c>
      <c r="AN80">
        <v>-1</v>
      </c>
      <c r="AO80">
        <v>-1</v>
      </c>
      <c r="AP80">
        <v>-1</v>
      </c>
      <c r="AQ80">
        <v>0.5</v>
      </c>
      <c r="AR80" t="s">
        <v>0</v>
      </c>
      <c r="AS80">
        <v>5</v>
      </c>
      <c r="AT80">
        <v>5</v>
      </c>
      <c r="AU80">
        <v>5</v>
      </c>
      <c r="AV80">
        <v>0.5</v>
      </c>
      <c r="AW80">
        <v>0.4</v>
      </c>
      <c r="AX80">
        <v>0.1</v>
      </c>
      <c r="AY80">
        <v>1</v>
      </c>
      <c r="AZ80">
        <v>2</v>
      </c>
      <c r="BA80">
        <v>5</v>
      </c>
      <c r="BB80">
        <v>0</v>
      </c>
      <c r="BC80" t="s">
        <v>2</v>
      </c>
      <c r="BD80">
        <v>-1</v>
      </c>
      <c r="BE80">
        <v>-1</v>
      </c>
      <c r="BF80">
        <v>-1</v>
      </c>
      <c r="BG80">
        <v>-1</v>
      </c>
      <c r="BH80">
        <v>-1</v>
      </c>
      <c r="BI80">
        <v>-1</v>
      </c>
      <c r="BJ80">
        <v>-1</v>
      </c>
      <c r="BK80">
        <v>-1</v>
      </c>
      <c r="BL80">
        <v>-1</v>
      </c>
      <c r="BM80">
        <v>-1</v>
      </c>
      <c r="BN80">
        <v>-1</v>
      </c>
      <c r="BO80">
        <v>-1</v>
      </c>
    </row>
    <row r="81" spans="1:67" x14ac:dyDescent="0.25">
      <c r="A81">
        <v>78</v>
      </c>
      <c r="B81">
        <v>70009</v>
      </c>
      <c r="C81" t="str">
        <f>VLOOKUP(B81,[1]resources!$A$2:$D$300,3,FALSE)</f>
        <v>!!PERFUME_SEASHANTY</v>
      </c>
      <c r="D81">
        <v>1</v>
      </c>
      <c r="E81" t="str">
        <f>VLOOKUP(D81,[1]bonus_paytable!$A$2:$D$300,3,FALSE)</f>
        <v>base</v>
      </c>
      <c r="F81">
        <v>-1</v>
      </c>
      <c r="G81">
        <v>-1</v>
      </c>
      <c r="H81">
        <v>0.5</v>
      </c>
      <c r="I81" t="s">
        <v>0</v>
      </c>
      <c r="J81">
        <v>3</v>
      </c>
      <c r="K81">
        <v>3</v>
      </c>
      <c r="L81">
        <v>3</v>
      </c>
      <c r="M81">
        <v>-1</v>
      </c>
      <c r="N81">
        <v>-1</v>
      </c>
      <c r="O81">
        <v>-1</v>
      </c>
      <c r="P81">
        <v>-1</v>
      </c>
      <c r="Q81">
        <v>-1</v>
      </c>
      <c r="R81">
        <v>-1</v>
      </c>
      <c r="S81">
        <v>-1</v>
      </c>
      <c r="T81">
        <v>-1</v>
      </c>
      <c r="U81">
        <v>0.5</v>
      </c>
      <c r="V81">
        <v>0.4</v>
      </c>
      <c r="W81">
        <v>0.1</v>
      </c>
      <c r="X81">
        <v>-1</v>
      </c>
      <c r="Y81">
        <v>-1</v>
      </c>
      <c r="Z81">
        <v>-1</v>
      </c>
      <c r="AA81">
        <v>-1</v>
      </c>
      <c r="AB81">
        <v>-1</v>
      </c>
      <c r="AC81">
        <v>-1</v>
      </c>
      <c r="AD81">
        <v>-1</v>
      </c>
      <c r="AE81">
        <v>-1</v>
      </c>
      <c r="AF81">
        <v>2</v>
      </c>
      <c r="AG81">
        <v>5</v>
      </c>
      <c r="AH81">
        <v>10</v>
      </c>
      <c r="AI81">
        <v>-1</v>
      </c>
      <c r="AJ81">
        <v>-1</v>
      </c>
      <c r="AK81">
        <v>-1</v>
      </c>
      <c r="AL81">
        <v>-1</v>
      </c>
      <c r="AM81">
        <v>-1</v>
      </c>
      <c r="AN81">
        <v>-1</v>
      </c>
      <c r="AO81">
        <v>-1</v>
      </c>
      <c r="AP81">
        <v>-1</v>
      </c>
      <c r="AQ81">
        <v>0.5</v>
      </c>
      <c r="AR81" t="s">
        <v>0</v>
      </c>
      <c r="AS81">
        <v>5</v>
      </c>
      <c r="AT81">
        <v>5</v>
      </c>
      <c r="AU81">
        <v>5</v>
      </c>
      <c r="AV81">
        <v>0.5</v>
      </c>
      <c r="AW81">
        <v>0.4</v>
      </c>
      <c r="AX81">
        <v>0.1</v>
      </c>
      <c r="AY81">
        <v>1</v>
      </c>
      <c r="AZ81">
        <v>2</v>
      </c>
      <c r="BA81">
        <v>5</v>
      </c>
      <c r="BB81">
        <v>0</v>
      </c>
      <c r="BC81" t="s">
        <v>2</v>
      </c>
      <c r="BD81">
        <v>-1</v>
      </c>
      <c r="BE81">
        <v>-1</v>
      </c>
      <c r="BF81">
        <v>-1</v>
      </c>
      <c r="BG81">
        <v>-1</v>
      </c>
      <c r="BH81">
        <v>-1</v>
      </c>
      <c r="BI81">
        <v>-1</v>
      </c>
      <c r="BJ81">
        <v>-1</v>
      </c>
      <c r="BK81">
        <v>-1</v>
      </c>
      <c r="BL81">
        <v>-1</v>
      </c>
      <c r="BM81">
        <v>-1</v>
      </c>
      <c r="BN81">
        <v>-1</v>
      </c>
      <c r="BO81">
        <v>-1</v>
      </c>
    </row>
    <row r="82" spans="1:67" x14ac:dyDescent="0.25">
      <c r="A82">
        <v>79</v>
      </c>
      <c r="B82">
        <v>70010</v>
      </c>
      <c r="C82" t="str">
        <f>VLOOKUP(B82,[1]resources!$A$2:$D$300,3,FALSE)</f>
        <v>!!PERFUME_THATSSOCORAL</v>
      </c>
      <c r="D82">
        <v>1</v>
      </c>
      <c r="E82" t="str">
        <f>VLOOKUP(D82,[1]bonus_paytable!$A$2:$D$300,3,FALSE)</f>
        <v>base</v>
      </c>
      <c r="F82">
        <v>-1</v>
      </c>
      <c r="G82">
        <v>-1</v>
      </c>
      <c r="H82">
        <v>0.5</v>
      </c>
      <c r="I82" t="s">
        <v>0</v>
      </c>
      <c r="J82">
        <v>3</v>
      </c>
      <c r="K82">
        <v>3</v>
      </c>
      <c r="L82">
        <v>3</v>
      </c>
      <c r="M82">
        <v>-1</v>
      </c>
      <c r="N82">
        <v>-1</v>
      </c>
      <c r="O82">
        <v>-1</v>
      </c>
      <c r="P82">
        <v>-1</v>
      </c>
      <c r="Q82">
        <v>-1</v>
      </c>
      <c r="R82">
        <v>-1</v>
      </c>
      <c r="S82">
        <v>-1</v>
      </c>
      <c r="T82">
        <v>-1</v>
      </c>
      <c r="U82">
        <v>0.5</v>
      </c>
      <c r="V82">
        <v>0.4</v>
      </c>
      <c r="W82">
        <v>0.1</v>
      </c>
      <c r="X82">
        <v>-1</v>
      </c>
      <c r="Y82">
        <v>-1</v>
      </c>
      <c r="Z82">
        <v>-1</v>
      </c>
      <c r="AA82">
        <v>-1</v>
      </c>
      <c r="AB82">
        <v>-1</v>
      </c>
      <c r="AC82">
        <v>-1</v>
      </c>
      <c r="AD82">
        <v>-1</v>
      </c>
      <c r="AE82">
        <v>-1</v>
      </c>
      <c r="AF82">
        <v>2</v>
      </c>
      <c r="AG82">
        <v>5</v>
      </c>
      <c r="AH82">
        <v>10</v>
      </c>
      <c r="AI82">
        <v>-1</v>
      </c>
      <c r="AJ82">
        <v>-1</v>
      </c>
      <c r="AK82">
        <v>-1</v>
      </c>
      <c r="AL82">
        <v>-1</v>
      </c>
      <c r="AM82">
        <v>-1</v>
      </c>
      <c r="AN82">
        <v>-1</v>
      </c>
      <c r="AO82">
        <v>-1</v>
      </c>
      <c r="AP82">
        <v>-1</v>
      </c>
      <c r="AQ82">
        <v>0.5</v>
      </c>
      <c r="AR82" t="s">
        <v>0</v>
      </c>
      <c r="AS82">
        <v>5</v>
      </c>
      <c r="AT82">
        <v>5</v>
      </c>
      <c r="AU82">
        <v>5</v>
      </c>
      <c r="AV82">
        <v>0.5</v>
      </c>
      <c r="AW82">
        <v>0.4</v>
      </c>
      <c r="AX82">
        <v>0.1</v>
      </c>
      <c r="AY82">
        <v>1</v>
      </c>
      <c r="AZ82">
        <v>2</v>
      </c>
      <c r="BA82">
        <v>5</v>
      </c>
      <c r="BB82">
        <v>0</v>
      </c>
      <c r="BC82" t="s">
        <v>2</v>
      </c>
      <c r="BD82">
        <v>-1</v>
      </c>
      <c r="BE82">
        <v>-1</v>
      </c>
      <c r="BF82">
        <v>-1</v>
      </c>
      <c r="BG82">
        <v>-1</v>
      </c>
      <c r="BH82">
        <v>-1</v>
      </c>
      <c r="BI82">
        <v>-1</v>
      </c>
      <c r="BJ82">
        <v>-1</v>
      </c>
      <c r="BK82">
        <v>-1</v>
      </c>
      <c r="BL82">
        <v>-1</v>
      </c>
      <c r="BM82">
        <v>-1</v>
      </c>
      <c r="BN82">
        <v>-1</v>
      </c>
      <c r="BO82">
        <v>-1</v>
      </c>
    </row>
    <row r="83" spans="1:67" x14ac:dyDescent="0.25">
      <c r="A83">
        <v>80</v>
      </c>
      <c r="B83">
        <v>70011</v>
      </c>
      <c r="C83" t="str">
        <f>VLOOKUP(B83,[1]resources!$A$2:$D$300,3,FALSE)</f>
        <v>!!PERFUME_THEDUMP</v>
      </c>
      <c r="D83">
        <v>1</v>
      </c>
      <c r="E83" t="str">
        <f>VLOOKUP(D83,[1]bonus_paytable!$A$2:$D$300,3,FALSE)</f>
        <v>base</v>
      </c>
      <c r="F83">
        <v>-1</v>
      </c>
      <c r="G83">
        <v>-1</v>
      </c>
      <c r="H83">
        <v>0.5</v>
      </c>
      <c r="I83" t="s">
        <v>0</v>
      </c>
      <c r="J83">
        <v>3</v>
      </c>
      <c r="K83">
        <v>3</v>
      </c>
      <c r="L83">
        <v>3</v>
      </c>
      <c r="M83">
        <v>-1</v>
      </c>
      <c r="N83">
        <v>-1</v>
      </c>
      <c r="O83">
        <v>-1</v>
      </c>
      <c r="P83">
        <v>-1</v>
      </c>
      <c r="Q83">
        <v>-1</v>
      </c>
      <c r="R83">
        <v>-1</v>
      </c>
      <c r="S83">
        <v>-1</v>
      </c>
      <c r="T83">
        <v>-1</v>
      </c>
      <c r="U83">
        <v>0.5</v>
      </c>
      <c r="V83">
        <v>0.4</v>
      </c>
      <c r="W83">
        <v>0.1</v>
      </c>
      <c r="X83">
        <v>-1</v>
      </c>
      <c r="Y83">
        <v>-1</v>
      </c>
      <c r="Z83">
        <v>-1</v>
      </c>
      <c r="AA83">
        <v>-1</v>
      </c>
      <c r="AB83">
        <v>-1</v>
      </c>
      <c r="AC83">
        <v>-1</v>
      </c>
      <c r="AD83">
        <v>-1</v>
      </c>
      <c r="AE83">
        <v>-1</v>
      </c>
      <c r="AF83">
        <v>2</v>
      </c>
      <c r="AG83">
        <v>5</v>
      </c>
      <c r="AH83">
        <v>10</v>
      </c>
      <c r="AI83">
        <v>-1</v>
      </c>
      <c r="AJ83">
        <v>-1</v>
      </c>
      <c r="AK83">
        <v>-1</v>
      </c>
      <c r="AL83">
        <v>-1</v>
      </c>
      <c r="AM83">
        <v>-1</v>
      </c>
      <c r="AN83">
        <v>-1</v>
      </c>
      <c r="AO83">
        <v>-1</v>
      </c>
      <c r="AP83">
        <v>-1</v>
      </c>
      <c r="AQ83">
        <v>0.5</v>
      </c>
      <c r="AR83" t="s">
        <v>0</v>
      </c>
      <c r="AS83">
        <v>5</v>
      </c>
      <c r="AT83">
        <v>5</v>
      </c>
      <c r="AU83">
        <v>5</v>
      </c>
      <c r="AV83">
        <v>0.5</v>
      </c>
      <c r="AW83">
        <v>0.4</v>
      </c>
      <c r="AX83">
        <v>0.1</v>
      </c>
      <c r="AY83">
        <v>1</v>
      </c>
      <c r="AZ83">
        <v>2</v>
      </c>
      <c r="BA83">
        <v>5</v>
      </c>
      <c r="BB83">
        <v>0</v>
      </c>
      <c r="BC83" t="s">
        <v>2</v>
      </c>
      <c r="BD83">
        <v>-1</v>
      </c>
      <c r="BE83">
        <v>-1</v>
      </c>
      <c r="BF83">
        <v>-1</v>
      </c>
      <c r="BG83">
        <v>-1</v>
      </c>
      <c r="BH83">
        <v>-1</v>
      </c>
      <c r="BI83">
        <v>-1</v>
      </c>
      <c r="BJ83">
        <v>-1</v>
      </c>
      <c r="BK83">
        <v>-1</v>
      </c>
      <c r="BL83">
        <v>-1</v>
      </c>
      <c r="BM83">
        <v>-1</v>
      </c>
      <c r="BN83">
        <v>-1</v>
      </c>
      <c r="BO83">
        <v>-1</v>
      </c>
    </row>
    <row r="84" spans="1:67" x14ac:dyDescent="0.25">
      <c r="A84">
        <v>81</v>
      </c>
      <c r="B84">
        <v>80000</v>
      </c>
      <c r="C84" t="str">
        <f>VLOOKUP(B84,[1]resources!$A$2:$D$300,3,FALSE)</f>
        <v>!!FOOD_BAKED_BANANABANANABREAD</v>
      </c>
      <c r="D84">
        <v>1</v>
      </c>
      <c r="E84" t="str">
        <f>VLOOKUP(D84,[1]bonus_paytable!$A$2:$D$300,3,FALSE)</f>
        <v>base</v>
      </c>
      <c r="F84">
        <v>-1</v>
      </c>
      <c r="G84">
        <v>-1</v>
      </c>
      <c r="H84">
        <v>0.5</v>
      </c>
      <c r="I84" t="s">
        <v>0</v>
      </c>
      <c r="J84">
        <v>3</v>
      </c>
      <c r="K84">
        <v>3</v>
      </c>
      <c r="L84">
        <v>3</v>
      </c>
      <c r="M84">
        <v>-1</v>
      </c>
      <c r="N84">
        <v>-1</v>
      </c>
      <c r="O84">
        <v>-1</v>
      </c>
      <c r="P84">
        <v>-1</v>
      </c>
      <c r="Q84">
        <v>-1</v>
      </c>
      <c r="R84">
        <v>-1</v>
      </c>
      <c r="S84">
        <v>-1</v>
      </c>
      <c r="T84">
        <v>-1</v>
      </c>
      <c r="U84">
        <v>0.5</v>
      </c>
      <c r="V84">
        <v>0.4</v>
      </c>
      <c r="W84">
        <v>0.1</v>
      </c>
      <c r="X84">
        <v>-1</v>
      </c>
      <c r="Y84">
        <v>-1</v>
      </c>
      <c r="Z84">
        <v>-1</v>
      </c>
      <c r="AA84">
        <v>-1</v>
      </c>
      <c r="AB84">
        <v>-1</v>
      </c>
      <c r="AC84">
        <v>-1</v>
      </c>
      <c r="AD84">
        <v>-1</v>
      </c>
      <c r="AE84">
        <v>-1</v>
      </c>
      <c r="AF84">
        <v>2</v>
      </c>
      <c r="AG84">
        <v>5</v>
      </c>
      <c r="AH84">
        <v>10</v>
      </c>
      <c r="AI84">
        <v>-1</v>
      </c>
      <c r="AJ84">
        <v>-1</v>
      </c>
      <c r="AK84">
        <v>-1</v>
      </c>
      <c r="AL84">
        <v>-1</v>
      </c>
      <c r="AM84">
        <v>-1</v>
      </c>
      <c r="AN84">
        <v>-1</v>
      </c>
      <c r="AO84">
        <v>-1</v>
      </c>
      <c r="AP84">
        <v>-1</v>
      </c>
      <c r="AQ84">
        <v>0.5</v>
      </c>
      <c r="AR84" t="s">
        <v>0</v>
      </c>
      <c r="AS84">
        <v>5</v>
      </c>
      <c r="AT84">
        <v>5</v>
      </c>
      <c r="AU84">
        <v>5</v>
      </c>
      <c r="AV84">
        <v>0.5</v>
      </c>
      <c r="AW84">
        <v>0.4</v>
      </c>
      <c r="AX84">
        <v>0.1</v>
      </c>
      <c r="AY84">
        <v>1</v>
      </c>
      <c r="AZ84">
        <v>2</v>
      </c>
      <c r="BA84">
        <v>5</v>
      </c>
      <c r="BB84">
        <v>0</v>
      </c>
      <c r="BC84" t="s">
        <v>2</v>
      </c>
      <c r="BD84">
        <v>-1</v>
      </c>
      <c r="BE84">
        <v>-1</v>
      </c>
      <c r="BF84">
        <v>-1</v>
      </c>
      <c r="BG84">
        <v>-1</v>
      </c>
      <c r="BH84">
        <v>-1</v>
      </c>
      <c r="BI84">
        <v>-1</v>
      </c>
      <c r="BJ84">
        <v>-1</v>
      </c>
      <c r="BK84">
        <v>-1</v>
      </c>
      <c r="BL84">
        <v>-1</v>
      </c>
      <c r="BM84">
        <v>-1</v>
      </c>
      <c r="BN84">
        <v>-1</v>
      </c>
      <c r="BO84">
        <v>-1</v>
      </c>
    </row>
    <row r="85" spans="1:67" x14ac:dyDescent="0.25">
      <c r="A85">
        <v>82</v>
      </c>
      <c r="B85">
        <v>80001</v>
      </c>
      <c r="C85" t="str">
        <f>VLOOKUP(B85,[1]resources!$A$2:$D$300,3,FALSE)</f>
        <v>!!FOOD_BAKED_CHERRIESGARY</v>
      </c>
      <c r="D85">
        <v>1</v>
      </c>
      <c r="E85" t="str">
        <f>VLOOKUP(D85,[1]bonus_paytable!$A$2:$D$300,3,FALSE)</f>
        <v>base</v>
      </c>
      <c r="F85">
        <v>-1</v>
      </c>
      <c r="G85">
        <v>-1</v>
      </c>
      <c r="H85">
        <v>0.5</v>
      </c>
      <c r="I85" t="s">
        <v>0</v>
      </c>
      <c r="J85">
        <v>3</v>
      </c>
      <c r="K85">
        <v>3</v>
      </c>
      <c r="L85">
        <v>3</v>
      </c>
      <c r="M85">
        <v>-1</v>
      </c>
      <c r="N85">
        <v>-1</v>
      </c>
      <c r="O85">
        <v>-1</v>
      </c>
      <c r="P85">
        <v>-1</v>
      </c>
      <c r="Q85">
        <v>-1</v>
      </c>
      <c r="R85">
        <v>-1</v>
      </c>
      <c r="S85">
        <v>-1</v>
      </c>
      <c r="T85">
        <v>-1</v>
      </c>
      <c r="U85">
        <v>0.5</v>
      </c>
      <c r="V85">
        <v>0.4</v>
      </c>
      <c r="W85">
        <v>0.1</v>
      </c>
      <c r="X85">
        <v>-1</v>
      </c>
      <c r="Y85">
        <v>-1</v>
      </c>
      <c r="Z85">
        <v>-1</v>
      </c>
      <c r="AA85">
        <v>-1</v>
      </c>
      <c r="AB85">
        <v>-1</v>
      </c>
      <c r="AC85">
        <v>-1</v>
      </c>
      <c r="AD85">
        <v>-1</v>
      </c>
      <c r="AE85">
        <v>-1</v>
      </c>
      <c r="AF85">
        <v>2</v>
      </c>
      <c r="AG85">
        <v>5</v>
      </c>
      <c r="AH85">
        <v>10</v>
      </c>
      <c r="AI85">
        <v>-1</v>
      </c>
      <c r="AJ85">
        <v>-1</v>
      </c>
      <c r="AK85">
        <v>-1</v>
      </c>
      <c r="AL85">
        <v>-1</v>
      </c>
      <c r="AM85">
        <v>-1</v>
      </c>
      <c r="AN85">
        <v>-1</v>
      </c>
      <c r="AO85">
        <v>-1</v>
      </c>
      <c r="AP85">
        <v>-1</v>
      </c>
      <c r="AQ85">
        <v>0.5</v>
      </c>
      <c r="AR85" t="s">
        <v>0</v>
      </c>
      <c r="AS85">
        <v>5</v>
      </c>
      <c r="AT85">
        <v>5</v>
      </c>
      <c r="AU85">
        <v>5</v>
      </c>
      <c r="AV85">
        <v>0.5</v>
      </c>
      <c r="AW85">
        <v>0.4</v>
      </c>
      <c r="AX85">
        <v>0.1</v>
      </c>
      <c r="AY85">
        <v>1</v>
      </c>
      <c r="AZ85">
        <v>2</v>
      </c>
      <c r="BA85">
        <v>5</v>
      </c>
      <c r="BB85">
        <v>0</v>
      </c>
      <c r="BC85" t="s">
        <v>2</v>
      </c>
      <c r="BD85">
        <v>-1</v>
      </c>
      <c r="BE85">
        <v>-1</v>
      </c>
      <c r="BF85">
        <v>-1</v>
      </c>
      <c r="BG85">
        <v>-1</v>
      </c>
      <c r="BH85">
        <v>-1</v>
      </c>
      <c r="BI85">
        <v>-1</v>
      </c>
      <c r="BJ85">
        <v>-1</v>
      </c>
      <c r="BK85">
        <v>-1</v>
      </c>
      <c r="BL85">
        <v>-1</v>
      </c>
      <c r="BM85">
        <v>-1</v>
      </c>
      <c r="BN85">
        <v>-1</v>
      </c>
      <c r="BO85">
        <v>-1</v>
      </c>
    </row>
    <row r="86" spans="1:67" x14ac:dyDescent="0.25">
      <c r="A86">
        <v>83</v>
      </c>
      <c r="B86">
        <v>80002</v>
      </c>
      <c r="C86" t="str">
        <f>VLOOKUP(B86,[1]resources!$A$2:$D$300,3,FALSE)</f>
        <v>!!FOOD_BAKED_COCONUTCOBBLER</v>
      </c>
      <c r="D86">
        <v>1</v>
      </c>
      <c r="E86" t="str">
        <f>VLOOKUP(D86,[1]bonus_paytable!$A$2:$D$300,3,FALSE)</f>
        <v>base</v>
      </c>
      <c r="F86">
        <v>-1</v>
      </c>
      <c r="G86">
        <v>-1</v>
      </c>
      <c r="H86">
        <v>0.5</v>
      </c>
      <c r="I86" t="s">
        <v>0</v>
      </c>
      <c r="J86">
        <v>3</v>
      </c>
      <c r="K86">
        <v>3</v>
      </c>
      <c r="L86">
        <v>3</v>
      </c>
      <c r="M86">
        <v>-1</v>
      </c>
      <c r="N86">
        <v>-1</v>
      </c>
      <c r="O86">
        <v>-1</v>
      </c>
      <c r="P86">
        <v>-1</v>
      </c>
      <c r="Q86">
        <v>-1</v>
      </c>
      <c r="R86">
        <v>-1</v>
      </c>
      <c r="S86">
        <v>-1</v>
      </c>
      <c r="T86">
        <v>-1</v>
      </c>
      <c r="U86">
        <v>0.5</v>
      </c>
      <c r="V86">
        <v>0.4</v>
      </c>
      <c r="W86">
        <v>0.1</v>
      </c>
      <c r="X86">
        <v>-1</v>
      </c>
      <c r="Y86">
        <v>-1</v>
      </c>
      <c r="Z86">
        <v>-1</v>
      </c>
      <c r="AA86">
        <v>-1</v>
      </c>
      <c r="AB86">
        <v>-1</v>
      </c>
      <c r="AC86">
        <v>-1</v>
      </c>
      <c r="AD86">
        <v>-1</v>
      </c>
      <c r="AE86">
        <v>-1</v>
      </c>
      <c r="AF86">
        <v>2</v>
      </c>
      <c r="AG86">
        <v>5</v>
      </c>
      <c r="AH86">
        <v>10</v>
      </c>
      <c r="AI86">
        <v>-1</v>
      </c>
      <c r="AJ86">
        <v>-1</v>
      </c>
      <c r="AK86">
        <v>-1</v>
      </c>
      <c r="AL86">
        <v>-1</v>
      </c>
      <c r="AM86">
        <v>-1</v>
      </c>
      <c r="AN86">
        <v>-1</v>
      </c>
      <c r="AO86">
        <v>-1</v>
      </c>
      <c r="AP86">
        <v>-1</v>
      </c>
      <c r="AQ86">
        <v>0.5</v>
      </c>
      <c r="AR86" t="s">
        <v>0</v>
      </c>
      <c r="AS86">
        <v>5</v>
      </c>
      <c r="AT86">
        <v>5</v>
      </c>
      <c r="AU86">
        <v>5</v>
      </c>
      <c r="AV86">
        <v>0.5</v>
      </c>
      <c r="AW86">
        <v>0.4</v>
      </c>
      <c r="AX86">
        <v>0.1</v>
      </c>
      <c r="AY86">
        <v>1</v>
      </c>
      <c r="AZ86">
        <v>2</v>
      </c>
      <c r="BA86">
        <v>5</v>
      </c>
      <c r="BB86">
        <v>0</v>
      </c>
      <c r="BC86" t="s">
        <v>2</v>
      </c>
      <c r="BD86">
        <v>-1</v>
      </c>
      <c r="BE86">
        <v>-1</v>
      </c>
      <c r="BF86">
        <v>-1</v>
      </c>
      <c r="BG86">
        <v>-1</v>
      </c>
      <c r="BH86">
        <v>-1</v>
      </c>
      <c r="BI86">
        <v>-1</v>
      </c>
      <c r="BJ86">
        <v>-1</v>
      </c>
      <c r="BK86">
        <v>-1</v>
      </c>
      <c r="BL86">
        <v>-1</v>
      </c>
      <c r="BM86">
        <v>-1</v>
      </c>
      <c r="BN86">
        <v>-1</v>
      </c>
      <c r="BO86">
        <v>-1</v>
      </c>
    </row>
    <row r="87" spans="1:67" x14ac:dyDescent="0.25">
      <c r="A87">
        <v>84</v>
      </c>
      <c r="B87">
        <v>80003</v>
      </c>
      <c r="C87" t="str">
        <f>VLOOKUP(B87,[1]resources!$A$2:$D$300,3,FALSE)</f>
        <v>!!FOOD_BAKED_CORALCRUMBLE</v>
      </c>
      <c r="D87">
        <v>1</v>
      </c>
      <c r="E87" t="str">
        <f>VLOOKUP(D87,[1]bonus_paytable!$A$2:$D$300,3,FALSE)</f>
        <v>base</v>
      </c>
      <c r="F87">
        <v>-1</v>
      </c>
      <c r="G87">
        <v>-1</v>
      </c>
      <c r="H87">
        <v>0.5</v>
      </c>
      <c r="I87" t="s">
        <v>0</v>
      </c>
      <c r="J87">
        <v>3</v>
      </c>
      <c r="K87">
        <v>3</v>
      </c>
      <c r="L87">
        <v>3</v>
      </c>
      <c r="M87">
        <v>-1</v>
      </c>
      <c r="N87">
        <v>-1</v>
      </c>
      <c r="O87">
        <v>-1</v>
      </c>
      <c r="P87">
        <v>-1</v>
      </c>
      <c r="Q87">
        <v>-1</v>
      </c>
      <c r="R87">
        <v>-1</v>
      </c>
      <c r="S87">
        <v>-1</v>
      </c>
      <c r="T87">
        <v>-1</v>
      </c>
      <c r="U87">
        <v>0.5</v>
      </c>
      <c r="V87">
        <v>0.4</v>
      </c>
      <c r="W87">
        <v>0.1</v>
      </c>
      <c r="X87">
        <v>-1</v>
      </c>
      <c r="Y87">
        <v>-1</v>
      </c>
      <c r="Z87">
        <v>-1</v>
      </c>
      <c r="AA87">
        <v>-1</v>
      </c>
      <c r="AB87">
        <v>-1</v>
      </c>
      <c r="AC87">
        <v>-1</v>
      </c>
      <c r="AD87">
        <v>-1</v>
      </c>
      <c r="AE87">
        <v>-1</v>
      </c>
      <c r="AF87">
        <v>2</v>
      </c>
      <c r="AG87">
        <v>5</v>
      </c>
      <c r="AH87">
        <v>10</v>
      </c>
      <c r="AI87">
        <v>-1</v>
      </c>
      <c r="AJ87">
        <v>-1</v>
      </c>
      <c r="AK87">
        <v>-1</v>
      </c>
      <c r="AL87">
        <v>-1</v>
      </c>
      <c r="AM87">
        <v>-1</v>
      </c>
      <c r="AN87">
        <v>-1</v>
      </c>
      <c r="AO87">
        <v>-1</v>
      </c>
      <c r="AP87">
        <v>-1</v>
      </c>
      <c r="AQ87">
        <v>0.5</v>
      </c>
      <c r="AR87" t="s">
        <v>0</v>
      </c>
      <c r="AS87">
        <v>5</v>
      </c>
      <c r="AT87">
        <v>5</v>
      </c>
      <c r="AU87">
        <v>5</v>
      </c>
      <c r="AV87">
        <v>0.5</v>
      </c>
      <c r="AW87">
        <v>0.4</v>
      </c>
      <c r="AX87">
        <v>0.1</v>
      </c>
      <c r="AY87">
        <v>1</v>
      </c>
      <c r="AZ87">
        <v>2</v>
      </c>
      <c r="BA87">
        <v>5</v>
      </c>
      <c r="BB87">
        <v>0</v>
      </c>
      <c r="BC87" t="s">
        <v>2</v>
      </c>
      <c r="BD87">
        <v>-1</v>
      </c>
      <c r="BE87">
        <v>-1</v>
      </c>
      <c r="BF87">
        <v>-1</v>
      </c>
      <c r="BG87">
        <v>-1</v>
      </c>
      <c r="BH87">
        <v>-1</v>
      </c>
      <c r="BI87">
        <v>-1</v>
      </c>
      <c r="BJ87">
        <v>-1</v>
      </c>
      <c r="BK87">
        <v>-1</v>
      </c>
      <c r="BL87">
        <v>-1</v>
      </c>
      <c r="BM87">
        <v>-1</v>
      </c>
      <c r="BN87">
        <v>-1</v>
      </c>
      <c r="BO87">
        <v>-1</v>
      </c>
    </row>
    <row r="88" spans="1:67" x14ac:dyDescent="0.25">
      <c r="A88">
        <v>85</v>
      </c>
      <c r="B88">
        <v>80004</v>
      </c>
      <c r="C88" t="str">
        <f>VLOOKUP(B88,[1]resources!$A$2:$D$300,3,FALSE)</f>
        <v>!!FOOD_BAKED_DUTCHMANSDUTCHAPPLEPIE</v>
      </c>
      <c r="D88">
        <v>1</v>
      </c>
      <c r="E88" t="str">
        <f>VLOOKUP(D88,[1]bonus_paytable!$A$2:$D$300,3,FALSE)</f>
        <v>base</v>
      </c>
      <c r="F88">
        <v>-1</v>
      </c>
      <c r="G88">
        <v>-1</v>
      </c>
      <c r="H88">
        <v>0.5</v>
      </c>
      <c r="I88" t="s">
        <v>0</v>
      </c>
      <c r="J88">
        <v>3</v>
      </c>
      <c r="K88">
        <v>3</v>
      </c>
      <c r="L88">
        <v>3</v>
      </c>
      <c r="M88">
        <v>-1</v>
      </c>
      <c r="N88">
        <v>-1</v>
      </c>
      <c r="O88">
        <v>-1</v>
      </c>
      <c r="P88">
        <v>-1</v>
      </c>
      <c r="Q88">
        <v>-1</v>
      </c>
      <c r="R88">
        <v>-1</v>
      </c>
      <c r="S88">
        <v>-1</v>
      </c>
      <c r="T88">
        <v>-1</v>
      </c>
      <c r="U88">
        <v>0.5</v>
      </c>
      <c r="V88">
        <v>0.4</v>
      </c>
      <c r="W88">
        <v>0.1</v>
      </c>
      <c r="X88">
        <v>-1</v>
      </c>
      <c r="Y88">
        <v>-1</v>
      </c>
      <c r="Z88">
        <v>-1</v>
      </c>
      <c r="AA88">
        <v>-1</v>
      </c>
      <c r="AB88">
        <v>-1</v>
      </c>
      <c r="AC88">
        <v>-1</v>
      </c>
      <c r="AD88">
        <v>-1</v>
      </c>
      <c r="AE88">
        <v>-1</v>
      </c>
      <c r="AF88">
        <v>2</v>
      </c>
      <c r="AG88">
        <v>5</v>
      </c>
      <c r="AH88">
        <v>10</v>
      </c>
      <c r="AI88">
        <v>-1</v>
      </c>
      <c r="AJ88">
        <v>-1</v>
      </c>
      <c r="AK88">
        <v>-1</v>
      </c>
      <c r="AL88">
        <v>-1</v>
      </c>
      <c r="AM88">
        <v>-1</v>
      </c>
      <c r="AN88">
        <v>-1</v>
      </c>
      <c r="AO88">
        <v>-1</v>
      </c>
      <c r="AP88">
        <v>-1</v>
      </c>
      <c r="AQ88">
        <v>0.5</v>
      </c>
      <c r="AR88" t="s">
        <v>0</v>
      </c>
      <c r="AS88">
        <v>5</v>
      </c>
      <c r="AT88">
        <v>5</v>
      </c>
      <c r="AU88">
        <v>5</v>
      </c>
      <c r="AV88">
        <v>0.5</v>
      </c>
      <c r="AW88">
        <v>0.4</v>
      </c>
      <c r="AX88">
        <v>0.1</v>
      </c>
      <c r="AY88">
        <v>1</v>
      </c>
      <c r="AZ88">
        <v>2</v>
      </c>
      <c r="BA88">
        <v>5</v>
      </c>
      <c r="BB88">
        <v>0</v>
      </c>
      <c r="BC88" t="s">
        <v>2</v>
      </c>
      <c r="BD88">
        <v>-1</v>
      </c>
      <c r="BE88">
        <v>-1</v>
      </c>
      <c r="BF88">
        <v>-1</v>
      </c>
      <c r="BG88">
        <v>-1</v>
      </c>
      <c r="BH88">
        <v>-1</v>
      </c>
      <c r="BI88">
        <v>-1</v>
      </c>
      <c r="BJ88">
        <v>-1</v>
      </c>
      <c r="BK88">
        <v>-1</v>
      </c>
      <c r="BL88">
        <v>-1</v>
      </c>
      <c r="BM88">
        <v>-1</v>
      </c>
      <c r="BN88">
        <v>-1</v>
      </c>
      <c r="BO88">
        <v>-1</v>
      </c>
    </row>
    <row r="89" spans="1:67" x14ac:dyDescent="0.25">
      <c r="A89">
        <v>86</v>
      </c>
      <c r="B89">
        <v>80005</v>
      </c>
      <c r="C89" t="str">
        <f>VLOOKUP(B89,[1]resources!$A$2:$D$300,3,FALSE)</f>
        <v>!!FOOD_BAKED_EVERYVILLAINISLEMONBAR</v>
      </c>
      <c r="D89">
        <v>1</v>
      </c>
      <c r="E89" t="str">
        <f>VLOOKUP(D89,[1]bonus_paytable!$A$2:$D$300,3,FALSE)</f>
        <v>base</v>
      </c>
      <c r="F89">
        <v>-1</v>
      </c>
      <c r="G89">
        <v>-1</v>
      </c>
      <c r="H89">
        <v>0.5</v>
      </c>
      <c r="I89" t="s">
        <v>0</v>
      </c>
      <c r="J89">
        <v>3</v>
      </c>
      <c r="K89">
        <v>3</v>
      </c>
      <c r="L89">
        <v>3</v>
      </c>
      <c r="M89">
        <v>-1</v>
      </c>
      <c r="N89">
        <v>-1</v>
      </c>
      <c r="O89">
        <v>-1</v>
      </c>
      <c r="P89">
        <v>-1</v>
      </c>
      <c r="Q89">
        <v>-1</v>
      </c>
      <c r="R89">
        <v>-1</v>
      </c>
      <c r="S89">
        <v>-1</v>
      </c>
      <c r="T89">
        <v>-1</v>
      </c>
      <c r="U89">
        <v>0.5</v>
      </c>
      <c r="V89">
        <v>0.4</v>
      </c>
      <c r="W89">
        <v>0.1</v>
      </c>
      <c r="X89">
        <v>-1</v>
      </c>
      <c r="Y89">
        <v>-1</v>
      </c>
      <c r="Z89">
        <v>-1</v>
      </c>
      <c r="AA89">
        <v>-1</v>
      </c>
      <c r="AB89">
        <v>-1</v>
      </c>
      <c r="AC89">
        <v>-1</v>
      </c>
      <c r="AD89">
        <v>-1</v>
      </c>
      <c r="AE89">
        <v>-1</v>
      </c>
      <c r="AF89">
        <v>2</v>
      </c>
      <c r="AG89">
        <v>5</v>
      </c>
      <c r="AH89">
        <v>10</v>
      </c>
      <c r="AI89">
        <v>-1</v>
      </c>
      <c r="AJ89">
        <v>-1</v>
      </c>
      <c r="AK89">
        <v>-1</v>
      </c>
      <c r="AL89">
        <v>-1</v>
      </c>
      <c r="AM89">
        <v>-1</v>
      </c>
      <c r="AN89">
        <v>-1</v>
      </c>
      <c r="AO89">
        <v>-1</v>
      </c>
      <c r="AP89">
        <v>-1</v>
      </c>
      <c r="AQ89">
        <v>0.5</v>
      </c>
      <c r="AR89" t="s">
        <v>0</v>
      </c>
      <c r="AS89">
        <v>5</v>
      </c>
      <c r="AT89">
        <v>5</v>
      </c>
      <c r="AU89">
        <v>5</v>
      </c>
      <c r="AV89">
        <v>0.5</v>
      </c>
      <c r="AW89">
        <v>0.4</v>
      </c>
      <c r="AX89">
        <v>0.1</v>
      </c>
      <c r="AY89">
        <v>1</v>
      </c>
      <c r="AZ89">
        <v>2</v>
      </c>
      <c r="BA89">
        <v>5</v>
      </c>
      <c r="BB89">
        <v>0</v>
      </c>
      <c r="BC89" t="s">
        <v>2</v>
      </c>
      <c r="BD89">
        <v>-1</v>
      </c>
      <c r="BE89">
        <v>-1</v>
      </c>
      <c r="BF89">
        <v>-1</v>
      </c>
      <c r="BG89">
        <v>-1</v>
      </c>
      <c r="BH89">
        <v>-1</v>
      </c>
      <c r="BI89">
        <v>-1</v>
      </c>
      <c r="BJ89">
        <v>-1</v>
      </c>
      <c r="BK89">
        <v>-1</v>
      </c>
      <c r="BL89">
        <v>-1</v>
      </c>
      <c r="BM89">
        <v>-1</v>
      </c>
      <c r="BN89">
        <v>-1</v>
      </c>
      <c r="BO89">
        <v>-1</v>
      </c>
    </row>
    <row r="90" spans="1:67" x14ac:dyDescent="0.25">
      <c r="A90">
        <v>87</v>
      </c>
      <c r="B90">
        <v>80006</v>
      </c>
      <c r="C90" t="str">
        <f>VLOOKUP(B90,[1]resources!$A$2:$D$300,3,FALSE)</f>
        <v>!!FOOD_BAKED_FERRYCHERRYCHEESECAKE</v>
      </c>
      <c r="D90">
        <v>1</v>
      </c>
      <c r="E90" t="str">
        <f>VLOOKUP(D90,[1]bonus_paytable!$A$2:$D$300,3,FALSE)</f>
        <v>base</v>
      </c>
      <c r="F90">
        <v>-1</v>
      </c>
      <c r="G90">
        <v>-1</v>
      </c>
      <c r="H90">
        <v>0.5</v>
      </c>
      <c r="I90" t="s">
        <v>0</v>
      </c>
      <c r="J90">
        <v>3</v>
      </c>
      <c r="K90">
        <v>3</v>
      </c>
      <c r="L90">
        <v>3</v>
      </c>
      <c r="M90">
        <v>-1</v>
      </c>
      <c r="N90">
        <v>-1</v>
      </c>
      <c r="O90">
        <v>-1</v>
      </c>
      <c r="P90">
        <v>-1</v>
      </c>
      <c r="Q90">
        <v>-1</v>
      </c>
      <c r="R90">
        <v>-1</v>
      </c>
      <c r="S90">
        <v>-1</v>
      </c>
      <c r="T90">
        <v>-1</v>
      </c>
      <c r="U90">
        <v>0.5</v>
      </c>
      <c r="V90">
        <v>0.4</v>
      </c>
      <c r="W90">
        <v>0.1</v>
      </c>
      <c r="X90">
        <v>-1</v>
      </c>
      <c r="Y90">
        <v>-1</v>
      </c>
      <c r="Z90">
        <v>-1</v>
      </c>
      <c r="AA90">
        <v>-1</v>
      </c>
      <c r="AB90">
        <v>-1</v>
      </c>
      <c r="AC90">
        <v>-1</v>
      </c>
      <c r="AD90">
        <v>-1</v>
      </c>
      <c r="AE90">
        <v>-1</v>
      </c>
      <c r="AF90">
        <v>2</v>
      </c>
      <c r="AG90">
        <v>5</v>
      </c>
      <c r="AH90">
        <v>10</v>
      </c>
      <c r="AI90">
        <v>-1</v>
      </c>
      <c r="AJ90">
        <v>-1</v>
      </c>
      <c r="AK90">
        <v>-1</v>
      </c>
      <c r="AL90">
        <v>-1</v>
      </c>
      <c r="AM90">
        <v>-1</v>
      </c>
      <c r="AN90">
        <v>-1</v>
      </c>
      <c r="AO90">
        <v>-1</v>
      </c>
      <c r="AP90">
        <v>-1</v>
      </c>
      <c r="AQ90">
        <v>0.5</v>
      </c>
      <c r="AR90" t="s">
        <v>0</v>
      </c>
      <c r="AS90">
        <v>5</v>
      </c>
      <c r="AT90">
        <v>5</v>
      </c>
      <c r="AU90">
        <v>5</v>
      </c>
      <c r="AV90">
        <v>0.5</v>
      </c>
      <c r="AW90">
        <v>0.4</v>
      </c>
      <c r="AX90">
        <v>0.1</v>
      </c>
      <c r="AY90">
        <v>1</v>
      </c>
      <c r="AZ90">
        <v>2</v>
      </c>
      <c r="BA90">
        <v>5</v>
      </c>
      <c r="BB90">
        <v>0</v>
      </c>
      <c r="BC90" t="s">
        <v>2</v>
      </c>
      <c r="BD90">
        <v>-1</v>
      </c>
      <c r="BE90">
        <v>-1</v>
      </c>
      <c r="BF90">
        <v>-1</v>
      </c>
      <c r="BG90">
        <v>-1</v>
      </c>
      <c r="BH90">
        <v>-1</v>
      </c>
      <c r="BI90">
        <v>-1</v>
      </c>
      <c r="BJ90">
        <v>-1</v>
      </c>
      <c r="BK90">
        <v>-1</v>
      </c>
      <c r="BL90">
        <v>-1</v>
      </c>
      <c r="BM90">
        <v>-1</v>
      </c>
      <c r="BN90">
        <v>-1</v>
      </c>
      <c r="BO90">
        <v>-1</v>
      </c>
    </row>
    <row r="91" spans="1:67" x14ac:dyDescent="0.25">
      <c r="A91">
        <v>88</v>
      </c>
      <c r="B91">
        <v>80007</v>
      </c>
      <c r="C91" t="str">
        <f>VLOOKUP(B91,[1]resources!$A$2:$D$300,3,FALSE)</f>
        <v>!!FOOD_BAKED_KELPYCRUST</v>
      </c>
      <c r="D91">
        <v>1</v>
      </c>
      <c r="E91" t="str">
        <f>VLOOKUP(D91,[1]bonus_paytable!$A$2:$D$300,3,FALSE)</f>
        <v>base</v>
      </c>
      <c r="F91">
        <v>-1</v>
      </c>
      <c r="G91">
        <v>-1</v>
      </c>
      <c r="H91">
        <v>0.5</v>
      </c>
      <c r="I91" t="s">
        <v>0</v>
      </c>
      <c r="J91">
        <v>3</v>
      </c>
      <c r="K91">
        <v>3</v>
      </c>
      <c r="L91">
        <v>3</v>
      </c>
      <c r="M91">
        <v>-1</v>
      </c>
      <c r="N91">
        <v>-1</v>
      </c>
      <c r="O91">
        <v>-1</v>
      </c>
      <c r="P91">
        <v>-1</v>
      </c>
      <c r="Q91">
        <v>-1</v>
      </c>
      <c r="R91">
        <v>-1</v>
      </c>
      <c r="S91">
        <v>-1</v>
      </c>
      <c r="T91">
        <v>-1</v>
      </c>
      <c r="U91">
        <v>0.5</v>
      </c>
      <c r="V91">
        <v>0.4</v>
      </c>
      <c r="W91">
        <v>0.1</v>
      </c>
      <c r="X91">
        <v>-1</v>
      </c>
      <c r="Y91">
        <v>-1</v>
      </c>
      <c r="Z91">
        <v>-1</v>
      </c>
      <c r="AA91">
        <v>-1</v>
      </c>
      <c r="AB91">
        <v>-1</v>
      </c>
      <c r="AC91">
        <v>-1</v>
      </c>
      <c r="AD91">
        <v>-1</v>
      </c>
      <c r="AE91">
        <v>-1</v>
      </c>
      <c r="AF91">
        <v>2</v>
      </c>
      <c r="AG91">
        <v>5</v>
      </c>
      <c r="AH91">
        <v>10</v>
      </c>
      <c r="AI91">
        <v>-1</v>
      </c>
      <c r="AJ91">
        <v>-1</v>
      </c>
      <c r="AK91">
        <v>-1</v>
      </c>
      <c r="AL91">
        <v>-1</v>
      </c>
      <c r="AM91">
        <v>-1</v>
      </c>
      <c r="AN91">
        <v>-1</v>
      </c>
      <c r="AO91">
        <v>-1</v>
      </c>
      <c r="AP91">
        <v>-1</v>
      </c>
      <c r="AQ91">
        <v>0.5</v>
      </c>
      <c r="AR91" t="s">
        <v>0</v>
      </c>
      <c r="AS91">
        <v>5</v>
      </c>
      <c r="AT91">
        <v>5</v>
      </c>
      <c r="AU91">
        <v>5</v>
      </c>
      <c r="AV91">
        <v>0.5</v>
      </c>
      <c r="AW91">
        <v>0.4</v>
      </c>
      <c r="AX91">
        <v>0.1</v>
      </c>
      <c r="AY91">
        <v>1</v>
      </c>
      <c r="AZ91">
        <v>2</v>
      </c>
      <c r="BA91">
        <v>5</v>
      </c>
      <c r="BB91">
        <v>0</v>
      </c>
      <c r="BC91" t="s">
        <v>2</v>
      </c>
      <c r="BD91">
        <v>-1</v>
      </c>
      <c r="BE91">
        <v>-1</v>
      </c>
      <c r="BF91">
        <v>-1</v>
      </c>
      <c r="BG91">
        <v>-1</v>
      </c>
      <c r="BH91">
        <v>-1</v>
      </c>
      <c r="BI91">
        <v>-1</v>
      </c>
      <c r="BJ91">
        <v>-1</v>
      </c>
      <c r="BK91">
        <v>-1</v>
      </c>
      <c r="BL91">
        <v>-1</v>
      </c>
      <c r="BM91">
        <v>-1</v>
      </c>
      <c r="BN91">
        <v>-1</v>
      </c>
      <c r="BO91">
        <v>-1</v>
      </c>
    </row>
    <row r="92" spans="1:67" x14ac:dyDescent="0.25">
      <c r="A92">
        <v>89</v>
      </c>
      <c r="B92">
        <v>80008</v>
      </c>
      <c r="C92" t="str">
        <f>VLOOKUP(B92,[1]resources!$A$2:$D$300,3,FALSE)</f>
        <v>!!FOOD_BAKED_LIFESABEACHPEACHCOBBLER</v>
      </c>
      <c r="D92">
        <v>1</v>
      </c>
      <c r="E92" t="str">
        <f>VLOOKUP(D92,[1]bonus_paytable!$A$2:$D$300,3,FALSE)</f>
        <v>base</v>
      </c>
      <c r="F92">
        <v>-1</v>
      </c>
      <c r="G92">
        <v>-1</v>
      </c>
      <c r="H92">
        <v>0.5</v>
      </c>
      <c r="I92" t="s">
        <v>0</v>
      </c>
      <c r="J92">
        <v>3</v>
      </c>
      <c r="K92">
        <v>3</v>
      </c>
      <c r="L92">
        <v>3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0.5</v>
      </c>
      <c r="V92">
        <v>0.4</v>
      </c>
      <c r="W92">
        <v>0.1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2</v>
      </c>
      <c r="AG92">
        <v>5</v>
      </c>
      <c r="AH92">
        <v>10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0.5</v>
      </c>
      <c r="AR92" t="s">
        <v>0</v>
      </c>
      <c r="AS92">
        <v>5</v>
      </c>
      <c r="AT92">
        <v>5</v>
      </c>
      <c r="AU92">
        <v>5</v>
      </c>
      <c r="AV92">
        <v>0.5</v>
      </c>
      <c r="AW92">
        <v>0.4</v>
      </c>
      <c r="AX92">
        <v>0.1</v>
      </c>
      <c r="AY92">
        <v>1</v>
      </c>
      <c r="AZ92">
        <v>2</v>
      </c>
      <c r="BA92">
        <v>5</v>
      </c>
      <c r="BB92">
        <v>0</v>
      </c>
      <c r="BC92" t="s">
        <v>2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</row>
    <row r="93" spans="1:67" x14ac:dyDescent="0.25">
      <c r="A93">
        <v>90</v>
      </c>
      <c r="B93">
        <v>80009</v>
      </c>
      <c r="C93" t="str">
        <f>VLOOKUP(B93,[1]resources!$A$2:$D$300,3,FALSE)</f>
        <v>!!FOOD_BAKED_MAROONEDMACAROONS</v>
      </c>
      <c r="D93">
        <v>1</v>
      </c>
      <c r="E93" t="str">
        <f>VLOOKUP(D93,[1]bonus_paytable!$A$2:$D$300,3,FALSE)</f>
        <v>base</v>
      </c>
      <c r="F93">
        <v>-1</v>
      </c>
      <c r="G93">
        <v>-1</v>
      </c>
      <c r="H93">
        <v>0.5</v>
      </c>
      <c r="I93" t="s">
        <v>0</v>
      </c>
      <c r="J93">
        <v>3</v>
      </c>
      <c r="K93">
        <v>3</v>
      </c>
      <c r="L93">
        <v>3</v>
      </c>
      <c r="M93">
        <v>-1</v>
      </c>
      <c r="N93">
        <v>-1</v>
      </c>
      <c r="O93">
        <v>-1</v>
      </c>
      <c r="P93">
        <v>-1</v>
      </c>
      <c r="Q93">
        <v>-1</v>
      </c>
      <c r="R93">
        <v>-1</v>
      </c>
      <c r="S93">
        <v>-1</v>
      </c>
      <c r="T93">
        <v>-1</v>
      </c>
      <c r="U93">
        <v>0.5</v>
      </c>
      <c r="V93">
        <v>0.4</v>
      </c>
      <c r="W93">
        <v>0.1</v>
      </c>
      <c r="X93">
        <v>-1</v>
      </c>
      <c r="Y93">
        <v>-1</v>
      </c>
      <c r="Z93">
        <v>-1</v>
      </c>
      <c r="AA93">
        <v>-1</v>
      </c>
      <c r="AB93">
        <v>-1</v>
      </c>
      <c r="AC93">
        <v>-1</v>
      </c>
      <c r="AD93">
        <v>-1</v>
      </c>
      <c r="AE93">
        <v>-1</v>
      </c>
      <c r="AF93">
        <v>2</v>
      </c>
      <c r="AG93">
        <v>5</v>
      </c>
      <c r="AH93">
        <v>10</v>
      </c>
      <c r="AI93">
        <v>-1</v>
      </c>
      <c r="AJ93">
        <v>-1</v>
      </c>
      <c r="AK93">
        <v>-1</v>
      </c>
      <c r="AL93">
        <v>-1</v>
      </c>
      <c r="AM93">
        <v>-1</v>
      </c>
      <c r="AN93">
        <v>-1</v>
      </c>
      <c r="AO93">
        <v>-1</v>
      </c>
      <c r="AP93">
        <v>-1</v>
      </c>
      <c r="AQ93">
        <v>0.5</v>
      </c>
      <c r="AR93" t="s">
        <v>0</v>
      </c>
      <c r="AS93">
        <v>5</v>
      </c>
      <c r="AT93">
        <v>5</v>
      </c>
      <c r="AU93">
        <v>5</v>
      </c>
      <c r="AV93">
        <v>0.5</v>
      </c>
      <c r="AW93">
        <v>0.4</v>
      </c>
      <c r="AX93">
        <v>0.1</v>
      </c>
      <c r="AY93">
        <v>1</v>
      </c>
      <c r="AZ93">
        <v>2</v>
      </c>
      <c r="BA93">
        <v>5</v>
      </c>
      <c r="BB93">
        <v>0</v>
      </c>
      <c r="BC93" t="s">
        <v>2</v>
      </c>
      <c r="BD93">
        <v>-1</v>
      </c>
      <c r="BE93">
        <v>-1</v>
      </c>
      <c r="BF93">
        <v>-1</v>
      </c>
      <c r="BG93">
        <v>-1</v>
      </c>
      <c r="BH93">
        <v>-1</v>
      </c>
      <c r="BI93">
        <v>-1</v>
      </c>
      <c r="BJ93">
        <v>-1</v>
      </c>
      <c r="BK93">
        <v>-1</v>
      </c>
      <c r="BL93">
        <v>-1</v>
      </c>
      <c r="BM93">
        <v>-1</v>
      </c>
      <c r="BN93">
        <v>-1</v>
      </c>
      <c r="BO93">
        <v>-1</v>
      </c>
    </row>
    <row r="94" spans="1:67" x14ac:dyDescent="0.25">
      <c r="A94">
        <v>91</v>
      </c>
      <c r="B94">
        <v>80010</v>
      </c>
      <c r="C94" t="str">
        <f>VLOOKUP(B94,[1]resources!$A$2:$D$300,3,FALSE)</f>
        <v>!!FOOD_BAKED_MERINGUELEMANRAY</v>
      </c>
      <c r="D94">
        <v>1</v>
      </c>
      <c r="E94" t="str">
        <f>VLOOKUP(D94,[1]bonus_paytable!$A$2:$D$300,3,FALSE)</f>
        <v>base</v>
      </c>
      <c r="F94">
        <v>-1</v>
      </c>
      <c r="G94">
        <v>-1</v>
      </c>
      <c r="H94">
        <v>0.5</v>
      </c>
      <c r="I94" t="s">
        <v>0</v>
      </c>
      <c r="J94">
        <v>3</v>
      </c>
      <c r="K94">
        <v>3</v>
      </c>
      <c r="L94">
        <v>3</v>
      </c>
      <c r="M94">
        <v>-1</v>
      </c>
      <c r="N94">
        <v>-1</v>
      </c>
      <c r="O94">
        <v>-1</v>
      </c>
      <c r="P94">
        <v>-1</v>
      </c>
      <c r="Q94">
        <v>-1</v>
      </c>
      <c r="R94">
        <v>-1</v>
      </c>
      <c r="S94">
        <v>-1</v>
      </c>
      <c r="T94">
        <v>-1</v>
      </c>
      <c r="U94">
        <v>0.5</v>
      </c>
      <c r="V94">
        <v>0.4</v>
      </c>
      <c r="W94">
        <v>0.1</v>
      </c>
      <c r="X94">
        <v>-1</v>
      </c>
      <c r="Y94">
        <v>-1</v>
      </c>
      <c r="Z94">
        <v>-1</v>
      </c>
      <c r="AA94">
        <v>-1</v>
      </c>
      <c r="AB94">
        <v>-1</v>
      </c>
      <c r="AC94">
        <v>-1</v>
      </c>
      <c r="AD94">
        <v>-1</v>
      </c>
      <c r="AE94">
        <v>-1</v>
      </c>
      <c r="AF94">
        <v>2</v>
      </c>
      <c r="AG94">
        <v>5</v>
      </c>
      <c r="AH94">
        <v>10</v>
      </c>
      <c r="AI94">
        <v>-1</v>
      </c>
      <c r="AJ94">
        <v>-1</v>
      </c>
      <c r="AK94">
        <v>-1</v>
      </c>
      <c r="AL94">
        <v>-1</v>
      </c>
      <c r="AM94">
        <v>-1</v>
      </c>
      <c r="AN94">
        <v>-1</v>
      </c>
      <c r="AO94">
        <v>-1</v>
      </c>
      <c r="AP94">
        <v>-1</v>
      </c>
      <c r="AQ94">
        <v>0.5</v>
      </c>
      <c r="AR94" t="s">
        <v>0</v>
      </c>
      <c r="AS94">
        <v>5</v>
      </c>
      <c r="AT94">
        <v>5</v>
      </c>
      <c r="AU94">
        <v>5</v>
      </c>
      <c r="AV94">
        <v>0.5</v>
      </c>
      <c r="AW94">
        <v>0.4</v>
      </c>
      <c r="AX94">
        <v>0.1</v>
      </c>
      <c r="AY94">
        <v>1</v>
      </c>
      <c r="AZ94">
        <v>2</v>
      </c>
      <c r="BA94">
        <v>5</v>
      </c>
      <c r="BB94">
        <v>0</v>
      </c>
      <c r="BC94" t="s">
        <v>2</v>
      </c>
      <c r="BD94">
        <v>-1</v>
      </c>
      <c r="BE94">
        <v>-1</v>
      </c>
      <c r="BF94">
        <v>-1</v>
      </c>
      <c r="BG94">
        <v>-1</v>
      </c>
      <c r="BH94">
        <v>-1</v>
      </c>
      <c r="BI94">
        <v>-1</v>
      </c>
      <c r="BJ94">
        <v>-1</v>
      </c>
      <c r="BK94">
        <v>-1</v>
      </c>
      <c r="BL94">
        <v>-1</v>
      </c>
      <c r="BM94">
        <v>-1</v>
      </c>
      <c r="BN94">
        <v>-1</v>
      </c>
      <c r="BO94">
        <v>-1</v>
      </c>
    </row>
    <row r="95" spans="1:67" x14ac:dyDescent="0.25">
      <c r="A95">
        <v>92</v>
      </c>
      <c r="B95">
        <v>80011</v>
      </c>
      <c r="C95" t="str">
        <f>VLOOKUP(B95,[1]resources!$A$2:$D$300,3,FALSE)</f>
        <v>!!FOOD_BAKED_PUFFERPASTRYTART</v>
      </c>
      <c r="D95">
        <v>1</v>
      </c>
      <c r="E95" t="str">
        <f>VLOOKUP(D95,[1]bonus_paytable!$A$2:$D$300,3,FALSE)</f>
        <v>base</v>
      </c>
      <c r="F95">
        <v>-1</v>
      </c>
      <c r="G95">
        <v>-1</v>
      </c>
      <c r="H95">
        <v>0.5</v>
      </c>
      <c r="I95" t="s">
        <v>0</v>
      </c>
      <c r="J95">
        <v>3</v>
      </c>
      <c r="K95">
        <v>3</v>
      </c>
      <c r="L95">
        <v>3</v>
      </c>
      <c r="M95">
        <v>-1</v>
      </c>
      <c r="N95">
        <v>-1</v>
      </c>
      <c r="O95">
        <v>-1</v>
      </c>
      <c r="P95">
        <v>-1</v>
      </c>
      <c r="Q95">
        <v>-1</v>
      </c>
      <c r="R95">
        <v>-1</v>
      </c>
      <c r="S95">
        <v>-1</v>
      </c>
      <c r="T95">
        <v>-1</v>
      </c>
      <c r="U95">
        <v>0.5</v>
      </c>
      <c r="V95">
        <v>0.4</v>
      </c>
      <c r="W95">
        <v>0.1</v>
      </c>
      <c r="X95">
        <v>-1</v>
      </c>
      <c r="Y95">
        <v>-1</v>
      </c>
      <c r="Z95">
        <v>-1</v>
      </c>
      <c r="AA95">
        <v>-1</v>
      </c>
      <c r="AB95">
        <v>-1</v>
      </c>
      <c r="AC95">
        <v>-1</v>
      </c>
      <c r="AD95">
        <v>-1</v>
      </c>
      <c r="AE95">
        <v>-1</v>
      </c>
      <c r="AF95">
        <v>2</v>
      </c>
      <c r="AG95">
        <v>5</v>
      </c>
      <c r="AH95">
        <v>10</v>
      </c>
      <c r="AI95">
        <v>-1</v>
      </c>
      <c r="AJ95">
        <v>-1</v>
      </c>
      <c r="AK95">
        <v>-1</v>
      </c>
      <c r="AL95">
        <v>-1</v>
      </c>
      <c r="AM95">
        <v>-1</v>
      </c>
      <c r="AN95">
        <v>-1</v>
      </c>
      <c r="AO95">
        <v>-1</v>
      </c>
      <c r="AP95">
        <v>-1</v>
      </c>
      <c r="AQ95">
        <v>0.5</v>
      </c>
      <c r="AR95" t="s">
        <v>0</v>
      </c>
      <c r="AS95">
        <v>5</v>
      </c>
      <c r="AT95">
        <v>5</v>
      </c>
      <c r="AU95">
        <v>5</v>
      </c>
      <c r="AV95">
        <v>0.5</v>
      </c>
      <c r="AW95">
        <v>0.4</v>
      </c>
      <c r="AX95">
        <v>0.1</v>
      </c>
      <c r="AY95">
        <v>1</v>
      </c>
      <c r="AZ95">
        <v>2</v>
      </c>
      <c r="BA95">
        <v>5</v>
      </c>
      <c r="BB95">
        <v>0</v>
      </c>
      <c r="BC95" t="s">
        <v>2</v>
      </c>
      <c r="BD95">
        <v>-1</v>
      </c>
      <c r="BE95">
        <v>-1</v>
      </c>
      <c r="BF95">
        <v>-1</v>
      </c>
      <c r="BG95">
        <v>-1</v>
      </c>
      <c r="BH95">
        <v>-1</v>
      </c>
      <c r="BI95">
        <v>-1</v>
      </c>
      <c r="BJ95">
        <v>-1</v>
      </c>
      <c r="BK95">
        <v>-1</v>
      </c>
      <c r="BL95">
        <v>-1</v>
      </c>
      <c r="BM95">
        <v>-1</v>
      </c>
      <c r="BN95">
        <v>-1</v>
      </c>
      <c r="BO95">
        <v>-1</v>
      </c>
    </row>
    <row r="96" spans="1:67" x14ac:dyDescent="0.25">
      <c r="A96">
        <v>93</v>
      </c>
      <c r="B96">
        <v>80012</v>
      </c>
      <c r="C96" t="str">
        <f>VLOOKUP(B96,[1]resources!$A$2:$D$300,3,FALSE)</f>
        <v>!!FOOD_BAKED_SANDYSTEXASTWOBERRYTART</v>
      </c>
      <c r="D96">
        <v>1</v>
      </c>
      <c r="E96" t="str">
        <f>VLOOKUP(D96,[1]bonus_paytable!$A$2:$D$300,3,FALSE)</f>
        <v>base</v>
      </c>
      <c r="F96">
        <v>-1</v>
      </c>
      <c r="G96">
        <v>-1</v>
      </c>
      <c r="H96">
        <v>0.5</v>
      </c>
      <c r="I96" t="s">
        <v>0</v>
      </c>
      <c r="J96">
        <v>3</v>
      </c>
      <c r="K96">
        <v>3</v>
      </c>
      <c r="L96">
        <v>3</v>
      </c>
      <c r="M96">
        <v>-1</v>
      </c>
      <c r="N96">
        <v>-1</v>
      </c>
      <c r="O96">
        <v>-1</v>
      </c>
      <c r="P96">
        <v>-1</v>
      </c>
      <c r="Q96">
        <v>-1</v>
      </c>
      <c r="R96">
        <v>-1</v>
      </c>
      <c r="S96">
        <v>-1</v>
      </c>
      <c r="T96">
        <v>-1</v>
      </c>
      <c r="U96">
        <v>0.5</v>
      </c>
      <c r="V96">
        <v>0.4</v>
      </c>
      <c r="W96">
        <v>0.1</v>
      </c>
      <c r="X96">
        <v>-1</v>
      </c>
      <c r="Y96">
        <v>-1</v>
      </c>
      <c r="Z96">
        <v>-1</v>
      </c>
      <c r="AA96">
        <v>-1</v>
      </c>
      <c r="AB96">
        <v>-1</v>
      </c>
      <c r="AC96">
        <v>-1</v>
      </c>
      <c r="AD96">
        <v>-1</v>
      </c>
      <c r="AE96">
        <v>-1</v>
      </c>
      <c r="AF96">
        <v>2</v>
      </c>
      <c r="AG96">
        <v>5</v>
      </c>
      <c r="AH96">
        <v>10</v>
      </c>
      <c r="AI96">
        <v>-1</v>
      </c>
      <c r="AJ96">
        <v>-1</v>
      </c>
      <c r="AK96">
        <v>-1</v>
      </c>
      <c r="AL96">
        <v>-1</v>
      </c>
      <c r="AM96">
        <v>-1</v>
      </c>
      <c r="AN96">
        <v>-1</v>
      </c>
      <c r="AO96">
        <v>-1</v>
      </c>
      <c r="AP96">
        <v>-1</v>
      </c>
      <c r="AQ96">
        <v>0.5</v>
      </c>
      <c r="AR96" t="s">
        <v>0</v>
      </c>
      <c r="AS96">
        <v>5</v>
      </c>
      <c r="AT96">
        <v>5</v>
      </c>
      <c r="AU96">
        <v>5</v>
      </c>
      <c r="AV96">
        <v>0.5</v>
      </c>
      <c r="AW96">
        <v>0.4</v>
      </c>
      <c r="AX96">
        <v>0.1</v>
      </c>
      <c r="AY96">
        <v>1</v>
      </c>
      <c r="AZ96">
        <v>2</v>
      </c>
      <c r="BA96">
        <v>5</v>
      </c>
      <c r="BB96">
        <v>0</v>
      </c>
      <c r="BC96" t="s">
        <v>2</v>
      </c>
      <c r="BD96">
        <v>-1</v>
      </c>
      <c r="BE96">
        <v>-1</v>
      </c>
      <c r="BF96">
        <v>-1</v>
      </c>
      <c r="BG96">
        <v>-1</v>
      </c>
      <c r="BH96">
        <v>-1</v>
      </c>
      <c r="BI96">
        <v>-1</v>
      </c>
      <c r="BJ96">
        <v>-1</v>
      </c>
      <c r="BK96">
        <v>-1</v>
      </c>
      <c r="BL96">
        <v>-1</v>
      </c>
      <c r="BM96">
        <v>-1</v>
      </c>
      <c r="BN96">
        <v>-1</v>
      </c>
      <c r="BO96">
        <v>-1</v>
      </c>
    </row>
    <row r="97" spans="1:67" x14ac:dyDescent="0.25">
      <c r="A97">
        <v>94</v>
      </c>
      <c r="B97">
        <v>80013</v>
      </c>
      <c r="C97" t="str">
        <f>VLOOKUP(B97,[1]resources!$A$2:$D$300,3,FALSE)</f>
        <v>!!FOOD_BAKED_SEALIMEPIE</v>
      </c>
      <c r="D97">
        <v>1</v>
      </c>
      <c r="E97" t="str">
        <f>VLOOKUP(D97,[1]bonus_paytable!$A$2:$D$300,3,FALSE)</f>
        <v>base</v>
      </c>
      <c r="F97">
        <v>-1</v>
      </c>
      <c r="G97">
        <v>-1</v>
      </c>
      <c r="H97">
        <v>0.5</v>
      </c>
      <c r="I97" t="s">
        <v>0</v>
      </c>
      <c r="J97">
        <v>3</v>
      </c>
      <c r="K97">
        <v>3</v>
      </c>
      <c r="L97">
        <v>3</v>
      </c>
      <c r="M97">
        <v>-1</v>
      </c>
      <c r="N97">
        <v>-1</v>
      </c>
      <c r="O97">
        <v>-1</v>
      </c>
      <c r="P97">
        <v>-1</v>
      </c>
      <c r="Q97">
        <v>-1</v>
      </c>
      <c r="R97">
        <v>-1</v>
      </c>
      <c r="S97">
        <v>-1</v>
      </c>
      <c r="T97">
        <v>-1</v>
      </c>
      <c r="U97">
        <v>0.5</v>
      </c>
      <c r="V97">
        <v>0.4</v>
      </c>
      <c r="W97">
        <v>0.1</v>
      </c>
      <c r="X97">
        <v>-1</v>
      </c>
      <c r="Y97">
        <v>-1</v>
      </c>
      <c r="Z97">
        <v>-1</v>
      </c>
      <c r="AA97">
        <v>-1</v>
      </c>
      <c r="AB97">
        <v>-1</v>
      </c>
      <c r="AC97">
        <v>-1</v>
      </c>
      <c r="AD97">
        <v>-1</v>
      </c>
      <c r="AE97">
        <v>-1</v>
      </c>
      <c r="AF97">
        <v>2</v>
      </c>
      <c r="AG97">
        <v>5</v>
      </c>
      <c r="AH97">
        <v>10</v>
      </c>
      <c r="AI97">
        <v>-1</v>
      </c>
      <c r="AJ97">
        <v>-1</v>
      </c>
      <c r="AK97">
        <v>-1</v>
      </c>
      <c r="AL97">
        <v>-1</v>
      </c>
      <c r="AM97">
        <v>-1</v>
      </c>
      <c r="AN97">
        <v>-1</v>
      </c>
      <c r="AO97">
        <v>-1</v>
      </c>
      <c r="AP97">
        <v>-1</v>
      </c>
      <c r="AQ97">
        <v>0.5</v>
      </c>
      <c r="AR97" t="s">
        <v>0</v>
      </c>
      <c r="AS97">
        <v>5</v>
      </c>
      <c r="AT97">
        <v>5</v>
      </c>
      <c r="AU97">
        <v>5</v>
      </c>
      <c r="AV97">
        <v>0.5</v>
      </c>
      <c r="AW97">
        <v>0.4</v>
      </c>
      <c r="AX97">
        <v>0.1</v>
      </c>
      <c r="AY97">
        <v>1</v>
      </c>
      <c r="AZ97">
        <v>2</v>
      </c>
      <c r="BA97">
        <v>5</v>
      </c>
      <c r="BB97">
        <v>0</v>
      </c>
      <c r="BC97" t="s">
        <v>2</v>
      </c>
      <c r="BD97">
        <v>-1</v>
      </c>
      <c r="BE97">
        <v>-1</v>
      </c>
      <c r="BF97">
        <v>-1</v>
      </c>
      <c r="BG97">
        <v>-1</v>
      </c>
      <c r="BH97">
        <v>-1</v>
      </c>
      <c r="BI97">
        <v>-1</v>
      </c>
      <c r="BJ97">
        <v>-1</v>
      </c>
      <c r="BK97">
        <v>-1</v>
      </c>
      <c r="BL97">
        <v>-1</v>
      </c>
      <c r="BM97">
        <v>-1</v>
      </c>
      <c r="BN97">
        <v>-1</v>
      </c>
      <c r="BO97">
        <v>-1</v>
      </c>
    </row>
    <row r="98" spans="1:67" x14ac:dyDescent="0.25">
      <c r="A98">
        <v>95</v>
      </c>
      <c r="B98">
        <v>80014</v>
      </c>
      <c r="C98" t="str">
        <f>VLOOKUP(B98,[1]resources!$A$2:$D$300,3,FALSE)</f>
        <v>!!FOOD_BAKED_SHELDONSSTRAWBERRYSHORTCAKE</v>
      </c>
      <c r="D98">
        <v>1</v>
      </c>
      <c r="E98" t="str">
        <f>VLOOKUP(D98,[1]bonus_paytable!$A$2:$D$300,3,FALSE)</f>
        <v>base</v>
      </c>
      <c r="F98">
        <v>-1</v>
      </c>
      <c r="G98">
        <v>-1</v>
      </c>
      <c r="H98">
        <v>0.5</v>
      </c>
      <c r="I98" t="s">
        <v>0</v>
      </c>
      <c r="J98">
        <v>3</v>
      </c>
      <c r="K98">
        <v>3</v>
      </c>
      <c r="L98">
        <v>3</v>
      </c>
      <c r="M98">
        <v>-1</v>
      </c>
      <c r="N98">
        <v>-1</v>
      </c>
      <c r="O98">
        <v>-1</v>
      </c>
      <c r="P98">
        <v>-1</v>
      </c>
      <c r="Q98">
        <v>-1</v>
      </c>
      <c r="R98">
        <v>-1</v>
      </c>
      <c r="S98">
        <v>-1</v>
      </c>
      <c r="T98">
        <v>-1</v>
      </c>
      <c r="U98">
        <v>0.5</v>
      </c>
      <c r="V98">
        <v>0.4</v>
      </c>
      <c r="W98">
        <v>0.1</v>
      </c>
      <c r="X98">
        <v>-1</v>
      </c>
      <c r="Y98">
        <v>-1</v>
      </c>
      <c r="Z98">
        <v>-1</v>
      </c>
      <c r="AA98">
        <v>-1</v>
      </c>
      <c r="AB98">
        <v>-1</v>
      </c>
      <c r="AC98">
        <v>-1</v>
      </c>
      <c r="AD98">
        <v>-1</v>
      </c>
      <c r="AE98">
        <v>-1</v>
      </c>
      <c r="AF98">
        <v>2</v>
      </c>
      <c r="AG98">
        <v>5</v>
      </c>
      <c r="AH98">
        <v>10</v>
      </c>
      <c r="AI98">
        <v>-1</v>
      </c>
      <c r="AJ98">
        <v>-1</v>
      </c>
      <c r="AK98">
        <v>-1</v>
      </c>
      <c r="AL98">
        <v>-1</v>
      </c>
      <c r="AM98">
        <v>-1</v>
      </c>
      <c r="AN98">
        <v>-1</v>
      </c>
      <c r="AO98">
        <v>-1</v>
      </c>
      <c r="AP98">
        <v>-1</v>
      </c>
      <c r="AQ98">
        <v>0.5</v>
      </c>
      <c r="AR98" t="s">
        <v>0</v>
      </c>
      <c r="AS98">
        <v>5</v>
      </c>
      <c r="AT98">
        <v>5</v>
      </c>
      <c r="AU98">
        <v>5</v>
      </c>
      <c r="AV98">
        <v>0.5</v>
      </c>
      <c r="AW98">
        <v>0.4</v>
      </c>
      <c r="AX98">
        <v>0.1</v>
      </c>
      <c r="AY98">
        <v>1</v>
      </c>
      <c r="AZ98">
        <v>2</v>
      </c>
      <c r="BA98">
        <v>5</v>
      </c>
      <c r="BB98">
        <v>0</v>
      </c>
      <c r="BC98" t="s">
        <v>2</v>
      </c>
      <c r="BD98">
        <v>-1</v>
      </c>
      <c r="BE98">
        <v>-1</v>
      </c>
      <c r="BF98">
        <v>-1</v>
      </c>
      <c r="BG98">
        <v>-1</v>
      </c>
      <c r="BH98">
        <v>-1</v>
      </c>
      <c r="BI98">
        <v>-1</v>
      </c>
      <c r="BJ98">
        <v>-1</v>
      </c>
      <c r="BK98">
        <v>-1</v>
      </c>
      <c r="BL98">
        <v>-1</v>
      </c>
      <c r="BM98">
        <v>-1</v>
      </c>
      <c r="BN98">
        <v>-1</v>
      </c>
      <c r="BO98">
        <v>-1</v>
      </c>
    </row>
    <row r="99" spans="1:67" x14ac:dyDescent="0.25">
      <c r="A99">
        <v>96</v>
      </c>
      <c r="B99">
        <v>80015</v>
      </c>
      <c r="C99" t="str">
        <f>VLOOKUP(B99,[1]resources!$A$2:$D$300,3,FALSE)</f>
        <v>!!FOOD_BAKED_SPONGECAKESQUAREBAKE</v>
      </c>
      <c r="D99">
        <v>1</v>
      </c>
      <c r="E99" t="str">
        <f>VLOOKUP(D99,[1]bonus_paytable!$A$2:$D$300,3,FALSE)</f>
        <v>base</v>
      </c>
      <c r="F99">
        <v>-1</v>
      </c>
      <c r="G99">
        <v>-1</v>
      </c>
      <c r="H99">
        <v>0.5</v>
      </c>
      <c r="I99" t="s">
        <v>0</v>
      </c>
      <c r="J99">
        <v>3</v>
      </c>
      <c r="K99">
        <v>3</v>
      </c>
      <c r="L99">
        <v>3</v>
      </c>
      <c r="M99">
        <v>-1</v>
      </c>
      <c r="N99">
        <v>-1</v>
      </c>
      <c r="O99">
        <v>-1</v>
      </c>
      <c r="P99">
        <v>-1</v>
      </c>
      <c r="Q99">
        <v>-1</v>
      </c>
      <c r="R99">
        <v>-1</v>
      </c>
      <c r="S99">
        <v>-1</v>
      </c>
      <c r="T99">
        <v>-1</v>
      </c>
      <c r="U99">
        <v>0.5</v>
      </c>
      <c r="V99">
        <v>0.4</v>
      </c>
      <c r="W99">
        <v>0.1</v>
      </c>
      <c r="X99">
        <v>-1</v>
      </c>
      <c r="Y99">
        <v>-1</v>
      </c>
      <c r="Z99">
        <v>-1</v>
      </c>
      <c r="AA99">
        <v>-1</v>
      </c>
      <c r="AB99">
        <v>-1</v>
      </c>
      <c r="AC99">
        <v>-1</v>
      </c>
      <c r="AD99">
        <v>-1</v>
      </c>
      <c r="AE99">
        <v>-1</v>
      </c>
      <c r="AF99">
        <v>2</v>
      </c>
      <c r="AG99">
        <v>5</v>
      </c>
      <c r="AH99">
        <v>10</v>
      </c>
      <c r="AI99">
        <v>-1</v>
      </c>
      <c r="AJ99">
        <v>-1</v>
      </c>
      <c r="AK99">
        <v>-1</v>
      </c>
      <c r="AL99">
        <v>-1</v>
      </c>
      <c r="AM99">
        <v>-1</v>
      </c>
      <c r="AN99">
        <v>-1</v>
      </c>
      <c r="AO99">
        <v>-1</v>
      </c>
      <c r="AP99">
        <v>-1</v>
      </c>
      <c r="AQ99">
        <v>0.5</v>
      </c>
      <c r="AR99" t="s">
        <v>0</v>
      </c>
      <c r="AS99">
        <v>5</v>
      </c>
      <c r="AT99">
        <v>5</v>
      </c>
      <c r="AU99">
        <v>5</v>
      </c>
      <c r="AV99">
        <v>0.5</v>
      </c>
      <c r="AW99">
        <v>0.4</v>
      </c>
      <c r="AX99">
        <v>0.1</v>
      </c>
      <c r="AY99">
        <v>1</v>
      </c>
      <c r="AZ99">
        <v>2</v>
      </c>
      <c r="BA99">
        <v>5</v>
      </c>
      <c r="BB99">
        <v>0</v>
      </c>
      <c r="BC99" t="s">
        <v>2</v>
      </c>
      <c r="BD99">
        <v>-1</v>
      </c>
      <c r="BE99">
        <v>-1</v>
      </c>
      <c r="BF99">
        <v>-1</v>
      </c>
      <c r="BG99">
        <v>-1</v>
      </c>
      <c r="BH99">
        <v>-1</v>
      </c>
      <c r="BI99">
        <v>-1</v>
      </c>
      <c r="BJ99">
        <v>-1</v>
      </c>
      <c r="BK99">
        <v>-1</v>
      </c>
      <c r="BL99">
        <v>-1</v>
      </c>
      <c r="BM99">
        <v>-1</v>
      </c>
      <c r="BN99">
        <v>-1</v>
      </c>
      <c r="BO99">
        <v>-1</v>
      </c>
    </row>
    <row r="100" spans="1:67" x14ac:dyDescent="0.25">
      <c r="A100">
        <v>97</v>
      </c>
      <c r="B100">
        <v>80016</v>
      </c>
      <c r="C100" t="str">
        <f>VLOOKUP(B100,[1]resources!$A$2:$D$300,3,FALSE)</f>
        <v>!!FOOD_BAKED_THEAPPLEFANCYSON</v>
      </c>
      <c r="D100">
        <v>1</v>
      </c>
      <c r="E100" t="str">
        <f>VLOOKUP(D100,[1]bonus_paytable!$A$2:$D$300,3,FALSE)</f>
        <v>base</v>
      </c>
      <c r="F100">
        <v>-1</v>
      </c>
      <c r="G100">
        <v>-1</v>
      </c>
      <c r="H100">
        <v>0.5</v>
      </c>
      <c r="I100" t="s">
        <v>0</v>
      </c>
      <c r="J100">
        <v>3</v>
      </c>
      <c r="K100">
        <v>3</v>
      </c>
      <c r="L100">
        <v>3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0.5</v>
      </c>
      <c r="V100">
        <v>0.4</v>
      </c>
      <c r="W100">
        <v>0.1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2</v>
      </c>
      <c r="AG100">
        <v>5</v>
      </c>
      <c r="AH100">
        <v>10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0.5</v>
      </c>
      <c r="AR100" t="s">
        <v>0</v>
      </c>
      <c r="AS100">
        <v>5</v>
      </c>
      <c r="AT100">
        <v>5</v>
      </c>
      <c r="AU100">
        <v>5</v>
      </c>
      <c r="AV100">
        <v>0.5</v>
      </c>
      <c r="AW100">
        <v>0.4</v>
      </c>
      <c r="AX100">
        <v>0.1</v>
      </c>
      <c r="AY100">
        <v>1</v>
      </c>
      <c r="AZ100">
        <v>2</v>
      </c>
      <c r="BA100">
        <v>5</v>
      </c>
      <c r="BB100">
        <v>0</v>
      </c>
      <c r="BC100" t="s">
        <v>2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</row>
    <row r="101" spans="1:67" x14ac:dyDescent="0.25">
      <c r="A101">
        <v>98</v>
      </c>
      <c r="B101">
        <v>9016</v>
      </c>
      <c r="C101" t="str">
        <f>VLOOKUP(B101,[1]resources!$A$2:$D$300,3,FALSE)</f>
        <v>!!FOOD_RUSTYS_RUSTY_ON_RYE</v>
      </c>
      <c r="D101">
        <v>1</v>
      </c>
      <c r="E101" t="str">
        <f>VLOOKUP(D101,[1]bonus_paytable!$A$2:$D$300,3,FALSE)</f>
        <v>base</v>
      </c>
      <c r="F101">
        <v>-1</v>
      </c>
      <c r="G101">
        <v>-1</v>
      </c>
      <c r="H101">
        <v>0.5</v>
      </c>
      <c r="I101" t="s">
        <v>0</v>
      </c>
      <c r="J101">
        <v>3</v>
      </c>
      <c r="K101">
        <v>3</v>
      </c>
      <c r="L101">
        <v>3</v>
      </c>
      <c r="M101">
        <v>-1</v>
      </c>
      <c r="N101">
        <v>-1</v>
      </c>
      <c r="O101">
        <v>-1</v>
      </c>
      <c r="P101">
        <v>-1</v>
      </c>
      <c r="Q101">
        <v>-1</v>
      </c>
      <c r="R101">
        <v>-1</v>
      </c>
      <c r="S101">
        <v>-1</v>
      </c>
      <c r="T101">
        <v>-1</v>
      </c>
      <c r="U101">
        <v>0.5</v>
      </c>
      <c r="V101">
        <v>0.4</v>
      </c>
      <c r="W101">
        <v>0.1</v>
      </c>
      <c r="X101">
        <v>-1</v>
      </c>
      <c r="Y101">
        <v>-1</v>
      </c>
      <c r="Z101">
        <v>-1</v>
      </c>
      <c r="AA101">
        <v>-1</v>
      </c>
      <c r="AB101">
        <v>-1</v>
      </c>
      <c r="AC101">
        <v>-1</v>
      </c>
      <c r="AD101">
        <v>-1</v>
      </c>
      <c r="AE101">
        <v>-1</v>
      </c>
      <c r="AF101">
        <v>2</v>
      </c>
      <c r="AG101">
        <v>5</v>
      </c>
      <c r="AH101">
        <v>10</v>
      </c>
      <c r="AI101">
        <v>-1</v>
      </c>
      <c r="AJ101">
        <v>-1</v>
      </c>
      <c r="AK101">
        <v>-1</v>
      </c>
      <c r="AL101">
        <v>-1</v>
      </c>
      <c r="AM101">
        <v>-1</v>
      </c>
      <c r="AN101">
        <v>-1</v>
      </c>
      <c r="AO101">
        <v>-1</v>
      </c>
      <c r="AP101">
        <v>-1</v>
      </c>
      <c r="AQ101">
        <v>0.5</v>
      </c>
      <c r="AR101" t="s">
        <v>0</v>
      </c>
      <c r="AS101">
        <v>5</v>
      </c>
      <c r="AT101">
        <v>5</v>
      </c>
      <c r="AU101">
        <v>5</v>
      </c>
      <c r="AV101">
        <v>0.5</v>
      </c>
      <c r="AW101">
        <v>0.4</v>
      </c>
      <c r="AX101">
        <v>0.1</v>
      </c>
      <c r="AY101">
        <v>1</v>
      </c>
      <c r="AZ101">
        <v>2</v>
      </c>
      <c r="BA101">
        <v>5</v>
      </c>
      <c r="BB101">
        <v>0</v>
      </c>
      <c r="BC101" t="s">
        <v>2</v>
      </c>
      <c r="BD101">
        <v>-1</v>
      </c>
      <c r="BE101">
        <v>-1</v>
      </c>
      <c r="BF101">
        <v>-1</v>
      </c>
      <c r="BG101">
        <v>-1</v>
      </c>
      <c r="BH101">
        <v>-1</v>
      </c>
      <c r="BI101">
        <v>-1</v>
      </c>
      <c r="BJ101">
        <v>-1</v>
      </c>
      <c r="BK101">
        <v>-1</v>
      </c>
      <c r="BL101">
        <v>-1</v>
      </c>
      <c r="BM101">
        <v>-1</v>
      </c>
      <c r="BN101">
        <v>-1</v>
      </c>
      <c r="BO101">
        <v>-1</v>
      </c>
    </row>
    <row r="102" spans="1:67" x14ac:dyDescent="0.25">
      <c r="A102">
        <v>99</v>
      </c>
      <c r="B102">
        <v>9201</v>
      </c>
      <c r="C102" t="str">
        <f>VLOOKUP(B102,[1]resources!$A$2:$D$300,3,FALSE)</f>
        <v>!!FOOD_CHOCOLATES</v>
      </c>
      <c r="D102">
        <v>1</v>
      </c>
      <c r="E102" t="str">
        <f>VLOOKUP(D102,[1]bonus_paytable!$A$2:$D$300,3,FALSE)</f>
        <v>base</v>
      </c>
      <c r="F102">
        <v>-1</v>
      </c>
      <c r="G102">
        <v>-1</v>
      </c>
      <c r="H102">
        <v>0.5</v>
      </c>
      <c r="I102" t="s">
        <v>0</v>
      </c>
      <c r="J102">
        <v>3</v>
      </c>
      <c r="K102">
        <v>3</v>
      </c>
      <c r="L102">
        <v>3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0.5</v>
      </c>
      <c r="V102">
        <v>0.4</v>
      </c>
      <c r="W102">
        <v>0.1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2</v>
      </c>
      <c r="AG102">
        <v>5</v>
      </c>
      <c r="AH102">
        <v>10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0.5</v>
      </c>
      <c r="AR102" t="s">
        <v>0</v>
      </c>
      <c r="AS102">
        <v>5</v>
      </c>
      <c r="AT102">
        <v>5</v>
      </c>
      <c r="AU102">
        <v>5</v>
      </c>
      <c r="AV102">
        <v>0.5</v>
      </c>
      <c r="AW102">
        <v>0.4</v>
      </c>
      <c r="AX102">
        <v>0.1</v>
      </c>
      <c r="AY102">
        <v>1</v>
      </c>
      <c r="AZ102">
        <v>2</v>
      </c>
      <c r="BA102">
        <v>5</v>
      </c>
      <c r="BB102">
        <v>0</v>
      </c>
      <c r="BC102" t="s">
        <v>2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</row>
    <row r="103" spans="1:67" x14ac:dyDescent="0.25">
      <c r="A103">
        <v>100</v>
      </c>
      <c r="B103">
        <v>9202</v>
      </c>
      <c r="C103" t="str">
        <f>VLOOKUP(B103,[1]resources!$A$2:$D$300,3,FALSE)</f>
        <v>!!FOOD_POPCORN</v>
      </c>
      <c r="D103">
        <v>1</v>
      </c>
      <c r="E103" t="str">
        <f>VLOOKUP(D103,[1]bonus_paytable!$A$2:$D$300,3,FALSE)</f>
        <v>base</v>
      </c>
      <c r="F103">
        <v>-1</v>
      </c>
      <c r="G103">
        <v>-1</v>
      </c>
      <c r="H103">
        <v>0.5</v>
      </c>
      <c r="I103" t="s">
        <v>0</v>
      </c>
      <c r="J103">
        <v>3</v>
      </c>
      <c r="K103">
        <v>3</v>
      </c>
      <c r="L103">
        <v>3</v>
      </c>
      <c r="M103">
        <v>-1</v>
      </c>
      <c r="N103">
        <v>-1</v>
      </c>
      <c r="O103">
        <v>-1</v>
      </c>
      <c r="P103">
        <v>-1</v>
      </c>
      <c r="Q103">
        <v>-1</v>
      </c>
      <c r="R103">
        <v>-1</v>
      </c>
      <c r="S103">
        <v>-1</v>
      </c>
      <c r="T103">
        <v>-1</v>
      </c>
      <c r="U103">
        <v>0.5</v>
      </c>
      <c r="V103">
        <v>0.4</v>
      </c>
      <c r="W103">
        <v>0.1</v>
      </c>
      <c r="X103">
        <v>-1</v>
      </c>
      <c r="Y103">
        <v>-1</v>
      </c>
      <c r="Z103">
        <v>-1</v>
      </c>
      <c r="AA103">
        <v>-1</v>
      </c>
      <c r="AB103">
        <v>-1</v>
      </c>
      <c r="AC103">
        <v>-1</v>
      </c>
      <c r="AD103">
        <v>-1</v>
      </c>
      <c r="AE103">
        <v>-1</v>
      </c>
      <c r="AF103">
        <v>2</v>
      </c>
      <c r="AG103">
        <v>5</v>
      </c>
      <c r="AH103">
        <v>10</v>
      </c>
      <c r="AI103">
        <v>-1</v>
      </c>
      <c r="AJ103">
        <v>-1</v>
      </c>
      <c r="AK103">
        <v>-1</v>
      </c>
      <c r="AL103">
        <v>-1</v>
      </c>
      <c r="AM103">
        <v>-1</v>
      </c>
      <c r="AN103">
        <v>-1</v>
      </c>
      <c r="AO103">
        <v>-1</v>
      </c>
      <c r="AP103">
        <v>-1</v>
      </c>
      <c r="AQ103">
        <v>0.5</v>
      </c>
      <c r="AR103" t="s">
        <v>0</v>
      </c>
      <c r="AS103">
        <v>5</v>
      </c>
      <c r="AT103">
        <v>5</v>
      </c>
      <c r="AU103">
        <v>5</v>
      </c>
      <c r="AV103">
        <v>0.5</v>
      </c>
      <c r="AW103">
        <v>0.4</v>
      </c>
      <c r="AX103">
        <v>0.1</v>
      </c>
      <c r="AY103">
        <v>1</v>
      </c>
      <c r="AZ103">
        <v>2</v>
      </c>
      <c r="BA103">
        <v>5</v>
      </c>
      <c r="BB103">
        <v>0</v>
      </c>
      <c r="BC103" t="s">
        <v>2</v>
      </c>
      <c r="BD103">
        <v>-1</v>
      </c>
      <c r="BE103">
        <v>-1</v>
      </c>
      <c r="BF103">
        <v>-1</v>
      </c>
      <c r="BG103">
        <v>-1</v>
      </c>
      <c r="BH103">
        <v>-1</v>
      </c>
      <c r="BI103">
        <v>-1</v>
      </c>
      <c r="BJ103">
        <v>-1</v>
      </c>
      <c r="BK103">
        <v>-1</v>
      </c>
      <c r="BL103">
        <v>-1</v>
      </c>
      <c r="BM103">
        <v>-1</v>
      </c>
      <c r="BN103">
        <v>-1</v>
      </c>
      <c r="BO103">
        <v>-1</v>
      </c>
    </row>
    <row r="104" spans="1:67" x14ac:dyDescent="0.25">
      <c r="A104">
        <v>101</v>
      </c>
      <c r="B104">
        <v>9203</v>
      </c>
      <c r="C104" t="str">
        <f>VLOOKUP(B104,[1]resources!$A$2:$D$300,3,FALSE)</f>
        <v>!!FOOD_TRUFFLES</v>
      </c>
      <c r="D104">
        <v>1</v>
      </c>
      <c r="E104" t="str">
        <f>VLOOKUP(D104,[1]bonus_paytable!$A$2:$D$300,3,FALSE)</f>
        <v>base</v>
      </c>
      <c r="F104">
        <v>-1</v>
      </c>
      <c r="G104">
        <v>-1</v>
      </c>
      <c r="H104">
        <v>0.5</v>
      </c>
      <c r="I104" t="s">
        <v>0</v>
      </c>
      <c r="J104">
        <v>3</v>
      </c>
      <c r="K104">
        <v>3</v>
      </c>
      <c r="L104">
        <v>3</v>
      </c>
      <c r="M104">
        <v>-1</v>
      </c>
      <c r="N104">
        <v>-1</v>
      </c>
      <c r="O104">
        <v>-1</v>
      </c>
      <c r="P104">
        <v>-1</v>
      </c>
      <c r="Q104">
        <v>-1</v>
      </c>
      <c r="R104">
        <v>-1</v>
      </c>
      <c r="S104">
        <v>-1</v>
      </c>
      <c r="T104">
        <v>-1</v>
      </c>
      <c r="U104">
        <v>0.5</v>
      </c>
      <c r="V104">
        <v>0.4</v>
      </c>
      <c r="W104">
        <v>0.1</v>
      </c>
      <c r="X104">
        <v>-1</v>
      </c>
      <c r="Y104">
        <v>-1</v>
      </c>
      <c r="Z104">
        <v>-1</v>
      </c>
      <c r="AA104">
        <v>-1</v>
      </c>
      <c r="AB104">
        <v>-1</v>
      </c>
      <c r="AC104">
        <v>-1</v>
      </c>
      <c r="AD104">
        <v>-1</v>
      </c>
      <c r="AE104">
        <v>-1</v>
      </c>
      <c r="AF104">
        <v>2</v>
      </c>
      <c r="AG104">
        <v>5</v>
      </c>
      <c r="AH104">
        <v>10</v>
      </c>
      <c r="AI104">
        <v>-1</v>
      </c>
      <c r="AJ104">
        <v>-1</v>
      </c>
      <c r="AK104">
        <v>-1</v>
      </c>
      <c r="AL104">
        <v>-1</v>
      </c>
      <c r="AM104">
        <v>-1</v>
      </c>
      <c r="AN104">
        <v>-1</v>
      </c>
      <c r="AO104">
        <v>-1</v>
      </c>
      <c r="AP104">
        <v>-1</v>
      </c>
      <c r="AQ104">
        <v>0.5</v>
      </c>
      <c r="AR104" t="s">
        <v>0</v>
      </c>
      <c r="AS104">
        <v>5</v>
      </c>
      <c r="AT104">
        <v>5</v>
      </c>
      <c r="AU104">
        <v>5</v>
      </c>
      <c r="AV104">
        <v>0.5</v>
      </c>
      <c r="AW104">
        <v>0.4</v>
      </c>
      <c r="AX104">
        <v>0.1</v>
      </c>
      <c r="AY104">
        <v>1</v>
      </c>
      <c r="AZ104">
        <v>2</v>
      </c>
      <c r="BA104">
        <v>5</v>
      </c>
      <c r="BB104">
        <v>0</v>
      </c>
      <c r="BC104" t="s">
        <v>2</v>
      </c>
      <c r="BD104">
        <v>-1</v>
      </c>
      <c r="BE104">
        <v>-1</v>
      </c>
      <c r="BF104">
        <v>-1</v>
      </c>
      <c r="BG104">
        <v>-1</v>
      </c>
      <c r="BH104">
        <v>-1</v>
      </c>
      <c r="BI104">
        <v>-1</v>
      </c>
      <c r="BJ104">
        <v>-1</v>
      </c>
      <c r="BK104">
        <v>-1</v>
      </c>
      <c r="BL104">
        <v>-1</v>
      </c>
      <c r="BM104">
        <v>-1</v>
      </c>
      <c r="BN104">
        <v>-1</v>
      </c>
      <c r="BO104">
        <v>-1</v>
      </c>
    </row>
    <row r="105" spans="1:67" x14ac:dyDescent="0.25">
      <c r="A105">
        <v>102</v>
      </c>
      <c r="B105">
        <v>9204</v>
      </c>
      <c r="C105" t="str">
        <f>VLOOKUP(B105,[1]resources!$A$2:$D$300,3,FALSE)</f>
        <v>!!FOOD_COTTON_CANDY</v>
      </c>
      <c r="D105">
        <v>1</v>
      </c>
      <c r="E105" t="str">
        <f>VLOOKUP(D105,[1]bonus_paytable!$A$2:$D$300,3,FALSE)</f>
        <v>base</v>
      </c>
      <c r="F105">
        <v>-1</v>
      </c>
      <c r="G105">
        <v>-1</v>
      </c>
      <c r="H105">
        <v>0.5</v>
      </c>
      <c r="I105" t="s">
        <v>0</v>
      </c>
      <c r="J105">
        <v>3</v>
      </c>
      <c r="K105">
        <v>3</v>
      </c>
      <c r="L105">
        <v>3</v>
      </c>
      <c r="M105">
        <v>-1</v>
      </c>
      <c r="N105">
        <v>-1</v>
      </c>
      <c r="O105">
        <v>-1</v>
      </c>
      <c r="P105">
        <v>-1</v>
      </c>
      <c r="Q105">
        <v>-1</v>
      </c>
      <c r="R105">
        <v>-1</v>
      </c>
      <c r="S105">
        <v>-1</v>
      </c>
      <c r="T105">
        <v>-1</v>
      </c>
      <c r="U105">
        <v>0.5</v>
      </c>
      <c r="V105">
        <v>0.4</v>
      </c>
      <c r="W105">
        <v>0.1</v>
      </c>
      <c r="X105">
        <v>-1</v>
      </c>
      <c r="Y105">
        <v>-1</v>
      </c>
      <c r="Z105">
        <v>-1</v>
      </c>
      <c r="AA105">
        <v>-1</v>
      </c>
      <c r="AB105">
        <v>-1</v>
      </c>
      <c r="AC105">
        <v>-1</v>
      </c>
      <c r="AD105">
        <v>-1</v>
      </c>
      <c r="AE105">
        <v>-1</v>
      </c>
      <c r="AF105">
        <v>2</v>
      </c>
      <c r="AG105">
        <v>5</v>
      </c>
      <c r="AH105">
        <v>10</v>
      </c>
      <c r="AI105">
        <v>-1</v>
      </c>
      <c r="AJ105">
        <v>-1</v>
      </c>
      <c r="AK105">
        <v>-1</v>
      </c>
      <c r="AL105">
        <v>-1</v>
      </c>
      <c r="AM105">
        <v>-1</v>
      </c>
      <c r="AN105">
        <v>-1</v>
      </c>
      <c r="AO105">
        <v>-1</v>
      </c>
      <c r="AP105">
        <v>-1</v>
      </c>
      <c r="AQ105">
        <v>0.5</v>
      </c>
      <c r="AR105" t="s">
        <v>0</v>
      </c>
      <c r="AS105">
        <v>5</v>
      </c>
      <c r="AT105">
        <v>5</v>
      </c>
      <c r="AU105">
        <v>5</v>
      </c>
      <c r="AV105">
        <v>0.5</v>
      </c>
      <c r="AW105">
        <v>0.4</v>
      </c>
      <c r="AX105">
        <v>0.1</v>
      </c>
      <c r="AY105">
        <v>1</v>
      </c>
      <c r="AZ105">
        <v>2</v>
      </c>
      <c r="BA105">
        <v>5</v>
      </c>
      <c r="BB105">
        <v>0</v>
      </c>
      <c r="BC105" t="s">
        <v>2</v>
      </c>
      <c r="BD105">
        <v>-1</v>
      </c>
      <c r="BE105">
        <v>-1</v>
      </c>
      <c r="BF105">
        <v>-1</v>
      </c>
      <c r="BG105">
        <v>-1</v>
      </c>
      <c r="BH105">
        <v>-1</v>
      </c>
      <c r="BI105">
        <v>-1</v>
      </c>
      <c r="BJ105">
        <v>-1</v>
      </c>
      <c r="BK105">
        <v>-1</v>
      </c>
      <c r="BL105">
        <v>-1</v>
      </c>
      <c r="BM105">
        <v>-1</v>
      </c>
      <c r="BN105">
        <v>-1</v>
      </c>
      <c r="BO105">
        <v>-1</v>
      </c>
    </row>
    <row r="106" spans="1:67" x14ac:dyDescent="0.25">
      <c r="A106">
        <v>103</v>
      </c>
      <c r="B106">
        <v>9205</v>
      </c>
      <c r="C106" t="str">
        <f>VLOOKUP(B106,[1]resources!$A$2:$D$300,3,FALSE)</f>
        <v>!!FOOD_CANDY_HEART_ON_STICK</v>
      </c>
      <c r="D106">
        <v>1</v>
      </c>
      <c r="E106" t="str">
        <f>VLOOKUP(D106,[1]bonus_paytable!$A$2:$D$300,3,FALSE)</f>
        <v>base</v>
      </c>
      <c r="F106">
        <v>-1</v>
      </c>
      <c r="G106">
        <v>-1</v>
      </c>
      <c r="H106">
        <v>0.5</v>
      </c>
      <c r="I106" t="s">
        <v>0</v>
      </c>
      <c r="J106">
        <v>3</v>
      </c>
      <c r="K106">
        <v>3</v>
      </c>
      <c r="L106">
        <v>3</v>
      </c>
      <c r="M106">
        <v>-1</v>
      </c>
      <c r="N106">
        <v>-1</v>
      </c>
      <c r="O106">
        <v>-1</v>
      </c>
      <c r="P106">
        <v>-1</v>
      </c>
      <c r="Q106">
        <v>-1</v>
      </c>
      <c r="R106">
        <v>-1</v>
      </c>
      <c r="S106">
        <v>-1</v>
      </c>
      <c r="T106">
        <v>-1</v>
      </c>
      <c r="U106">
        <v>0.5</v>
      </c>
      <c r="V106">
        <v>0.4</v>
      </c>
      <c r="W106">
        <v>0.1</v>
      </c>
      <c r="X106">
        <v>-1</v>
      </c>
      <c r="Y106">
        <v>-1</v>
      </c>
      <c r="Z106">
        <v>-1</v>
      </c>
      <c r="AA106">
        <v>-1</v>
      </c>
      <c r="AB106">
        <v>-1</v>
      </c>
      <c r="AC106">
        <v>-1</v>
      </c>
      <c r="AD106">
        <v>-1</v>
      </c>
      <c r="AE106">
        <v>-1</v>
      </c>
      <c r="AF106">
        <v>2</v>
      </c>
      <c r="AG106">
        <v>5</v>
      </c>
      <c r="AH106">
        <v>10</v>
      </c>
      <c r="AI106">
        <v>-1</v>
      </c>
      <c r="AJ106">
        <v>-1</v>
      </c>
      <c r="AK106">
        <v>-1</v>
      </c>
      <c r="AL106">
        <v>-1</v>
      </c>
      <c r="AM106">
        <v>-1</v>
      </c>
      <c r="AN106">
        <v>-1</v>
      </c>
      <c r="AO106">
        <v>-1</v>
      </c>
      <c r="AP106">
        <v>-1</v>
      </c>
      <c r="AQ106">
        <v>0.5</v>
      </c>
      <c r="AR106" t="s">
        <v>0</v>
      </c>
      <c r="AS106">
        <v>5</v>
      </c>
      <c r="AT106">
        <v>5</v>
      </c>
      <c r="AU106">
        <v>5</v>
      </c>
      <c r="AV106">
        <v>0.5</v>
      </c>
      <c r="AW106">
        <v>0.4</v>
      </c>
      <c r="AX106">
        <v>0.1</v>
      </c>
      <c r="AY106">
        <v>1</v>
      </c>
      <c r="AZ106">
        <v>2</v>
      </c>
      <c r="BA106">
        <v>5</v>
      </c>
      <c r="BB106">
        <v>0</v>
      </c>
      <c r="BC106" t="s">
        <v>2</v>
      </c>
      <c r="BD106">
        <v>-1</v>
      </c>
      <c r="BE106">
        <v>-1</v>
      </c>
      <c r="BF106">
        <v>-1</v>
      </c>
      <c r="BG106">
        <v>-1</v>
      </c>
      <c r="BH106">
        <v>-1</v>
      </c>
      <c r="BI106">
        <v>-1</v>
      </c>
      <c r="BJ106">
        <v>-1</v>
      </c>
      <c r="BK106">
        <v>-1</v>
      </c>
      <c r="BL106">
        <v>-1</v>
      </c>
      <c r="BM106">
        <v>-1</v>
      </c>
      <c r="BN106">
        <v>-1</v>
      </c>
      <c r="BO106">
        <v>-1</v>
      </c>
    </row>
    <row r="107" spans="1:67" x14ac:dyDescent="0.25">
      <c r="A107">
        <v>104</v>
      </c>
      <c r="B107">
        <v>1</v>
      </c>
      <c r="C107" t="str">
        <f>VLOOKUP(B107,[1]resources!$A$2:$D$300,3,FALSE)</f>
        <v>!!FOOD_KRABBYPATTY</v>
      </c>
      <c r="D107">
        <v>2</v>
      </c>
      <c r="E107" t="str">
        <f>VLOOKUP(D107,[1]bonus_paytable!$A$2:$D$300,3,FALSE)</f>
        <v>mrkrabs</v>
      </c>
      <c r="F107">
        <v>-1</v>
      </c>
      <c r="G107">
        <v>-1</v>
      </c>
      <c r="H107">
        <v>1</v>
      </c>
      <c r="I107" t="s">
        <v>1</v>
      </c>
      <c r="J107">
        <v>28</v>
      </c>
      <c r="K107">
        <v>16</v>
      </c>
      <c r="L107">
        <v>32</v>
      </c>
      <c r="M107">
        <v>95</v>
      </c>
      <c r="N107">
        <v>96</v>
      </c>
      <c r="O107">
        <v>30002</v>
      </c>
      <c r="P107">
        <v>50005</v>
      </c>
      <c r="Q107">
        <v>80000</v>
      </c>
      <c r="R107">
        <v>-1</v>
      </c>
      <c r="S107">
        <v>-1</v>
      </c>
      <c r="T107">
        <v>-1</v>
      </c>
      <c r="U107">
        <v>0.01</v>
      </c>
      <c r="V107">
        <v>0.03</v>
      </c>
      <c r="W107">
        <v>0.03</v>
      </c>
      <c r="X107">
        <v>0.05</v>
      </c>
      <c r="Y107">
        <v>0.05</v>
      </c>
      <c r="Z107">
        <v>0.05</v>
      </c>
      <c r="AA107">
        <v>0.05</v>
      </c>
      <c r="AB107">
        <v>0.05</v>
      </c>
      <c r="AC107">
        <v>-1</v>
      </c>
      <c r="AD107">
        <v>-1</v>
      </c>
      <c r="AE107" s="2">
        <v>-1</v>
      </c>
      <c r="AF107">
        <f t="shared" ref="AF107:AF170" si="0">IF(J107&gt;-1,1,-1)</f>
        <v>1</v>
      </c>
      <c r="AG107">
        <f t="shared" ref="AG107:AG170" si="1">IF(K107&gt;-1,1,-1)</f>
        <v>1</v>
      </c>
      <c r="AH107">
        <f t="shared" ref="AH107:AH170" si="2">IF(L107&gt;-1,1,-1)</f>
        <v>1</v>
      </c>
      <c r="AI107">
        <f t="shared" ref="AI107:AI170" si="3">IF(M107&gt;-1,1,-1)</f>
        <v>1</v>
      </c>
      <c r="AJ107">
        <f t="shared" ref="AJ107:AJ170" si="4">IF(N107&gt;-1,1,-1)</f>
        <v>1</v>
      </c>
      <c r="AK107">
        <f t="shared" ref="AK107:AK170" si="5">IF(O107&gt;-1,1,-1)</f>
        <v>1</v>
      </c>
      <c r="AL107">
        <f t="shared" ref="AL107:AL170" si="6">IF(P107&gt;-1,1,-1)</f>
        <v>1</v>
      </c>
      <c r="AM107">
        <f t="shared" ref="AM107:AM170" si="7">IF(Q107&gt;-1,1,-1)</f>
        <v>1</v>
      </c>
      <c r="AN107">
        <f t="shared" ref="AN107:AN170" si="8">IF(R107&gt;-1,1,-1)</f>
        <v>-1</v>
      </c>
      <c r="AO107">
        <f t="shared" ref="AO107:AO170" si="9">IF(S107&gt;-1,1,-1)</f>
        <v>-1</v>
      </c>
      <c r="AP107">
        <f t="shared" ref="AP107:AP170" si="10">IF(T107&gt;-1,1,-1)</f>
        <v>-1</v>
      </c>
      <c r="AQ107">
        <v>0</v>
      </c>
      <c r="AR107" t="s">
        <v>2</v>
      </c>
      <c r="AS107">
        <v>-1</v>
      </c>
      <c r="AT107">
        <v>-1</v>
      </c>
      <c r="AU107">
        <v>-1</v>
      </c>
      <c r="AV107">
        <v>-1</v>
      </c>
      <c r="AW107">
        <v>-1</v>
      </c>
      <c r="AX107">
        <v>-1</v>
      </c>
      <c r="AY107">
        <v>-1</v>
      </c>
      <c r="AZ107">
        <v>-1</v>
      </c>
      <c r="BA107">
        <v>-1</v>
      </c>
      <c r="BB107">
        <v>0</v>
      </c>
      <c r="BC107" t="s">
        <v>2</v>
      </c>
      <c r="BD107">
        <v>-1</v>
      </c>
      <c r="BE107">
        <v>-1</v>
      </c>
      <c r="BF107">
        <v>-1</v>
      </c>
      <c r="BG107">
        <v>-1</v>
      </c>
      <c r="BH107">
        <v>-1</v>
      </c>
      <c r="BI107">
        <v>-1</v>
      </c>
      <c r="BJ107">
        <v>-1</v>
      </c>
      <c r="BK107">
        <v>-1</v>
      </c>
      <c r="BL107">
        <v>-1</v>
      </c>
      <c r="BM107">
        <v>-1</v>
      </c>
      <c r="BN107">
        <v>-1</v>
      </c>
      <c r="BO107">
        <v>-1</v>
      </c>
    </row>
    <row r="108" spans="1:67" x14ac:dyDescent="0.25">
      <c r="A108">
        <v>105</v>
      </c>
      <c r="B108">
        <v>46</v>
      </c>
      <c r="C108" t="str">
        <f>VLOOKUP(B108,[1]resources!$A$2:$D$300,3,FALSE)</f>
        <v>!!FOOD_SALAD</v>
      </c>
      <c r="D108">
        <v>2</v>
      </c>
      <c r="E108" t="str">
        <f>VLOOKUP(D108,[1]bonus_paytable!$A$2:$D$300,3,FALSE)</f>
        <v>mrkrabs</v>
      </c>
      <c r="F108">
        <v>-1</v>
      </c>
      <c r="G108">
        <v>-1</v>
      </c>
      <c r="H108">
        <v>1</v>
      </c>
      <c r="I108" t="s">
        <v>1</v>
      </c>
      <c r="J108">
        <v>28</v>
      </c>
      <c r="K108">
        <v>16</v>
      </c>
      <c r="L108">
        <v>32</v>
      </c>
      <c r="M108">
        <v>95</v>
      </c>
      <c r="N108">
        <v>96</v>
      </c>
      <c r="O108">
        <v>30002</v>
      </c>
      <c r="P108">
        <v>50005</v>
      </c>
      <c r="Q108">
        <v>80000</v>
      </c>
      <c r="R108">
        <v>-1</v>
      </c>
      <c r="S108">
        <v>-1</v>
      </c>
      <c r="T108">
        <v>-1</v>
      </c>
      <c r="U108">
        <v>0.01</v>
      </c>
      <c r="V108">
        <v>0.03</v>
      </c>
      <c r="W108">
        <v>0.03</v>
      </c>
      <c r="X108">
        <v>0.05</v>
      </c>
      <c r="Y108">
        <v>0.05</v>
      </c>
      <c r="Z108">
        <v>0.05</v>
      </c>
      <c r="AA108">
        <v>0.05</v>
      </c>
      <c r="AB108">
        <v>0.05</v>
      </c>
      <c r="AC108">
        <v>-1</v>
      </c>
      <c r="AD108">
        <v>-1</v>
      </c>
      <c r="AE108" s="2">
        <v>-1</v>
      </c>
      <c r="AF108">
        <f t="shared" si="0"/>
        <v>1</v>
      </c>
      <c r="AG108">
        <f t="shared" si="1"/>
        <v>1</v>
      </c>
      <c r="AH108">
        <f t="shared" si="2"/>
        <v>1</v>
      </c>
      <c r="AI108">
        <f t="shared" si="3"/>
        <v>1</v>
      </c>
      <c r="AJ108">
        <f t="shared" si="4"/>
        <v>1</v>
      </c>
      <c r="AK108">
        <f t="shared" si="5"/>
        <v>1</v>
      </c>
      <c r="AL108">
        <f t="shared" si="6"/>
        <v>1</v>
      </c>
      <c r="AM108">
        <f t="shared" si="7"/>
        <v>1</v>
      </c>
      <c r="AN108">
        <f t="shared" si="8"/>
        <v>-1</v>
      </c>
      <c r="AO108">
        <f t="shared" si="9"/>
        <v>-1</v>
      </c>
      <c r="AP108">
        <f t="shared" si="10"/>
        <v>-1</v>
      </c>
      <c r="AQ108">
        <v>0</v>
      </c>
      <c r="AR108" t="s">
        <v>2</v>
      </c>
      <c r="AS108">
        <v>-1</v>
      </c>
      <c r="AT108">
        <v>-1</v>
      </c>
      <c r="AU108">
        <v>-1</v>
      </c>
      <c r="AV108">
        <v>-1</v>
      </c>
      <c r="AW108">
        <v>-1</v>
      </c>
      <c r="AX108">
        <v>-1</v>
      </c>
      <c r="AY108">
        <v>-1</v>
      </c>
      <c r="AZ108">
        <v>-1</v>
      </c>
      <c r="BA108">
        <v>-1</v>
      </c>
      <c r="BB108">
        <v>0</v>
      </c>
      <c r="BC108" t="s">
        <v>2</v>
      </c>
      <c r="BD108">
        <v>-1</v>
      </c>
      <c r="BE108">
        <v>-1</v>
      </c>
      <c r="BF108">
        <v>-1</v>
      </c>
      <c r="BG108">
        <v>-1</v>
      </c>
      <c r="BH108">
        <v>-1</v>
      </c>
      <c r="BI108">
        <v>-1</v>
      </c>
      <c r="BJ108">
        <v>-1</v>
      </c>
      <c r="BK108">
        <v>-1</v>
      </c>
      <c r="BL108">
        <v>-1</v>
      </c>
      <c r="BM108">
        <v>-1</v>
      </c>
      <c r="BN108">
        <v>-1</v>
      </c>
      <c r="BO108">
        <v>-1</v>
      </c>
    </row>
    <row r="109" spans="1:67" x14ac:dyDescent="0.25">
      <c r="A109">
        <v>106</v>
      </c>
      <c r="B109">
        <v>28</v>
      </c>
      <c r="C109" t="str">
        <f>VLOOKUP(B109,[1]resources!$A$2:$D$300,3,FALSE)</f>
        <v>!!FOOD_BISQUE</v>
      </c>
      <c r="D109">
        <v>2</v>
      </c>
      <c r="E109" t="str">
        <f>VLOOKUP(D109,[1]bonus_paytable!$A$2:$D$300,3,FALSE)</f>
        <v>mrkrabs</v>
      </c>
      <c r="F109">
        <v>-1</v>
      </c>
      <c r="G109">
        <v>-1</v>
      </c>
      <c r="H109">
        <v>1</v>
      </c>
      <c r="I109" t="s">
        <v>1</v>
      </c>
      <c r="J109">
        <v>28</v>
      </c>
      <c r="K109">
        <v>16</v>
      </c>
      <c r="L109">
        <v>32</v>
      </c>
      <c r="M109">
        <v>95</v>
      </c>
      <c r="N109">
        <v>96</v>
      </c>
      <c r="O109">
        <v>30002</v>
      </c>
      <c r="P109">
        <v>50005</v>
      </c>
      <c r="Q109">
        <v>80000</v>
      </c>
      <c r="R109">
        <v>-1</v>
      </c>
      <c r="S109">
        <v>-1</v>
      </c>
      <c r="T109">
        <v>-1</v>
      </c>
      <c r="U109">
        <v>0.01</v>
      </c>
      <c r="V109">
        <v>0.03</v>
      </c>
      <c r="W109">
        <v>0.03</v>
      </c>
      <c r="X109">
        <v>0.05</v>
      </c>
      <c r="Y109">
        <v>0.05</v>
      </c>
      <c r="Z109">
        <v>0.05</v>
      </c>
      <c r="AA109">
        <v>0.05</v>
      </c>
      <c r="AB109">
        <v>0.05</v>
      </c>
      <c r="AC109">
        <v>-1</v>
      </c>
      <c r="AD109">
        <v>-1</v>
      </c>
      <c r="AE109" s="2">
        <v>-1</v>
      </c>
      <c r="AF109">
        <f t="shared" si="0"/>
        <v>1</v>
      </c>
      <c r="AG109">
        <f t="shared" si="1"/>
        <v>1</v>
      </c>
      <c r="AH109">
        <f t="shared" si="2"/>
        <v>1</v>
      </c>
      <c r="AI109">
        <f t="shared" si="3"/>
        <v>1</v>
      </c>
      <c r="AJ109">
        <f t="shared" si="4"/>
        <v>1</v>
      </c>
      <c r="AK109">
        <f t="shared" si="5"/>
        <v>1</v>
      </c>
      <c r="AL109">
        <f t="shared" si="6"/>
        <v>1</v>
      </c>
      <c r="AM109">
        <f t="shared" si="7"/>
        <v>1</v>
      </c>
      <c r="AN109">
        <f t="shared" si="8"/>
        <v>-1</v>
      </c>
      <c r="AO109">
        <f t="shared" si="9"/>
        <v>-1</v>
      </c>
      <c r="AP109">
        <f t="shared" si="10"/>
        <v>-1</v>
      </c>
      <c r="AQ109">
        <v>0</v>
      </c>
      <c r="AR109" t="s">
        <v>2</v>
      </c>
      <c r="AS109">
        <v>-1</v>
      </c>
      <c r="AT109">
        <v>-1</v>
      </c>
      <c r="AU109">
        <v>-1</v>
      </c>
      <c r="AV109">
        <v>-1</v>
      </c>
      <c r="AW109">
        <v>-1</v>
      </c>
      <c r="AX109">
        <v>-1</v>
      </c>
      <c r="AY109">
        <v>-1</v>
      </c>
      <c r="AZ109">
        <v>-1</v>
      </c>
      <c r="BA109">
        <v>-1</v>
      </c>
      <c r="BB109">
        <v>0</v>
      </c>
      <c r="BC109" t="s">
        <v>2</v>
      </c>
      <c r="BD109">
        <v>-1</v>
      </c>
      <c r="BE109">
        <v>-1</v>
      </c>
      <c r="BF109">
        <v>-1</v>
      </c>
      <c r="BG109">
        <v>-1</v>
      </c>
      <c r="BH109">
        <v>-1</v>
      </c>
      <c r="BI109">
        <v>-1</v>
      </c>
      <c r="BJ109">
        <v>-1</v>
      </c>
      <c r="BK109">
        <v>-1</v>
      </c>
      <c r="BL109">
        <v>-1</v>
      </c>
      <c r="BM109">
        <v>-1</v>
      </c>
      <c r="BN109">
        <v>-1</v>
      </c>
      <c r="BO109">
        <v>-1</v>
      </c>
    </row>
    <row r="110" spans="1:67" x14ac:dyDescent="0.25">
      <c r="A110">
        <v>107</v>
      </c>
      <c r="B110">
        <v>31</v>
      </c>
      <c r="C110" t="str">
        <f>VLOOKUP(B110,[1]resources!$A$2:$D$300,3,FALSE)</f>
        <v>!!FOOD_CAESAR_SALAD</v>
      </c>
      <c r="D110">
        <v>2</v>
      </c>
      <c r="E110" t="str">
        <f>VLOOKUP(D110,[1]bonus_paytable!$A$2:$D$300,3,FALSE)</f>
        <v>mrkrabs</v>
      </c>
      <c r="F110">
        <v>-1</v>
      </c>
      <c r="G110">
        <v>-1</v>
      </c>
      <c r="H110">
        <v>1</v>
      </c>
      <c r="I110" t="s">
        <v>1</v>
      </c>
      <c r="J110">
        <v>28</v>
      </c>
      <c r="K110">
        <v>16</v>
      </c>
      <c r="L110">
        <v>32</v>
      </c>
      <c r="M110">
        <v>95</v>
      </c>
      <c r="N110">
        <v>96</v>
      </c>
      <c r="O110">
        <v>30002</v>
      </c>
      <c r="P110">
        <v>50005</v>
      </c>
      <c r="Q110">
        <v>80000</v>
      </c>
      <c r="R110">
        <v>-1</v>
      </c>
      <c r="S110">
        <v>-1</v>
      </c>
      <c r="T110">
        <v>-1</v>
      </c>
      <c r="U110">
        <v>0.01</v>
      </c>
      <c r="V110">
        <v>0.03</v>
      </c>
      <c r="W110">
        <v>0.03</v>
      </c>
      <c r="X110">
        <v>0.05</v>
      </c>
      <c r="Y110">
        <v>0.05</v>
      </c>
      <c r="Z110">
        <v>0.05</v>
      </c>
      <c r="AA110">
        <v>0.05</v>
      </c>
      <c r="AB110">
        <v>0.05</v>
      </c>
      <c r="AC110">
        <v>-1</v>
      </c>
      <c r="AD110">
        <v>-1</v>
      </c>
      <c r="AE110" s="2">
        <v>-1</v>
      </c>
      <c r="AF110">
        <f t="shared" si="0"/>
        <v>1</v>
      </c>
      <c r="AG110">
        <f t="shared" si="1"/>
        <v>1</v>
      </c>
      <c r="AH110">
        <f t="shared" si="2"/>
        <v>1</v>
      </c>
      <c r="AI110">
        <f t="shared" si="3"/>
        <v>1</v>
      </c>
      <c r="AJ110">
        <f t="shared" si="4"/>
        <v>1</v>
      </c>
      <c r="AK110">
        <f t="shared" si="5"/>
        <v>1</v>
      </c>
      <c r="AL110">
        <f t="shared" si="6"/>
        <v>1</v>
      </c>
      <c r="AM110">
        <f t="shared" si="7"/>
        <v>1</v>
      </c>
      <c r="AN110">
        <f t="shared" si="8"/>
        <v>-1</v>
      </c>
      <c r="AO110">
        <f t="shared" si="9"/>
        <v>-1</v>
      </c>
      <c r="AP110">
        <f t="shared" si="10"/>
        <v>-1</v>
      </c>
      <c r="AQ110">
        <v>0</v>
      </c>
      <c r="AR110" t="s">
        <v>2</v>
      </c>
      <c r="AS110">
        <v>-1</v>
      </c>
      <c r="AT110">
        <v>-1</v>
      </c>
      <c r="AU110">
        <v>-1</v>
      </c>
      <c r="AV110">
        <v>-1</v>
      </c>
      <c r="AW110">
        <v>-1</v>
      </c>
      <c r="AX110">
        <v>-1</v>
      </c>
      <c r="AY110">
        <v>-1</v>
      </c>
      <c r="AZ110">
        <v>-1</v>
      </c>
      <c r="BA110">
        <v>-1</v>
      </c>
      <c r="BB110">
        <v>0</v>
      </c>
      <c r="BC110" t="s">
        <v>2</v>
      </c>
      <c r="BD110">
        <v>-1</v>
      </c>
      <c r="BE110">
        <v>-1</v>
      </c>
      <c r="BF110">
        <v>-1</v>
      </c>
      <c r="BG110">
        <v>-1</v>
      </c>
      <c r="BH110">
        <v>-1</v>
      </c>
      <c r="BI110">
        <v>-1</v>
      </c>
      <c r="BJ110">
        <v>-1</v>
      </c>
      <c r="BK110">
        <v>-1</v>
      </c>
      <c r="BL110">
        <v>-1</v>
      </c>
      <c r="BM110">
        <v>-1</v>
      </c>
      <c r="BN110">
        <v>-1</v>
      </c>
      <c r="BO110">
        <v>-1</v>
      </c>
    </row>
    <row r="111" spans="1:67" x14ac:dyDescent="0.25">
      <c r="A111">
        <v>108</v>
      </c>
      <c r="B111">
        <v>32</v>
      </c>
      <c r="C111" t="str">
        <f>VLOOKUP(B111,[1]resources!$A$2:$D$300,3,FALSE)</f>
        <v>!!FOOD_JELLYPATTY</v>
      </c>
      <c r="D111">
        <v>2</v>
      </c>
      <c r="E111" t="str">
        <f>VLOOKUP(D111,[1]bonus_paytable!$A$2:$D$300,3,FALSE)</f>
        <v>mrkrabs</v>
      </c>
      <c r="F111">
        <v>-1</v>
      </c>
      <c r="G111">
        <v>-1</v>
      </c>
      <c r="H111">
        <v>1</v>
      </c>
      <c r="I111" t="s">
        <v>1</v>
      </c>
      <c r="J111">
        <v>28</v>
      </c>
      <c r="K111">
        <v>16</v>
      </c>
      <c r="L111">
        <v>32</v>
      </c>
      <c r="M111">
        <v>95</v>
      </c>
      <c r="N111">
        <v>96</v>
      </c>
      <c r="O111">
        <v>30002</v>
      </c>
      <c r="P111">
        <v>50005</v>
      </c>
      <c r="Q111">
        <v>80000</v>
      </c>
      <c r="R111">
        <v>-1</v>
      </c>
      <c r="S111">
        <v>-1</v>
      </c>
      <c r="T111">
        <v>-1</v>
      </c>
      <c r="U111">
        <v>0.01</v>
      </c>
      <c r="V111">
        <v>0.03</v>
      </c>
      <c r="W111">
        <v>0.03</v>
      </c>
      <c r="X111">
        <v>0.05</v>
      </c>
      <c r="Y111">
        <v>0.05</v>
      </c>
      <c r="Z111">
        <v>0.05</v>
      </c>
      <c r="AA111">
        <v>0.05</v>
      </c>
      <c r="AB111">
        <v>0.05</v>
      </c>
      <c r="AC111">
        <v>-1</v>
      </c>
      <c r="AD111">
        <v>-1</v>
      </c>
      <c r="AE111" s="2">
        <v>-1</v>
      </c>
      <c r="AF111">
        <f t="shared" si="0"/>
        <v>1</v>
      </c>
      <c r="AG111">
        <f t="shared" si="1"/>
        <v>1</v>
      </c>
      <c r="AH111">
        <f t="shared" si="2"/>
        <v>1</v>
      </c>
      <c r="AI111">
        <f t="shared" si="3"/>
        <v>1</v>
      </c>
      <c r="AJ111">
        <f t="shared" si="4"/>
        <v>1</v>
      </c>
      <c r="AK111">
        <f t="shared" si="5"/>
        <v>1</v>
      </c>
      <c r="AL111">
        <f t="shared" si="6"/>
        <v>1</v>
      </c>
      <c r="AM111">
        <f t="shared" si="7"/>
        <v>1</v>
      </c>
      <c r="AN111">
        <f t="shared" si="8"/>
        <v>-1</v>
      </c>
      <c r="AO111">
        <f t="shared" si="9"/>
        <v>-1</v>
      </c>
      <c r="AP111">
        <f t="shared" si="10"/>
        <v>-1</v>
      </c>
      <c r="AQ111">
        <v>0</v>
      </c>
      <c r="AR111" t="s">
        <v>2</v>
      </c>
      <c r="AS111">
        <v>-1</v>
      </c>
      <c r="AT111">
        <v>-1</v>
      </c>
      <c r="AU111">
        <v>-1</v>
      </c>
      <c r="AV111">
        <v>-1</v>
      </c>
      <c r="AW111">
        <v>-1</v>
      </c>
      <c r="AX111">
        <v>-1</v>
      </c>
      <c r="AY111">
        <v>-1</v>
      </c>
      <c r="AZ111">
        <v>-1</v>
      </c>
      <c r="BA111">
        <v>-1</v>
      </c>
      <c r="BB111">
        <v>0</v>
      </c>
      <c r="BC111" t="s">
        <v>2</v>
      </c>
      <c r="BD111">
        <v>-1</v>
      </c>
      <c r="BE111">
        <v>-1</v>
      </c>
      <c r="BF111">
        <v>-1</v>
      </c>
      <c r="BG111">
        <v>-1</v>
      </c>
      <c r="BH111">
        <v>-1</v>
      </c>
      <c r="BI111">
        <v>-1</v>
      </c>
      <c r="BJ111">
        <v>-1</v>
      </c>
      <c r="BK111">
        <v>-1</v>
      </c>
      <c r="BL111">
        <v>-1</v>
      </c>
      <c r="BM111">
        <v>-1</v>
      </c>
      <c r="BN111">
        <v>-1</v>
      </c>
      <c r="BO111">
        <v>-1</v>
      </c>
    </row>
    <row r="112" spans="1:67" x14ac:dyDescent="0.25">
      <c r="A112">
        <v>109</v>
      </c>
      <c r="B112">
        <v>96</v>
      </c>
      <c r="C112" t="str">
        <f>VLOOKUP(B112,[1]resources!$A$2:$D$300,3,FALSE)</f>
        <v>!!FOOD_JELLIEDTOAST</v>
      </c>
      <c r="D112">
        <v>2</v>
      </c>
      <c r="E112" t="str">
        <f>VLOOKUP(D112,[1]bonus_paytable!$A$2:$D$300,3,FALSE)</f>
        <v>mrkrabs</v>
      </c>
      <c r="F112">
        <v>-1</v>
      </c>
      <c r="G112">
        <v>-1</v>
      </c>
      <c r="H112">
        <v>1</v>
      </c>
      <c r="I112" t="s">
        <v>1</v>
      </c>
      <c r="J112">
        <v>28</v>
      </c>
      <c r="K112">
        <v>16</v>
      </c>
      <c r="L112">
        <v>32</v>
      </c>
      <c r="M112">
        <v>95</v>
      </c>
      <c r="N112">
        <v>96</v>
      </c>
      <c r="O112">
        <v>30002</v>
      </c>
      <c r="P112">
        <v>50005</v>
      </c>
      <c r="Q112">
        <v>80000</v>
      </c>
      <c r="R112">
        <v>-1</v>
      </c>
      <c r="S112">
        <v>-1</v>
      </c>
      <c r="T112">
        <v>-1</v>
      </c>
      <c r="U112">
        <v>0.01</v>
      </c>
      <c r="V112">
        <v>0.03</v>
      </c>
      <c r="W112">
        <v>0.03</v>
      </c>
      <c r="X112">
        <v>0.05</v>
      </c>
      <c r="Y112">
        <v>0.05</v>
      </c>
      <c r="Z112">
        <v>0.05</v>
      </c>
      <c r="AA112">
        <v>0.05</v>
      </c>
      <c r="AB112">
        <v>0.05</v>
      </c>
      <c r="AC112">
        <v>-1</v>
      </c>
      <c r="AD112">
        <v>-1</v>
      </c>
      <c r="AE112" s="2">
        <v>-1</v>
      </c>
      <c r="AF112">
        <f t="shared" si="0"/>
        <v>1</v>
      </c>
      <c r="AG112">
        <f t="shared" si="1"/>
        <v>1</v>
      </c>
      <c r="AH112">
        <f t="shared" si="2"/>
        <v>1</v>
      </c>
      <c r="AI112">
        <f t="shared" si="3"/>
        <v>1</v>
      </c>
      <c r="AJ112">
        <f t="shared" si="4"/>
        <v>1</v>
      </c>
      <c r="AK112">
        <f t="shared" si="5"/>
        <v>1</v>
      </c>
      <c r="AL112">
        <f t="shared" si="6"/>
        <v>1</v>
      </c>
      <c r="AM112">
        <f t="shared" si="7"/>
        <v>1</v>
      </c>
      <c r="AN112">
        <f t="shared" si="8"/>
        <v>-1</v>
      </c>
      <c r="AO112">
        <f t="shared" si="9"/>
        <v>-1</v>
      </c>
      <c r="AP112">
        <f t="shared" si="10"/>
        <v>-1</v>
      </c>
      <c r="AQ112">
        <v>0</v>
      </c>
      <c r="AR112" t="s">
        <v>2</v>
      </c>
      <c r="AS112">
        <v>-1</v>
      </c>
      <c r="AT112">
        <v>-1</v>
      </c>
      <c r="AU112">
        <v>-1</v>
      </c>
      <c r="AV112">
        <v>-1</v>
      </c>
      <c r="AW112">
        <v>-1</v>
      </c>
      <c r="AX112">
        <v>-1</v>
      </c>
      <c r="AY112">
        <v>-1</v>
      </c>
      <c r="AZ112">
        <v>-1</v>
      </c>
      <c r="BA112">
        <v>-1</v>
      </c>
      <c r="BB112">
        <v>0</v>
      </c>
      <c r="BC112" t="s">
        <v>2</v>
      </c>
      <c r="BD112">
        <v>-1</v>
      </c>
      <c r="BE112">
        <v>-1</v>
      </c>
      <c r="BF112">
        <v>-1</v>
      </c>
      <c r="BG112">
        <v>-1</v>
      </c>
      <c r="BH112">
        <v>-1</v>
      </c>
      <c r="BI112">
        <v>-1</v>
      </c>
      <c r="BJ112">
        <v>-1</v>
      </c>
      <c r="BK112">
        <v>-1</v>
      </c>
      <c r="BL112">
        <v>-1</v>
      </c>
      <c r="BM112">
        <v>-1</v>
      </c>
      <c r="BN112">
        <v>-1</v>
      </c>
      <c r="BO112">
        <v>-1</v>
      </c>
    </row>
    <row r="113" spans="1:67" x14ac:dyDescent="0.25">
      <c r="A113">
        <v>110</v>
      </c>
      <c r="B113">
        <v>80002</v>
      </c>
      <c r="C113" t="str">
        <f>VLOOKUP(B113,[1]resources!$A$2:$D$300,3,FALSE)</f>
        <v>!!FOOD_BAKED_COCONUTCOBBLER</v>
      </c>
      <c r="D113">
        <v>2</v>
      </c>
      <c r="E113" t="str">
        <f>VLOOKUP(D113,[1]bonus_paytable!$A$2:$D$300,3,FALSE)</f>
        <v>mrkrabs</v>
      </c>
      <c r="F113">
        <v>-1</v>
      </c>
      <c r="G113">
        <v>-1</v>
      </c>
      <c r="H113">
        <v>1</v>
      </c>
      <c r="I113" t="s">
        <v>1</v>
      </c>
      <c r="J113">
        <v>28</v>
      </c>
      <c r="K113">
        <v>16</v>
      </c>
      <c r="L113">
        <v>32</v>
      </c>
      <c r="M113">
        <v>95</v>
      </c>
      <c r="N113">
        <v>96</v>
      </c>
      <c r="O113">
        <v>30002</v>
      </c>
      <c r="P113">
        <v>50005</v>
      </c>
      <c r="Q113">
        <v>80000</v>
      </c>
      <c r="R113">
        <v>-1</v>
      </c>
      <c r="S113">
        <v>-1</v>
      </c>
      <c r="T113">
        <v>-1</v>
      </c>
      <c r="U113">
        <v>0.01</v>
      </c>
      <c r="V113">
        <v>0.03</v>
      </c>
      <c r="W113">
        <v>0.03</v>
      </c>
      <c r="X113">
        <v>0.05</v>
      </c>
      <c r="Y113">
        <v>0.05</v>
      </c>
      <c r="Z113">
        <v>0.05</v>
      </c>
      <c r="AA113">
        <v>0.05</v>
      </c>
      <c r="AB113">
        <v>0.05</v>
      </c>
      <c r="AC113">
        <v>-1</v>
      </c>
      <c r="AD113">
        <v>-1</v>
      </c>
      <c r="AE113" s="2">
        <v>-1</v>
      </c>
      <c r="AF113">
        <f t="shared" si="0"/>
        <v>1</v>
      </c>
      <c r="AG113">
        <f t="shared" si="1"/>
        <v>1</v>
      </c>
      <c r="AH113">
        <f t="shared" si="2"/>
        <v>1</v>
      </c>
      <c r="AI113">
        <f t="shared" si="3"/>
        <v>1</v>
      </c>
      <c r="AJ113">
        <f t="shared" si="4"/>
        <v>1</v>
      </c>
      <c r="AK113">
        <f t="shared" si="5"/>
        <v>1</v>
      </c>
      <c r="AL113">
        <f t="shared" si="6"/>
        <v>1</v>
      </c>
      <c r="AM113">
        <f t="shared" si="7"/>
        <v>1</v>
      </c>
      <c r="AN113">
        <f t="shared" si="8"/>
        <v>-1</v>
      </c>
      <c r="AO113">
        <f t="shared" si="9"/>
        <v>-1</v>
      </c>
      <c r="AP113">
        <f t="shared" si="10"/>
        <v>-1</v>
      </c>
      <c r="AQ113">
        <v>0</v>
      </c>
      <c r="AR113" t="s">
        <v>2</v>
      </c>
      <c r="AS113">
        <v>-1</v>
      </c>
      <c r="AT113">
        <v>-1</v>
      </c>
      <c r="AU113">
        <v>-1</v>
      </c>
      <c r="AV113">
        <v>-1</v>
      </c>
      <c r="AW113">
        <v>-1</v>
      </c>
      <c r="AX113">
        <v>-1</v>
      </c>
      <c r="AY113">
        <v>-1</v>
      </c>
      <c r="AZ113">
        <v>-1</v>
      </c>
      <c r="BA113">
        <v>-1</v>
      </c>
      <c r="BB113">
        <v>0</v>
      </c>
      <c r="BC113" t="s">
        <v>2</v>
      </c>
      <c r="BD113">
        <v>-1</v>
      </c>
      <c r="BE113">
        <v>-1</v>
      </c>
      <c r="BF113">
        <v>-1</v>
      </c>
      <c r="BG113">
        <v>-1</v>
      </c>
      <c r="BH113">
        <v>-1</v>
      </c>
      <c r="BI113">
        <v>-1</v>
      </c>
      <c r="BJ113">
        <v>-1</v>
      </c>
      <c r="BK113">
        <v>-1</v>
      </c>
      <c r="BL113">
        <v>-1</v>
      </c>
      <c r="BM113">
        <v>-1</v>
      </c>
      <c r="BN113">
        <v>-1</v>
      </c>
      <c r="BO113">
        <v>-1</v>
      </c>
    </row>
    <row r="114" spans="1:67" x14ac:dyDescent="0.25">
      <c r="A114">
        <v>111</v>
      </c>
      <c r="B114">
        <v>50002</v>
      </c>
      <c r="C114" t="str">
        <f>VLOOKUP(B114,[1]resources!$A$2:$D$300,3,FALSE)</f>
        <v>!!SHAKE_CORAL_CRUSH</v>
      </c>
      <c r="D114">
        <v>2</v>
      </c>
      <c r="E114" t="str">
        <f>VLOOKUP(D114,[1]bonus_paytable!$A$2:$D$300,3,FALSE)</f>
        <v>mrkrabs</v>
      </c>
      <c r="F114">
        <v>-1</v>
      </c>
      <c r="G114">
        <v>-1</v>
      </c>
      <c r="H114">
        <v>1</v>
      </c>
      <c r="I114" t="s">
        <v>1</v>
      </c>
      <c r="J114">
        <v>28</v>
      </c>
      <c r="K114">
        <v>16</v>
      </c>
      <c r="L114">
        <v>32</v>
      </c>
      <c r="M114">
        <v>95</v>
      </c>
      <c r="N114">
        <v>96</v>
      </c>
      <c r="O114">
        <v>30002</v>
      </c>
      <c r="P114">
        <v>50005</v>
      </c>
      <c r="Q114">
        <v>80000</v>
      </c>
      <c r="R114">
        <v>-1</v>
      </c>
      <c r="S114">
        <v>-1</v>
      </c>
      <c r="T114">
        <v>-1</v>
      </c>
      <c r="U114">
        <v>0.01</v>
      </c>
      <c r="V114">
        <v>0.03</v>
      </c>
      <c r="W114">
        <v>0.03</v>
      </c>
      <c r="X114">
        <v>0.05</v>
      </c>
      <c r="Y114">
        <v>0.05</v>
      </c>
      <c r="Z114">
        <v>0.05</v>
      </c>
      <c r="AA114">
        <v>0.05</v>
      </c>
      <c r="AB114">
        <v>0.05</v>
      </c>
      <c r="AC114">
        <v>-1</v>
      </c>
      <c r="AD114">
        <v>-1</v>
      </c>
      <c r="AE114" s="2">
        <v>-1</v>
      </c>
      <c r="AF114">
        <f t="shared" si="0"/>
        <v>1</v>
      </c>
      <c r="AG114">
        <f t="shared" si="1"/>
        <v>1</v>
      </c>
      <c r="AH114">
        <f t="shared" si="2"/>
        <v>1</v>
      </c>
      <c r="AI114">
        <f t="shared" si="3"/>
        <v>1</v>
      </c>
      <c r="AJ114">
        <f t="shared" si="4"/>
        <v>1</v>
      </c>
      <c r="AK114">
        <f t="shared" si="5"/>
        <v>1</v>
      </c>
      <c r="AL114">
        <f t="shared" si="6"/>
        <v>1</v>
      </c>
      <c r="AM114">
        <f t="shared" si="7"/>
        <v>1</v>
      </c>
      <c r="AN114">
        <f t="shared" si="8"/>
        <v>-1</v>
      </c>
      <c r="AO114">
        <f t="shared" si="9"/>
        <v>-1</v>
      </c>
      <c r="AP114">
        <f t="shared" si="10"/>
        <v>-1</v>
      </c>
      <c r="AQ114">
        <v>0</v>
      </c>
      <c r="AR114" t="s">
        <v>2</v>
      </c>
      <c r="AS114">
        <v>-1</v>
      </c>
      <c r="AT114">
        <v>-1</v>
      </c>
      <c r="AU114">
        <v>-1</v>
      </c>
      <c r="AV114">
        <v>-1</v>
      </c>
      <c r="AW114">
        <v>-1</v>
      </c>
      <c r="AX114">
        <v>-1</v>
      </c>
      <c r="AY114">
        <v>-1</v>
      </c>
      <c r="AZ114">
        <v>-1</v>
      </c>
      <c r="BA114">
        <v>-1</v>
      </c>
      <c r="BB114">
        <v>0</v>
      </c>
      <c r="BC114" t="s">
        <v>2</v>
      </c>
      <c r="BD114">
        <v>-1</v>
      </c>
      <c r="BE114">
        <v>-1</v>
      </c>
      <c r="BF114">
        <v>-1</v>
      </c>
      <c r="BG114">
        <v>-1</v>
      </c>
      <c r="BH114">
        <v>-1</v>
      </c>
      <c r="BI114">
        <v>-1</v>
      </c>
      <c r="BJ114">
        <v>-1</v>
      </c>
      <c r="BK114">
        <v>-1</v>
      </c>
      <c r="BL114">
        <v>-1</v>
      </c>
      <c r="BM114">
        <v>-1</v>
      </c>
      <c r="BN114">
        <v>-1</v>
      </c>
      <c r="BO114">
        <v>-1</v>
      </c>
    </row>
    <row r="115" spans="1:67" x14ac:dyDescent="0.25">
      <c r="A115">
        <v>112</v>
      </c>
      <c r="B115">
        <v>30004</v>
      </c>
      <c r="C115" t="str">
        <f>VLOOKUP(B115,[1]resources!$A$2:$D$300,3,FALSE)</f>
        <v>!!SMOOTHIE_CITRUS_SLURVEY</v>
      </c>
      <c r="D115">
        <v>2</v>
      </c>
      <c r="E115" t="str">
        <f>VLOOKUP(D115,[1]bonus_paytable!$A$2:$D$300,3,FALSE)</f>
        <v>mrkrabs</v>
      </c>
      <c r="F115">
        <v>-1</v>
      </c>
      <c r="G115">
        <v>-1</v>
      </c>
      <c r="H115">
        <v>1</v>
      </c>
      <c r="I115" t="s">
        <v>1</v>
      </c>
      <c r="J115">
        <v>28</v>
      </c>
      <c r="K115">
        <v>16</v>
      </c>
      <c r="L115">
        <v>32</v>
      </c>
      <c r="M115">
        <v>95</v>
      </c>
      <c r="N115">
        <v>96</v>
      </c>
      <c r="O115">
        <v>30002</v>
      </c>
      <c r="P115">
        <v>50005</v>
      </c>
      <c r="Q115">
        <v>80000</v>
      </c>
      <c r="R115">
        <v>-1</v>
      </c>
      <c r="S115">
        <v>-1</v>
      </c>
      <c r="T115">
        <v>-1</v>
      </c>
      <c r="U115">
        <v>0.01</v>
      </c>
      <c r="V115">
        <v>0.03</v>
      </c>
      <c r="W115">
        <v>0.03</v>
      </c>
      <c r="X115">
        <v>0.05</v>
      </c>
      <c r="Y115">
        <v>0.05</v>
      </c>
      <c r="Z115">
        <v>0.05</v>
      </c>
      <c r="AA115">
        <v>0.05</v>
      </c>
      <c r="AB115">
        <v>0.05</v>
      </c>
      <c r="AC115">
        <v>-1</v>
      </c>
      <c r="AD115">
        <v>-1</v>
      </c>
      <c r="AE115" s="2">
        <v>-1</v>
      </c>
      <c r="AF115">
        <f t="shared" si="0"/>
        <v>1</v>
      </c>
      <c r="AG115">
        <f t="shared" si="1"/>
        <v>1</v>
      </c>
      <c r="AH115">
        <f t="shared" si="2"/>
        <v>1</v>
      </c>
      <c r="AI115">
        <f t="shared" si="3"/>
        <v>1</v>
      </c>
      <c r="AJ115">
        <f t="shared" si="4"/>
        <v>1</v>
      </c>
      <c r="AK115">
        <f t="shared" si="5"/>
        <v>1</v>
      </c>
      <c r="AL115">
        <f t="shared" si="6"/>
        <v>1</v>
      </c>
      <c r="AM115">
        <f t="shared" si="7"/>
        <v>1</v>
      </c>
      <c r="AN115">
        <f t="shared" si="8"/>
        <v>-1</v>
      </c>
      <c r="AO115">
        <f t="shared" si="9"/>
        <v>-1</v>
      </c>
      <c r="AP115">
        <f t="shared" si="10"/>
        <v>-1</v>
      </c>
      <c r="AQ115">
        <v>0</v>
      </c>
      <c r="AR115" t="s">
        <v>2</v>
      </c>
      <c r="AS115">
        <v>-1</v>
      </c>
      <c r="AT115">
        <v>-1</v>
      </c>
      <c r="AU115">
        <v>-1</v>
      </c>
      <c r="AV115">
        <v>-1</v>
      </c>
      <c r="AW115">
        <v>-1</v>
      </c>
      <c r="AX115">
        <v>-1</v>
      </c>
      <c r="AY115">
        <v>-1</v>
      </c>
      <c r="AZ115">
        <v>-1</v>
      </c>
      <c r="BA115">
        <v>-1</v>
      </c>
      <c r="BB115">
        <v>0</v>
      </c>
      <c r="BC115" t="s">
        <v>2</v>
      </c>
      <c r="BD115">
        <v>-1</v>
      </c>
      <c r="BE115">
        <v>-1</v>
      </c>
      <c r="BF115">
        <v>-1</v>
      </c>
      <c r="BG115">
        <v>-1</v>
      </c>
      <c r="BH115">
        <v>-1</v>
      </c>
      <c r="BI115">
        <v>-1</v>
      </c>
      <c r="BJ115">
        <v>-1</v>
      </c>
      <c r="BK115">
        <v>-1</v>
      </c>
      <c r="BL115">
        <v>-1</v>
      </c>
      <c r="BM115">
        <v>-1</v>
      </c>
      <c r="BN115">
        <v>-1</v>
      </c>
      <c r="BO115">
        <v>-1</v>
      </c>
    </row>
    <row r="116" spans="1:67" x14ac:dyDescent="0.25">
      <c r="A116">
        <v>113</v>
      </c>
      <c r="B116">
        <v>80006</v>
      </c>
      <c r="C116" t="str">
        <f>VLOOKUP(B116,[1]resources!$A$2:$D$300,3,FALSE)</f>
        <v>!!FOOD_BAKED_FERRYCHERRYCHEESECAKE</v>
      </c>
      <c r="D116">
        <v>2</v>
      </c>
      <c r="E116" t="str">
        <f>VLOOKUP(D116,[1]bonus_paytable!$A$2:$D$300,3,FALSE)</f>
        <v>mrkrabs</v>
      </c>
      <c r="F116">
        <v>-1</v>
      </c>
      <c r="G116">
        <v>-1</v>
      </c>
      <c r="H116">
        <v>1</v>
      </c>
      <c r="I116" t="s">
        <v>1</v>
      </c>
      <c r="J116">
        <v>28</v>
      </c>
      <c r="K116">
        <v>16</v>
      </c>
      <c r="L116">
        <v>32</v>
      </c>
      <c r="M116">
        <v>95</v>
      </c>
      <c r="N116">
        <v>96</v>
      </c>
      <c r="O116">
        <v>30002</v>
      </c>
      <c r="P116">
        <v>50005</v>
      </c>
      <c r="Q116">
        <v>80000</v>
      </c>
      <c r="R116">
        <v>-1</v>
      </c>
      <c r="S116">
        <v>-1</v>
      </c>
      <c r="T116">
        <v>-1</v>
      </c>
      <c r="U116">
        <v>0.01</v>
      </c>
      <c r="V116">
        <v>0.03</v>
      </c>
      <c r="W116">
        <v>0.03</v>
      </c>
      <c r="X116">
        <v>0.05</v>
      </c>
      <c r="Y116">
        <v>0.05</v>
      </c>
      <c r="Z116">
        <v>0.05</v>
      </c>
      <c r="AA116">
        <v>0.05</v>
      </c>
      <c r="AB116">
        <v>0.05</v>
      </c>
      <c r="AC116">
        <v>-1</v>
      </c>
      <c r="AD116">
        <v>-1</v>
      </c>
      <c r="AE116" s="2">
        <v>-1</v>
      </c>
      <c r="AF116">
        <f t="shared" si="0"/>
        <v>1</v>
      </c>
      <c r="AG116">
        <f t="shared" si="1"/>
        <v>1</v>
      </c>
      <c r="AH116">
        <f t="shared" si="2"/>
        <v>1</v>
      </c>
      <c r="AI116">
        <f t="shared" si="3"/>
        <v>1</v>
      </c>
      <c r="AJ116">
        <f t="shared" si="4"/>
        <v>1</v>
      </c>
      <c r="AK116">
        <f t="shared" si="5"/>
        <v>1</v>
      </c>
      <c r="AL116">
        <f t="shared" si="6"/>
        <v>1</v>
      </c>
      <c r="AM116">
        <f t="shared" si="7"/>
        <v>1</v>
      </c>
      <c r="AN116">
        <f t="shared" si="8"/>
        <v>-1</v>
      </c>
      <c r="AO116">
        <f t="shared" si="9"/>
        <v>-1</v>
      </c>
      <c r="AP116">
        <f t="shared" si="10"/>
        <v>-1</v>
      </c>
      <c r="AQ116">
        <v>0</v>
      </c>
      <c r="AR116" t="s">
        <v>2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0</v>
      </c>
      <c r="BC116" t="s">
        <v>2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</row>
    <row r="117" spans="1:67" x14ac:dyDescent="0.25">
      <c r="A117">
        <v>114</v>
      </c>
      <c r="B117">
        <v>40007</v>
      </c>
      <c r="C117" t="str">
        <f>VLOOKUP(B117,[1]resources!$A$2:$D$300,3,FALSE)</f>
        <v>!!ICECREAM_STRAWBERRY</v>
      </c>
      <c r="D117">
        <v>2</v>
      </c>
      <c r="E117" t="str">
        <f>VLOOKUP(D117,[1]bonus_paytable!$A$2:$D$300,3,FALSE)</f>
        <v>mrkrabs</v>
      </c>
      <c r="F117">
        <v>-1</v>
      </c>
      <c r="G117">
        <v>-1</v>
      </c>
      <c r="H117">
        <v>1</v>
      </c>
      <c r="I117" t="s">
        <v>1</v>
      </c>
      <c r="J117">
        <v>28</v>
      </c>
      <c r="K117">
        <v>16</v>
      </c>
      <c r="L117">
        <v>32</v>
      </c>
      <c r="M117">
        <v>95</v>
      </c>
      <c r="N117">
        <v>96</v>
      </c>
      <c r="O117">
        <v>30002</v>
      </c>
      <c r="P117">
        <v>50005</v>
      </c>
      <c r="Q117">
        <v>80000</v>
      </c>
      <c r="R117">
        <v>-1</v>
      </c>
      <c r="S117">
        <v>-1</v>
      </c>
      <c r="T117">
        <v>-1</v>
      </c>
      <c r="U117">
        <v>0.01</v>
      </c>
      <c r="V117">
        <v>0.03</v>
      </c>
      <c r="W117">
        <v>0.03</v>
      </c>
      <c r="X117">
        <v>0.05</v>
      </c>
      <c r="Y117">
        <v>0.05</v>
      </c>
      <c r="Z117">
        <v>0.05</v>
      </c>
      <c r="AA117">
        <v>0.05</v>
      </c>
      <c r="AB117">
        <v>0.05</v>
      </c>
      <c r="AC117">
        <v>-1</v>
      </c>
      <c r="AD117">
        <v>-1</v>
      </c>
      <c r="AE117" s="2">
        <v>-1</v>
      </c>
      <c r="AF117">
        <f t="shared" si="0"/>
        <v>1</v>
      </c>
      <c r="AG117">
        <f t="shared" si="1"/>
        <v>1</v>
      </c>
      <c r="AH117">
        <f t="shared" si="2"/>
        <v>1</v>
      </c>
      <c r="AI117">
        <f t="shared" si="3"/>
        <v>1</v>
      </c>
      <c r="AJ117">
        <f t="shared" si="4"/>
        <v>1</v>
      </c>
      <c r="AK117">
        <f t="shared" si="5"/>
        <v>1</v>
      </c>
      <c r="AL117">
        <f t="shared" si="6"/>
        <v>1</v>
      </c>
      <c r="AM117">
        <f t="shared" si="7"/>
        <v>1</v>
      </c>
      <c r="AN117">
        <f t="shared" si="8"/>
        <v>-1</v>
      </c>
      <c r="AO117">
        <f t="shared" si="9"/>
        <v>-1</v>
      </c>
      <c r="AP117">
        <f t="shared" si="10"/>
        <v>-1</v>
      </c>
      <c r="AQ117">
        <v>0</v>
      </c>
      <c r="AR117" t="s">
        <v>2</v>
      </c>
      <c r="AS117">
        <v>-1</v>
      </c>
      <c r="AT117">
        <v>-1</v>
      </c>
      <c r="AU117">
        <v>-1</v>
      </c>
      <c r="AV117">
        <v>-1</v>
      </c>
      <c r="AW117">
        <v>-1</v>
      </c>
      <c r="AX117">
        <v>-1</v>
      </c>
      <c r="AY117">
        <v>-1</v>
      </c>
      <c r="AZ117">
        <v>-1</v>
      </c>
      <c r="BA117">
        <v>-1</v>
      </c>
      <c r="BB117">
        <v>0</v>
      </c>
      <c r="BC117" t="s">
        <v>2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</row>
    <row r="118" spans="1:67" x14ac:dyDescent="0.25">
      <c r="A118">
        <v>115</v>
      </c>
      <c r="B118">
        <v>20004</v>
      </c>
      <c r="C118" t="str">
        <f>VLOOKUP(B118,[1]resources!$A$2:$D$300,3,FALSE)</f>
        <v>!!JUICE_PEACHNECTAR</v>
      </c>
      <c r="D118">
        <v>2</v>
      </c>
      <c r="E118" t="str">
        <f>VLOOKUP(D118,[1]bonus_paytable!$A$2:$D$300,3,FALSE)</f>
        <v>mrkrabs</v>
      </c>
      <c r="F118">
        <v>-1</v>
      </c>
      <c r="G118">
        <v>-1</v>
      </c>
      <c r="H118">
        <v>1</v>
      </c>
      <c r="I118" t="s">
        <v>1</v>
      </c>
      <c r="J118">
        <v>28</v>
      </c>
      <c r="K118">
        <v>16</v>
      </c>
      <c r="L118">
        <v>32</v>
      </c>
      <c r="M118">
        <v>95</v>
      </c>
      <c r="N118">
        <v>96</v>
      </c>
      <c r="O118">
        <v>30002</v>
      </c>
      <c r="P118">
        <v>50005</v>
      </c>
      <c r="Q118">
        <v>80000</v>
      </c>
      <c r="R118">
        <v>-1</v>
      </c>
      <c r="S118">
        <v>-1</v>
      </c>
      <c r="T118">
        <v>-1</v>
      </c>
      <c r="U118">
        <v>0.01</v>
      </c>
      <c r="V118">
        <v>0.03</v>
      </c>
      <c r="W118">
        <v>0.03</v>
      </c>
      <c r="X118">
        <v>0.05</v>
      </c>
      <c r="Y118">
        <v>0.05</v>
      </c>
      <c r="Z118">
        <v>0.05</v>
      </c>
      <c r="AA118">
        <v>0.05</v>
      </c>
      <c r="AB118">
        <v>0.05</v>
      </c>
      <c r="AC118">
        <v>-1</v>
      </c>
      <c r="AD118">
        <v>-1</v>
      </c>
      <c r="AE118" s="2">
        <v>-1</v>
      </c>
      <c r="AF118">
        <f t="shared" si="0"/>
        <v>1</v>
      </c>
      <c r="AG118">
        <f t="shared" si="1"/>
        <v>1</v>
      </c>
      <c r="AH118">
        <f t="shared" si="2"/>
        <v>1</v>
      </c>
      <c r="AI118">
        <f t="shared" si="3"/>
        <v>1</v>
      </c>
      <c r="AJ118">
        <f t="shared" si="4"/>
        <v>1</v>
      </c>
      <c r="AK118">
        <f t="shared" si="5"/>
        <v>1</v>
      </c>
      <c r="AL118">
        <f t="shared" si="6"/>
        <v>1</v>
      </c>
      <c r="AM118">
        <f t="shared" si="7"/>
        <v>1</v>
      </c>
      <c r="AN118">
        <f t="shared" si="8"/>
        <v>-1</v>
      </c>
      <c r="AO118">
        <f t="shared" si="9"/>
        <v>-1</v>
      </c>
      <c r="AP118">
        <f t="shared" si="10"/>
        <v>-1</v>
      </c>
      <c r="AQ118">
        <v>0</v>
      </c>
      <c r="AR118" t="s">
        <v>2</v>
      </c>
      <c r="AS118">
        <v>-1</v>
      </c>
      <c r="AT118">
        <v>-1</v>
      </c>
      <c r="AU118">
        <v>-1</v>
      </c>
      <c r="AV118">
        <v>-1</v>
      </c>
      <c r="AW118">
        <v>-1</v>
      </c>
      <c r="AX118">
        <v>-1</v>
      </c>
      <c r="AY118">
        <v>-1</v>
      </c>
      <c r="AZ118">
        <v>-1</v>
      </c>
      <c r="BA118">
        <v>-1</v>
      </c>
      <c r="BB118">
        <v>0</v>
      </c>
      <c r="BC118" t="s">
        <v>2</v>
      </c>
      <c r="BD118">
        <v>-1</v>
      </c>
      <c r="BE118">
        <v>-1</v>
      </c>
      <c r="BF118">
        <v>-1</v>
      </c>
      <c r="BG118">
        <v>-1</v>
      </c>
      <c r="BH118">
        <v>-1</v>
      </c>
      <c r="BI118">
        <v>-1</v>
      </c>
      <c r="BJ118">
        <v>-1</v>
      </c>
      <c r="BK118">
        <v>-1</v>
      </c>
      <c r="BL118">
        <v>-1</v>
      </c>
      <c r="BM118">
        <v>-1</v>
      </c>
      <c r="BN118">
        <v>-1</v>
      </c>
      <c r="BO118">
        <v>-1</v>
      </c>
    </row>
    <row r="119" spans="1:67" x14ac:dyDescent="0.25">
      <c r="A119">
        <v>116</v>
      </c>
      <c r="B119">
        <v>1</v>
      </c>
      <c r="C119" t="str">
        <f>VLOOKUP(B119,[1]resources!$A$2:$D$300,3,FALSE)</f>
        <v>!!FOOD_KRABBYPATTY</v>
      </c>
      <c r="D119">
        <v>3</v>
      </c>
      <c r="E119" t="str">
        <f>VLOOKUP(D119,[1]bonus_paytable!$A$2:$D$300,3,FALSE)</f>
        <v>spongebob</v>
      </c>
      <c r="F119">
        <v>-1</v>
      </c>
      <c r="G119">
        <v>-1</v>
      </c>
      <c r="H119">
        <v>1</v>
      </c>
      <c r="I119" t="s">
        <v>1</v>
      </c>
      <c r="J119">
        <v>23</v>
      </c>
      <c r="K119">
        <v>80015</v>
      </c>
      <c r="L119">
        <v>10008</v>
      </c>
      <c r="M119">
        <v>95</v>
      </c>
      <c r="N119">
        <v>30002</v>
      </c>
      <c r="O119">
        <v>70000</v>
      </c>
      <c r="P119">
        <v>50005</v>
      </c>
      <c r="Q119">
        <v>80000</v>
      </c>
      <c r="R119">
        <v>-1</v>
      </c>
      <c r="S119">
        <v>-1</v>
      </c>
      <c r="T119">
        <v>-1</v>
      </c>
      <c r="U119" s="2">
        <v>0.01</v>
      </c>
      <c r="V119" s="2">
        <v>0.03</v>
      </c>
      <c r="W119" s="2">
        <v>0.03</v>
      </c>
      <c r="X119" s="2">
        <v>0.05</v>
      </c>
      <c r="Y119" s="2">
        <v>0.05</v>
      </c>
      <c r="Z119" s="2">
        <v>0.05</v>
      </c>
      <c r="AA119" s="2">
        <v>0.05</v>
      </c>
      <c r="AB119" s="2">
        <v>0.05</v>
      </c>
      <c r="AC119">
        <v>-1</v>
      </c>
      <c r="AD119">
        <v>-1</v>
      </c>
      <c r="AE119" s="2">
        <v>-1</v>
      </c>
      <c r="AF119">
        <f t="shared" si="0"/>
        <v>1</v>
      </c>
      <c r="AG119">
        <f t="shared" si="1"/>
        <v>1</v>
      </c>
      <c r="AH119">
        <f t="shared" si="2"/>
        <v>1</v>
      </c>
      <c r="AI119">
        <f t="shared" si="3"/>
        <v>1</v>
      </c>
      <c r="AJ119">
        <f t="shared" si="4"/>
        <v>1</v>
      </c>
      <c r="AK119">
        <f t="shared" si="5"/>
        <v>1</v>
      </c>
      <c r="AL119">
        <f t="shared" si="6"/>
        <v>1</v>
      </c>
      <c r="AM119">
        <f t="shared" si="7"/>
        <v>1</v>
      </c>
      <c r="AN119">
        <f t="shared" si="8"/>
        <v>-1</v>
      </c>
      <c r="AO119">
        <f t="shared" si="9"/>
        <v>-1</v>
      </c>
      <c r="AP119">
        <f t="shared" si="10"/>
        <v>-1</v>
      </c>
      <c r="AQ119">
        <v>0</v>
      </c>
      <c r="AR119" t="s">
        <v>2</v>
      </c>
      <c r="AS119">
        <v>-1</v>
      </c>
      <c r="AT119">
        <v>-1</v>
      </c>
      <c r="AU119">
        <v>-1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0</v>
      </c>
      <c r="BC119" t="s">
        <v>2</v>
      </c>
      <c r="BD119">
        <v>-1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-1</v>
      </c>
      <c r="BK119">
        <v>-1</v>
      </c>
      <c r="BL119">
        <v>-1</v>
      </c>
      <c r="BM119">
        <v>-1</v>
      </c>
      <c r="BN119">
        <v>-1</v>
      </c>
      <c r="BO119">
        <v>-1</v>
      </c>
    </row>
    <row r="120" spans="1:67" x14ac:dyDescent="0.25">
      <c r="A120">
        <v>117</v>
      </c>
      <c r="B120">
        <v>46</v>
      </c>
      <c r="C120" t="str">
        <f>VLOOKUP(B120,[1]resources!$A$2:$D$300,3,FALSE)</f>
        <v>!!FOOD_SALAD</v>
      </c>
      <c r="D120">
        <v>3</v>
      </c>
      <c r="E120" t="str">
        <f>VLOOKUP(D120,[1]bonus_paytable!$A$2:$D$300,3,FALSE)</f>
        <v>spongebob</v>
      </c>
      <c r="F120">
        <v>-1</v>
      </c>
      <c r="G120">
        <v>-1</v>
      </c>
      <c r="H120">
        <v>1</v>
      </c>
      <c r="I120" t="s">
        <v>1</v>
      </c>
      <c r="J120">
        <v>23</v>
      </c>
      <c r="K120">
        <v>80015</v>
      </c>
      <c r="L120">
        <v>10008</v>
      </c>
      <c r="M120">
        <v>95</v>
      </c>
      <c r="N120">
        <v>30002</v>
      </c>
      <c r="O120">
        <v>70000</v>
      </c>
      <c r="P120">
        <v>50005</v>
      </c>
      <c r="Q120">
        <v>80000</v>
      </c>
      <c r="R120">
        <v>-1</v>
      </c>
      <c r="S120">
        <v>-1</v>
      </c>
      <c r="T120">
        <v>-1</v>
      </c>
      <c r="U120" s="2">
        <v>0.01</v>
      </c>
      <c r="V120" s="2">
        <v>0.03</v>
      </c>
      <c r="W120" s="2">
        <v>0.03</v>
      </c>
      <c r="X120" s="2">
        <v>0.05</v>
      </c>
      <c r="Y120" s="2">
        <v>0.05</v>
      </c>
      <c r="Z120" s="2">
        <v>0.05</v>
      </c>
      <c r="AA120" s="2">
        <v>0.05</v>
      </c>
      <c r="AB120" s="2">
        <v>0.05</v>
      </c>
      <c r="AC120">
        <v>-1</v>
      </c>
      <c r="AD120">
        <v>-1</v>
      </c>
      <c r="AE120" s="2">
        <v>-1</v>
      </c>
      <c r="AF120">
        <f t="shared" si="0"/>
        <v>1</v>
      </c>
      <c r="AG120">
        <f t="shared" si="1"/>
        <v>1</v>
      </c>
      <c r="AH120">
        <f t="shared" si="2"/>
        <v>1</v>
      </c>
      <c r="AI120">
        <f t="shared" si="3"/>
        <v>1</v>
      </c>
      <c r="AJ120">
        <f t="shared" si="4"/>
        <v>1</v>
      </c>
      <c r="AK120">
        <f t="shared" si="5"/>
        <v>1</v>
      </c>
      <c r="AL120">
        <f t="shared" si="6"/>
        <v>1</v>
      </c>
      <c r="AM120">
        <f t="shared" si="7"/>
        <v>1</v>
      </c>
      <c r="AN120">
        <f t="shared" si="8"/>
        <v>-1</v>
      </c>
      <c r="AO120">
        <f t="shared" si="9"/>
        <v>-1</v>
      </c>
      <c r="AP120">
        <f t="shared" si="10"/>
        <v>-1</v>
      </c>
      <c r="AQ120">
        <v>0</v>
      </c>
      <c r="AR120" t="s">
        <v>2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0</v>
      </c>
      <c r="BC120" t="s">
        <v>2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</row>
    <row r="121" spans="1:67" x14ac:dyDescent="0.25">
      <c r="A121">
        <v>118</v>
      </c>
      <c r="B121">
        <v>95</v>
      </c>
      <c r="C121" t="str">
        <f>VLOOKUP(B121,[1]resources!$A$2:$D$300,3,FALSE)</f>
        <v>!!FOOD_CUBEDKETCHUPKABOBS</v>
      </c>
      <c r="D121">
        <v>3</v>
      </c>
      <c r="E121" t="str">
        <f>VLOOKUP(D121,[1]bonus_paytable!$A$2:$D$300,3,FALSE)</f>
        <v>spongebob</v>
      </c>
      <c r="F121">
        <v>-1</v>
      </c>
      <c r="G121">
        <v>-1</v>
      </c>
      <c r="H121">
        <v>1</v>
      </c>
      <c r="I121" t="s">
        <v>1</v>
      </c>
      <c r="J121">
        <v>23</v>
      </c>
      <c r="K121">
        <v>80015</v>
      </c>
      <c r="L121">
        <v>10008</v>
      </c>
      <c r="M121">
        <v>95</v>
      </c>
      <c r="N121">
        <v>30002</v>
      </c>
      <c r="O121">
        <v>70000</v>
      </c>
      <c r="P121">
        <v>50005</v>
      </c>
      <c r="Q121">
        <v>80000</v>
      </c>
      <c r="R121">
        <v>-1</v>
      </c>
      <c r="S121">
        <v>-1</v>
      </c>
      <c r="T121">
        <v>-1</v>
      </c>
      <c r="U121" s="2">
        <v>0.01</v>
      </c>
      <c r="V121" s="2">
        <v>0.03</v>
      </c>
      <c r="W121" s="2">
        <v>0.03</v>
      </c>
      <c r="X121" s="2">
        <v>0.05</v>
      </c>
      <c r="Y121" s="2">
        <v>0.05</v>
      </c>
      <c r="Z121" s="2">
        <v>0.05</v>
      </c>
      <c r="AA121" s="2">
        <v>0.05</v>
      </c>
      <c r="AB121" s="2">
        <v>0.05</v>
      </c>
      <c r="AC121">
        <v>-1</v>
      </c>
      <c r="AD121">
        <v>-1</v>
      </c>
      <c r="AE121" s="2">
        <v>-1</v>
      </c>
      <c r="AF121">
        <f t="shared" si="0"/>
        <v>1</v>
      </c>
      <c r="AG121">
        <f t="shared" si="1"/>
        <v>1</v>
      </c>
      <c r="AH121">
        <f t="shared" si="2"/>
        <v>1</v>
      </c>
      <c r="AI121">
        <f t="shared" si="3"/>
        <v>1</v>
      </c>
      <c r="AJ121">
        <f t="shared" si="4"/>
        <v>1</v>
      </c>
      <c r="AK121">
        <f t="shared" si="5"/>
        <v>1</v>
      </c>
      <c r="AL121">
        <f t="shared" si="6"/>
        <v>1</v>
      </c>
      <c r="AM121">
        <f t="shared" si="7"/>
        <v>1</v>
      </c>
      <c r="AN121">
        <f t="shared" si="8"/>
        <v>-1</v>
      </c>
      <c r="AO121">
        <f t="shared" si="9"/>
        <v>-1</v>
      </c>
      <c r="AP121">
        <f t="shared" si="10"/>
        <v>-1</v>
      </c>
      <c r="AQ121">
        <v>0</v>
      </c>
      <c r="AR121" t="s">
        <v>2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0</v>
      </c>
      <c r="BC121" t="s">
        <v>2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</row>
    <row r="122" spans="1:67" x14ac:dyDescent="0.25">
      <c r="A122">
        <v>119</v>
      </c>
      <c r="B122">
        <v>20003</v>
      </c>
      <c r="C122" t="str">
        <f>VLOOKUP(B122,[1]resources!$A$2:$D$300,3,FALSE)</f>
        <v>!!JUICE_ORANGE</v>
      </c>
      <c r="D122">
        <v>3</v>
      </c>
      <c r="E122" t="str">
        <f>VLOOKUP(D122,[1]bonus_paytable!$A$2:$D$300,3,FALSE)</f>
        <v>spongebob</v>
      </c>
      <c r="F122">
        <v>-1</v>
      </c>
      <c r="G122">
        <v>-1</v>
      </c>
      <c r="H122">
        <v>1</v>
      </c>
      <c r="I122" t="s">
        <v>1</v>
      </c>
      <c r="J122">
        <v>23</v>
      </c>
      <c r="K122">
        <v>80015</v>
      </c>
      <c r="L122">
        <v>10008</v>
      </c>
      <c r="M122">
        <v>95</v>
      </c>
      <c r="N122">
        <v>30002</v>
      </c>
      <c r="O122">
        <v>70000</v>
      </c>
      <c r="P122">
        <v>50005</v>
      </c>
      <c r="Q122">
        <v>80000</v>
      </c>
      <c r="R122">
        <v>-1</v>
      </c>
      <c r="S122">
        <v>-1</v>
      </c>
      <c r="T122">
        <v>-1</v>
      </c>
      <c r="U122" s="2">
        <v>0.01</v>
      </c>
      <c r="V122" s="2">
        <v>0.03</v>
      </c>
      <c r="W122" s="2">
        <v>0.03</v>
      </c>
      <c r="X122" s="2">
        <v>0.05</v>
      </c>
      <c r="Y122" s="2">
        <v>0.05</v>
      </c>
      <c r="Z122" s="2">
        <v>0.05</v>
      </c>
      <c r="AA122" s="2">
        <v>0.05</v>
      </c>
      <c r="AB122" s="2">
        <v>0.05</v>
      </c>
      <c r="AC122">
        <v>-1</v>
      </c>
      <c r="AD122">
        <v>-1</v>
      </c>
      <c r="AE122" s="2">
        <v>-1</v>
      </c>
      <c r="AF122">
        <f t="shared" si="0"/>
        <v>1</v>
      </c>
      <c r="AG122">
        <f t="shared" si="1"/>
        <v>1</v>
      </c>
      <c r="AH122">
        <f t="shared" si="2"/>
        <v>1</v>
      </c>
      <c r="AI122">
        <f t="shared" si="3"/>
        <v>1</v>
      </c>
      <c r="AJ122">
        <f t="shared" si="4"/>
        <v>1</v>
      </c>
      <c r="AK122">
        <f t="shared" si="5"/>
        <v>1</v>
      </c>
      <c r="AL122">
        <f t="shared" si="6"/>
        <v>1</v>
      </c>
      <c r="AM122">
        <f t="shared" si="7"/>
        <v>1</v>
      </c>
      <c r="AN122">
        <f t="shared" si="8"/>
        <v>-1</v>
      </c>
      <c r="AO122">
        <f t="shared" si="9"/>
        <v>-1</v>
      </c>
      <c r="AP122">
        <f t="shared" si="10"/>
        <v>-1</v>
      </c>
      <c r="AQ122">
        <v>0</v>
      </c>
      <c r="AR122" t="s">
        <v>2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0</v>
      </c>
      <c r="BC122" t="s">
        <v>2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</row>
    <row r="123" spans="1:67" x14ac:dyDescent="0.25">
      <c r="A123">
        <v>120</v>
      </c>
      <c r="B123">
        <v>30011</v>
      </c>
      <c r="C123" t="str">
        <f>VLOOKUP(B123,[1]resources!$A$2:$D$300,3,FALSE)</f>
        <v>!!SMOOTHIE_WANNANANA</v>
      </c>
      <c r="D123">
        <v>3</v>
      </c>
      <c r="E123" t="str">
        <f>VLOOKUP(D123,[1]bonus_paytable!$A$2:$D$300,3,FALSE)</f>
        <v>spongebob</v>
      </c>
      <c r="F123">
        <v>-1</v>
      </c>
      <c r="G123">
        <v>-1</v>
      </c>
      <c r="H123">
        <v>1</v>
      </c>
      <c r="I123" t="s">
        <v>1</v>
      </c>
      <c r="J123">
        <v>23</v>
      </c>
      <c r="K123">
        <v>80015</v>
      </c>
      <c r="L123">
        <v>10008</v>
      </c>
      <c r="M123">
        <v>95</v>
      </c>
      <c r="N123">
        <v>30002</v>
      </c>
      <c r="O123">
        <v>70000</v>
      </c>
      <c r="P123">
        <v>50005</v>
      </c>
      <c r="Q123">
        <v>80000</v>
      </c>
      <c r="R123">
        <v>-1</v>
      </c>
      <c r="S123">
        <v>-1</v>
      </c>
      <c r="T123">
        <v>-1</v>
      </c>
      <c r="U123" s="2">
        <v>0.01</v>
      </c>
      <c r="V123" s="2">
        <v>0.03</v>
      </c>
      <c r="W123" s="2">
        <v>0.03</v>
      </c>
      <c r="X123" s="2">
        <v>0.05</v>
      </c>
      <c r="Y123" s="2">
        <v>0.05</v>
      </c>
      <c r="Z123" s="2">
        <v>0.05</v>
      </c>
      <c r="AA123" s="2">
        <v>0.05</v>
      </c>
      <c r="AB123" s="2">
        <v>0.05</v>
      </c>
      <c r="AC123">
        <v>-1</v>
      </c>
      <c r="AD123">
        <v>-1</v>
      </c>
      <c r="AE123" s="2">
        <v>-1</v>
      </c>
      <c r="AF123">
        <f t="shared" si="0"/>
        <v>1</v>
      </c>
      <c r="AG123">
        <f t="shared" si="1"/>
        <v>1</v>
      </c>
      <c r="AH123">
        <f t="shared" si="2"/>
        <v>1</v>
      </c>
      <c r="AI123">
        <f t="shared" si="3"/>
        <v>1</v>
      </c>
      <c r="AJ123">
        <f t="shared" si="4"/>
        <v>1</v>
      </c>
      <c r="AK123">
        <f t="shared" si="5"/>
        <v>1</v>
      </c>
      <c r="AL123">
        <f t="shared" si="6"/>
        <v>1</v>
      </c>
      <c r="AM123">
        <f t="shared" si="7"/>
        <v>1</v>
      </c>
      <c r="AN123">
        <f t="shared" si="8"/>
        <v>-1</v>
      </c>
      <c r="AO123">
        <f t="shared" si="9"/>
        <v>-1</v>
      </c>
      <c r="AP123">
        <f t="shared" si="10"/>
        <v>-1</v>
      </c>
      <c r="AQ123">
        <v>0</v>
      </c>
      <c r="AR123" t="s">
        <v>2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0</v>
      </c>
      <c r="BC123" t="s">
        <v>2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</row>
    <row r="124" spans="1:67" x14ac:dyDescent="0.25">
      <c r="A124">
        <v>121</v>
      </c>
      <c r="B124">
        <v>40006</v>
      </c>
      <c r="C124" t="str">
        <f>VLOOKUP(B124,[1]resources!$A$2:$D$300,3,FALSE)</f>
        <v>!!ICECREAM_SEASALT</v>
      </c>
      <c r="D124">
        <v>3</v>
      </c>
      <c r="E124" t="str">
        <f>VLOOKUP(D124,[1]bonus_paytable!$A$2:$D$300,3,FALSE)</f>
        <v>spongebob</v>
      </c>
      <c r="F124">
        <v>-1</v>
      </c>
      <c r="G124">
        <v>-1</v>
      </c>
      <c r="H124">
        <v>1</v>
      </c>
      <c r="I124" t="s">
        <v>1</v>
      </c>
      <c r="J124">
        <v>23</v>
      </c>
      <c r="K124">
        <v>80015</v>
      </c>
      <c r="L124">
        <v>10008</v>
      </c>
      <c r="M124">
        <v>95</v>
      </c>
      <c r="N124">
        <v>30002</v>
      </c>
      <c r="O124">
        <v>70000</v>
      </c>
      <c r="P124">
        <v>50005</v>
      </c>
      <c r="Q124">
        <v>80000</v>
      </c>
      <c r="R124">
        <v>-1</v>
      </c>
      <c r="S124">
        <v>-1</v>
      </c>
      <c r="T124">
        <v>-1</v>
      </c>
      <c r="U124" s="2">
        <v>0.01</v>
      </c>
      <c r="V124" s="2">
        <v>0.03</v>
      </c>
      <c r="W124" s="2">
        <v>0.03</v>
      </c>
      <c r="X124" s="2">
        <v>0.05</v>
      </c>
      <c r="Y124" s="2">
        <v>0.05</v>
      </c>
      <c r="Z124" s="2">
        <v>0.05</v>
      </c>
      <c r="AA124" s="2">
        <v>0.05</v>
      </c>
      <c r="AB124" s="2">
        <v>0.05</v>
      </c>
      <c r="AC124">
        <v>-1</v>
      </c>
      <c r="AD124">
        <v>-1</v>
      </c>
      <c r="AE124" s="2">
        <v>-1</v>
      </c>
      <c r="AF124">
        <f t="shared" si="0"/>
        <v>1</v>
      </c>
      <c r="AG124">
        <f t="shared" si="1"/>
        <v>1</v>
      </c>
      <c r="AH124">
        <f t="shared" si="2"/>
        <v>1</v>
      </c>
      <c r="AI124">
        <f t="shared" si="3"/>
        <v>1</v>
      </c>
      <c r="AJ124">
        <f t="shared" si="4"/>
        <v>1</v>
      </c>
      <c r="AK124">
        <f t="shared" si="5"/>
        <v>1</v>
      </c>
      <c r="AL124">
        <f t="shared" si="6"/>
        <v>1</v>
      </c>
      <c r="AM124">
        <f t="shared" si="7"/>
        <v>1</v>
      </c>
      <c r="AN124">
        <f t="shared" si="8"/>
        <v>-1</v>
      </c>
      <c r="AO124">
        <f t="shared" si="9"/>
        <v>-1</v>
      </c>
      <c r="AP124">
        <f t="shared" si="10"/>
        <v>-1</v>
      </c>
      <c r="AQ124">
        <v>0</v>
      </c>
      <c r="AR124" t="s">
        <v>2</v>
      </c>
      <c r="AS124">
        <v>-1</v>
      </c>
      <c r="AT124">
        <v>-1</v>
      </c>
      <c r="AU124">
        <v>-1</v>
      </c>
      <c r="AV124">
        <v>-1</v>
      </c>
      <c r="AW124">
        <v>-1</v>
      </c>
      <c r="AX124">
        <v>-1</v>
      </c>
      <c r="AY124">
        <v>-1</v>
      </c>
      <c r="AZ124">
        <v>-1</v>
      </c>
      <c r="BA124">
        <v>-1</v>
      </c>
      <c r="BB124">
        <v>0</v>
      </c>
      <c r="BC124" t="s">
        <v>2</v>
      </c>
      <c r="BD124">
        <v>-1</v>
      </c>
      <c r="BE124">
        <v>-1</v>
      </c>
      <c r="BF124">
        <v>-1</v>
      </c>
      <c r="BG124">
        <v>-1</v>
      </c>
      <c r="BH124">
        <v>-1</v>
      </c>
      <c r="BI124">
        <v>-1</v>
      </c>
      <c r="BJ124">
        <v>-1</v>
      </c>
      <c r="BK124">
        <v>-1</v>
      </c>
      <c r="BL124">
        <v>-1</v>
      </c>
      <c r="BM124">
        <v>-1</v>
      </c>
      <c r="BN124">
        <v>-1</v>
      </c>
      <c r="BO124">
        <v>-1</v>
      </c>
    </row>
    <row r="125" spans="1:67" x14ac:dyDescent="0.25">
      <c r="A125">
        <v>122</v>
      </c>
      <c r="B125">
        <v>50004</v>
      </c>
      <c r="C125" t="str">
        <f>VLOOKUP(B125,[1]resources!$A$2:$D$300,3,FALSE)</f>
        <v>!!SHAKE_SALTY_BANANA</v>
      </c>
      <c r="D125">
        <v>3</v>
      </c>
      <c r="E125" t="str">
        <f>VLOOKUP(D125,[1]bonus_paytable!$A$2:$D$300,3,FALSE)</f>
        <v>spongebob</v>
      </c>
      <c r="F125">
        <v>-1</v>
      </c>
      <c r="G125">
        <v>-1</v>
      </c>
      <c r="H125">
        <v>1</v>
      </c>
      <c r="I125" t="s">
        <v>1</v>
      </c>
      <c r="J125">
        <v>23</v>
      </c>
      <c r="K125">
        <v>80015</v>
      </c>
      <c r="L125">
        <v>10008</v>
      </c>
      <c r="M125">
        <v>95</v>
      </c>
      <c r="N125">
        <v>30002</v>
      </c>
      <c r="O125">
        <v>70000</v>
      </c>
      <c r="P125">
        <v>50005</v>
      </c>
      <c r="Q125">
        <v>80000</v>
      </c>
      <c r="R125">
        <v>-1</v>
      </c>
      <c r="S125">
        <v>-1</v>
      </c>
      <c r="T125">
        <v>-1</v>
      </c>
      <c r="U125" s="2">
        <v>0.01</v>
      </c>
      <c r="V125" s="2">
        <v>0.03</v>
      </c>
      <c r="W125" s="2">
        <v>0.03</v>
      </c>
      <c r="X125" s="2">
        <v>0.05</v>
      </c>
      <c r="Y125" s="2">
        <v>0.05</v>
      </c>
      <c r="Z125" s="2">
        <v>0.05</v>
      </c>
      <c r="AA125" s="2">
        <v>0.05</v>
      </c>
      <c r="AB125" s="2">
        <v>0.05</v>
      </c>
      <c r="AC125">
        <v>-1</v>
      </c>
      <c r="AD125">
        <v>-1</v>
      </c>
      <c r="AE125" s="2">
        <v>-1</v>
      </c>
      <c r="AF125">
        <f t="shared" si="0"/>
        <v>1</v>
      </c>
      <c r="AG125">
        <f t="shared" si="1"/>
        <v>1</v>
      </c>
      <c r="AH125">
        <f t="shared" si="2"/>
        <v>1</v>
      </c>
      <c r="AI125">
        <f t="shared" si="3"/>
        <v>1</v>
      </c>
      <c r="AJ125">
        <f t="shared" si="4"/>
        <v>1</v>
      </c>
      <c r="AK125">
        <f t="shared" si="5"/>
        <v>1</v>
      </c>
      <c r="AL125">
        <f t="shared" si="6"/>
        <v>1</v>
      </c>
      <c r="AM125">
        <f t="shared" si="7"/>
        <v>1</v>
      </c>
      <c r="AN125">
        <f t="shared" si="8"/>
        <v>-1</v>
      </c>
      <c r="AO125">
        <f t="shared" si="9"/>
        <v>-1</v>
      </c>
      <c r="AP125">
        <f t="shared" si="10"/>
        <v>-1</v>
      </c>
      <c r="AQ125">
        <v>0</v>
      </c>
      <c r="AR125" t="s">
        <v>2</v>
      </c>
      <c r="AS125">
        <v>-1</v>
      </c>
      <c r="AT125">
        <v>-1</v>
      </c>
      <c r="AU125">
        <v>-1</v>
      </c>
      <c r="AV125">
        <v>-1</v>
      </c>
      <c r="AW125">
        <v>-1</v>
      </c>
      <c r="AX125">
        <v>-1</v>
      </c>
      <c r="AY125">
        <v>-1</v>
      </c>
      <c r="AZ125">
        <v>-1</v>
      </c>
      <c r="BA125">
        <v>-1</v>
      </c>
      <c r="BB125">
        <v>0</v>
      </c>
      <c r="BC125" t="s">
        <v>2</v>
      </c>
      <c r="BD125">
        <v>-1</v>
      </c>
      <c r="BE125">
        <v>-1</v>
      </c>
      <c r="BF125">
        <v>-1</v>
      </c>
      <c r="BG125">
        <v>-1</v>
      </c>
      <c r="BH125">
        <v>-1</v>
      </c>
      <c r="BI125">
        <v>-1</v>
      </c>
      <c r="BJ125">
        <v>-1</v>
      </c>
      <c r="BK125">
        <v>-1</v>
      </c>
      <c r="BL125">
        <v>-1</v>
      </c>
      <c r="BM125">
        <v>-1</v>
      </c>
      <c r="BN125">
        <v>-1</v>
      </c>
      <c r="BO125">
        <v>-1</v>
      </c>
    </row>
    <row r="126" spans="1:67" x14ac:dyDescent="0.25">
      <c r="A126">
        <v>123</v>
      </c>
      <c r="B126">
        <v>60014</v>
      </c>
      <c r="C126" t="str">
        <f>VLOOKUP(B126,[1]resources!$A$2:$D$300,3,FALSE)</f>
        <v>!!BOUQUET_FLOWERCORAL_FRIENDLYFLOWER</v>
      </c>
      <c r="D126">
        <v>3</v>
      </c>
      <c r="E126" t="str">
        <f>VLOOKUP(D126,[1]bonus_paytable!$A$2:$D$300,3,FALSE)</f>
        <v>spongebob</v>
      </c>
      <c r="F126">
        <v>-1</v>
      </c>
      <c r="G126">
        <v>-1</v>
      </c>
      <c r="H126">
        <v>1</v>
      </c>
      <c r="I126" t="s">
        <v>1</v>
      </c>
      <c r="J126">
        <v>23</v>
      </c>
      <c r="K126">
        <v>80015</v>
      </c>
      <c r="L126">
        <v>10008</v>
      </c>
      <c r="M126">
        <v>95</v>
      </c>
      <c r="N126">
        <v>30002</v>
      </c>
      <c r="O126">
        <v>70000</v>
      </c>
      <c r="P126">
        <v>50005</v>
      </c>
      <c r="Q126">
        <v>80000</v>
      </c>
      <c r="R126">
        <v>-1</v>
      </c>
      <c r="S126">
        <v>-1</v>
      </c>
      <c r="T126">
        <v>-1</v>
      </c>
      <c r="U126" s="2">
        <v>0.01</v>
      </c>
      <c r="V126" s="2">
        <v>0.03</v>
      </c>
      <c r="W126" s="2">
        <v>0.03</v>
      </c>
      <c r="X126" s="2">
        <v>0.05</v>
      </c>
      <c r="Y126" s="2">
        <v>0.05</v>
      </c>
      <c r="Z126" s="2">
        <v>0.05</v>
      </c>
      <c r="AA126" s="2">
        <v>0.05</v>
      </c>
      <c r="AB126" s="2">
        <v>0.05</v>
      </c>
      <c r="AC126">
        <v>-1</v>
      </c>
      <c r="AD126">
        <v>-1</v>
      </c>
      <c r="AE126" s="2">
        <v>-1</v>
      </c>
      <c r="AF126">
        <f t="shared" si="0"/>
        <v>1</v>
      </c>
      <c r="AG126">
        <f t="shared" si="1"/>
        <v>1</v>
      </c>
      <c r="AH126">
        <f t="shared" si="2"/>
        <v>1</v>
      </c>
      <c r="AI126">
        <f t="shared" si="3"/>
        <v>1</v>
      </c>
      <c r="AJ126">
        <f t="shared" si="4"/>
        <v>1</v>
      </c>
      <c r="AK126">
        <f t="shared" si="5"/>
        <v>1</v>
      </c>
      <c r="AL126">
        <f t="shared" si="6"/>
        <v>1</v>
      </c>
      <c r="AM126">
        <f t="shared" si="7"/>
        <v>1</v>
      </c>
      <c r="AN126">
        <f t="shared" si="8"/>
        <v>-1</v>
      </c>
      <c r="AO126">
        <f t="shared" si="9"/>
        <v>-1</v>
      </c>
      <c r="AP126">
        <f t="shared" si="10"/>
        <v>-1</v>
      </c>
      <c r="AQ126">
        <v>0</v>
      </c>
      <c r="AR126" t="s">
        <v>2</v>
      </c>
      <c r="AS126">
        <v>-1</v>
      </c>
      <c r="AT126">
        <v>-1</v>
      </c>
      <c r="AU126">
        <v>-1</v>
      </c>
      <c r="AV126">
        <v>-1</v>
      </c>
      <c r="AW126">
        <v>-1</v>
      </c>
      <c r="AX126">
        <v>-1</v>
      </c>
      <c r="AY126">
        <v>-1</v>
      </c>
      <c r="AZ126">
        <v>-1</v>
      </c>
      <c r="BA126">
        <v>-1</v>
      </c>
      <c r="BB126">
        <v>0</v>
      </c>
      <c r="BC126" t="s">
        <v>2</v>
      </c>
      <c r="BD126">
        <v>-1</v>
      </c>
      <c r="BE126">
        <v>-1</v>
      </c>
      <c r="BF126">
        <v>-1</v>
      </c>
      <c r="BG126">
        <v>-1</v>
      </c>
      <c r="BH126">
        <v>-1</v>
      </c>
      <c r="BI126">
        <v>-1</v>
      </c>
      <c r="BJ126">
        <v>-1</v>
      </c>
      <c r="BK126">
        <v>-1</v>
      </c>
      <c r="BL126">
        <v>-1</v>
      </c>
      <c r="BM126">
        <v>-1</v>
      </c>
      <c r="BN126">
        <v>-1</v>
      </c>
      <c r="BO126">
        <v>-1</v>
      </c>
    </row>
    <row r="127" spans="1:67" x14ac:dyDescent="0.25">
      <c r="A127">
        <v>124</v>
      </c>
      <c r="B127">
        <v>70002</v>
      </c>
      <c r="C127" t="str">
        <f>VLOOKUP(B127,[1]resources!$A$2:$D$300,3,FALSE)</f>
        <v>!!PERFUME_CAPSIZEFORHIM</v>
      </c>
      <c r="D127">
        <v>3</v>
      </c>
      <c r="E127" t="str">
        <f>VLOOKUP(D127,[1]bonus_paytable!$A$2:$D$300,3,FALSE)</f>
        <v>spongebob</v>
      </c>
      <c r="F127">
        <v>-1</v>
      </c>
      <c r="G127">
        <v>-1</v>
      </c>
      <c r="H127">
        <v>1</v>
      </c>
      <c r="I127" t="s">
        <v>1</v>
      </c>
      <c r="J127">
        <v>23</v>
      </c>
      <c r="K127">
        <v>80015</v>
      </c>
      <c r="L127">
        <v>10008</v>
      </c>
      <c r="M127">
        <v>95</v>
      </c>
      <c r="N127">
        <v>30002</v>
      </c>
      <c r="O127">
        <v>70000</v>
      </c>
      <c r="P127">
        <v>50005</v>
      </c>
      <c r="Q127">
        <v>80000</v>
      </c>
      <c r="R127">
        <v>-1</v>
      </c>
      <c r="S127">
        <v>-1</v>
      </c>
      <c r="T127">
        <v>-1</v>
      </c>
      <c r="U127" s="2">
        <v>0.01</v>
      </c>
      <c r="V127" s="2">
        <v>0.03</v>
      </c>
      <c r="W127" s="2">
        <v>0.03</v>
      </c>
      <c r="X127" s="2">
        <v>0.05</v>
      </c>
      <c r="Y127" s="2">
        <v>0.05</v>
      </c>
      <c r="Z127" s="2">
        <v>0.05</v>
      </c>
      <c r="AA127" s="2">
        <v>0.05</v>
      </c>
      <c r="AB127" s="2">
        <v>0.05</v>
      </c>
      <c r="AC127">
        <v>-1</v>
      </c>
      <c r="AD127">
        <v>-1</v>
      </c>
      <c r="AE127" s="2">
        <v>-1</v>
      </c>
      <c r="AF127">
        <f t="shared" si="0"/>
        <v>1</v>
      </c>
      <c r="AG127">
        <f t="shared" si="1"/>
        <v>1</v>
      </c>
      <c r="AH127">
        <f t="shared" si="2"/>
        <v>1</v>
      </c>
      <c r="AI127">
        <f t="shared" si="3"/>
        <v>1</v>
      </c>
      <c r="AJ127">
        <f t="shared" si="4"/>
        <v>1</v>
      </c>
      <c r="AK127">
        <f t="shared" si="5"/>
        <v>1</v>
      </c>
      <c r="AL127">
        <f t="shared" si="6"/>
        <v>1</v>
      </c>
      <c r="AM127">
        <f t="shared" si="7"/>
        <v>1</v>
      </c>
      <c r="AN127">
        <f t="shared" si="8"/>
        <v>-1</v>
      </c>
      <c r="AO127">
        <f t="shared" si="9"/>
        <v>-1</v>
      </c>
      <c r="AP127">
        <f t="shared" si="10"/>
        <v>-1</v>
      </c>
      <c r="AQ127">
        <v>0</v>
      </c>
      <c r="AR127" t="s">
        <v>2</v>
      </c>
      <c r="AS127">
        <v>-1</v>
      </c>
      <c r="AT127">
        <v>-1</v>
      </c>
      <c r="AU127">
        <v>-1</v>
      </c>
      <c r="AV127">
        <v>-1</v>
      </c>
      <c r="AW127">
        <v>-1</v>
      </c>
      <c r="AX127">
        <v>-1</v>
      </c>
      <c r="AY127">
        <v>-1</v>
      </c>
      <c r="AZ127">
        <v>-1</v>
      </c>
      <c r="BA127">
        <v>-1</v>
      </c>
      <c r="BB127">
        <v>0</v>
      </c>
      <c r="BC127" t="s">
        <v>2</v>
      </c>
      <c r="BD127">
        <v>-1</v>
      </c>
      <c r="BE127">
        <v>-1</v>
      </c>
      <c r="BF127">
        <v>-1</v>
      </c>
      <c r="BG127">
        <v>-1</v>
      </c>
      <c r="BH127">
        <v>-1</v>
      </c>
      <c r="BI127">
        <v>-1</v>
      </c>
      <c r="BJ127">
        <v>-1</v>
      </c>
      <c r="BK127">
        <v>-1</v>
      </c>
      <c r="BL127">
        <v>-1</v>
      </c>
      <c r="BM127">
        <v>-1</v>
      </c>
      <c r="BN127">
        <v>-1</v>
      </c>
      <c r="BO127">
        <v>-1</v>
      </c>
    </row>
    <row r="128" spans="1:67" x14ac:dyDescent="0.25">
      <c r="A128">
        <v>125</v>
      </c>
      <c r="B128">
        <v>80000</v>
      </c>
      <c r="C128" t="str">
        <f>VLOOKUP(B128,[1]resources!$A$2:$D$300,3,FALSE)</f>
        <v>!!FOOD_BAKED_BANANABANANABREAD</v>
      </c>
      <c r="D128">
        <v>3</v>
      </c>
      <c r="E128" t="str">
        <f>VLOOKUP(D128,[1]bonus_paytable!$A$2:$D$300,3,FALSE)</f>
        <v>spongebob</v>
      </c>
      <c r="F128">
        <v>-1</v>
      </c>
      <c r="G128">
        <v>-1</v>
      </c>
      <c r="H128">
        <v>1</v>
      </c>
      <c r="I128" t="s">
        <v>1</v>
      </c>
      <c r="J128">
        <v>23</v>
      </c>
      <c r="K128">
        <v>80015</v>
      </c>
      <c r="L128">
        <v>10008</v>
      </c>
      <c r="M128">
        <v>95</v>
      </c>
      <c r="N128">
        <v>30002</v>
      </c>
      <c r="O128">
        <v>70000</v>
      </c>
      <c r="P128">
        <v>50005</v>
      </c>
      <c r="Q128">
        <v>80000</v>
      </c>
      <c r="R128">
        <v>-1</v>
      </c>
      <c r="S128">
        <v>-1</v>
      </c>
      <c r="T128">
        <v>-1</v>
      </c>
      <c r="U128" s="2">
        <v>0.01</v>
      </c>
      <c r="V128" s="2">
        <v>0.03</v>
      </c>
      <c r="W128" s="2">
        <v>0.03</v>
      </c>
      <c r="X128" s="2">
        <v>0.05</v>
      </c>
      <c r="Y128" s="2">
        <v>0.05</v>
      </c>
      <c r="Z128" s="2">
        <v>0.05</v>
      </c>
      <c r="AA128" s="2">
        <v>0.05</v>
      </c>
      <c r="AB128" s="2">
        <v>0.05</v>
      </c>
      <c r="AC128">
        <v>-1</v>
      </c>
      <c r="AD128">
        <v>-1</v>
      </c>
      <c r="AE128" s="2">
        <v>-1</v>
      </c>
      <c r="AF128">
        <f t="shared" si="0"/>
        <v>1</v>
      </c>
      <c r="AG128">
        <f t="shared" si="1"/>
        <v>1</v>
      </c>
      <c r="AH128">
        <f t="shared" si="2"/>
        <v>1</v>
      </c>
      <c r="AI128">
        <f t="shared" si="3"/>
        <v>1</v>
      </c>
      <c r="AJ128">
        <f t="shared" si="4"/>
        <v>1</v>
      </c>
      <c r="AK128">
        <f t="shared" si="5"/>
        <v>1</v>
      </c>
      <c r="AL128">
        <f t="shared" si="6"/>
        <v>1</v>
      </c>
      <c r="AM128">
        <f t="shared" si="7"/>
        <v>1</v>
      </c>
      <c r="AN128">
        <f t="shared" si="8"/>
        <v>-1</v>
      </c>
      <c r="AO128">
        <f t="shared" si="9"/>
        <v>-1</v>
      </c>
      <c r="AP128">
        <f t="shared" si="10"/>
        <v>-1</v>
      </c>
      <c r="AQ128">
        <v>0</v>
      </c>
      <c r="AR128" t="s">
        <v>2</v>
      </c>
      <c r="AS128">
        <v>-1</v>
      </c>
      <c r="AT128">
        <v>-1</v>
      </c>
      <c r="AU128">
        <v>-1</v>
      </c>
      <c r="AV128">
        <v>-1</v>
      </c>
      <c r="AW128">
        <v>-1</v>
      </c>
      <c r="AX128">
        <v>-1</v>
      </c>
      <c r="AY128">
        <v>-1</v>
      </c>
      <c r="AZ128">
        <v>-1</v>
      </c>
      <c r="BA128">
        <v>-1</v>
      </c>
      <c r="BB128">
        <v>0</v>
      </c>
      <c r="BC128" t="s">
        <v>2</v>
      </c>
      <c r="BD128">
        <v>-1</v>
      </c>
      <c r="BE128">
        <v>-1</v>
      </c>
      <c r="BF128">
        <v>-1</v>
      </c>
      <c r="BG128">
        <v>-1</v>
      </c>
      <c r="BH128">
        <v>-1</v>
      </c>
      <c r="BI128">
        <v>-1</v>
      </c>
      <c r="BJ128">
        <v>-1</v>
      </c>
      <c r="BK128">
        <v>-1</v>
      </c>
      <c r="BL128">
        <v>-1</v>
      </c>
      <c r="BM128">
        <v>-1</v>
      </c>
      <c r="BN128">
        <v>-1</v>
      </c>
      <c r="BO128">
        <v>-1</v>
      </c>
    </row>
    <row r="129" spans="1:67" x14ac:dyDescent="0.25">
      <c r="A129">
        <v>126</v>
      </c>
      <c r="B129">
        <v>1</v>
      </c>
      <c r="C129" t="str">
        <f>VLOOKUP(B129,[1]resources!$A$2:$D$300,3,FALSE)</f>
        <v>!!FOOD_KRABBYPATTY</v>
      </c>
      <c r="D129">
        <v>4</v>
      </c>
      <c r="E129" t="str">
        <f>VLOOKUP(D129,[1]bonus_paytable!$A$2:$D$300,3,FALSE)</f>
        <v>bottomite_green_male_average</v>
      </c>
      <c r="F129">
        <v>-1</v>
      </c>
      <c r="G129">
        <v>-1</v>
      </c>
      <c r="H129">
        <v>1</v>
      </c>
      <c r="I129" t="s">
        <v>1</v>
      </c>
      <c r="J129">
        <v>41</v>
      </c>
      <c r="K129">
        <v>15</v>
      </c>
      <c r="L129">
        <v>13</v>
      </c>
      <c r="M129">
        <v>95</v>
      </c>
      <c r="N129">
        <v>30002</v>
      </c>
      <c r="O129">
        <v>70000</v>
      </c>
      <c r="P129">
        <v>50004</v>
      </c>
      <c r="Q129">
        <v>80000</v>
      </c>
      <c r="R129">
        <v>-1</v>
      </c>
      <c r="S129">
        <v>-1</v>
      </c>
      <c r="T129">
        <v>-1</v>
      </c>
      <c r="U129" s="2">
        <v>0.01</v>
      </c>
      <c r="V129" s="2">
        <v>0.03</v>
      </c>
      <c r="W129" s="2">
        <v>0.03</v>
      </c>
      <c r="X129" s="2">
        <v>0.05</v>
      </c>
      <c r="Y129" s="2">
        <v>0.05</v>
      </c>
      <c r="Z129" s="2">
        <v>0.05</v>
      </c>
      <c r="AA129" s="2">
        <v>0.05</v>
      </c>
      <c r="AB129" s="2">
        <v>0.05</v>
      </c>
      <c r="AC129">
        <v>-1</v>
      </c>
      <c r="AD129">
        <v>-1</v>
      </c>
      <c r="AE129" s="2">
        <v>-1</v>
      </c>
      <c r="AF129">
        <f t="shared" si="0"/>
        <v>1</v>
      </c>
      <c r="AG129">
        <f t="shared" si="1"/>
        <v>1</v>
      </c>
      <c r="AH129">
        <f t="shared" si="2"/>
        <v>1</v>
      </c>
      <c r="AI129">
        <f t="shared" si="3"/>
        <v>1</v>
      </c>
      <c r="AJ129">
        <f t="shared" si="4"/>
        <v>1</v>
      </c>
      <c r="AK129">
        <f t="shared" si="5"/>
        <v>1</v>
      </c>
      <c r="AL129">
        <f t="shared" si="6"/>
        <v>1</v>
      </c>
      <c r="AM129">
        <f t="shared" si="7"/>
        <v>1</v>
      </c>
      <c r="AN129">
        <f t="shared" si="8"/>
        <v>-1</v>
      </c>
      <c r="AO129">
        <f t="shared" si="9"/>
        <v>-1</v>
      </c>
      <c r="AP129">
        <f t="shared" si="10"/>
        <v>-1</v>
      </c>
      <c r="AQ129">
        <v>0</v>
      </c>
      <c r="AR129" t="s">
        <v>2</v>
      </c>
      <c r="AS129">
        <v>-1</v>
      </c>
      <c r="AT129">
        <v>-1</v>
      </c>
      <c r="AU129">
        <v>-1</v>
      </c>
      <c r="AV129">
        <v>-1</v>
      </c>
      <c r="AW129">
        <v>-1</v>
      </c>
      <c r="AX129">
        <v>-1</v>
      </c>
      <c r="AY129">
        <v>-1</v>
      </c>
      <c r="AZ129">
        <v>-1</v>
      </c>
      <c r="BA129">
        <v>-1</v>
      </c>
      <c r="BB129">
        <v>0</v>
      </c>
      <c r="BC129" t="s">
        <v>2</v>
      </c>
      <c r="BD129">
        <v>-1</v>
      </c>
      <c r="BE129">
        <v>-1</v>
      </c>
      <c r="BF129">
        <v>-1</v>
      </c>
      <c r="BG129">
        <v>-1</v>
      </c>
      <c r="BH129">
        <v>-1</v>
      </c>
      <c r="BI129">
        <v>-1</v>
      </c>
      <c r="BJ129">
        <v>-1</v>
      </c>
      <c r="BK129">
        <v>-1</v>
      </c>
      <c r="BL129">
        <v>-1</v>
      </c>
      <c r="BM129">
        <v>-1</v>
      </c>
      <c r="BN129">
        <v>-1</v>
      </c>
      <c r="BO129">
        <v>-1</v>
      </c>
    </row>
    <row r="130" spans="1:67" x14ac:dyDescent="0.25">
      <c r="A130">
        <v>127</v>
      </c>
      <c r="B130">
        <v>95</v>
      </c>
      <c r="C130" t="str">
        <f>VLOOKUP(B130,[1]resources!$A$2:$D$300,3,FALSE)</f>
        <v>!!FOOD_CUBEDKETCHUPKABOBS</v>
      </c>
      <c r="D130">
        <v>4</v>
      </c>
      <c r="E130" t="str">
        <f>VLOOKUP(D130,[1]bonus_paytable!$A$2:$D$300,3,FALSE)</f>
        <v>bottomite_green_male_average</v>
      </c>
      <c r="F130">
        <v>-1</v>
      </c>
      <c r="G130">
        <v>-1</v>
      </c>
      <c r="H130">
        <v>1</v>
      </c>
      <c r="I130" t="s">
        <v>1</v>
      </c>
      <c r="J130">
        <v>41</v>
      </c>
      <c r="K130">
        <v>15</v>
      </c>
      <c r="L130">
        <v>13</v>
      </c>
      <c r="M130">
        <v>95</v>
      </c>
      <c r="N130">
        <v>30002</v>
      </c>
      <c r="O130">
        <v>70000</v>
      </c>
      <c r="P130">
        <v>50004</v>
      </c>
      <c r="Q130">
        <v>80000</v>
      </c>
      <c r="R130">
        <v>-1</v>
      </c>
      <c r="S130">
        <v>-1</v>
      </c>
      <c r="T130">
        <v>-1</v>
      </c>
      <c r="U130" s="2">
        <v>0.01</v>
      </c>
      <c r="V130" s="2">
        <v>0.03</v>
      </c>
      <c r="W130" s="2">
        <v>0.03</v>
      </c>
      <c r="X130" s="2">
        <v>0.05</v>
      </c>
      <c r="Y130" s="2">
        <v>0.05</v>
      </c>
      <c r="Z130" s="2">
        <v>0.05</v>
      </c>
      <c r="AA130" s="2">
        <v>0.05</v>
      </c>
      <c r="AB130" s="2">
        <v>0.05</v>
      </c>
      <c r="AC130">
        <v>-1</v>
      </c>
      <c r="AD130">
        <v>-1</v>
      </c>
      <c r="AE130" s="2">
        <v>-1</v>
      </c>
      <c r="AF130">
        <f t="shared" si="0"/>
        <v>1</v>
      </c>
      <c r="AG130">
        <f t="shared" si="1"/>
        <v>1</v>
      </c>
      <c r="AH130">
        <f t="shared" si="2"/>
        <v>1</v>
      </c>
      <c r="AI130">
        <f t="shared" si="3"/>
        <v>1</v>
      </c>
      <c r="AJ130">
        <f t="shared" si="4"/>
        <v>1</v>
      </c>
      <c r="AK130">
        <f t="shared" si="5"/>
        <v>1</v>
      </c>
      <c r="AL130">
        <f t="shared" si="6"/>
        <v>1</v>
      </c>
      <c r="AM130">
        <f t="shared" si="7"/>
        <v>1</v>
      </c>
      <c r="AN130">
        <f t="shared" si="8"/>
        <v>-1</v>
      </c>
      <c r="AO130">
        <f t="shared" si="9"/>
        <v>-1</v>
      </c>
      <c r="AP130">
        <f t="shared" si="10"/>
        <v>-1</v>
      </c>
      <c r="AQ130">
        <v>0</v>
      </c>
      <c r="AR130" t="s">
        <v>2</v>
      </c>
      <c r="AS130">
        <v>-1</v>
      </c>
      <c r="AT130">
        <v>-1</v>
      </c>
      <c r="AU130">
        <v>-1</v>
      </c>
      <c r="AV130">
        <v>-1</v>
      </c>
      <c r="AW130">
        <v>-1</v>
      </c>
      <c r="AX130">
        <v>-1</v>
      </c>
      <c r="AY130">
        <v>-1</v>
      </c>
      <c r="AZ130">
        <v>-1</v>
      </c>
      <c r="BA130">
        <v>-1</v>
      </c>
      <c r="BB130">
        <v>0</v>
      </c>
      <c r="BC130" t="s">
        <v>2</v>
      </c>
      <c r="BD130">
        <v>-1</v>
      </c>
      <c r="BE130">
        <v>-1</v>
      </c>
      <c r="BF130">
        <v>-1</v>
      </c>
      <c r="BG130">
        <v>-1</v>
      </c>
      <c r="BH130">
        <v>-1</v>
      </c>
      <c r="BI130">
        <v>-1</v>
      </c>
      <c r="BJ130">
        <v>-1</v>
      </c>
      <c r="BK130">
        <v>-1</v>
      </c>
      <c r="BL130">
        <v>-1</v>
      </c>
      <c r="BM130">
        <v>-1</v>
      </c>
      <c r="BN130">
        <v>-1</v>
      </c>
      <c r="BO130">
        <v>-1</v>
      </c>
    </row>
    <row r="131" spans="1:67" x14ac:dyDescent="0.25">
      <c r="A131">
        <v>128</v>
      </c>
      <c r="B131">
        <v>46</v>
      </c>
      <c r="C131" t="str">
        <f>VLOOKUP(B131,[1]resources!$A$2:$D$300,3,FALSE)</f>
        <v>!!FOOD_SALAD</v>
      </c>
      <c r="D131">
        <v>4</v>
      </c>
      <c r="E131" t="str">
        <f>VLOOKUP(D131,[1]bonus_paytable!$A$2:$D$300,3,FALSE)</f>
        <v>bottomite_green_male_average</v>
      </c>
      <c r="F131">
        <v>-1</v>
      </c>
      <c r="G131">
        <v>-1</v>
      </c>
      <c r="H131">
        <v>1</v>
      </c>
      <c r="I131" t="s">
        <v>1</v>
      </c>
      <c r="J131">
        <v>41</v>
      </c>
      <c r="K131">
        <v>15</v>
      </c>
      <c r="L131">
        <v>13</v>
      </c>
      <c r="M131">
        <v>95</v>
      </c>
      <c r="N131">
        <v>30002</v>
      </c>
      <c r="O131">
        <v>70000</v>
      </c>
      <c r="P131">
        <v>50004</v>
      </c>
      <c r="Q131">
        <v>80000</v>
      </c>
      <c r="R131">
        <v>-1</v>
      </c>
      <c r="S131">
        <v>-1</v>
      </c>
      <c r="T131">
        <v>-1</v>
      </c>
      <c r="U131" s="2">
        <v>0.01</v>
      </c>
      <c r="V131" s="2">
        <v>0.03</v>
      </c>
      <c r="W131" s="2">
        <v>0.03</v>
      </c>
      <c r="X131" s="2">
        <v>0.05</v>
      </c>
      <c r="Y131" s="2">
        <v>0.05</v>
      </c>
      <c r="Z131" s="2">
        <v>0.05</v>
      </c>
      <c r="AA131" s="2">
        <v>0.05</v>
      </c>
      <c r="AB131" s="2">
        <v>0.05</v>
      </c>
      <c r="AC131">
        <v>-1</v>
      </c>
      <c r="AD131">
        <v>-1</v>
      </c>
      <c r="AE131" s="2">
        <v>-1</v>
      </c>
      <c r="AF131">
        <f t="shared" si="0"/>
        <v>1</v>
      </c>
      <c r="AG131">
        <f t="shared" si="1"/>
        <v>1</v>
      </c>
      <c r="AH131">
        <f t="shared" si="2"/>
        <v>1</v>
      </c>
      <c r="AI131">
        <f t="shared" si="3"/>
        <v>1</v>
      </c>
      <c r="AJ131">
        <f t="shared" si="4"/>
        <v>1</v>
      </c>
      <c r="AK131">
        <f t="shared" si="5"/>
        <v>1</v>
      </c>
      <c r="AL131">
        <f t="shared" si="6"/>
        <v>1</v>
      </c>
      <c r="AM131">
        <f t="shared" si="7"/>
        <v>1</v>
      </c>
      <c r="AN131">
        <f t="shared" si="8"/>
        <v>-1</v>
      </c>
      <c r="AO131">
        <f t="shared" si="9"/>
        <v>-1</v>
      </c>
      <c r="AP131">
        <f t="shared" si="10"/>
        <v>-1</v>
      </c>
      <c r="AQ131">
        <v>0</v>
      </c>
      <c r="AR131" t="s">
        <v>2</v>
      </c>
      <c r="AS131">
        <v>-1</v>
      </c>
      <c r="AT131">
        <v>-1</v>
      </c>
      <c r="AU131">
        <v>-1</v>
      </c>
      <c r="AV131">
        <v>-1</v>
      </c>
      <c r="AW131">
        <v>-1</v>
      </c>
      <c r="AX131">
        <v>-1</v>
      </c>
      <c r="AY131">
        <v>-1</v>
      </c>
      <c r="AZ131">
        <v>-1</v>
      </c>
      <c r="BA131">
        <v>-1</v>
      </c>
      <c r="BB131">
        <v>0</v>
      </c>
      <c r="BC131" t="s">
        <v>2</v>
      </c>
      <c r="BD131">
        <v>-1</v>
      </c>
      <c r="BE131">
        <v>-1</v>
      </c>
      <c r="BF131">
        <v>-1</v>
      </c>
      <c r="BG131">
        <v>-1</v>
      </c>
      <c r="BH131">
        <v>-1</v>
      </c>
      <c r="BI131">
        <v>-1</v>
      </c>
      <c r="BJ131">
        <v>-1</v>
      </c>
      <c r="BK131">
        <v>-1</v>
      </c>
      <c r="BL131">
        <v>-1</v>
      </c>
      <c r="BM131">
        <v>-1</v>
      </c>
      <c r="BN131">
        <v>-1</v>
      </c>
      <c r="BO131">
        <v>-1</v>
      </c>
    </row>
    <row r="132" spans="1:67" x14ac:dyDescent="0.25">
      <c r="A132">
        <v>129</v>
      </c>
      <c r="B132">
        <v>20003</v>
      </c>
      <c r="C132" t="str">
        <f>VLOOKUP(B132,[1]resources!$A$2:$D$300,3,FALSE)</f>
        <v>!!JUICE_ORANGE</v>
      </c>
      <c r="D132">
        <v>4</v>
      </c>
      <c r="E132" t="str">
        <f>VLOOKUP(D132,[1]bonus_paytable!$A$2:$D$300,3,FALSE)</f>
        <v>bottomite_green_male_average</v>
      </c>
      <c r="F132">
        <v>-1</v>
      </c>
      <c r="G132">
        <v>-1</v>
      </c>
      <c r="H132">
        <v>1</v>
      </c>
      <c r="I132" t="s">
        <v>1</v>
      </c>
      <c r="J132">
        <v>41</v>
      </c>
      <c r="K132">
        <v>15</v>
      </c>
      <c r="L132">
        <v>13</v>
      </c>
      <c r="M132">
        <v>95</v>
      </c>
      <c r="N132">
        <v>30002</v>
      </c>
      <c r="O132">
        <v>70000</v>
      </c>
      <c r="P132">
        <v>50004</v>
      </c>
      <c r="Q132">
        <v>80000</v>
      </c>
      <c r="R132">
        <v>-1</v>
      </c>
      <c r="S132">
        <v>-1</v>
      </c>
      <c r="T132">
        <v>-1</v>
      </c>
      <c r="U132" s="2">
        <v>0.01</v>
      </c>
      <c r="V132" s="2">
        <v>0.03</v>
      </c>
      <c r="W132" s="2">
        <v>0.03</v>
      </c>
      <c r="X132" s="2">
        <v>0.05</v>
      </c>
      <c r="Y132" s="2">
        <v>0.05</v>
      </c>
      <c r="Z132" s="2">
        <v>0.05</v>
      </c>
      <c r="AA132" s="2">
        <v>0.05</v>
      </c>
      <c r="AB132" s="2">
        <v>0.05</v>
      </c>
      <c r="AC132">
        <v>-1</v>
      </c>
      <c r="AD132">
        <v>-1</v>
      </c>
      <c r="AE132" s="2">
        <v>-1</v>
      </c>
      <c r="AF132">
        <f t="shared" si="0"/>
        <v>1</v>
      </c>
      <c r="AG132">
        <f t="shared" si="1"/>
        <v>1</v>
      </c>
      <c r="AH132">
        <f t="shared" si="2"/>
        <v>1</v>
      </c>
      <c r="AI132">
        <f t="shared" si="3"/>
        <v>1</v>
      </c>
      <c r="AJ132">
        <f t="shared" si="4"/>
        <v>1</v>
      </c>
      <c r="AK132">
        <f t="shared" si="5"/>
        <v>1</v>
      </c>
      <c r="AL132">
        <f t="shared" si="6"/>
        <v>1</v>
      </c>
      <c r="AM132">
        <f t="shared" si="7"/>
        <v>1</v>
      </c>
      <c r="AN132">
        <f t="shared" si="8"/>
        <v>-1</v>
      </c>
      <c r="AO132">
        <f t="shared" si="9"/>
        <v>-1</v>
      </c>
      <c r="AP132">
        <f t="shared" si="10"/>
        <v>-1</v>
      </c>
      <c r="AQ132">
        <v>0</v>
      </c>
      <c r="AR132" t="s">
        <v>2</v>
      </c>
      <c r="AS132">
        <v>-1</v>
      </c>
      <c r="AT132">
        <v>-1</v>
      </c>
      <c r="AU132">
        <v>-1</v>
      </c>
      <c r="AV132">
        <v>-1</v>
      </c>
      <c r="AW132">
        <v>-1</v>
      </c>
      <c r="AX132">
        <v>-1</v>
      </c>
      <c r="AY132">
        <v>-1</v>
      </c>
      <c r="AZ132">
        <v>-1</v>
      </c>
      <c r="BA132">
        <v>-1</v>
      </c>
      <c r="BB132">
        <v>0</v>
      </c>
      <c r="BC132" t="s">
        <v>2</v>
      </c>
      <c r="BD132">
        <v>-1</v>
      </c>
      <c r="BE132">
        <v>-1</v>
      </c>
      <c r="BF132">
        <v>-1</v>
      </c>
      <c r="BG132">
        <v>-1</v>
      </c>
      <c r="BH132">
        <v>-1</v>
      </c>
      <c r="BI132">
        <v>-1</v>
      </c>
      <c r="BJ132">
        <v>-1</v>
      </c>
      <c r="BK132">
        <v>-1</v>
      </c>
      <c r="BL132">
        <v>-1</v>
      </c>
      <c r="BM132">
        <v>-1</v>
      </c>
      <c r="BN132">
        <v>-1</v>
      </c>
      <c r="BO132">
        <v>-1</v>
      </c>
    </row>
    <row r="133" spans="1:67" x14ac:dyDescent="0.25">
      <c r="A133">
        <v>130</v>
      </c>
      <c r="B133">
        <v>30011</v>
      </c>
      <c r="C133" t="str">
        <f>VLOOKUP(B133,[1]resources!$A$2:$D$300,3,FALSE)</f>
        <v>!!SMOOTHIE_WANNANANA</v>
      </c>
      <c r="D133">
        <v>4</v>
      </c>
      <c r="E133" t="str">
        <f>VLOOKUP(D133,[1]bonus_paytable!$A$2:$D$300,3,FALSE)</f>
        <v>bottomite_green_male_average</v>
      </c>
      <c r="F133">
        <v>-1</v>
      </c>
      <c r="G133">
        <v>-1</v>
      </c>
      <c r="H133">
        <v>1</v>
      </c>
      <c r="I133" t="s">
        <v>1</v>
      </c>
      <c r="J133">
        <v>41</v>
      </c>
      <c r="K133">
        <v>15</v>
      </c>
      <c r="L133">
        <v>13</v>
      </c>
      <c r="M133">
        <v>95</v>
      </c>
      <c r="N133">
        <v>30002</v>
      </c>
      <c r="O133">
        <v>70000</v>
      </c>
      <c r="P133">
        <v>50004</v>
      </c>
      <c r="Q133">
        <v>80000</v>
      </c>
      <c r="R133">
        <v>-1</v>
      </c>
      <c r="S133">
        <v>-1</v>
      </c>
      <c r="T133">
        <v>-1</v>
      </c>
      <c r="U133" s="2">
        <v>0.01</v>
      </c>
      <c r="V133" s="2">
        <v>0.03</v>
      </c>
      <c r="W133" s="2">
        <v>0.03</v>
      </c>
      <c r="X133" s="2">
        <v>0.05</v>
      </c>
      <c r="Y133" s="2">
        <v>0.05</v>
      </c>
      <c r="Z133" s="2">
        <v>0.05</v>
      </c>
      <c r="AA133" s="2">
        <v>0.05</v>
      </c>
      <c r="AB133" s="2">
        <v>0.05</v>
      </c>
      <c r="AC133">
        <v>-1</v>
      </c>
      <c r="AD133">
        <v>-1</v>
      </c>
      <c r="AE133" s="2">
        <v>-1</v>
      </c>
      <c r="AF133">
        <f t="shared" si="0"/>
        <v>1</v>
      </c>
      <c r="AG133">
        <f t="shared" si="1"/>
        <v>1</v>
      </c>
      <c r="AH133">
        <f t="shared" si="2"/>
        <v>1</v>
      </c>
      <c r="AI133">
        <f t="shared" si="3"/>
        <v>1</v>
      </c>
      <c r="AJ133">
        <f t="shared" si="4"/>
        <v>1</v>
      </c>
      <c r="AK133">
        <f t="shared" si="5"/>
        <v>1</v>
      </c>
      <c r="AL133">
        <f t="shared" si="6"/>
        <v>1</v>
      </c>
      <c r="AM133">
        <f t="shared" si="7"/>
        <v>1</v>
      </c>
      <c r="AN133">
        <f t="shared" si="8"/>
        <v>-1</v>
      </c>
      <c r="AO133">
        <f t="shared" si="9"/>
        <v>-1</v>
      </c>
      <c r="AP133">
        <f t="shared" si="10"/>
        <v>-1</v>
      </c>
      <c r="AQ133">
        <v>0</v>
      </c>
      <c r="AR133" t="s">
        <v>2</v>
      </c>
      <c r="AS133">
        <v>-1</v>
      </c>
      <c r="AT133">
        <v>-1</v>
      </c>
      <c r="AU133">
        <v>-1</v>
      </c>
      <c r="AV133">
        <v>-1</v>
      </c>
      <c r="AW133">
        <v>-1</v>
      </c>
      <c r="AX133">
        <v>-1</v>
      </c>
      <c r="AY133">
        <v>-1</v>
      </c>
      <c r="AZ133">
        <v>-1</v>
      </c>
      <c r="BA133">
        <v>-1</v>
      </c>
      <c r="BB133">
        <v>0</v>
      </c>
      <c r="BC133" t="s">
        <v>2</v>
      </c>
      <c r="BD133">
        <v>-1</v>
      </c>
      <c r="BE133">
        <v>-1</v>
      </c>
      <c r="BF133">
        <v>-1</v>
      </c>
      <c r="BG133">
        <v>-1</v>
      </c>
      <c r="BH133">
        <v>-1</v>
      </c>
      <c r="BI133">
        <v>-1</v>
      </c>
      <c r="BJ133">
        <v>-1</v>
      </c>
      <c r="BK133">
        <v>-1</v>
      </c>
      <c r="BL133">
        <v>-1</v>
      </c>
      <c r="BM133">
        <v>-1</v>
      </c>
      <c r="BN133">
        <v>-1</v>
      </c>
      <c r="BO133">
        <v>-1</v>
      </c>
    </row>
    <row r="134" spans="1:67" x14ac:dyDescent="0.25">
      <c r="A134">
        <v>131</v>
      </c>
      <c r="B134">
        <v>40006</v>
      </c>
      <c r="C134" t="str">
        <f>VLOOKUP(B134,[1]resources!$A$2:$D$300,3,FALSE)</f>
        <v>!!ICECREAM_SEASALT</v>
      </c>
      <c r="D134">
        <v>4</v>
      </c>
      <c r="E134" t="str">
        <f>VLOOKUP(D134,[1]bonus_paytable!$A$2:$D$300,3,FALSE)</f>
        <v>bottomite_green_male_average</v>
      </c>
      <c r="F134">
        <v>-1</v>
      </c>
      <c r="G134">
        <v>-1</v>
      </c>
      <c r="H134">
        <v>1</v>
      </c>
      <c r="I134" t="s">
        <v>1</v>
      </c>
      <c r="J134">
        <v>41</v>
      </c>
      <c r="K134">
        <v>15</v>
      </c>
      <c r="L134">
        <v>13</v>
      </c>
      <c r="M134">
        <v>95</v>
      </c>
      <c r="N134">
        <v>30002</v>
      </c>
      <c r="O134">
        <v>70000</v>
      </c>
      <c r="P134">
        <v>50004</v>
      </c>
      <c r="Q134">
        <v>80000</v>
      </c>
      <c r="R134">
        <v>-1</v>
      </c>
      <c r="S134">
        <v>-1</v>
      </c>
      <c r="T134">
        <v>-1</v>
      </c>
      <c r="U134" s="2">
        <v>0.01</v>
      </c>
      <c r="V134" s="2">
        <v>0.03</v>
      </c>
      <c r="W134" s="2">
        <v>0.03</v>
      </c>
      <c r="X134" s="2">
        <v>0.05</v>
      </c>
      <c r="Y134" s="2">
        <v>0.05</v>
      </c>
      <c r="Z134" s="2">
        <v>0.05</v>
      </c>
      <c r="AA134" s="2">
        <v>0.05</v>
      </c>
      <c r="AB134" s="2">
        <v>0.05</v>
      </c>
      <c r="AC134">
        <v>-1</v>
      </c>
      <c r="AD134">
        <v>-1</v>
      </c>
      <c r="AE134" s="2">
        <v>-1</v>
      </c>
      <c r="AF134">
        <f t="shared" si="0"/>
        <v>1</v>
      </c>
      <c r="AG134">
        <f t="shared" si="1"/>
        <v>1</v>
      </c>
      <c r="AH134">
        <f t="shared" si="2"/>
        <v>1</v>
      </c>
      <c r="AI134">
        <f t="shared" si="3"/>
        <v>1</v>
      </c>
      <c r="AJ134">
        <f t="shared" si="4"/>
        <v>1</v>
      </c>
      <c r="AK134">
        <f t="shared" si="5"/>
        <v>1</v>
      </c>
      <c r="AL134">
        <f t="shared" si="6"/>
        <v>1</v>
      </c>
      <c r="AM134">
        <f t="shared" si="7"/>
        <v>1</v>
      </c>
      <c r="AN134">
        <f t="shared" si="8"/>
        <v>-1</v>
      </c>
      <c r="AO134">
        <f t="shared" si="9"/>
        <v>-1</v>
      </c>
      <c r="AP134">
        <f t="shared" si="10"/>
        <v>-1</v>
      </c>
      <c r="AQ134">
        <v>0</v>
      </c>
      <c r="AR134" t="s">
        <v>2</v>
      </c>
      <c r="AS134">
        <v>-1</v>
      </c>
      <c r="AT134">
        <v>-1</v>
      </c>
      <c r="AU134">
        <v>-1</v>
      </c>
      <c r="AV134">
        <v>-1</v>
      </c>
      <c r="AW134">
        <v>-1</v>
      </c>
      <c r="AX134">
        <v>-1</v>
      </c>
      <c r="AY134">
        <v>-1</v>
      </c>
      <c r="AZ134">
        <v>-1</v>
      </c>
      <c r="BA134">
        <v>-1</v>
      </c>
      <c r="BB134">
        <v>0</v>
      </c>
      <c r="BC134" t="s">
        <v>2</v>
      </c>
      <c r="BD134">
        <v>-1</v>
      </c>
      <c r="BE134">
        <v>-1</v>
      </c>
      <c r="BF134">
        <v>-1</v>
      </c>
      <c r="BG134">
        <v>-1</v>
      </c>
      <c r="BH134">
        <v>-1</v>
      </c>
      <c r="BI134">
        <v>-1</v>
      </c>
      <c r="BJ134">
        <v>-1</v>
      </c>
      <c r="BK134">
        <v>-1</v>
      </c>
      <c r="BL134">
        <v>-1</v>
      </c>
      <c r="BM134">
        <v>-1</v>
      </c>
      <c r="BN134">
        <v>-1</v>
      </c>
      <c r="BO134">
        <v>-1</v>
      </c>
    </row>
    <row r="135" spans="1:67" x14ac:dyDescent="0.25">
      <c r="A135">
        <v>132</v>
      </c>
      <c r="B135">
        <v>50004</v>
      </c>
      <c r="C135" t="str">
        <f>VLOOKUP(B135,[1]resources!$A$2:$D$300,3,FALSE)</f>
        <v>!!SHAKE_SALTY_BANANA</v>
      </c>
      <c r="D135">
        <v>4</v>
      </c>
      <c r="E135" t="str">
        <f>VLOOKUP(D135,[1]bonus_paytable!$A$2:$D$300,3,FALSE)</f>
        <v>bottomite_green_male_average</v>
      </c>
      <c r="F135">
        <v>-1</v>
      </c>
      <c r="G135">
        <v>-1</v>
      </c>
      <c r="H135">
        <v>1</v>
      </c>
      <c r="I135" t="s">
        <v>1</v>
      </c>
      <c r="J135">
        <v>41</v>
      </c>
      <c r="K135">
        <v>15</v>
      </c>
      <c r="L135">
        <v>13</v>
      </c>
      <c r="M135">
        <v>95</v>
      </c>
      <c r="N135">
        <v>30002</v>
      </c>
      <c r="O135">
        <v>70000</v>
      </c>
      <c r="P135">
        <v>50004</v>
      </c>
      <c r="Q135">
        <v>80000</v>
      </c>
      <c r="R135">
        <v>-1</v>
      </c>
      <c r="S135">
        <v>-1</v>
      </c>
      <c r="T135">
        <v>-1</v>
      </c>
      <c r="U135" s="2">
        <v>0.01</v>
      </c>
      <c r="V135" s="2">
        <v>0.03</v>
      </c>
      <c r="W135" s="2">
        <v>0.03</v>
      </c>
      <c r="X135" s="2">
        <v>0.05</v>
      </c>
      <c r="Y135" s="2">
        <v>0.05</v>
      </c>
      <c r="Z135" s="2">
        <v>0.05</v>
      </c>
      <c r="AA135" s="2">
        <v>0.05</v>
      </c>
      <c r="AB135" s="2">
        <v>0.05</v>
      </c>
      <c r="AC135">
        <v>-1</v>
      </c>
      <c r="AD135">
        <v>-1</v>
      </c>
      <c r="AE135" s="2">
        <v>-1</v>
      </c>
      <c r="AF135">
        <f t="shared" si="0"/>
        <v>1</v>
      </c>
      <c r="AG135">
        <f t="shared" si="1"/>
        <v>1</v>
      </c>
      <c r="AH135">
        <f t="shared" si="2"/>
        <v>1</v>
      </c>
      <c r="AI135">
        <f t="shared" si="3"/>
        <v>1</v>
      </c>
      <c r="AJ135">
        <f t="shared" si="4"/>
        <v>1</v>
      </c>
      <c r="AK135">
        <f t="shared" si="5"/>
        <v>1</v>
      </c>
      <c r="AL135">
        <f t="shared" si="6"/>
        <v>1</v>
      </c>
      <c r="AM135">
        <f t="shared" si="7"/>
        <v>1</v>
      </c>
      <c r="AN135">
        <f t="shared" si="8"/>
        <v>-1</v>
      </c>
      <c r="AO135">
        <f t="shared" si="9"/>
        <v>-1</v>
      </c>
      <c r="AP135">
        <f t="shared" si="10"/>
        <v>-1</v>
      </c>
      <c r="AQ135">
        <v>0</v>
      </c>
      <c r="AR135" t="s">
        <v>2</v>
      </c>
      <c r="AS135">
        <v>-1</v>
      </c>
      <c r="AT135">
        <v>-1</v>
      </c>
      <c r="AU135">
        <v>-1</v>
      </c>
      <c r="AV135">
        <v>-1</v>
      </c>
      <c r="AW135">
        <v>-1</v>
      </c>
      <c r="AX135">
        <v>-1</v>
      </c>
      <c r="AY135">
        <v>-1</v>
      </c>
      <c r="AZ135">
        <v>-1</v>
      </c>
      <c r="BA135">
        <v>-1</v>
      </c>
      <c r="BB135">
        <v>0</v>
      </c>
      <c r="BC135" t="s">
        <v>2</v>
      </c>
      <c r="BD135">
        <v>-1</v>
      </c>
      <c r="BE135">
        <v>-1</v>
      </c>
      <c r="BF135">
        <v>-1</v>
      </c>
      <c r="BG135">
        <v>-1</v>
      </c>
      <c r="BH135">
        <v>-1</v>
      </c>
      <c r="BI135">
        <v>-1</v>
      </c>
      <c r="BJ135">
        <v>-1</v>
      </c>
      <c r="BK135">
        <v>-1</v>
      </c>
      <c r="BL135">
        <v>-1</v>
      </c>
      <c r="BM135">
        <v>-1</v>
      </c>
      <c r="BN135">
        <v>-1</v>
      </c>
      <c r="BO135">
        <v>-1</v>
      </c>
    </row>
    <row r="136" spans="1:67" x14ac:dyDescent="0.25">
      <c r="A136">
        <v>133</v>
      </c>
      <c r="B136">
        <v>60014</v>
      </c>
      <c r="C136" t="str">
        <f>VLOOKUP(B136,[1]resources!$A$2:$D$300,3,FALSE)</f>
        <v>!!BOUQUET_FLOWERCORAL_FRIENDLYFLOWER</v>
      </c>
      <c r="D136">
        <v>4</v>
      </c>
      <c r="E136" t="str">
        <f>VLOOKUP(D136,[1]bonus_paytable!$A$2:$D$300,3,FALSE)</f>
        <v>bottomite_green_male_average</v>
      </c>
      <c r="F136">
        <v>-1</v>
      </c>
      <c r="G136">
        <v>-1</v>
      </c>
      <c r="H136">
        <v>1</v>
      </c>
      <c r="I136" t="s">
        <v>1</v>
      </c>
      <c r="J136">
        <v>41</v>
      </c>
      <c r="K136">
        <v>15</v>
      </c>
      <c r="L136">
        <v>13</v>
      </c>
      <c r="M136">
        <v>95</v>
      </c>
      <c r="N136">
        <v>30002</v>
      </c>
      <c r="O136">
        <v>70000</v>
      </c>
      <c r="P136">
        <v>50004</v>
      </c>
      <c r="Q136">
        <v>80000</v>
      </c>
      <c r="R136">
        <v>-1</v>
      </c>
      <c r="S136">
        <v>-1</v>
      </c>
      <c r="T136">
        <v>-1</v>
      </c>
      <c r="U136" s="2">
        <v>0.01</v>
      </c>
      <c r="V136" s="2">
        <v>0.03</v>
      </c>
      <c r="W136" s="2">
        <v>0.03</v>
      </c>
      <c r="X136" s="2">
        <v>0.05</v>
      </c>
      <c r="Y136" s="2">
        <v>0.05</v>
      </c>
      <c r="Z136" s="2">
        <v>0.05</v>
      </c>
      <c r="AA136" s="2">
        <v>0.05</v>
      </c>
      <c r="AB136" s="2">
        <v>0.05</v>
      </c>
      <c r="AC136">
        <v>-1</v>
      </c>
      <c r="AD136">
        <v>-1</v>
      </c>
      <c r="AE136" s="2">
        <v>-1</v>
      </c>
      <c r="AF136">
        <f t="shared" si="0"/>
        <v>1</v>
      </c>
      <c r="AG136">
        <f t="shared" si="1"/>
        <v>1</v>
      </c>
      <c r="AH136">
        <f t="shared" si="2"/>
        <v>1</v>
      </c>
      <c r="AI136">
        <f t="shared" si="3"/>
        <v>1</v>
      </c>
      <c r="AJ136">
        <f t="shared" si="4"/>
        <v>1</v>
      </c>
      <c r="AK136">
        <f t="shared" si="5"/>
        <v>1</v>
      </c>
      <c r="AL136">
        <f t="shared" si="6"/>
        <v>1</v>
      </c>
      <c r="AM136">
        <f t="shared" si="7"/>
        <v>1</v>
      </c>
      <c r="AN136">
        <f t="shared" si="8"/>
        <v>-1</v>
      </c>
      <c r="AO136">
        <f t="shared" si="9"/>
        <v>-1</v>
      </c>
      <c r="AP136">
        <f t="shared" si="10"/>
        <v>-1</v>
      </c>
      <c r="AQ136">
        <v>0</v>
      </c>
      <c r="AR136" t="s">
        <v>2</v>
      </c>
      <c r="AS136">
        <v>-1</v>
      </c>
      <c r="AT136">
        <v>-1</v>
      </c>
      <c r="AU136">
        <v>-1</v>
      </c>
      <c r="AV136">
        <v>-1</v>
      </c>
      <c r="AW136">
        <v>-1</v>
      </c>
      <c r="AX136">
        <v>-1</v>
      </c>
      <c r="AY136">
        <v>-1</v>
      </c>
      <c r="AZ136">
        <v>-1</v>
      </c>
      <c r="BA136">
        <v>-1</v>
      </c>
      <c r="BB136">
        <v>0</v>
      </c>
      <c r="BC136" t="s">
        <v>2</v>
      </c>
      <c r="BD136">
        <v>-1</v>
      </c>
      <c r="BE136">
        <v>-1</v>
      </c>
      <c r="BF136">
        <v>-1</v>
      </c>
      <c r="BG136">
        <v>-1</v>
      </c>
      <c r="BH136">
        <v>-1</v>
      </c>
      <c r="BI136">
        <v>-1</v>
      </c>
      <c r="BJ136">
        <v>-1</v>
      </c>
      <c r="BK136">
        <v>-1</v>
      </c>
      <c r="BL136">
        <v>-1</v>
      </c>
      <c r="BM136">
        <v>-1</v>
      </c>
      <c r="BN136">
        <v>-1</v>
      </c>
      <c r="BO136">
        <v>-1</v>
      </c>
    </row>
    <row r="137" spans="1:67" x14ac:dyDescent="0.25">
      <c r="A137">
        <v>134</v>
      </c>
      <c r="B137">
        <v>70009</v>
      </c>
      <c r="C137" t="str">
        <f>VLOOKUP(B137,[1]resources!$A$2:$D$300,3,FALSE)</f>
        <v>!!PERFUME_SEASHANTY</v>
      </c>
      <c r="D137">
        <v>4</v>
      </c>
      <c r="E137" t="str">
        <f>VLOOKUP(D137,[1]bonus_paytable!$A$2:$D$300,3,FALSE)</f>
        <v>bottomite_green_male_average</v>
      </c>
      <c r="F137">
        <v>-1</v>
      </c>
      <c r="G137">
        <v>-1</v>
      </c>
      <c r="H137">
        <v>1</v>
      </c>
      <c r="I137" t="s">
        <v>1</v>
      </c>
      <c r="J137">
        <v>41</v>
      </c>
      <c r="K137">
        <v>15</v>
      </c>
      <c r="L137">
        <v>13</v>
      </c>
      <c r="M137">
        <v>95</v>
      </c>
      <c r="N137">
        <v>30002</v>
      </c>
      <c r="O137">
        <v>70000</v>
      </c>
      <c r="P137">
        <v>50004</v>
      </c>
      <c r="Q137">
        <v>80000</v>
      </c>
      <c r="R137">
        <v>-1</v>
      </c>
      <c r="S137">
        <v>-1</v>
      </c>
      <c r="T137">
        <v>-1</v>
      </c>
      <c r="U137" s="2">
        <v>0.01</v>
      </c>
      <c r="V137" s="2">
        <v>0.03</v>
      </c>
      <c r="W137" s="2">
        <v>0.03</v>
      </c>
      <c r="X137" s="2">
        <v>0.05</v>
      </c>
      <c r="Y137" s="2">
        <v>0.05</v>
      </c>
      <c r="Z137" s="2">
        <v>0.05</v>
      </c>
      <c r="AA137" s="2">
        <v>0.05</v>
      </c>
      <c r="AB137" s="2">
        <v>0.05</v>
      </c>
      <c r="AC137">
        <v>-1</v>
      </c>
      <c r="AD137">
        <v>-1</v>
      </c>
      <c r="AE137" s="2">
        <v>-1</v>
      </c>
      <c r="AF137">
        <f t="shared" si="0"/>
        <v>1</v>
      </c>
      <c r="AG137">
        <f t="shared" si="1"/>
        <v>1</v>
      </c>
      <c r="AH137">
        <f t="shared" si="2"/>
        <v>1</v>
      </c>
      <c r="AI137">
        <f t="shared" si="3"/>
        <v>1</v>
      </c>
      <c r="AJ137">
        <f t="shared" si="4"/>
        <v>1</v>
      </c>
      <c r="AK137">
        <f t="shared" si="5"/>
        <v>1</v>
      </c>
      <c r="AL137">
        <f t="shared" si="6"/>
        <v>1</v>
      </c>
      <c r="AM137">
        <f t="shared" si="7"/>
        <v>1</v>
      </c>
      <c r="AN137">
        <f t="shared" si="8"/>
        <v>-1</v>
      </c>
      <c r="AO137">
        <f t="shared" si="9"/>
        <v>-1</v>
      </c>
      <c r="AP137">
        <f t="shared" si="10"/>
        <v>-1</v>
      </c>
      <c r="AQ137">
        <v>0</v>
      </c>
      <c r="AR137" t="s">
        <v>2</v>
      </c>
      <c r="AS137">
        <v>-1</v>
      </c>
      <c r="AT137">
        <v>-1</v>
      </c>
      <c r="AU137">
        <v>-1</v>
      </c>
      <c r="AV137">
        <v>-1</v>
      </c>
      <c r="AW137">
        <v>-1</v>
      </c>
      <c r="AX137">
        <v>-1</v>
      </c>
      <c r="AY137">
        <v>-1</v>
      </c>
      <c r="AZ137">
        <v>-1</v>
      </c>
      <c r="BA137">
        <v>-1</v>
      </c>
      <c r="BB137">
        <v>0</v>
      </c>
      <c r="BC137" t="s">
        <v>2</v>
      </c>
      <c r="BD137">
        <v>-1</v>
      </c>
      <c r="BE137">
        <v>-1</v>
      </c>
      <c r="BF137">
        <v>-1</v>
      </c>
      <c r="BG137">
        <v>-1</v>
      </c>
      <c r="BH137">
        <v>-1</v>
      </c>
      <c r="BI137">
        <v>-1</v>
      </c>
      <c r="BJ137">
        <v>-1</v>
      </c>
      <c r="BK137">
        <v>-1</v>
      </c>
      <c r="BL137">
        <v>-1</v>
      </c>
      <c r="BM137">
        <v>-1</v>
      </c>
      <c r="BN137">
        <v>-1</v>
      </c>
      <c r="BO137">
        <v>-1</v>
      </c>
    </row>
    <row r="138" spans="1:67" x14ac:dyDescent="0.25">
      <c r="A138">
        <v>135</v>
      </c>
      <c r="B138">
        <v>80000</v>
      </c>
      <c r="C138" t="str">
        <f>VLOOKUP(B138,[1]resources!$A$2:$D$300,3,FALSE)</f>
        <v>!!FOOD_BAKED_BANANABANANABREAD</v>
      </c>
      <c r="D138">
        <v>4</v>
      </c>
      <c r="E138" t="str">
        <f>VLOOKUP(D138,[1]bonus_paytable!$A$2:$D$300,3,FALSE)</f>
        <v>bottomite_green_male_average</v>
      </c>
      <c r="F138">
        <v>-1</v>
      </c>
      <c r="G138">
        <v>-1</v>
      </c>
      <c r="H138">
        <v>1</v>
      </c>
      <c r="I138" t="s">
        <v>1</v>
      </c>
      <c r="J138">
        <v>41</v>
      </c>
      <c r="K138">
        <v>15</v>
      </c>
      <c r="L138">
        <v>13</v>
      </c>
      <c r="M138">
        <v>95</v>
      </c>
      <c r="N138">
        <v>30002</v>
      </c>
      <c r="O138">
        <v>70000</v>
      </c>
      <c r="P138">
        <v>50004</v>
      </c>
      <c r="Q138">
        <v>80000</v>
      </c>
      <c r="R138">
        <v>-1</v>
      </c>
      <c r="S138">
        <v>-1</v>
      </c>
      <c r="T138">
        <v>-1</v>
      </c>
      <c r="U138" s="2">
        <v>0.01</v>
      </c>
      <c r="V138" s="2">
        <v>0.03</v>
      </c>
      <c r="W138" s="2">
        <v>0.03</v>
      </c>
      <c r="X138" s="2">
        <v>0.05</v>
      </c>
      <c r="Y138" s="2">
        <v>0.05</v>
      </c>
      <c r="Z138" s="2">
        <v>0.05</v>
      </c>
      <c r="AA138" s="2">
        <v>0.05</v>
      </c>
      <c r="AB138" s="2">
        <v>0.05</v>
      </c>
      <c r="AC138">
        <v>-1</v>
      </c>
      <c r="AD138">
        <v>-1</v>
      </c>
      <c r="AE138" s="2">
        <v>-1</v>
      </c>
      <c r="AF138">
        <f t="shared" si="0"/>
        <v>1</v>
      </c>
      <c r="AG138">
        <f t="shared" si="1"/>
        <v>1</v>
      </c>
      <c r="AH138">
        <f t="shared" si="2"/>
        <v>1</v>
      </c>
      <c r="AI138">
        <f t="shared" si="3"/>
        <v>1</v>
      </c>
      <c r="AJ138">
        <f t="shared" si="4"/>
        <v>1</v>
      </c>
      <c r="AK138">
        <f t="shared" si="5"/>
        <v>1</v>
      </c>
      <c r="AL138">
        <f t="shared" si="6"/>
        <v>1</v>
      </c>
      <c r="AM138">
        <f t="shared" si="7"/>
        <v>1</v>
      </c>
      <c r="AN138">
        <f t="shared" si="8"/>
        <v>-1</v>
      </c>
      <c r="AO138">
        <f t="shared" si="9"/>
        <v>-1</v>
      </c>
      <c r="AP138">
        <f t="shared" si="10"/>
        <v>-1</v>
      </c>
      <c r="AQ138">
        <v>0</v>
      </c>
      <c r="AR138" t="s">
        <v>2</v>
      </c>
      <c r="AS138">
        <v>-1</v>
      </c>
      <c r="AT138">
        <v>-1</v>
      </c>
      <c r="AU138">
        <v>-1</v>
      </c>
      <c r="AV138">
        <v>-1</v>
      </c>
      <c r="AW138">
        <v>-1</v>
      </c>
      <c r="AX138">
        <v>-1</v>
      </c>
      <c r="AY138">
        <v>-1</v>
      </c>
      <c r="AZ138">
        <v>-1</v>
      </c>
      <c r="BA138">
        <v>-1</v>
      </c>
      <c r="BB138">
        <v>0</v>
      </c>
      <c r="BC138" t="s">
        <v>2</v>
      </c>
      <c r="BD138">
        <v>-1</v>
      </c>
      <c r="BE138">
        <v>-1</v>
      </c>
      <c r="BF138">
        <v>-1</v>
      </c>
      <c r="BG138">
        <v>-1</v>
      </c>
      <c r="BH138">
        <v>-1</v>
      </c>
      <c r="BI138">
        <v>-1</v>
      </c>
      <c r="BJ138">
        <v>-1</v>
      </c>
      <c r="BK138">
        <v>-1</v>
      </c>
      <c r="BL138">
        <v>-1</v>
      </c>
      <c r="BM138">
        <v>-1</v>
      </c>
      <c r="BN138">
        <v>-1</v>
      </c>
      <c r="BO138">
        <v>-1</v>
      </c>
    </row>
    <row r="139" spans="1:67" x14ac:dyDescent="0.25">
      <c r="A139">
        <v>136</v>
      </c>
      <c r="B139">
        <v>1</v>
      </c>
      <c r="C139" t="str">
        <f>VLOOKUP(B139,[1]resources!$A$2:$D$300,3,FALSE)</f>
        <v>!!FOOD_KRABBYPATTY</v>
      </c>
      <c r="D139">
        <v>5</v>
      </c>
      <c r="E139" t="str">
        <f>VLOOKUP(D139,[1]bonus_paytable!$A$2:$D$300,3,FALSE)</f>
        <v>bottomite_orange_male_anchovy</v>
      </c>
      <c r="F139">
        <v>-1</v>
      </c>
      <c r="G139">
        <v>-1</v>
      </c>
      <c r="H139">
        <v>1</v>
      </c>
      <c r="I139" t="s">
        <v>1</v>
      </c>
      <c r="J139">
        <v>1008</v>
      </c>
      <c r="K139">
        <v>10008</v>
      </c>
      <c r="L139">
        <v>30008</v>
      </c>
      <c r="M139">
        <v>95</v>
      </c>
      <c r="N139">
        <v>30002</v>
      </c>
      <c r="O139">
        <v>40000</v>
      </c>
      <c r="P139">
        <v>50004</v>
      </c>
      <c r="Q139">
        <v>80000</v>
      </c>
      <c r="R139">
        <v>-1</v>
      </c>
      <c r="S139">
        <v>-1</v>
      </c>
      <c r="T139">
        <v>-1</v>
      </c>
      <c r="U139" s="2">
        <v>0.01</v>
      </c>
      <c r="V139" s="2">
        <v>0.03</v>
      </c>
      <c r="W139" s="2">
        <v>0.03</v>
      </c>
      <c r="X139" s="2">
        <v>0.05</v>
      </c>
      <c r="Y139" s="2">
        <v>0.05</v>
      </c>
      <c r="Z139" s="2">
        <v>0.05</v>
      </c>
      <c r="AA139" s="2">
        <v>0.05</v>
      </c>
      <c r="AB139" s="2">
        <v>0.05</v>
      </c>
      <c r="AC139">
        <v>-1</v>
      </c>
      <c r="AD139">
        <v>-1</v>
      </c>
      <c r="AE139" s="2">
        <v>-1</v>
      </c>
      <c r="AF139">
        <f t="shared" si="0"/>
        <v>1</v>
      </c>
      <c r="AG139">
        <f t="shared" si="1"/>
        <v>1</v>
      </c>
      <c r="AH139">
        <f t="shared" si="2"/>
        <v>1</v>
      </c>
      <c r="AI139">
        <f t="shared" si="3"/>
        <v>1</v>
      </c>
      <c r="AJ139">
        <f t="shared" si="4"/>
        <v>1</v>
      </c>
      <c r="AK139">
        <f t="shared" si="5"/>
        <v>1</v>
      </c>
      <c r="AL139">
        <f t="shared" si="6"/>
        <v>1</v>
      </c>
      <c r="AM139">
        <f t="shared" si="7"/>
        <v>1</v>
      </c>
      <c r="AN139">
        <f t="shared" si="8"/>
        <v>-1</v>
      </c>
      <c r="AO139">
        <f t="shared" si="9"/>
        <v>-1</v>
      </c>
      <c r="AP139">
        <f t="shared" si="10"/>
        <v>-1</v>
      </c>
      <c r="AQ139">
        <v>0</v>
      </c>
      <c r="AR139" t="s">
        <v>2</v>
      </c>
      <c r="AS139">
        <v>-1</v>
      </c>
      <c r="AT139">
        <v>-1</v>
      </c>
      <c r="AU139">
        <v>-1</v>
      </c>
      <c r="AV139">
        <v>-1</v>
      </c>
      <c r="AW139">
        <v>-1</v>
      </c>
      <c r="AX139">
        <v>-1</v>
      </c>
      <c r="AY139">
        <v>-1</v>
      </c>
      <c r="AZ139">
        <v>-1</v>
      </c>
      <c r="BA139">
        <v>-1</v>
      </c>
      <c r="BB139">
        <v>0</v>
      </c>
      <c r="BC139" t="s">
        <v>2</v>
      </c>
      <c r="BD139">
        <v>-1</v>
      </c>
      <c r="BE139">
        <v>-1</v>
      </c>
      <c r="BF139">
        <v>-1</v>
      </c>
      <c r="BG139">
        <v>-1</v>
      </c>
      <c r="BH139">
        <v>-1</v>
      </c>
      <c r="BI139">
        <v>-1</v>
      </c>
      <c r="BJ139">
        <v>-1</v>
      </c>
      <c r="BK139">
        <v>-1</v>
      </c>
      <c r="BL139">
        <v>-1</v>
      </c>
      <c r="BM139">
        <v>-1</v>
      </c>
      <c r="BN139">
        <v>-1</v>
      </c>
      <c r="BO139">
        <v>-1</v>
      </c>
    </row>
    <row r="140" spans="1:67" x14ac:dyDescent="0.25">
      <c r="A140">
        <v>137</v>
      </c>
      <c r="B140">
        <v>46</v>
      </c>
      <c r="C140" t="str">
        <f>VLOOKUP(B140,[1]resources!$A$2:$D$300,3,FALSE)</f>
        <v>!!FOOD_SALAD</v>
      </c>
      <c r="D140">
        <v>5</v>
      </c>
      <c r="E140" t="str">
        <f>VLOOKUP(D140,[1]bonus_paytable!$A$2:$D$300,3,FALSE)</f>
        <v>bottomite_orange_male_anchovy</v>
      </c>
      <c r="F140">
        <v>-1</v>
      </c>
      <c r="G140">
        <v>-1</v>
      </c>
      <c r="H140">
        <v>1</v>
      </c>
      <c r="I140" t="s">
        <v>1</v>
      </c>
      <c r="J140">
        <v>1008</v>
      </c>
      <c r="K140">
        <v>10008</v>
      </c>
      <c r="L140">
        <v>30008</v>
      </c>
      <c r="M140">
        <v>95</v>
      </c>
      <c r="N140">
        <v>30002</v>
      </c>
      <c r="O140">
        <v>40000</v>
      </c>
      <c r="P140">
        <v>50004</v>
      </c>
      <c r="Q140">
        <v>80000</v>
      </c>
      <c r="R140">
        <v>-1</v>
      </c>
      <c r="S140">
        <v>-1</v>
      </c>
      <c r="T140">
        <v>-1</v>
      </c>
      <c r="U140" s="2">
        <v>0.01</v>
      </c>
      <c r="V140" s="2">
        <v>0.03</v>
      </c>
      <c r="W140" s="2">
        <v>0.03</v>
      </c>
      <c r="X140" s="2">
        <v>0.05</v>
      </c>
      <c r="Y140" s="2">
        <v>0.05</v>
      </c>
      <c r="Z140" s="2">
        <v>0.05</v>
      </c>
      <c r="AA140" s="2">
        <v>0.05</v>
      </c>
      <c r="AB140" s="2">
        <v>0.05</v>
      </c>
      <c r="AC140">
        <v>-1</v>
      </c>
      <c r="AD140">
        <v>-1</v>
      </c>
      <c r="AE140" s="2">
        <v>-1</v>
      </c>
      <c r="AF140">
        <f t="shared" si="0"/>
        <v>1</v>
      </c>
      <c r="AG140">
        <f t="shared" si="1"/>
        <v>1</v>
      </c>
      <c r="AH140">
        <f t="shared" si="2"/>
        <v>1</v>
      </c>
      <c r="AI140">
        <f t="shared" si="3"/>
        <v>1</v>
      </c>
      <c r="AJ140">
        <f t="shared" si="4"/>
        <v>1</v>
      </c>
      <c r="AK140">
        <f t="shared" si="5"/>
        <v>1</v>
      </c>
      <c r="AL140">
        <f t="shared" si="6"/>
        <v>1</v>
      </c>
      <c r="AM140">
        <f t="shared" si="7"/>
        <v>1</v>
      </c>
      <c r="AN140">
        <f t="shared" si="8"/>
        <v>-1</v>
      </c>
      <c r="AO140">
        <f t="shared" si="9"/>
        <v>-1</v>
      </c>
      <c r="AP140">
        <f t="shared" si="10"/>
        <v>-1</v>
      </c>
      <c r="AQ140">
        <v>0</v>
      </c>
      <c r="AR140" t="s">
        <v>2</v>
      </c>
      <c r="AS140">
        <v>-1</v>
      </c>
      <c r="AT140">
        <v>-1</v>
      </c>
      <c r="AU140">
        <v>-1</v>
      </c>
      <c r="AV140">
        <v>-1</v>
      </c>
      <c r="AW140">
        <v>-1</v>
      </c>
      <c r="AX140">
        <v>-1</v>
      </c>
      <c r="AY140">
        <v>-1</v>
      </c>
      <c r="AZ140">
        <v>-1</v>
      </c>
      <c r="BA140">
        <v>-1</v>
      </c>
      <c r="BB140">
        <v>0</v>
      </c>
      <c r="BC140" t="s">
        <v>2</v>
      </c>
      <c r="BD140">
        <v>-1</v>
      </c>
      <c r="BE140">
        <v>-1</v>
      </c>
      <c r="BF140">
        <v>-1</v>
      </c>
      <c r="BG140">
        <v>-1</v>
      </c>
      <c r="BH140">
        <v>-1</v>
      </c>
      <c r="BI140">
        <v>-1</v>
      </c>
      <c r="BJ140">
        <v>-1</v>
      </c>
      <c r="BK140">
        <v>-1</v>
      </c>
      <c r="BL140">
        <v>-1</v>
      </c>
      <c r="BM140">
        <v>-1</v>
      </c>
      <c r="BN140">
        <v>-1</v>
      </c>
      <c r="BO140">
        <v>-1</v>
      </c>
    </row>
    <row r="141" spans="1:67" x14ac:dyDescent="0.25">
      <c r="A141">
        <v>138</v>
      </c>
      <c r="B141">
        <v>20003</v>
      </c>
      <c r="C141" t="str">
        <f>VLOOKUP(B141,[1]resources!$A$2:$D$300,3,FALSE)</f>
        <v>!!JUICE_ORANGE</v>
      </c>
      <c r="D141">
        <v>5</v>
      </c>
      <c r="E141" t="str">
        <f>VLOOKUP(D141,[1]bonus_paytable!$A$2:$D$300,3,FALSE)</f>
        <v>bottomite_orange_male_anchovy</v>
      </c>
      <c r="F141">
        <v>-1</v>
      </c>
      <c r="G141">
        <v>-1</v>
      </c>
      <c r="H141">
        <v>1</v>
      </c>
      <c r="I141" t="s">
        <v>1</v>
      </c>
      <c r="J141">
        <v>1008</v>
      </c>
      <c r="K141">
        <v>10008</v>
      </c>
      <c r="L141">
        <v>30008</v>
      </c>
      <c r="M141">
        <v>95</v>
      </c>
      <c r="N141">
        <v>30002</v>
      </c>
      <c r="O141">
        <v>40000</v>
      </c>
      <c r="P141">
        <v>50004</v>
      </c>
      <c r="Q141">
        <v>80000</v>
      </c>
      <c r="R141">
        <v>-1</v>
      </c>
      <c r="S141">
        <v>-1</v>
      </c>
      <c r="T141">
        <v>-1</v>
      </c>
      <c r="U141" s="2">
        <v>0.01</v>
      </c>
      <c r="V141" s="2">
        <v>0.03</v>
      </c>
      <c r="W141" s="2">
        <v>0.03</v>
      </c>
      <c r="X141" s="2">
        <v>0.05</v>
      </c>
      <c r="Y141" s="2">
        <v>0.05</v>
      </c>
      <c r="Z141" s="2">
        <v>0.05</v>
      </c>
      <c r="AA141" s="2">
        <v>0.05</v>
      </c>
      <c r="AB141" s="2">
        <v>0.05</v>
      </c>
      <c r="AC141">
        <v>-1</v>
      </c>
      <c r="AD141">
        <v>-1</v>
      </c>
      <c r="AE141" s="2">
        <v>-1</v>
      </c>
      <c r="AF141">
        <f t="shared" si="0"/>
        <v>1</v>
      </c>
      <c r="AG141">
        <f t="shared" si="1"/>
        <v>1</v>
      </c>
      <c r="AH141">
        <f t="shared" si="2"/>
        <v>1</v>
      </c>
      <c r="AI141">
        <f t="shared" si="3"/>
        <v>1</v>
      </c>
      <c r="AJ141">
        <f t="shared" si="4"/>
        <v>1</v>
      </c>
      <c r="AK141">
        <f t="shared" si="5"/>
        <v>1</v>
      </c>
      <c r="AL141">
        <f t="shared" si="6"/>
        <v>1</v>
      </c>
      <c r="AM141">
        <f t="shared" si="7"/>
        <v>1</v>
      </c>
      <c r="AN141">
        <f t="shared" si="8"/>
        <v>-1</v>
      </c>
      <c r="AO141">
        <f t="shared" si="9"/>
        <v>-1</v>
      </c>
      <c r="AP141">
        <f t="shared" si="10"/>
        <v>-1</v>
      </c>
      <c r="AQ141">
        <v>0</v>
      </c>
      <c r="AR141" t="s">
        <v>2</v>
      </c>
      <c r="AS141">
        <v>-1</v>
      </c>
      <c r="AT141">
        <v>-1</v>
      </c>
      <c r="AU141">
        <v>-1</v>
      </c>
      <c r="AV141">
        <v>-1</v>
      </c>
      <c r="AW141">
        <v>-1</v>
      </c>
      <c r="AX141">
        <v>-1</v>
      </c>
      <c r="AY141">
        <v>-1</v>
      </c>
      <c r="AZ141">
        <v>-1</v>
      </c>
      <c r="BA141">
        <v>-1</v>
      </c>
      <c r="BB141">
        <v>0</v>
      </c>
      <c r="BC141" t="s">
        <v>2</v>
      </c>
      <c r="BD141">
        <v>-1</v>
      </c>
      <c r="BE141">
        <v>-1</v>
      </c>
      <c r="BF141">
        <v>-1</v>
      </c>
      <c r="BG141">
        <v>-1</v>
      </c>
      <c r="BH141">
        <v>-1</v>
      </c>
      <c r="BI141">
        <v>-1</v>
      </c>
      <c r="BJ141">
        <v>-1</v>
      </c>
      <c r="BK141">
        <v>-1</v>
      </c>
      <c r="BL141">
        <v>-1</v>
      </c>
      <c r="BM141">
        <v>-1</v>
      </c>
      <c r="BN141">
        <v>-1</v>
      </c>
      <c r="BO141">
        <v>-1</v>
      </c>
    </row>
    <row r="142" spans="1:67" x14ac:dyDescent="0.25">
      <c r="A142">
        <v>139</v>
      </c>
      <c r="B142">
        <v>30010</v>
      </c>
      <c r="C142" t="str">
        <f>VLOOKUP(B142,[1]resources!$A$2:$D$300,3,FALSE)</f>
        <v>!!SMOOTHIE_STRAWNANA_TSUNAMI</v>
      </c>
      <c r="D142">
        <v>5</v>
      </c>
      <c r="E142" t="str">
        <f>VLOOKUP(D142,[1]bonus_paytable!$A$2:$D$300,3,FALSE)</f>
        <v>bottomite_orange_male_anchovy</v>
      </c>
      <c r="F142">
        <v>-1</v>
      </c>
      <c r="G142">
        <v>-1</v>
      </c>
      <c r="H142">
        <v>1</v>
      </c>
      <c r="I142" t="s">
        <v>1</v>
      </c>
      <c r="J142">
        <v>1008</v>
      </c>
      <c r="K142">
        <v>10008</v>
      </c>
      <c r="L142">
        <v>30008</v>
      </c>
      <c r="M142">
        <v>95</v>
      </c>
      <c r="N142">
        <v>30002</v>
      </c>
      <c r="O142">
        <v>40000</v>
      </c>
      <c r="P142">
        <v>50004</v>
      </c>
      <c r="Q142">
        <v>80000</v>
      </c>
      <c r="R142">
        <v>-1</v>
      </c>
      <c r="S142">
        <v>-1</v>
      </c>
      <c r="T142">
        <v>-1</v>
      </c>
      <c r="U142" s="2">
        <v>0.01</v>
      </c>
      <c r="V142" s="2">
        <v>0.03</v>
      </c>
      <c r="W142" s="2">
        <v>0.03</v>
      </c>
      <c r="X142" s="2">
        <v>0.05</v>
      </c>
      <c r="Y142" s="2">
        <v>0.05</v>
      </c>
      <c r="Z142" s="2">
        <v>0.05</v>
      </c>
      <c r="AA142" s="2">
        <v>0.05</v>
      </c>
      <c r="AB142" s="2">
        <v>0.05</v>
      </c>
      <c r="AC142">
        <v>-1</v>
      </c>
      <c r="AD142">
        <v>-1</v>
      </c>
      <c r="AE142" s="2">
        <v>-1</v>
      </c>
      <c r="AF142">
        <f t="shared" si="0"/>
        <v>1</v>
      </c>
      <c r="AG142">
        <f t="shared" si="1"/>
        <v>1</v>
      </c>
      <c r="AH142">
        <f t="shared" si="2"/>
        <v>1</v>
      </c>
      <c r="AI142">
        <f t="shared" si="3"/>
        <v>1</v>
      </c>
      <c r="AJ142">
        <f t="shared" si="4"/>
        <v>1</v>
      </c>
      <c r="AK142">
        <f t="shared" si="5"/>
        <v>1</v>
      </c>
      <c r="AL142">
        <f t="shared" si="6"/>
        <v>1</v>
      </c>
      <c r="AM142">
        <f t="shared" si="7"/>
        <v>1</v>
      </c>
      <c r="AN142">
        <f t="shared" si="8"/>
        <v>-1</v>
      </c>
      <c r="AO142">
        <f t="shared" si="9"/>
        <v>-1</v>
      </c>
      <c r="AP142">
        <f t="shared" si="10"/>
        <v>-1</v>
      </c>
      <c r="AQ142">
        <v>0</v>
      </c>
      <c r="AR142" t="s">
        <v>2</v>
      </c>
      <c r="AS142">
        <v>-1</v>
      </c>
      <c r="AT142">
        <v>-1</v>
      </c>
      <c r="AU142">
        <v>-1</v>
      </c>
      <c r="AV142">
        <v>-1</v>
      </c>
      <c r="AW142">
        <v>-1</v>
      </c>
      <c r="AX142">
        <v>-1</v>
      </c>
      <c r="AY142">
        <v>-1</v>
      </c>
      <c r="AZ142">
        <v>-1</v>
      </c>
      <c r="BA142">
        <v>-1</v>
      </c>
      <c r="BB142">
        <v>0</v>
      </c>
      <c r="BC142" t="s">
        <v>2</v>
      </c>
      <c r="BD142">
        <v>-1</v>
      </c>
      <c r="BE142">
        <v>-1</v>
      </c>
      <c r="BF142">
        <v>-1</v>
      </c>
      <c r="BG142">
        <v>-1</v>
      </c>
      <c r="BH142">
        <v>-1</v>
      </c>
      <c r="BI142">
        <v>-1</v>
      </c>
      <c r="BJ142">
        <v>-1</v>
      </c>
      <c r="BK142">
        <v>-1</v>
      </c>
      <c r="BL142">
        <v>-1</v>
      </c>
      <c r="BM142">
        <v>-1</v>
      </c>
      <c r="BN142">
        <v>-1</v>
      </c>
      <c r="BO142">
        <v>-1</v>
      </c>
    </row>
    <row r="143" spans="1:67" x14ac:dyDescent="0.25">
      <c r="A143">
        <v>140</v>
      </c>
      <c r="B143">
        <v>40000</v>
      </c>
      <c r="C143" t="str">
        <f>VLOOKUP(B143,[1]resources!$A$2:$D$300,3,FALSE)</f>
        <v>!!ICECREAM_BANANA</v>
      </c>
      <c r="D143">
        <v>5</v>
      </c>
      <c r="E143" t="str">
        <f>VLOOKUP(D143,[1]bonus_paytable!$A$2:$D$300,3,FALSE)</f>
        <v>bottomite_orange_male_anchovy</v>
      </c>
      <c r="F143">
        <v>-1</v>
      </c>
      <c r="G143">
        <v>-1</v>
      </c>
      <c r="H143">
        <v>1</v>
      </c>
      <c r="I143" t="s">
        <v>1</v>
      </c>
      <c r="J143">
        <v>1008</v>
      </c>
      <c r="K143">
        <v>10008</v>
      </c>
      <c r="L143">
        <v>30008</v>
      </c>
      <c r="M143">
        <v>95</v>
      </c>
      <c r="N143">
        <v>30002</v>
      </c>
      <c r="O143">
        <v>40000</v>
      </c>
      <c r="P143">
        <v>50004</v>
      </c>
      <c r="Q143">
        <v>80000</v>
      </c>
      <c r="R143">
        <v>-1</v>
      </c>
      <c r="S143">
        <v>-1</v>
      </c>
      <c r="T143">
        <v>-1</v>
      </c>
      <c r="U143" s="2">
        <v>0.01</v>
      </c>
      <c r="V143" s="2">
        <v>0.03</v>
      </c>
      <c r="W143" s="2">
        <v>0.03</v>
      </c>
      <c r="X143" s="2">
        <v>0.05</v>
      </c>
      <c r="Y143" s="2">
        <v>0.05</v>
      </c>
      <c r="Z143" s="2">
        <v>0.05</v>
      </c>
      <c r="AA143" s="2">
        <v>0.05</v>
      </c>
      <c r="AB143" s="2">
        <v>0.05</v>
      </c>
      <c r="AC143">
        <v>-1</v>
      </c>
      <c r="AD143">
        <v>-1</v>
      </c>
      <c r="AE143" s="2">
        <v>-1</v>
      </c>
      <c r="AF143">
        <f t="shared" si="0"/>
        <v>1</v>
      </c>
      <c r="AG143">
        <f t="shared" si="1"/>
        <v>1</v>
      </c>
      <c r="AH143">
        <f t="shared" si="2"/>
        <v>1</v>
      </c>
      <c r="AI143">
        <f t="shared" si="3"/>
        <v>1</v>
      </c>
      <c r="AJ143">
        <f t="shared" si="4"/>
        <v>1</v>
      </c>
      <c r="AK143">
        <f t="shared" si="5"/>
        <v>1</v>
      </c>
      <c r="AL143">
        <f t="shared" si="6"/>
        <v>1</v>
      </c>
      <c r="AM143">
        <f t="shared" si="7"/>
        <v>1</v>
      </c>
      <c r="AN143">
        <f t="shared" si="8"/>
        <v>-1</v>
      </c>
      <c r="AO143">
        <f t="shared" si="9"/>
        <v>-1</v>
      </c>
      <c r="AP143">
        <f t="shared" si="10"/>
        <v>-1</v>
      </c>
      <c r="AQ143">
        <v>0</v>
      </c>
      <c r="AR143" t="s">
        <v>2</v>
      </c>
      <c r="AS143">
        <v>-1</v>
      </c>
      <c r="AT143">
        <v>-1</v>
      </c>
      <c r="AU143">
        <v>-1</v>
      </c>
      <c r="AV143">
        <v>-1</v>
      </c>
      <c r="AW143">
        <v>-1</v>
      </c>
      <c r="AX143">
        <v>-1</v>
      </c>
      <c r="AY143">
        <v>-1</v>
      </c>
      <c r="AZ143">
        <v>-1</v>
      </c>
      <c r="BA143">
        <v>-1</v>
      </c>
      <c r="BB143">
        <v>0</v>
      </c>
      <c r="BC143" t="s">
        <v>2</v>
      </c>
      <c r="BD143">
        <v>-1</v>
      </c>
      <c r="BE143">
        <v>-1</v>
      </c>
      <c r="BF143">
        <v>-1</v>
      </c>
      <c r="BG143">
        <v>-1</v>
      </c>
      <c r="BH143">
        <v>-1</v>
      </c>
      <c r="BI143">
        <v>-1</v>
      </c>
      <c r="BJ143">
        <v>-1</v>
      </c>
      <c r="BK143">
        <v>-1</v>
      </c>
      <c r="BL143">
        <v>-1</v>
      </c>
      <c r="BM143">
        <v>-1</v>
      </c>
      <c r="BN143">
        <v>-1</v>
      </c>
      <c r="BO143">
        <v>-1</v>
      </c>
    </row>
    <row r="144" spans="1:67" x14ac:dyDescent="0.25">
      <c r="A144">
        <v>141</v>
      </c>
      <c r="B144">
        <v>50005</v>
      </c>
      <c r="C144" t="str">
        <f>VLOOKUP(B144,[1]resources!$A$2:$D$300,3,FALSE)</f>
        <v>!!SHAKE_STRAWBERRY_RIPTIDE</v>
      </c>
      <c r="D144">
        <v>5</v>
      </c>
      <c r="E144" t="str">
        <f>VLOOKUP(D144,[1]bonus_paytable!$A$2:$D$300,3,FALSE)</f>
        <v>bottomite_orange_male_anchovy</v>
      </c>
      <c r="F144">
        <v>-1</v>
      </c>
      <c r="G144">
        <v>-1</v>
      </c>
      <c r="H144">
        <v>1</v>
      </c>
      <c r="I144" t="s">
        <v>1</v>
      </c>
      <c r="J144">
        <v>1008</v>
      </c>
      <c r="K144">
        <v>10008</v>
      </c>
      <c r="L144">
        <v>30008</v>
      </c>
      <c r="M144">
        <v>95</v>
      </c>
      <c r="N144">
        <v>30002</v>
      </c>
      <c r="O144">
        <v>40000</v>
      </c>
      <c r="P144">
        <v>50004</v>
      </c>
      <c r="Q144">
        <v>80000</v>
      </c>
      <c r="R144">
        <v>-1</v>
      </c>
      <c r="S144">
        <v>-1</v>
      </c>
      <c r="T144">
        <v>-1</v>
      </c>
      <c r="U144" s="2">
        <v>0.01</v>
      </c>
      <c r="V144" s="2">
        <v>0.03</v>
      </c>
      <c r="W144" s="2">
        <v>0.03</v>
      </c>
      <c r="X144" s="2">
        <v>0.05</v>
      </c>
      <c r="Y144" s="2">
        <v>0.05</v>
      </c>
      <c r="Z144" s="2">
        <v>0.05</v>
      </c>
      <c r="AA144" s="2">
        <v>0.05</v>
      </c>
      <c r="AB144" s="2">
        <v>0.05</v>
      </c>
      <c r="AC144">
        <v>-1</v>
      </c>
      <c r="AD144">
        <v>-1</v>
      </c>
      <c r="AE144" s="2">
        <v>-1</v>
      </c>
      <c r="AF144">
        <f t="shared" si="0"/>
        <v>1</v>
      </c>
      <c r="AG144">
        <f t="shared" si="1"/>
        <v>1</v>
      </c>
      <c r="AH144">
        <f t="shared" si="2"/>
        <v>1</v>
      </c>
      <c r="AI144">
        <f t="shared" si="3"/>
        <v>1</v>
      </c>
      <c r="AJ144">
        <f t="shared" si="4"/>
        <v>1</v>
      </c>
      <c r="AK144">
        <f t="shared" si="5"/>
        <v>1</v>
      </c>
      <c r="AL144">
        <f t="shared" si="6"/>
        <v>1</v>
      </c>
      <c r="AM144">
        <f t="shared" si="7"/>
        <v>1</v>
      </c>
      <c r="AN144">
        <f t="shared" si="8"/>
        <v>-1</v>
      </c>
      <c r="AO144">
        <f t="shared" si="9"/>
        <v>-1</v>
      </c>
      <c r="AP144">
        <f t="shared" si="10"/>
        <v>-1</v>
      </c>
      <c r="AQ144">
        <v>0</v>
      </c>
      <c r="AR144" t="s">
        <v>2</v>
      </c>
      <c r="AS144">
        <v>-1</v>
      </c>
      <c r="AT144">
        <v>-1</v>
      </c>
      <c r="AU144">
        <v>-1</v>
      </c>
      <c r="AV144">
        <v>-1</v>
      </c>
      <c r="AW144">
        <v>-1</v>
      </c>
      <c r="AX144">
        <v>-1</v>
      </c>
      <c r="AY144">
        <v>-1</v>
      </c>
      <c r="AZ144">
        <v>-1</v>
      </c>
      <c r="BA144">
        <v>-1</v>
      </c>
      <c r="BB144">
        <v>0</v>
      </c>
      <c r="BC144" t="s">
        <v>2</v>
      </c>
      <c r="BD144">
        <v>-1</v>
      </c>
      <c r="BE144">
        <v>-1</v>
      </c>
      <c r="BF144">
        <v>-1</v>
      </c>
      <c r="BG144">
        <v>-1</v>
      </c>
      <c r="BH144">
        <v>-1</v>
      </c>
      <c r="BI144">
        <v>-1</v>
      </c>
      <c r="BJ144">
        <v>-1</v>
      </c>
      <c r="BK144">
        <v>-1</v>
      </c>
      <c r="BL144">
        <v>-1</v>
      </c>
      <c r="BM144">
        <v>-1</v>
      </c>
      <c r="BN144">
        <v>-1</v>
      </c>
      <c r="BO144">
        <v>-1</v>
      </c>
    </row>
    <row r="145" spans="1:67" x14ac:dyDescent="0.25">
      <c r="A145">
        <v>142</v>
      </c>
      <c r="B145">
        <v>60015</v>
      </c>
      <c r="C145" t="str">
        <f>VLOOKUP(B145,[1]resources!$A$2:$D$300,3,FALSE)</f>
        <v>!!BOUQUET_FLOWERCORAL_CUPN2FLOWERS</v>
      </c>
      <c r="D145">
        <v>5</v>
      </c>
      <c r="E145" t="str">
        <f>VLOOKUP(D145,[1]bonus_paytable!$A$2:$D$300,3,FALSE)</f>
        <v>bottomite_orange_male_anchovy</v>
      </c>
      <c r="F145">
        <v>-1</v>
      </c>
      <c r="G145">
        <v>-1</v>
      </c>
      <c r="H145">
        <v>1</v>
      </c>
      <c r="I145" t="s">
        <v>1</v>
      </c>
      <c r="J145">
        <v>1008</v>
      </c>
      <c r="K145">
        <v>10008</v>
      </c>
      <c r="L145">
        <v>30008</v>
      </c>
      <c r="M145">
        <v>95</v>
      </c>
      <c r="N145">
        <v>30002</v>
      </c>
      <c r="O145">
        <v>40000</v>
      </c>
      <c r="P145">
        <v>50004</v>
      </c>
      <c r="Q145">
        <v>80000</v>
      </c>
      <c r="R145">
        <v>-1</v>
      </c>
      <c r="S145">
        <v>-1</v>
      </c>
      <c r="T145">
        <v>-1</v>
      </c>
      <c r="U145" s="2">
        <v>0.01</v>
      </c>
      <c r="V145" s="2">
        <v>0.03</v>
      </c>
      <c r="W145" s="2">
        <v>0.03</v>
      </c>
      <c r="X145" s="2">
        <v>0.05</v>
      </c>
      <c r="Y145" s="2">
        <v>0.05</v>
      </c>
      <c r="Z145" s="2">
        <v>0.05</v>
      </c>
      <c r="AA145" s="2">
        <v>0.05</v>
      </c>
      <c r="AB145" s="2">
        <v>0.05</v>
      </c>
      <c r="AC145">
        <v>-1</v>
      </c>
      <c r="AD145">
        <v>-1</v>
      </c>
      <c r="AE145" s="2">
        <v>-1</v>
      </c>
      <c r="AF145">
        <f t="shared" si="0"/>
        <v>1</v>
      </c>
      <c r="AG145">
        <f t="shared" si="1"/>
        <v>1</v>
      </c>
      <c r="AH145">
        <f t="shared" si="2"/>
        <v>1</v>
      </c>
      <c r="AI145">
        <f t="shared" si="3"/>
        <v>1</v>
      </c>
      <c r="AJ145">
        <f t="shared" si="4"/>
        <v>1</v>
      </c>
      <c r="AK145">
        <f t="shared" si="5"/>
        <v>1</v>
      </c>
      <c r="AL145">
        <f t="shared" si="6"/>
        <v>1</v>
      </c>
      <c r="AM145">
        <f t="shared" si="7"/>
        <v>1</v>
      </c>
      <c r="AN145">
        <f t="shared" si="8"/>
        <v>-1</v>
      </c>
      <c r="AO145">
        <f t="shared" si="9"/>
        <v>-1</v>
      </c>
      <c r="AP145">
        <f t="shared" si="10"/>
        <v>-1</v>
      </c>
      <c r="AQ145">
        <v>0</v>
      </c>
      <c r="AR145" t="s">
        <v>2</v>
      </c>
      <c r="AS145">
        <v>-1</v>
      </c>
      <c r="AT145">
        <v>-1</v>
      </c>
      <c r="AU145">
        <v>-1</v>
      </c>
      <c r="AV145">
        <v>-1</v>
      </c>
      <c r="AW145">
        <v>-1</v>
      </c>
      <c r="AX145">
        <v>-1</v>
      </c>
      <c r="AY145">
        <v>-1</v>
      </c>
      <c r="AZ145">
        <v>-1</v>
      </c>
      <c r="BA145">
        <v>-1</v>
      </c>
      <c r="BB145">
        <v>0</v>
      </c>
      <c r="BC145" t="s">
        <v>2</v>
      </c>
      <c r="BD145">
        <v>-1</v>
      </c>
      <c r="BE145">
        <v>-1</v>
      </c>
      <c r="BF145">
        <v>-1</v>
      </c>
      <c r="BG145">
        <v>-1</v>
      </c>
      <c r="BH145">
        <v>-1</v>
      </c>
      <c r="BI145">
        <v>-1</v>
      </c>
      <c r="BJ145">
        <v>-1</v>
      </c>
      <c r="BK145">
        <v>-1</v>
      </c>
      <c r="BL145">
        <v>-1</v>
      </c>
      <c r="BM145">
        <v>-1</v>
      </c>
      <c r="BN145">
        <v>-1</v>
      </c>
      <c r="BO145">
        <v>-1</v>
      </c>
    </row>
    <row r="146" spans="1:67" x14ac:dyDescent="0.25">
      <c r="A146">
        <v>143</v>
      </c>
      <c r="B146">
        <v>70002</v>
      </c>
      <c r="C146" t="str">
        <f>VLOOKUP(B146,[1]resources!$A$2:$D$300,3,FALSE)</f>
        <v>!!PERFUME_CAPSIZEFORHIM</v>
      </c>
      <c r="D146">
        <v>5</v>
      </c>
      <c r="E146" t="str">
        <f>VLOOKUP(D146,[1]bonus_paytable!$A$2:$D$300,3,FALSE)</f>
        <v>bottomite_orange_male_anchovy</v>
      </c>
      <c r="F146">
        <v>-1</v>
      </c>
      <c r="G146">
        <v>-1</v>
      </c>
      <c r="H146">
        <v>1</v>
      </c>
      <c r="I146" t="s">
        <v>1</v>
      </c>
      <c r="J146">
        <v>1008</v>
      </c>
      <c r="K146">
        <v>10008</v>
      </c>
      <c r="L146">
        <v>30008</v>
      </c>
      <c r="M146">
        <v>95</v>
      </c>
      <c r="N146">
        <v>30002</v>
      </c>
      <c r="O146">
        <v>40000</v>
      </c>
      <c r="P146">
        <v>50004</v>
      </c>
      <c r="Q146">
        <v>80000</v>
      </c>
      <c r="R146">
        <v>-1</v>
      </c>
      <c r="S146">
        <v>-1</v>
      </c>
      <c r="T146">
        <v>-1</v>
      </c>
      <c r="U146" s="2">
        <v>0.01</v>
      </c>
      <c r="V146" s="2">
        <v>0.03</v>
      </c>
      <c r="W146" s="2">
        <v>0.03</v>
      </c>
      <c r="X146" s="2">
        <v>0.05</v>
      </c>
      <c r="Y146" s="2">
        <v>0.05</v>
      </c>
      <c r="Z146" s="2">
        <v>0.05</v>
      </c>
      <c r="AA146" s="2">
        <v>0.05</v>
      </c>
      <c r="AB146" s="2">
        <v>0.05</v>
      </c>
      <c r="AC146">
        <v>-1</v>
      </c>
      <c r="AD146">
        <v>-1</v>
      </c>
      <c r="AE146" s="2">
        <v>-1</v>
      </c>
      <c r="AF146">
        <f t="shared" si="0"/>
        <v>1</v>
      </c>
      <c r="AG146">
        <f t="shared" si="1"/>
        <v>1</v>
      </c>
      <c r="AH146">
        <f t="shared" si="2"/>
        <v>1</v>
      </c>
      <c r="AI146">
        <f t="shared" si="3"/>
        <v>1</v>
      </c>
      <c r="AJ146">
        <f t="shared" si="4"/>
        <v>1</v>
      </c>
      <c r="AK146">
        <f t="shared" si="5"/>
        <v>1</v>
      </c>
      <c r="AL146">
        <f t="shared" si="6"/>
        <v>1</v>
      </c>
      <c r="AM146">
        <f t="shared" si="7"/>
        <v>1</v>
      </c>
      <c r="AN146">
        <f t="shared" si="8"/>
        <v>-1</v>
      </c>
      <c r="AO146">
        <f t="shared" si="9"/>
        <v>-1</v>
      </c>
      <c r="AP146">
        <f t="shared" si="10"/>
        <v>-1</v>
      </c>
      <c r="AQ146">
        <v>0</v>
      </c>
      <c r="AR146" t="s">
        <v>2</v>
      </c>
      <c r="AS146">
        <v>-1</v>
      </c>
      <c r="AT146">
        <v>-1</v>
      </c>
      <c r="AU146">
        <v>-1</v>
      </c>
      <c r="AV146">
        <v>-1</v>
      </c>
      <c r="AW146">
        <v>-1</v>
      </c>
      <c r="AX146">
        <v>-1</v>
      </c>
      <c r="AY146">
        <v>-1</v>
      </c>
      <c r="AZ146">
        <v>-1</v>
      </c>
      <c r="BA146">
        <v>-1</v>
      </c>
      <c r="BB146">
        <v>0</v>
      </c>
      <c r="BC146" t="s">
        <v>2</v>
      </c>
      <c r="BD146">
        <v>-1</v>
      </c>
      <c r="BE146">
        <v>-1</v>
      </c>
      <c r="BF146">
        <v>-1</v>
      </c>
      <c r="BG146">
        <v>-1</v>
      </c>
      <c r="BH146">
        <v>-1</v>
      </c>
      <c r="BI146">
        <v>-1</v>
      </c>
      <c r="BJ146">
        <v>-1</v>
      </c>
      <c r="BK146">
        <v>-1</v>
      </c>
      <c r="BL146">
        <v>-1</v>
      </c>
      <c r="BM146">
        <v>-1</v>
      </c>
      <c r="BN146">
        <v>-1</v>
      </c>
      <c r="BO146">
        <v>-1</v>
      </c>
    </row>
    <row r="147" spans="1:67" x14ac:dyDescent="0.25">
      <c r="A147">
        <v>144</v>
      </c>
      <c r="B147">
        <v>80014</v>
      </c>
      <c r="C147" t="str">
        <f>VLOOKUP(B147,[1]resources!$A$2:$D$300,3,FALSE)</f>
        <v>!!FOOD_BAKED_SHELDONSSTRAWBERRYSHORTCAKE</v>
      </c>
      <c r="D147">
        <v>5</v>
      </c>
      <c r="E147" t="str">
        <f>VLOOKUP(D147,[1]bonus_paytable!$A$2:$D$300,3,FALSE)</f>
        <v>bottomite_orange_male_anchovy</v>
      </c>
      <c r="F147">
        <v>-1</v>
      </c>
      <c r="G147">
        <v>-1</v>
      </c>
      <c r="H147">
        <v>1</v>
      </c>
      <c r="I147" t="s">
        <v>1</v>
      </c>
      <c r="J147">
        <v>1008</v>
      </c>
      <c r="K147">
        <v>10008</v>
      </c>
      <c r="L147">
        <v>30008</v>
      </c>
      <c r="M147">
        <v>95</v>
      </c>
      <c r="N147">
        <v>30002</v>
      </c>
      <c r="O147">
        <v>40000</v>
      </c>
      <c r="P147">
        <v>50004</v>
      </c>
      <c r="Q147">
        <v>80000</v>
      </c>
      <c r="R147">
        <v>-1</v>
      </c>
      <c r="S147">
        <v>-1</v>
      </c>
      <c r="T147">
        <v>-1</v>
      </c>
      <c r="U147" s="2">
        <v>0.01</v>
      </c>
      <c r="V147" s="2">
        <v>0.03</v>
      </c>
      <c r="W147" s="2">
        <v>0.03</v>
      </c>
      <c r="X147" s="2">
        <v>0.05</v>
      </c>
      <c r="Y147" s="2">
        <v>0.05</v>
      </c>
      <c r="Z147" s="2">
        <v>0.05</v>
      </c>
      <c r="AA147" s="2">
        <v>0.05</v>
      </c>
      <c r="AB147" s="2">
        <v>0.05</v>
      </c>
      <c r="AC147">
        <v>-1</v>
      </c>
      <c r="AD147">
        <v>-1</v>
      </c>
      <c r="AE147" s="2">
        <v>-1</v>
      </c>
      <c r="AF147">
        <f t="shared" si="0"/>
        <v>1</v>
      </c>
      <c r="AG147">
        <f t="shared" si="1"/>
        <v>1</v>
      </c>
      <c r="AH147">
        <f t="shared" si="2"/>
        <v>1</v>
      </c>
      <c r="AI147">
        <f t="shared" si="3"/>
        <v>1</v>
      </c>
      <c r="AJ147">
        <f t="shared" si="4"/>
        <v>1</v>
      </c>
      <c r="AK147">
        <f t="shared" si="5"/>
        <v>1</v>
      </c>
      <c r="AL147">
        <f t="shared" si="6"/>
        <v>1</v>
      </c>
      <c r="AM147">
        <f t="shared" si="7"/>
        <v>1</v>
      </c>
      <c r="AN147">
        <f t="shared" si="8"/>
        <v>-1</v>
      </c>
      <c r="AO147">
        <f t="shared" si="9"/>
        <v>-1</v>
      </c>
      <c r="AP147">
        <f t="shared" si="10"/>
        <v>-1</v>
      </c>
      <c r="AQ147">
        <v>0</v>
      </c>
      <c r="AR147" t="s">
        <v>2</v>
      </c>
      <c r="AS147">
        <v>-1</v>
      </c>
      <c r="AT147">
        <v>-1</v>
      </c>
      <c r="AU147">
        <v>-1</v>
      </c>
      <c r="AV147">
        <v>-1</v>
      </c>
      <c r="AW147">
        <v>-1</v>
      </c>
      <c r="AX147">
        <v>-1</v>
      </c>
      <c r="AY147">
        <v>-1</v>
      </c>
      <c r="AZ147">
        <v>-1</v>
      </c>
      <c r="BA147">
        <v>-1</v>
      </c>
      <c r="BB147">
        <v>0</v>
      </c>
      <c r="BC147" t="s">
        <v>2</v>
      </c>
      <c r="BD147">
        <v>-1</v>
      </c>
      <c r="BE147">
        <v>-1</v>
      </c>
      <c r="BF147">
        <v>-1</v>
      </c>
      <c r="BG147">
        <v>-1</v>
      </c>
      <c r="BH147">
        <v>-1</v>
      </c>
      <c r="BI147">
        <v>-1</v>
      </c>
      <c r="BJ147">
        <v>-1</v>
      </c>
      <c r="BK147">
        <v>-1</v>
      </c>
      <c r="BL147">
        <v>-1</v>
      </c>
      <c r="BM147">
        <v>-1</v>
      </c>
      <c r="BN147">
        <v>-1</v>
      </c>
      <c r="BO147">
        <v>-1</v>
      </c>
    </row>
    <row r="148" spans="1:67" x14ac:dyDescent="0.25">
      <c r="A148">
        <v>145</v>
      </c>
      <c r="B148">
        <v>40</v>
      </c>
      <c r="C148" t="str">
        <f>VLOOKUP(B148,[1]resources!$A$2:$D$300,3,FALSE)</f>
        <v>!!FOOD_VEGGIEPATTY</v>
      </c>
      <c r="D148">
        <v>6</v>
      </c>
      <c r="E148" t="str">
        <f>VLOOKUP(D148,[1]bonus_paytable!$A$2:$D$300,3,FALSE)</f>
        <v>bottomite_pink_female_average</v>
      </c>
      <c r="F148">
        <v>-1</v>
      </c>
      <c r="G148">
        <v>-1</v>
      </c>
      <c r="H148">
        <v>1</v>
      </c>
      <c r="I148" t="s">
        <v>1</v>
      </c>
      <c r="J148">
        <v>20004</v>
      </c>
      <c r="K148">
        <v>70005</v>
      </c>
      <c r="L148">
        <v>60017</v>
      </c>
      <c r="M148">
        <v>95</v>
      </c>
      <c r="N148">
        <v>2002</v>
      </c>
      <c r="O148">
        <v>40000</v>
      </c>
      <c r="P148">
        <v>70001</v>
      </c>
      <c r="Q148">
        <v>50004</v>
      </c>
      <c r="R148">
        <v>80000</v>
      </c>
      <c r="S148">
        <v>-1</v>
      </c>
      <c r="T148">
        <v>-1</v>
      </c>
      <c r="U148" s="2">
        <v>0.01</v>
      </c>
      <c r="V148" s="2">
        <v>0.03</v>
      </c>
      <c r="W148" s="2">
        <v>0.03</v>
      </c>
      <c r="X148" s="2">
        <v>0.05</v>
      </c>
      <c r="Y148" s="2">
        <v>0.05</v>
      </c>
      <c r="Z148" s="2">
        <v>0.05</v>
      </c>
      <c r="AA148" s="2">
        <v>0.05</v>
      </c>
      <c r="AB148" s="2">
        <v>0.05</v>
      </c>
      <c r="AC148" s="2">
        <v>0.05</v>
      </c>
      <c r="AD148" s="2">
        <v>-1</v>
      </c>
      <c r="AE148" s="2">
        <v>-1</v>
      </c>
      <c r="AF148">
        <f t="shared" si="0"/>
        <v>1</v>
      </c>
      <c r="AG148">
        <f t="shared" si="1"/>
        <v>1</v>
      </c>
      <c r="AH148">
        <f t="shared" si="2"/>
        <v>1</v>
      </c>
      <c r="AI148">
        <f t="shared" si="3"/>
        <v>1</v>
      </c>
      <c r="AJ148">
        <f t="shared" si="4"/>
        <v>1</v>
      </c>
      <c r="AK148">
        <f t="shared" si="5"/>
        <v>1</v>
      </c>
      <c r="AL148">
        <f t="shared" si="6"/>
        <v>1</v>
      </c>
      <c r="AM148">
        <f t="shared" si="7"/>
        <v>1</v>
      </c>
      <c r="AN148">
        <f t="shared" si="8"/>
        <v>1</v>
      </c>
      <c r="AO148">
        <f t="shared" si="9"/>
        <v>-1</v>
      </c>
      <c r="AP148">
        <f t="shared" si="10"/>
        <v>-1</v>
      </c>
      <c r="AQ148">
        <v>0</v>
      </c>
      <c r="AR148" t="s">
        <v>2</v>
      </c>
      <c r="AS148">
        <v>-1</v>
      </c>
      <c r="AT148">
        <v>-1</v>
      </c>
      <c r="AU148">
        <v>-1</v>
      </c>
      <c r="AV148">
        <v>-1</v>
      </c>
      <c r="AW148">
        <v>-1</v>
      </c>
      <c r="AX148">
        <v>-1</v>
      </c>
      <c r="AY148">
        <v>-1</v>
      </c>
      <c r="AZ148">
        <v>-1</v>
      </c>
      <c r="BA148">
        <v>-1</v>
      </c>
      <c r="BB148">
        <v>0</v>
      </c>
      <c r="BC148" t="s">
        <v>2</v>
      </c>
      <c r="BD148">
        <v>-1</v>
      </c>
      <c r="BE148">
        <v>-1</v>
      </c>
      <c r="BF148">
        <v>-1</v>
      </c>
      <c r="BG148">
        <v>-1</v>
      </c>
      <c r="BH148">
        <v>-1</v>
      </c>
      <c r="BI148">
        <v>-1</v>
      </c>
      <c r="BJ148">
        <v>-1</v>
      </c>
      <c r="BK148">
        <v>-1</v>
      </c>
      <c r="BL148">
        <v>-1</v>
      </c>
      <c r="BM148">
        <v>-1</v>
      </c>
      <c r="BN148">
        <v>-1</v>
      </c>
      <c r="BO148">
        <v>-1</v>
      </c>
    </row>
    <row r="149" spans="1:67" x14ac:dyDescent="0.25">
      <c r="A149">
        <v>146</v>
      </c>
      <c r="B149">
        <v>95</v>
      </c>
      <c r="C149" t="str">
        <f>VLOOKUP(B149,[1]resources!$A$2:$D$300,3,FALSE)</f>
        <v>!!FOOD_CUBEDKETCHUPKABOBS</v>
      </c>
      <c r="D149">
        <v>6</v>
      </c>
      <c r="E149" t="str">
        <f>VLOOKUP(D149,[1]bonus_paytable!$A$2:$D$300,3,FALSE)</f>
        <v>bottomite_pink_female_average</v>
      </c>
      <c r="F149">
        <v>-1</v>
      </c>
      <c r="G149">
        <v>-1</v>
      </c>
      <c r="H149">
        <v>1</v>
      </c>
      <c r="I149" t="s">
        <v>1</v>
      </c>
      <c r="J149">
        <v>20004</v>
      </c>
      <c r="K149">
        <v>70005</v>
      </c>
      <c r="L149">
        <v>60017</v>
      </c>
      <c r="M149">
        <v>95</v>
      </c>
      <c r="N149">
        <v>2002</v>
      </c>
      <c r="O149">
        <v>40000</v>
      </c>
      <c r="P149">
        <v>70001</v>
      </c>
      <c r="Q149">
        <v>50004</v>
      </c>
      <c r="R149">
        <v>80000</v>
      </c>
      <c r="S149">
        <v>-1</v>
      </c>
      <c r="T149">
        <v>-1</v>
      </c>
      <c r="U149" s="2">
        <v>0.01</v>
      </c>
      <c r="V149" s="2">
        <v>0.03</v>
      </c>
      <c r="W149" s="2">
        <v>0.03</v>
      </c>
      <c r="X149" s="2">
        <v>0.05</v>
      </c>
      <c r="Y149" s="2">
        <v>0.05</v>
      </c>
      <c r="Z149" s="2">
        <v>0.05</v>
      </c>
      <c r="AA149" s="2">
        <v>0.05</v>
      </c>
      <c r="AB149" s="2">
        <v>0.05</v>
      </c>
      <c r="AC149" s="2">
        <v>0.05</v>
      </c>
      <c r="AD149" s="2">
        <v>-1</v>
      </c>
      <c r="AE149" s="2">
        <v>-1</v>
      </c>
      <c r="AF149">
        <f t="shared" si="0"/>
        <v>1</v>
      </c>
      <c r="AG149">
        <f t="shared" si="1"/>
        <v>1</v>
      </c>
      <c r="AH149">
        <f t="shared" si="2"/>
        <v>1</v>
      </c>
      <c r="AI149">
        <f t="shared" si="3"/>
        <v>1</v>
      </c>
      <c r="AJ149">
        <f t="shared" si="4"/>
        <v>1</v>
      </c>
      <c r="AK149">
        <f t="shared" si="5"/>
        <v>1</v>
      </c>
      <c r="AL149">
        <f t="shared" si="6"/>
        <v>1</v>
      </c>
      <c r="AM149">
        <f t="shared" si="7"/>
        <v>1</v>
      </c>
      <c r="AN149">
        <f t="shared" si="8"/>
        <v>1</v>
      </c>
      <c r="AO149">
        <f t="shared" si="9"/>
        <v>-1</v>
      </c>
      <c r="AP149">
        <f t="shared" si="10"/>
        <v>-1</v>
      </c>
      <c r="AQ149">
        <v>0</v>
      </c>
      <c r="AR149" t="s">
        <v>2</v>
      </c>
      <c r="AS149">
        <v>-1</v>
      </c>
      <c r="AT149">
        <v>-1</v>
      </c>
      <c r="AU149">
        <v>-1</v>
      </c>
      <c r="AV149">
        <v>-1</v>
      </c>
      <c r="AW149">
        <v>-1</v>
      </c>
      <c r="AX149">
        <v>-1</v>
      </c>
      <c r="AY149">
        <v>-1</v>
      </c>
      <c r="AZ149">
        <v>-1</v>
      </c>
      <c r="BA149">
        <v>-1</v>
      </c>
      <c r="BB149">
        <v>0</v>
      </c>
      <c r="BC149" t="s">
        <v>2</v>
      </c>
      <c r="BD149">
        <v>-1</v>
      </c>
      <c r="BE149">
        <v>-1</v>
      </c>
      <c r="BF149">
        <v>-1</v>
      </c>
      <c r="BG149">
        <v>-1</v>
      </c>
      <c r="BH149">
        <v>-1</v>
      </c>
      <c r="BI149">
        <v>-1</v>
      </c>
      <c r="BJ149">
        <v>-1</v>
      </c>
      <c r="BK149">
        <v>-1</v>
      </c>
      <c r="BL149">
        <v>-1</v>
      </c>
      <c r="BM149">
        <v>-1</v>
      </c>
      <c r="BN149">
        <v>-1</v>
      </c>
      <c r="BO149">
        <v>-1</v>
      </c>
    </row>
    <row r="150" spans="1:67" x14ac:dyDescent="0.25">
      <c r="A150">
        <v>147</v>
      </c>
      <c r="B150">
        <v>46</v>
      </c>
      <c r="C150" t="str">
        <f>VLOOKUP(B150,[1]resources!$A$2:$D$300,3,FALSE)</f>
        <v>!!FOOD_SALAD</v>
      </c>
      <c r="D150">
        <v>6</v>
      </c>
      <c r="E150" t="str">
        <f>VLOOKUP(D150,[1]bonus_paytable!$A$2:$D$300,3,FALSE)</f>
        <v>bottomite_pink_female_average</v>
      </c>
      <c r="F150">
        <v>-1</v>
      </c>
      <c r="G150">
        <v>-1</v>
      </c>
      <c r="H150">
        <v>1</v>
      </c>
      <c r="I150" t="s">
        <v>1</v>
      </c>
      <c r="J150">
        <v>20004</v>
      </c>
      <c r="K150">
        <v>70005</v>
      </c>
      <c r="L150">
        <v>60017</v>
      </c>
      <c r="M150">
        <v>95</v>
      </c>
      <c r="N150">
        <v>2002</v>
      </c>
      <c r="O150">
        <v>40000</v>
      </c>
      <c r="P150">
        <v>70001</v>
      </c>
      <c r="Q150">
        <v>50004</v>
      </c>
      <c r="R150">
        <v>80000</v>
      </c>
      <c r="S150">
        <v>-1</v>
      </c>
      <c r="T150">
        <v>-1</v>
      </c>
      <c r="U150" s="2">
        <v>0.01</v>
      </c>
      <c r="V150" s="2">
        <v>0.03</v>
      </c>
      <c r="W150" s="2">
        <v>0.03</v>
      </c>
      <c r="X150" s="2">
        <v>0.05</v>
      </c>
      <c r="Y150" s="2">
        <v>0.05</v>
      </c>
      <c r="Z150" s="2">
        <v>0.05</v>
      </c>
      <c r="AA150" s="2">
        <v>0.05</v>
      </c>
      <c r="AB150" s="2">
        <v>0.05</v>
      </c>
      <c r="AC150" s="2">
        <v>0.05</v>
      </c>
      <c r="AD150" s="2">
        <v>-1</v>
      </c>
      <c r="AE150" s="2">
        <v>-1</v>
      </c>
      <c r="AF150">
        <f t="shared" si="0"/>
        <v>1</v>
      </c>
      <c r="AG150">
        <f t="shared" si="1"/>
        <v>1</v>
      </c>
      <c r="AH150">
        <f t="shared" si="2"/>
        <v>1</v>
      </c>
      <c r="AI150">
        <f t="shared" si="3"/>
        <v>1</v>
      </c>
      <c r="AJ150">
        <f t="shared" si="4"/>
        <v>1</v>
      </c>
      <c r="AK150">
        <f t="shared" si="5"/>
        <v>1</v>
      </c>
      <c r="AL150">
        <f t="shared" si="6"/>
        <v>1</v>
      </c>
      <c r="AM150">
        <f t="shared" si="7"/>
        <v>1</v>
      </c>
      <c r="AN150">
        <f t="shared" si="8"/>
        <v>1</v>
      </c>
      <c r="AO150">
        <f t="shared" si="9"/>
        <v>-1</v>
      </c>
      <c r="AP150">
        <f t="shared" si="10"/>
        <v>-1</v>
      </c>
      <c r="AQ150">
        <v>0</v>
      </c>
      <c r="AR150" t="s">
        <v>2</v>
      </c>
      <c r="AS150">
        <v>-1</v>
      </c>
      <c r="AT150">
        <v>-1</v>
      </c>
      <c r="AU150">
        <v>-1</v>
      </c>
      <c r="AV150">
        <v>-1</v>
      </c>
      <c r="AW150">
        <v>-1</v>
      </c>
      <c r="AX150">
        <v>-1</v>
      </c>
      <c r="AY150">
        <v>-1</v>
      </c>
      <c r="AZ150">
        <v>-1</v>
      </c>
      <c r="BA150">
        <v>-1</v>
      </c>
      <c r="BB150">
        <v>0</v>
      </c>
      <c r="BC150" t="s">
        <v>2</v>
      </c>
      <c r="BD150">
        <v>-1</v>
      </c>
      <c r="BE150">
        <v>-1</v>
      </c>
      <c r="BF150">
        <v>-1</v>
      </c>
      <c r="BG150">
        <v>-1</v>
      </c>
      <c r="BH150">
        <v>-1</v>
      </c>
      <c r="BI150">
        <v>-1</v>
      </c>
      <c r="BJ150">
        <v>-1</v>
      </c>
      <c r="BK150">
        <v>-1</v>
      </c>
      <c r="BL150">
        <v>-1</v>
      </c>
      <c r="BM150">
        <v>-1</v>
      </c>
      <c r="BN150">
        <v>-1</v>
      </c>
      <c r="BO150">
        <v>-1</v>
      </c>
    </row>
    <row r="151" spans="1:67" x14ac:dyDescent="0.25">
      <c r="A151">
        <v>148</v>
      </c>
      <c r="B151">
        <v>28</v>
      </c>
      <c r="C151" t="str">
        <f>VLOOKUP(B151,[1]resources!$A$2:$D$300,3,FALSE)</f>
        <v>!!FOOD_BISQUE</v>
      </c>
      <c r="D151">
        <v>6</v>
      </c>
      <c r="E151" t="str">
        <f>VLOOKUP(D151,[1]bonus_paytable!$A$2:$D$300,3,FALSE)</f>
        <v>bottomite_pink_female_average</v>
      </c>
      <c r="F151">
        <v>-1</v>
      </c>
      <c r="G151">
        <v>-1</v>
      </c>
      <c r="H151">
        <v>1</v>
      </c>
      <c r="I151" t="s">
        <v>1</v>
      </c>
      <c r="J151">
        <v>20004</v>
      </c>
      <c r="K151">
        <v>70005</v>
      </c>
      <c r="L151">
        <v>60017</v>
      </c>
      <c r="M151">
        <v>95</v>
      </c>
      <c r="N151">
        <v>2002</v>
      </c>
      <c r="O151">
        <v>40000</v>
      </c>
      <c r="P151">
        <v>70001</v>
      </c>
      <c r="Q151">
        <v>50004</v>
      </c>
      <c r="R151">
        <v>80000</v>
      </c>
      <c r="S151">
        <v>-1</v>
      </c>
      <c r="T151">
        <v>-1</v>
      </c>
      <c r="U151" s="2">
        <v>0.01</v>
      </c>
      <c r="V151" s="2">
        <v>0.03</v>
      </c>
      <c r="W151" s="2">
        <v>0.03</v>
      </c>
      <c r="X151" s="2">
        <v>0.05</v>
      </c>
      <c r="Y151" s="2">
        <v>0.05</v>
      </c>
      <c r="Z151" s="2">
        <v>0.05</v>
      </c>
      <c r="AA151" s="2">
        <v>0.05</v>
      </c>
      <c r="AB151" s="2">
        <v>0.05</v>
      </c>
      <c r="AC151" s="2">
        <v>0.05</v>
      </c>
      <c r="AD151" s="2">
        <v>-1</v>
      </c>
      <c r="AE151" s="2">
        <v>-1</v>
      </c>
      <c r="AF151">
        <f t="shared" si="0"/>
        <v>1</v>
      </c>
      <c r="AG151">
        <f t="shared" si="1"/>
        <v>1</v>
      </c>
      <c r="AH151">
        <f t="shared" si="2"/>
        <v>1</v>
      </c>
      <c r="AI151">
        <f t="shared" si="3"/>
        <v>1</v>
      </c>
      <c r="AJ151">
        <f t="shared" si="4"/>
        <v>1</v>
      </c>
      <c r="AK151">
        <f t="shared" si="5"/>
        <v>1</v>
      </c>
      <c r="AL151">
        <f t="shared" si="6"/>
        <v>1</v>
      </c>
      <c r="AM151">
        <f t="shared" si="7"/>
        <v>1</v>
      </c>
      <c r="AN151">
        <f t="shared" si="8"/>
        <v>1</v>
      </c>
      <c r="AO151">
        <f t="shared" si="9"/>
        <v>-1</v>
      </c>
      <c r="AP151">
        <f t="shared" si="10"/>
        <v>-1</v>
      </c>
      <c r="AQ151">
        <v>0</v>
      </c>
      <c r="AR151" t="s">
        <v>2</v>
      </c>
      <c r="AS151">
        <v>-1</v>
      </c>
      <c r="AT151">
        <v>-1</v>
      </c>
      <c r="AU151">
        <v>-1</v>
      </c>
      <c r="AV151">
        <v>-1</v>
      </c>
      <c r="AW151">
        <v>-1</v>
      </c>
      <c r="AX151">
        <v>-1</v>
      </c>
      <c r="AY151">
        <v>-1</v>
      </c>
      <c r="AZ151">
        <v>-1</v>
      </c>
      <c r="BA151">
        <v>-1</v>
      </c>
      <c r="BB151">
        <v>0</v>
      </c>
      <c r="BC151" t="s">
        <v>2</v>
      </c>
      <c r="BD151">
        <v>-1</v>
      </c>
      <c r="BE151">
        <v>-1</v>
      </c>
      <c r="BF151">
        <v>-1</v>
      </c>
      <c r="BG151">
        <v>-1</v>
      </c>
      <c r="BH151">
        <v>-1</v>
      </c>
      <c r="BI151">
        <v>-1</v>
      </c>
      <c r="BJ151">
        <v>-1</v>
      </c>
      <c r="BK151">
        <v>-1</v>
      </c>
      <c r="BL151">
        <v>-1</v>
      </c>
      <c r="BM151">
        <v>-1</v>
      </c>
      <c r="BN151">
        <v>-1</v>
      </c>
      <c r="BO151">
        <v>-1</v>
      </c>
    </row>
    <row r="152" spans="1:67" x14ac:dyDescent="0.25">
      <c r="A152">
        <v>149</v>
      </c>
      <c r="B152">
        <v>20000</v>
      </c>
      <c r="C152" t="str">
        <f>VLOOKUP(B152,[1]resources!$A$2:$D$300,3,FALSE)</f>
        <v>!!JUICE_APPLE</v>
      </c>
      <c r="D152">
        <v>6</v>
      </c>
      <c r="E152" t="str">
        <f>VLOOKUP(D152,[1]bonus_paytable!$A$2:$D$300,3,FALSE)</f>
        <v>bottomite_pink_female_average</v>
      </c>
      <c r="F152">
        <v>-1</v>
      </c>
      <c r="G152">
        <v>-1</v>
      </c>
      <c r="H152">
        <v>1</v>
      </c>
      <c r="I152" t="s">
        <v>1</v>
      </c>
      <c r="J152">
        <v>20004</v>
      </c>
      <c r="K152">
        <v>70005</v>
      </c>
      <c r="L152">
        <v>60017</v>
      </c>
      <c r="M152">
        <v>95</v>
      </c>
      <c r="N152">
        <v>2002</v>
      </c>
      <c r="O152">
        <v>40000</v>
      </c>
      <c r="P152">
        <v>70001</v>
      </c>
      <c r="Q152">
        <v>50004</v>
      </c>
      <c r="R152">
        <v>80000</v>
      </c>
      <c r="S152">
        <v>-1</v>
      </c>
      <c r="T152">
        <v>-1</v>
      </c>
      <c r="U152" s="2">
        <v>0.01</v>
      </c>
      <c r="V152" s="2">
        <v>0.03</v>
      </c>
      <c r="W152" s="2">
        <v>0.03</v>
      </c>
      <c r="X152" s="2">
        <v>0.05</v>
      </c>
      <c r="Y152" s="2">
        <v>0.05</v>
      </c>
      <c r="Z152" s="2">
        <v>0.05</v>
      </c>
      <c r="AA152" s="2">
        <v>0.05</v>
      </c>
      <c r="AB152" s="2">
        <v>0.05</v>
      </c>
      <c r="AC152" s="2">
        <v>0.05</v>
      </c>
      <c r="AD152" s="2">
        <v>-1</v>
      </c>
      <c r="AE152" s="2">
        <v>-1</v>
      </c>
      <c r="AF152">
        <f t="shared" si="0"/>
        <v>1</v>
      </c>
      <c r="AG152">
        <f t="shared" si="1"/>
        <v>1</v>
      </c>
      <c r="AH152">
        <f t="shared" si="2"/>
        <v>1</v>
      </c>
      <c r="AI152">
        <f t="shared" si="3"/>
        <v>1</v>
      </c>
      <c r="AJ152">
        <f t="shared" si="4"/>
        <v>1</v>
      </c>
      <c r="AK152">
        <f t="shared" si="5"/>
        <v>1</v>
      </c>
      <c r="AL152">
        <f t="shared" si="6"/>
        <v>1</v>
      </c>
      <c r="AM152">
        <f t="shared" si="7"/>
        <v>1</v>
      </c>
      <c r="AN152">
        <f t="shared" si="8"/>
        <v>1</v>
      </c>
      <c r="AO152">
        <f t="shared" si="9"/>
        <v>-1</v>
      </c>
      <c r="AP152">
        <f t="shared" si="10"/>
        <v>-1</v>
      </c>
      <c r="AQ152">
        <v>0</v>
      </c>
      <c r="AR152" t="s">
        <v>2</v>
      </c>
      <c r="AS152">
        <v>-1</v>
      </c>
      <c r="AT152">
        <v>-1</v>
      </c>
      <c r="AU152">
        <v>-1</v>
      </c>
      <c r="AV152">
        <v>-1</v>
      </c>
      <c r="AW152">
        <v>-1</v>
      </c>
      <c r="AX152">
        <v>-1</v>
      </c>
      <c r="AY152">
        <v>-1</v>
      </c>
      <c r="AZ152">
        <v>-1</v>
      </c>
      <c r="BA152">
        <v>-1</v>
      </c>
      <c r="BB152">
        <v>0</v>
      </c>
      <c r="BC152" t="s">
        <v>2</v>
      </c>
      <c r="BD152">
        <v>-1</v>
      </c>
      <c r="BE152">
        <v>-1</v>
      </c>
      <c r="BF152">
        <v>-1</v>
      </c>
      <c r="BG152">
        <v>-1</v>
      </c>
      <c r="BH152">
        <v>-1</v>
      </c>
      <c r="BI152">
        <v>-1</v>
      </c>
      <c r="BJ152">
        <v>-1</v>
      </c>
      <c r="BK152">
        <v>-1</v>
      </c>
      <c r="BL152">
        <v>-1</v>
      </c>
      <c r="BM152">
        <v>-1</v>
      </c>
      <c r="BN152">
        <v>-1</v>
      </c>
      <c r="BO152">
        <v>-1</v>
      </c>
    </row>
    <row r="153" spans="1:67" x14ac:dyDescent="0.25">
      <c r="A153">
        <v>150</v>
      </c>
      <c r="B153">
        <v>30010</v>
      </c>
      <c r="C153" t="str">
        <f>VLOOKUP(B153,[1]resources!$A$2:$D$300,3,FALSE)</f>
        <v>!!SMOOTHIE_STRAWNANA_TSUNAMI</v>
      </c>
      <c r="D153">
        <v>6</v>
      </c>
      <c r="E153" t="str">
        <f>VLOOKUP(D153,[1]bonus_paytable!$A$2:$D$300,3,FALSE)</f>
        <v>bottomite_pink_female_average</v>
      </c>
      <c r="F153">
        <v>-1</v>
      </c>
      <c r="G153">
        <v>-1</v>
      </c>
      <c r="H153">
        <v>1</v>
      </c>
      <c r="I153" t="s">
        <v>1</v>
      </c>
      <c r="J153">
        <v>20004</v>
      </c>
      <c r="K153">
        <v>70005</v>
      </c>
      <c r="L153">
        <v>60017</v>
      </c>
      <c r="M153">
        <v>95</v>
      </c>
      <c r="N153">
        <v>2002</v>
      </c>
      <c r="O153">
        <v>40000</v>
      </c>
      <c r="P153">
        <v>70001</v>
      </c>
      <c r="Q153">
        <v>50004</v>
      </c>
      <c r="R153">
        <v>80000</v>
      </c>
      <c r="S153">
        <v>-1</v>
      </c>
      <c r="T153">
        <v>-1</v>
      </c>
      <c r="U153" s="2">
        <v>0.01</v>
      </c>
      <c r="V153" s="2">
        <v>0.03</v>
      </c>
      <c r="W153" s="2">
        <v>0.03</v>
      </c>
      <c r="X153" s="2">
        <v>0.05</v>
      </c>
      <c r="Y153" s="2">
        <v>0.05</v>
      </c>
      <c r="Z153" s="2">
        <v>0.05</v>
      </c>
      <c r="AA153" s="2">
        <v>0.05</v>
      </c>
      <c r="AB153" s="2">
        <v>0.05</v>
      </c>
      <c r="AC153" s="2">
        <v>0.05</v>
      </c>
      <c r="AD153" s="2">
        <v>-1</v>
      </c>
      <c r="AE153" s="2">
        <v>-1</v>
      </c>
      <c r="AF153">
        <f t="shared" si="0"/>
        <v>1</v>
      </c>
      <c r="AG153">
        <f t="shared" si="1"/>
        <v>1</v>
      </c>
      <c r="AH153">
        <f t="shared" si="2"/>
        <v>1</v>
      </c>
      <c r="AI153">
        <f t="shared" si="3"/>
        <v>1</v>
      </c>
      <c r="AJ153">
        <f t="shared" si="4"/>
        <v>1</v>
      </c>
      <c r="AK153">
        <f t="shared" si="5"/>
        <v>1</v>
      </c>
      <c r="AL153">
        <f t="shared" si="6"/>
        <v>1</v>
      </c>
      <c r="AM153">
        <f t="shared" si="7"/>
        <v>1</v>
      </c>
      <c r="AN153">
        <f t="shared" si="8"/>
        <v>1</v>
      </c>
      <c r="AO153">
        <f t="shared" si="9"/>
        <v>-1</v>
      </c>
      <c r="AP153">
        <f t="shared" si="10"/>
        <v>-1</v>
      </c>
      <c r="AQ153">
        <v>0</v>
      </c>
      <c r="AR153" t="s">
        <v>2</v>
      </c>
      <c r="AS153">
        <v>-1</v>
      </c>
      <c r="AT153">
        <v>-1</v>
      </c>
      <c r="AU153">
        <v>-1</v>
      </c>
      <c r="AV153">
        <v>-1</v>
      </c>
      <c r="AW153">
        <v>-1</v>
      </c>
      <c r="AX153">
        <v>-1</v>
      </c>
      <c r="AY153">
        <v>-1</v>
      </c>
      <c r="AZ153">
        <v>-1</v>
      </c>
      <c r="BA153">
        <v>-1</v>
      </c>
      <c r="BB153">
        <v>0</v>
      </c>
      <c r="BC153" t="s">
        <v>2</v>
      </c>
      <c r="BD153">
        <v>-1</v>
      </c>
      <c r="BE153">
        <v>-1</v>
      </c>
      <c r="BF153">
        <v>-1</v>
      </c>
      <c r="BG153">
        <v>-1</v>
      </c>
      <c r="BH153">
        <v>-1</v>
      </c>
      <c r="BI153">
        <v>-1</v>
      </c>
      <c r="BJ153">
        <v>-1</v>
      </c>
      <c r="BK153">
        <v>-1</v>
      </c>
      <c r="BL153">
        <v>-1</v>
      </c>
      <c r="BM153">
        <v>-1</v>
      </c>
      <c r="BN153">
        <v>-1</v>
      </c>
      <c r="BO153">
        <v>-1</v>
      </c>
    </row>
    <row r="154" spans="1:67" x14ac:dyDescent="0.25">
      <c r="A154">
        <v>151</v>
      </c>
      <c r="B154">
        <v>50005</v>
      </c>
      <c r="C154" t="str">
        <f>VLOOKUP(B154,[1]resources!$A$2:$D$300,3,FALSE)</f>
        <v>!!SHAKE_STRAWBERRY_RIPTIDE</v>
      </c>
      <c r="D154">
        <v>6</v>
      </c>
      <c r="E154" t="str">
        <f>VLOOKUP(D154,[1]bonus_paytable!$A$2:$D$300,3,FALSE)</f>
        <v>bottomite_pink_female_average</v>
      </c>
      <c r="F154">
        <v>-1</v>
      </c>
      <c r="G154">
        <v>-1</v>
      </c>
      <c r="H154">
        <v>1</v>
      </c>
      <c r="I154" t="s">
        <v>1</v>
      </c>
      <c r="J154">
        <v>20004</v>
      </c>
      <c r="K154">
        <v>70005</v>
      </c>
      <c r="L154">
        <v>60017</v>
      </c>
      <c r="M154">
        <v>95</v>
      </c>
      <c r="N154">
        <v>2002</v>
      </c>
      <c r="O154">
        <v>40000</v>
      </c>
      <c r="P154">
        <v>70001</v>
      </c>
      <c r="Q154">
        <v>50004</v>
      </c>
      <c r="R154">
        <v>80000</v>
      </c>
      <c r="S154">
        <v>-1</v>
      </c>
      <c r="T154">
        <v>-1</v>
      </c>
      <c r="U154" s="2">
        <v>0.01</v>
      </c>
      <c r="V154" s="2">
        <v>0.03</v>
      </c>
      <c r="W154" s="2">
        <v>0.03</v>
      </c>
      <c r="X154" s="2">
        <v>0.05</v>
      </c>
      <c r="Y154" s="2">
        <v>0.05</v>
      </c>
      <c r="Z154" s="2">
        <v>0.05</v>
      </c>
      <c r="AA154" s="2">
        <v>0.05</v>
      </c>
      <c r="AB154" s="2">
        <v>0.05</v>
      </c>
      <c r="AC154" s="2">
        <v>0.05</v>
      </c>
      <c r="AD154" s="2">
        <v>-1</v>
      </c>
      <c r="AE154" s="2">
        <v>-1</v>
      </c>
      <c r="AF154">
        <f t="shared" si="0"/>
        <v>1</v>
      </c>
      <c r="AG154">
        <f t="shared" si="1"/>
        <v>1</v>
      </c>
      <c r="AH154">
        <f t="shared" si="2"/>
        <v>1</v>
      </c>
      <c r="AI154">
        <f t="shared" si="3"/>
        <v>1</v>
      </c>
      <c r="AJ154">
        <f t="shared" si="4"/>
        <v>1</v>
      </c>
      <c r="AK154">
        <f t="shared" si="5"/>
        <v>1</v>
      </c>
      <c r="AL154">
        <f t="shared" si="6"/>
        <v>1</v>
      </c>
      <c r="AM154">
        <f t="shared" si="7"/>
        <v>1</v>
      </c>
      <c r="AN154">
        <f t="shared" si="8"/>
        <v>1</v>
      </c>
      <c r="AO154">
        <f t="shared" si="9"/>
        <v>-1</v>
      </c>
      <c r="AP154">
        <f t="shared" si="10"/>
        <v>-1</v>
      </c>
      <c r="AQ154">
        <v>0</v>
      </c>
      <c r="AR154" t="s">
        <v>2</v>
      </c>
      <c r="AS154">
        <v>-1</v>
      </c>
      <c r="AT154">
        <v>-1</v>
      </c>
      <c r="AU154">
        <v>-1</v>
      </c>
      <c r="AV154">
        <v>-1</v>
      </c>
      <c r="AW154">
        <v>-1</v>
      </c>
      <c r="AX154">
        <v>-1</v>
      </c>
      <c r="AY154">
        <v>-1</v>
      </c>
      <c r="AZ154">
        <v>-1</v>
      </c>
      <c r="BA154">
        <v>-1</v>
      </c>
      <c r="BB154">
        <v>0</v>
      </c>
      <c r="BC154" t="s">
        <v>2</v>
      </c>
      <c r="BD154">
        <v>-1</v>
      </c>
      <c r="BE154">
        <v>-1</v>
      </c>
      <c r="BF154">
        <v>-1</v>
      </c>
      <c r="BG154">
        <v>-1</v>
      </c>
      <c r="BH154">
        <v>-1</v>
      </c>
      <c r="BI154">
        <v>-1</v>
      </c>
      <c r="BJ154">
        <v>-1</v>
      </c>
      <c r="BK154">
        <v>-1</v>
      </c>
      <c r="BL154">
        <v>-1</v>
      </c>
      <c r="BM154">
        <v>-1</v>
      </c>
      <c r="BN154">
        <v>-1</v>
      </c>
      <c r="BO154">
        <v>-1</v>
      </c>
    </row>
    <row r="155" spans="1:67" x14ac:dyDescent="0.25">
      <c r="A155">
        <v>152</v>
      </c>
      <c r="B155">
        <v>60014</v>
      </c>
      <c r="C155" t="str">
        <f>VLOOKUP(B155,[1]resources!$A$2:$D$300,3,FALSE)</f>
        <v>!!BOUQUET_FLOWERCORAL_FRIENDLYFLOWER</v>
      </c>
      <c r="D155">
        <v>6</v>
      </c>
      <c r="E155" t="str">
        <f>VLOOKUP(D155,[1]bonus_paytable!$A$2:$D$300,3,FALSE)</f>
        <v>bottomite_pink_female_average</v>
      </c>
      <c r="F155">
        <v>-1</v>
      </c>
      <c r="G155">
        <v>-1</v>
      </c>
      <c r="H155">
        <v>1</v>
      </c>
      <c r="I155" t="s">
        <v>1</v>
      </c>
      <c r="J155">
        <v>20004</v>
      </c>
      <c r="K155">
        <v>70005</v>
      </c>
      <c r="L155">
        <v>60017</v>
      </c>
      <c r="M155">
        <v>95</v>
      </c>
      <c r="N155">
        <v>2002</v>
      </c>
      <c r="O155">
        <v>40000</v>
      </c>
      <c r="P155">
        <v>70001</v>
      </c>
      <c r="Q155">
        <v>50004</v>
      </c>
      <c r="R155">
        <v>80000</v>
      </c>
      <c r="S155">
        <v>-1</v>
      </c>
      <c r="T155">
        <v>-1</v>
      </c>
      <c r="U155" s="2">
        <v>0.01</v>
      </c>
      <c r="V155" s="2">
        <v>0.03</v>
      </c>
      <c r="W155" s="2">
        <v>0.03</v>
      </c>
      <c r="X155" s="2">
        <v>0.05</v>
      </c>
      <c r="Y155" s="2">
        <v>0.05</v>
      </c>
      <c r="Z155" s="2">
        <v>0.05</v>
      </c>
      <c r="AA155" s="2">
        <v>0.05</v>
      </c>
      <c r="AB155" s="2">
        <v>0.05</v>
      </c>
      <c r="AC155" s="2">
        <v>0.05</v>
      </c>
      <c r="AD155" s="2">
        <v>-1</v>
      </c>
      <c r="AE155" s="2">
        <v>-1</v>
      </c>
      <c r="AF155">
        <f t="shared" si="0"/>
        <v>1</v>
      </c>
      <c r="AG155">
        <f t="shared" si="1"/>
        <v>1</v>
      </c>
      <c r="AH155">
        <f t="shared" si="2"/>
        <v>1</v>
      </c>
      <c r="AI155">
        <f t="shared" si="3"/>
        <v>1</v>
      </c>
      <c r="AJ155">
        <f t="shared" si="4"/>
        <v>1</v>
      </c>
      <c r="AK155">
        <f t="shared" si="5"/>
        <v>1</v>
      </c>
      <c r="AL155">
        <f t="shared" si="6"/>
        <v>1</v>
      </c>
      <c r="AM155">
        <f t="shared" si="7"/>
        <v>1</v>
      </c>
      <c r="AN155">
        <f t="shared" si="8"/>
        <v>1</v>
      </c>
      <c r="AO155">
        <f t="shared" si="9"/>
        <v>-1</v>
      </c>
      <c r="AP155">
        <f t="shared" si="10"/>
        <v>-1</v>
      </c>
      <c r="AQ155">
        <v>0</v>
      </c>
      <c r="AR155" t="s">
        <v>2</v>
      </c>
      <c r="AS155">
        <v>-1</v>
      </c>
      <c r="AT155">
        <v>-1</v>
      </c>
      <c r="AU155">
        <v>-1</v>
      </c>
      <c r="AV155">
        <v>-1</v>
      </c>
      <c r="AW155">
        <v>-1</v>
      </c>
      <c r="AX155">
        <v>-1</v>
      </c>
      <c r="AY155">
        <v>-1</v>
      </c>
      <c r="AZ155">
        <v>-1</v>
      </c>
      <c r="BA155">
        <v>-1</v>
      </c>
      <c r="BB155">
        <v>0</v>
      </c>
      <c r="BC155" t="s">
        <v>2</v>
      </c>
      <c r="BD155">
        <v>-1</v>
      </c>
      <c r="BE155">
        <v>-1</v>
      </c>
      <c r="BF155">
        <v>-1</v>
      </c>
      <c r="BG155">
        <v>-1</v>
      </c>
      <c r="BH155">
        <v>-1</v>
      </c>
      <c r="BI155">
        <v>-1</v>
      </c>
      <c r="BJ155">
        <v>-1</v>
      </c>
      <c r="BK155">
        <v>-1</v>
      </c>
      <c r="BL155">
        <v>-1</v>
      </c>
      <c r="BM155">
        <v>-1</v>
      </c>
      <c r="BN155">
        <v>-1</v>
      </c>
      <c r="BO155">
        <v>-1</v>
      </c>
    </row>
    <row r="156" spans="1:67" x14ac:dyDescent="0.25">
      <c r="A156">
        <v>153</v>
      </c>
      <c r="B156">
        <v>60015</v>
      </c>
      <c r="C156" t="str">
        <f>VLOOKUP(B156,[1]resources!$A$2:$D$300,3,FALSE)</f>
        <v>!!BOUQUET_FLOWERCORAL_CUPN2FLOWERS</v>
      </c>
      <c r="D156">
        <v>6</v>
      </c>
      <c r="E156" t="str">
        <f>VLOOKUP(D156,[1]bonus_paytable!$A$2:$D$300,3,FALSE)</f>
        <v>bottomite_pink_female_average</v>
      </c>
      <c r="F156">
        <v>-1</v>
      </c>
      <c r="G156">
        <v>-1</v>
      </c>
      <c r="H156">
        <v>1</v>
      </c>
      <c r="I156" t="s">
        <v>1</v>
      </c>
      <c r="J156">
        <v>20004</v>
      </c>
      <c r="K156">
        <v>70005</v>
      </c>
      <c r="L156">
        <v>60017</v>
      </c>
      <c r="M156">
        <v>95</v>
      </c>
      <c r="N156">
        <v>2002</v>
      </c>
      <c r="O156">
        <v>40000</v>
      </c>
      <c r="P156">
        <v>70001</v>
      </c>
      <c r="Q156">
        <v>50004</v>
      </c>
      <c r="R156">
        <v>80000</v>
      </c>
      <c r="S156">
        <v>-1</v>
      </c>
      <c r="T156">
        <v>-1</v>
      </c>
      <c r="U156" s="2">
        <v>0.01</v>
      </c>
      <c r="V156" s="2">
        <v>0.03</v>
      </c>
      <c r="W156" s="2">
        <v>0.03</v>
      </c>
      <c r="X156" s="2">
        <v>0.05</v>
      </c>
      <c r="Y156" s="2">
        <v>0.05</v>
      </c>
      <c r="Z156" s="2">
        <v>0.05</v>
      </c>
      <c r="AA156" s="2">
        <v>0.05</v>
      </c>
      <c r="AB156" s="2">
        <v>0.05</v>
      </c>
      <c r="AC156" s="2">
        <v>0.05</v>
      </c>
      <c r="AD156" s="2">
        <v>-1</v>
      </c>
      <c r="AE156" s="2">
        <v>-1</v>
      </c>
      <c r="AF156">
        <f t="shared" si="0"/>
        <v>1</v>
      </c>
      <c r="AG156">
        <f t="shared" si="1"/>
        <v>1</v>
      </c>
      <c r="AH156">
        <f t="shared" si="2"/>
        <v>1</v>
      </c>
      <c r="AI156">
        <f t="shared" si="3"/>
        <v>1</v>
      </c>
      <c r="AJ156">
        <f t="shared" si="4"/>
        <v>1</v>
      </c>
      <c r="AK156">
        <f t="shared" si="5"/>
        <v>1</v>
      </c>
      <c r="AL156">
        <f t="shared" si="6"/>
        <v>1</v>
      </c>
      <c r="AM156">
        <f t="shared" si="7"/>
        <v>1</v>
      </c>
      <c r="AN156">
        <f t="shared" si="8"/>
        <v>1</v>
      </c>
      <c r="AO156">
        <f t="shared" si="9"/>
        <v>-1</v>
      </c>
      <c r="AP156">
        <f t="shared" si="10"/>
        <v>-1</v>
      </c>
      <c r="AQ156">
        <v>0</v>
      </c>
      <c r="AR156" t="s">
        <v>2</v>
      </c>
      <c r="AS156">
        <v>-1</v>
      </c>
      <c r="AT156">
        <v>-1</v>
      </c>
      <c r="AU156">
        <v>-1</v>
      </c>
      <c r="AV156">
        <v>-1</v>
      </c>
      <c r="AW156">
        <v>-1</v>
      </c>
      <c r="AX156">
        <v>-1</v>
      </c>
      <c r="AY156">
        <v>-1</v>
      </c>
      <c r="AZ156">
        <v>-1</v>
      </c>
      <c r="BA156">
        <v>-1</v>
      </c>
      <c r="BB156">
        <v>0</v>
      </c>
      <c r="BC156" t="s">
        <v>2</v>
      </c>
      <c r="BD156">
        <v>-1</v>
      </c>
      <c r="BE156">
        <v>-1</v>
      </c>
      <c r="BF156">
        <v>-1</v>
      </c>
      <c r="BG156">
        <v>-1</v>
      </c>
      <c r="BH156">
        <v>-1</v>
      </c>
      <c r="BI156">
        <v>-1</v>
      </c>
      <c r="BJ156">
        <v>-1</v>
      </c>
      <c r="BK156">
        <v>-1</v>
      </c>
      <c r="BL156">
        <v>-1</v>
      </c>
      <c r="BM156">
        <v>-1</v>
      </c>
      <c r="BN156">
        <v>-1</v>
      </c>
      <c r="BO156">
        <v>-1</v>
      </c>
    </row>
    <row r="157" spans="1:67" x14ac:dyDescent="0.25">
      <c r="A157">
        <v>154</v>
      </c>
      <c r="B157">
        <v>70000</v>
      </c>
      <c r="C157" t="str">
        <f>VLOOKUP(B157,[1]resources!$A$2:$D$300,3,FALSE)</f>
        <v>!!PERFUME_4OFCUPS</v>
      </c>
      <c r="D157">
        <v>6</v>
      </c>
      <c r="E157" t="str">
        <f>VLOOKUP(D157,[1]bonus_paytable!$A$2:$D$300,3,FALSE)</f>
        <v>bottomite_pink_female_average</v>
      </c>
      <c r="F157">
        <v>-1</v>
      </c>
      <c r="G157">
        <v>-1</v>
      </c>
      <c r="H157">
        <v>1</v>
      </c>
      <c r="I157" t="s">
        <v>1</v>
      </c>
      <c r="J157">
        <v>20004</v>
      </c>
      <c r="K157">
        <v>70005</v>
      </c>
      <c r="L157">
        <v>60017</v>
      </c>
      <c r="M157">
        <v>95</v>
      </c>
      <c r="N157">
        <v>2002</v>
      </c>
      <c r="O157">
        <v>40000</v>
      </c>
      <c r="P157">
        <v>70001</v>
      </c>
      <c r="Q157">
        <v>50004</v>
      </c>
      <c r="R157">
        <v>80000</v>
      </c>
      <c r="S157">
        <v>-1</v>
      </c>
      <c r="T157">
        <v>-1</v>
      </c>
      <c r="U157" s="2">
        <v>0.01</v>
      </c>
      <c r="V157" s="2">
        <v>0.03</v>
      </c>
      <c r="W157" s="2">
        <v>0.03</v>
      </c>
      <c r="X157" s="2">
        <v>0.05</v>
      </c>
      <c r="Y157" s="2">
        <v>0.05</v>
      </c>
      <c r="Z157" s="2">
        <v>0.05</v>
      </c>
      <c r="AA157" s="2">
        <v>0.05</v>
      </c>
      <c r="AB157" s="2">
        <v>0.05</v>
      </c>
      <c r="AC157" s="2">
        <v>0.05</v>
      </c>
      <c r="AD157" s="2">
        <v>-1</v>
      </c>
      <c r="AE157" s="2">
        <v>-1</v>
      </c>
      <c r="AF157">
        <f t="shared" si="0"/>
        <v>1</v>
      </c>
      <c r="AG157">
        <f t="shared" si="1"/>
        <v>1</v>
      </c>
      <c r="AH157">
        <f t="shared" si="2"/>
        <v>1</v>
      </c>
      <c r="AI157">
        <f t="shared" si="3"/>
        <v>1</v>
      </c>
      <c r="AJ157">
        <f t="shared" si="4"/>
        <v>1</v>
      </c>
      <c r="AK157">
        <f t="shared" si="5"/>
        <v>1</v>
      </c>
      <c r="AL157">
        <f t="shared" si="6"/>
        <v>1</v>
      </c>
      <c r="AM157">
        <f t="shared" si="7"/>
        <v>1</v>
      </c>
      <c r="AN157">
        <f t="shared" si="8"/>
        <v>1</v>
      </c>
      <c r="AO157">
        <f t="shared" si="9"/>
        <v>-1</v>
      </c>
      <c r="AP157">
        <f t="shared" si="10"/>
        <v>-1</v>
      </c>
      <c r="AQ157">
        <v>0</v>
      </c>
      <c r="AR157" t="s">
        <v>2</v>
      </c>
      <c r="AS157">
        <v>-1</v>
      </c>
      <c r="AT157">
        <v>-1</v>
      </c>
      <c r="AU157">
        <v>-1</v>
      </c>
      <c r="AV157">
        <v>-1</v>
      </c>
      <c r="AW157">
        <v>-1</v>
      </c>
      <c r="AX157">
        <v>-1</v>
      </c>
      <c r="AY157">
        <v>-1</v>
      </c>
      <c r="AZ157">
        <v>-1</v>
      </c>
      <c r="BA157">
        <v>-1</v>
      </c>
      <c r="BB157">
        <v>0</v>
      </c>
      <c r="BC157" t="s">
        <v>2</v>
      </c>
      <c r="BD157">
        <v>-1</v>
      </c>
      <c r="BE157">
        <v>-1</v>
      </c>
      <c r="BF157">
        <v>-1</v>
      </c>
      <c r="BG157">
        <v>-1</v>
      </c>
      <c r="BH157">
        <v>-1</v>
      </c>
      <c r="BI157">
        <v>-1</v>
      </c>
      <c r="BJ157">
        <v>-1</v>
      </c>
      <c r="BK157">
        <v>-1</v>
      </c>
      <c r="BL157">
        <v>-1</v>
      </c>
      <c r="BM157">
        <v>-1</v>
      </c>
      <c r="BN157">
        <v>-1</v>
      </c>
      <c r="BO157">
        <v>-1</v>
      </c>
    </row>
    <row r="158" spans="1:67" x14ac:dyDescent="0.25">
      <c r="A158">
        <v>155</v>
      </c>
      <c r="B158">
        <v>70001</v>
      </c>
      <c r="C158" t="str">
        <f>VLOOKUP(B158,[1]resources!$A$2:$D$300,3,FALSE)</f>
        <v>!!PERFUME_CAPSIZEFORHER</v>
      </c>
      <c r="D158">
        <v>6</v>
      </c>
      <c r="E158" t="str">
        <f>VLOOKUP(D158,[1]bonus_paytable!$A$2:$D$300,3,FALSE)</f>
        <v>bottomite_pink_female_average</v>
      </c>
      <c r="F158">
        <v>-1</v>
      </c>
      <c r="G158">
        <v>-1</v>
      </c>
      <c r="H158">
        <v>1</v>
      </c>
      <c r="I158" t="s">
        <v>1</v>
      </c>
      <c r="J158">
        <v>20004</v>
      </c>
      <c r="K158">
        <v>70005</v>
      </c>
      <c r="L158">
        <v>60017</v>
      </c>
      <c r="M158">
        <v>95</v>
      </c>
      <c r="N158">
        <v>2002</v>
      </c>
      <c r="O158">
        <v>40000</v>
      </c>
      <c r="P158">
        <v>70001</v>
      </c>
      <c r="Q158">
        <v>50004</v>
      </c>
      <c r="R158">
        <v>80000</v>
      </c>
      <c r="S158">
        <v>-1</v>
      </c>
      <c r="T158">
        <v>-1</v>
      </c>
      <c r="U158" s="2">
        <v>0.01</v>
      </c>
      <c r="V158" s="2">
        <v>0.03</v>
      </c>
      <c r="W158" s="2">
        <v>0.03</v>
      </c>
      <c r="X158" s="2">
        <v>0.05</v>
      </c>
      <c r="Y158" s="2">
        <v>0.05</v>
      </c>
      <c r="Z158" s="2">
        <v>0.05</v>
      </c>
      <c r="AA158" s="2">
        <v>0.05</v>
      </c>
      <c r="AB158" s="2">
        <v>0.05</v>
      </c>
      <c r="AC158" s="2">
        <v>0.05</v>
      </c>
      <c r="AD158" s="2">
        <v>-1</v>
      </c>
      <c r="AE158" s="2">
        <v>-1</v>
      </c>
      <c r="AF158">
        <f t="shared" si="0"/>
        <v>1</v>
      </c>
      <c r="AG158">
        <f t="shared" si="1"/>
        <v>1</v>
      </c>
      <c r="AH158">
        <f t="shared" si="2"/>
        <v>1</v>
      </c>
      <c r="AI158">
        <f t="shared" si="3"/>
        <v>1</v>
      </c>
      <c r="AJ158">
        <f t="shared" si="4"/>
        <v>1</v>
      </c>
      <c r="AK158">
        <f t="shared" si="5"/>
        <v>1</v>
      </c>
      <c r="AL158">
        <f t="shared" si="6"/>
        <v>1</v>
      </c>
      <c r="AM158">
        <f t="shared" si="7"/>
        <v>1</v>
      </c>
      <c r="AN158">
        <f t="shared" si="8"/>
        <v>1</v>
      </c>
      <c r="AO158">
        <f t="shared" si="9"/>
        <v>-1</v>
      </c>
      <c r="AP158">
        <f t="shared" si="10"/>
        <v>-1</v>
      </c>
      <c r="AQ158">
        <v>0</v>
      </c>
      <c r="AR158" t="s">
        <v>2</v>
      </c>
      <c r="AS158">
        <v>-1</v>
      </c>
      <c r="AT158">
        <v>-1</v>
      </c>
      <c r="AU158">
        <v>-1</v>
      </c>
      <c r="AV158">
        <v>-1</v>
      </c>
      <c r="AW158">
        <v>-1</v>
      </c>
      <c r="AX158">
        <v>-1</v>
      </c>
      <c r="AY158">
        <v>-1</v>
      </c>
      <c r="AZ158">
        <v>-1</v>
      </c>
      <c r="BA158">
        <v>-1</v>
      </c>
      <c r="BB158">
        <v>0</v>
      </c>
      <c r="BC158" t="s">
        <v>2</v>
      </c>
      <c r="BD158">
        <v>-1</v>
      </c>
      <c r="BE158">
        <v>-1</v>
      </c>
      <c r="BF158">
        <v>-1</v>
      </c>
      <c r="BG158">
        <v>-1</v>
      </c>
      <c r="BH158">
        <v>-1</v>
      </c>
      <c r="BI158">
        <v>-1</v>
      </c>
      <c r="BJ158">
        <v>-1</v>
      </c>
      <c r="BK158">
        <v>-1</v>
      </c>
      <c r="BL158">
        <v>-1</v>
      </c>
      <c r="BM158">
        <v>-1</v>
      </c>
      <c r="BN158">
        <v>-1</v>
      </c>
      <c r="BO158">
        <v>-1</v>
      </c>
    </row>
    <row r="159" spans="1:67" x14ac:dyDescent="0.25">
      <c r="A159">
        <v>156</v>
      </c>
      <c r="B159">
        <v>80014</v>
      </c>
      <c r="C159" t="str">
        <f>VLOOKUP(B159,[1]resources!$A$2:$D$300,3,FALSE)</f>
        <v>!!FOOD_BAKED_SHELDONSSTRAWBERRYSHORTCAKE</v>
      </c>
      <c r="D159">
        <v>6</v>
      </c>
      <c r="E159" t="str">
        <f>VLOOKUP(D159,[1]bonus_paytable!$A$2:$D$300,3,FALSE)</f>
        <v>bottomite_pink_female_average</v>
      </c>
      <c r="F159">
        <v>-1</v>
      </c>
      <c r="G159">
        <v>-1</v>
      </c>
      <c r="H159">
        <v>1</v>
      </c>
      <c r="I159" t="s">
        <v>1</v>
      </c>
      <c r="J159">
        <v>20004</v>
      </c>
      <c r="K159">
        <v>70005</v>
      </c>
      <c r="L159">
        <v>60017</v>
      </c>
      <c r="M159">
        <v>95</v>
      </c>
      <c r="N159">
        <v>2002</v>
      </c>
      <c r="O159">
        <v>40000</v>
      </c>
      <c r="P159">
        <v>70001</v>
      </c>
      <c r="Q159">
        <v>50004</v>
      </c>
      <c r="R159">
        <v>80000</v>
      </c>
      <c r="S159">
        <v>-1</v>
      </c>
      <c r="T159">
        <v>-1</v>
      </c>
      <c r="U159" s="2">
        <v>0.01</v>
      </c>
      <c r="V159" s="2">
        <v>0.03</v>
      </c>
      <c r="W159" s="2">
        <v>0.03</v>
      </c>
      <c r="X159" s="2">
        <v>0.05</v>
      </c>
      <c r="Y159" s="2">
        <v>0.05</v>
      </c>
      <c r="Z159" s="2">
        <v>0.05</v>
      </c>
      <c r="AA159" s="2">
        <v>0.05</v>
      </c>
      <c r="AB159" s="2">
        <v>0.05</v>
      </c>
      <c r="AC159" s="2">
        <v>0.05</v>
      </c>
      <c r="AD159" s="2">
        <v>-1</v>
      </c>
      <c r="AE159" s="2">
        <v>-1</v>
      </c>
      <c r="AF159">
        <f t="shared" si="0"/>
        <v>1</v>
      </c>
      <c r="AG159">
        <f t="shared" si="1"/>
        <v>1</v>
      </c>
      <c r="AH159">
        <f t="shared" si="2"/>
        <v>1</v>
      </c>
      <c r="AI159">
        <f t="shared" si="3"/>
        <v>1</v>
      </c>
      <c r="AJ159">
        <f t="shared" si="4"/>
        <v>1</v>
      </c>
      <c r="AK159">
        <f t="shared" si="5"/>
        <v>1</v>
      </c>
      <c r="AL159">
        <f t="shared" si="6"/>
        <v>1</v>
      </c>
      <c r="AM159">
        <f t="shared" si="7"/>
        <v>1</v>
      </c>
      <c r="AN159">
        <f t="shared" si="8"/>
        <v>1</v>
      </c>
      <c r="AO159">
        <f t="shared" si="9"/>
        <v>-1</v>
      </c>
      <c r="AP159">
        <f t="shared" si="10"/>
        <v>-1</v>
      </c>
      <c r="AQ159">
        <v>0</v>
      </c>
      <c r="AR159" t="s">
        <v>2</v>
      </c>
      <c r="AS159">
        <v>-1</v>
      </c>
      <c r="AT159">
        <v>-1</v>
      </c>
      <c r="AU159">
        <v>-1</v>
      </c>
      <c r="AV159">
        <v>-1</v>
      </c>
      <c r="AW159">
        <v>-1</v>
      </c>
      <c r="AX159">
        <v>-1</v>
      </c>
      <c r="AY159">
        <v>-1</v>
      </c>
      <c r="AZ159">
        <v>-1</v>
      </c>
      <c r="BA159">
        <v>-1</v>
      </c>
      <c r="BB159">
        <v>0</v>
      </c>
      <c r="BC159" t="s">
        <v>2</v>
      </c>
      <c r="BD159">
        <v>-1</v>
      </c>
      <c r="BE159">
        <v>-1</v>
      </c>
      <c r="BF159">
        <v>-1</v>
      </c>
      <c r="BG159">
        <v>-1</v>
      </c>
      <c r="BH159">
        <v>-1</v>
      </c>
      <c r="BI159">
        <v>-1</v>
      </c>
      <c r="BJ159">
        <v>-1</v>
      </c>
      <c r="BK159">
        <v>-1</v>
      </c>
      <c r="BL159">
        <v>-1</v>
      </c>
      <c r="BM159">
        <v>-1</v>
      </c>
      <c r="BN159">
        <v>-1</v>
      </c>
      <c r="BO159">
        <v>-1</v>
      </c>
    </row>
    <row r="160" spans="1:67" x14ac:dyDescent="0.25">
      <c r="A160">
        <v>157</v>
      </c>
      <c r="B160">
        <v>1</v>
      </c>
      <c r="C160" t="str">
        <f>VLOOKUP(B160,[1]resources!$A$2:$D$300,3,FALSE)</f>
        <v>!!FOOD_KRABBYPATTY</v>
      </c>
      <c r="D160">
        <v>7</v>
      </c>
      <c r="E160" t="str">
        <f>VLOOKUP(D160,[1]bonus_paytable!$A$2:$D$300,3,FALSE)</f>
        <v>bottomite_blue_male_minnow</v>
      </c>
      <c r="F160">
        <v>-1</v>
      </c>
      <c r="G160">
        <v>-1</v>
      </c>
      <c r="H160">
        <v>1</v>
      </c>
      <c r="I160" t="s">
        <v>1</v>
      </c>
      <c r="J160">
        <v>80002</v>
      </c>
      <c r="K160">
        <v>15</v>
      </c>
      <c r="L160">
        <v>10008</v>
      </c>
      <c r="M160">
        <v>30001</v>
      </c>
      <c r="N160">
        <v>27</v>
      </c>
      <c r="O160">
        <v>2002</v>
      </c>
      <c r="P160">
        <v>30007</v>
      </c>
      <c r="Q160">
        <v>60016</v>
      </c>
      <c r="R160">
        <v>80007</v>
      </c>
      <c r="S160">
        <v>-1</v>
      </c>
      <c r="T160">
        <v>-1</v>
      </c>
      <c r="U160" s="2">
        <v>0.01</v>
      </c>
      <c r="V160" s="2">
        <v>0.03</v>
      </c>
      <c r="W160" s="2">
        <v>0.03</v>
      </c>
      <c r="X160" s="2">
        <v>0.03</v>
      </c>
      <c r="Y160" s="2">
        <v>0.05</v>
      </c>
      <c r="Z160" s="2">
        <v>0.05</v>
      </c>
      <c r="AA160" s="2">
        <v>0.05</v>
      </c>
      <c r="AB160" s="2">
        <v>0.05</v>
      </c>
      <c r="AC160" s="2">
        <v>0.05</v>
      </c>
      <c r="AD160" s="2">
        <v>-1</v>
      </c>
      <c r="AE160" s="2">
        <v>-1</v>
      </c>
      <c r="AF160">
        <f t="shared" si="0"/>
        <v>1</v>
      </c>
      <c r="AG160">
        <f t="shared" si="1"/>
        <v>1</v>
      </c>
      <c r="AH160">
        <f t="shared" si="2"/>
        <v>1</v>
      </c>
      <c r="AI160">
        <f t="shared" si="3"/>
        <v>1</v>
      </c>
      <c r="AJ160">
        <f t="shared" si="4"/>
        <v>1</v>
      </c>
      <c r="AK160">
        <f t="shared" si="5"/>
        <v>1</v>
      </c>
      <c r="AL160">
        <f t="shared" si="6"/>
        <v>1</v>
      </c>
      <c r="AM160">
        <f t="shared" si="7"/>
        <v>1</v>
      </c>
      <c r="AN160">
        <f t="shared" si="8"/>
        <v>1</v>
      </c>
      <c r="AO160">
        <f t="shared" si="9"/>
        <v>-1</v>
      </c>
      <c r="AP160">
        <f t="shared" si="10"/>
        <v>-1</v>
      </c>
      <c r="AQ160">
        <v>0</v>
      </c>
      <c r="AR160" t="s">
        <v>2</v>
      </c>
      <c r="AS160">
        <v>-1</v>
      </c>
      <c r="AT160">
        <v>-1</v>
      </c>
      <c r="AU160">
        <v>-1</v>
      </c>
      <c r="AV160">
        <v>-1</v>
      </c>
      <c r="AW160">
        <v>-1</v>
      </c>
      <c r="AX160">
        <v>-1</v>
      </c>
      <c r="AY160">
        <v>-1</v>
      </c>
      <c r="AZ160">
        <v>-1</v>
      </c>
      <c r="BA160">
        <v>-1</v>
      </c>
      <c r="BB160">
        <v>0</v>
      </c>
      <c r="BC160" t="s">
        <v>2</v>
      </c>
      <c r="BD160">
        <v>-1</v>
      </c>
      <c r="BE160">
        <v>-1</v>
      </c>
      <c r="BF160">
        <v>-1</v>
      </c>
      <c r="BG160">
        <v>-1</v>
      </c>
      <c r="BH160">
        <v>-1</v>
      </c>
      <c r="BI160">
        <v>-1</v>
      </c>
      <c r="BJ160">
        <v>-1</v>
      </c>
      <c r="BK160">
        <v>-1</v>
      </c>
      <c r="BL160">
        <v>-1</v>
      </c>
      <c r="BM160">
        <v>-1</v>
      </c>
      <c r="BN160">
        <v>-1</v>
      </c>
      <c r="BO160">
        <v>-1</v>
      </c>
    </row>
    <row r="161" spans="1:67" x14ac:dyDescent="0.25">
      <c r="A161">
        <v>158</v>
      </c>
      <c r="B161">
        <v>22</v>
      </c>
      <c r="C161" t="str">
        <f>VLOOKUP(B161,[1]resources!$A$2:$D$300,3,FALSE)</f>
        <v>!!FOOD_SEAWEEDSALAD</v>
      </c>
      <c r="D161">
        <v>7</v>
      </c>
      <c r="E161" t="str">
        <f>VLOOKUP(D161,[1]bonus_paytable!$A$2:$D$300,3,FALSE)</f>
        <v>bottomite_blue_male_minnow</v>
      </c>
      <c r="F161">
        <v>-1</v>
      </c>
      <c r="G161">
        <v>-1</v>
      </c>
      <c r="H161">
        <v>1</v>
      </c>
      <c r="I161" t="s">
        <v>1</v>
      </c>
      <c r="J161">
        <v>80002</v>
      </c>
      <c r="K161">
        <v>15</v>
      </c>
      <c r="L161">
        <v>10008</v>
      </c>
      <c r="M161">
        <v>30001</v>
      </c>
      <c r="N161">
        <v>27</v>
      </c>
      <c r="O161">
        <v>2002</v>
      </c>
      <c r="P161">
        <v>30007</v>
      </c>
      <c r="Q161">
        <v>60016</v>
      </c>
      <c r="R161">
        <v>80007</v>
      </c>
      <c r="S161">
        <v>-1</v>
      </c>
      <c r="T161">
        <v>-1</v>
      </c>
      <c r="U161" s="2">
        <v>0.01</v>
      </c>
      <c r="V161" s="2">
        <v>0.03</v>
      </c>
      <c r="W161" s="2">
        <v>0.03</v>
      </c>
      <c r="X161" s="2">
        <v>0.03</v>
      </c>
      <c r="Y161" s="2">
        <v>0.05</v>
      </c>
      <c r="Z161" s="2">
        <v>0.05</v>
      </c>
      <c r="AA161" s="2">
        <v>0.05</v>
      </c>
      <c r="AB161" s="2">
        <v>0.05</v>
      </c>
      <c r="AC161" s="2">
        <v>0.05</v>
      </c>
      <c r="AD161" s="2">
        <v>-1</v>
      </c>
      <c r="AE161" s="2">
        <v>-1</v>
      </c>
      <c r="AF161">
        <f t="shared" si="0"/>
        <v>1</v>
      </c>
      <c r="AG161">
        <f t="shared" si="1"/>
        <v>1</v>
      </c>
      <c r="AH161">
        <f t="shared" si="2"/>
        <v>1</v>
      </c>
      <c r="AI161">
        <f t="shared" si="3"/>
        <v>1</v>
      </c>
      <c r="AJ161">
        <f t="shared" si="4"/>
        <v>1</v>
      </c>
      <c r="AK161">
        <f t="shared" si="5"/>
        <v>1</v>
      </c>
      <c r="AL161">
        <f t="shared" si="6"/>
        <v>1</v>
      </c>
      <c r="AM161">
        <f t="shared" si="7"/>
        <v>1</v>
      </c>
      <c r="AN161">
        <f t="shared" si="8"/>
        <v>1</v>
      </c>
      <c r="AO161">
        <f t="shared" si="9"/>
        <v>-1</v>
      </c>
      <c r="AP161">
        <f t="shared" si="10"/>
        <v>-1</v>
      </c>
      <c r="AQ161">
        <v>0</v>
      </c>
      <c r="AR161" t="s">
        <v>2</v>
      </c>
      <c r="AS161">
        <v>-1</v>
      </c>
      <c r="AT161">
        <v>-1</v>
      </c>
      <c r="AU161">
        <v>-1</v>
      </c>
      <c r="AV161">
        <v>-1</v>
      </c>
      <c r="AW161">
        <v>-1</v>
      </c>
      <c r="AX161">
        <v>-1</v>
      </c>
      <c r="AY161">
        <v>-1</v>
      </c>
      <c r="AZ161">
        <v>-1</v>
      </c>
      <c r="BA161">
        <v>-1</v>
      </c>
      <c r="BB161">
        <v>0</v>
      </c>
      <c r="BC161" t="s">
        <v>2</v>
      </c>
      <c r="BD161">
        <v>-1</v>
      </c>
      <c r="BE161">
        <v>-1</v>
      </c>
      <c r="BF161">
        <v>-1</v>
      </c>
      <c r="BG161">
        <v>-1</v>
      </c>
      <c r="BH161">
        <v>-1</v>
      </c>
      <c r="BI161">
        <v>-1</v>
      </c>
      <c r="BJ161">
        <v>-1</v>
      </c>
      <c r="BK161">
        <v>-1</v>
      </c>
      <c r="BL161">
        <v>-1</v>
      </c>
      <c r="BM161">
        <v>-1</v>
      </c>
      <c r="BN161">
        <v>-1</v>
      </c>
      <c r="BO161">
        <v>-1</v>
      </c>
    </row>
    <row r="162" spans="1:67" x14ac:dyDescent="0.25">
      <c r="A162">
        <v>159</v>
      </c>
      <c r="B162">
        <v>21</v>
      </c>
      <c r="C162" t="str">
        <f>VLOOKUP(B162,[1]resources!$A$2:$D$300,3,FALSE)</f>
        <v>!!FOOD_KELPDOG</v>
      </c>
      <c r="D162">
        <v>7</v>
      </c>
      <c r="E162" t="str">
        <f>VLOOKUP(D162,[1]bonus_paytable!$A$2:$D$300,3,FALSE)</f>
        <v>bottomite_blue_male_minnow</v>
      </c>
      <c r="F162">
        <v>-1</v>
      </c>
      <c r="G162">
        <v>-1</v>
      </c>
      <c r="H162">
        <v>1</v>
      </c>
      <c r="I162" t="s">
        <v>1</v>
      </c>
      <c r="J162">
        <v>80002</v>
      </c>
      <c r="K162">
        <v>15</v>
      </c>
      <c r="L162">
        <v>10008</v>
      </c>
      <c r="M162">
        <v>30001</v>
      </c>
      <c r="N162">
        <v>27</v>
      </c>
      <c r="O162">
        <v>2002</v>
      </c>
      <c r="P162">
        <v>30007</v>
      </c>
      <c r="Q162">
        <v>60016</v>
      </c>
      <c r="R162">
        <v>80007</v>
      </c>
      <c r="S162">
        <v>-1</v>
      </c>
      <c r="T162">
        <v>-1</v>
      </c>
      <c r="U162" s="2">
        <v>0.01</v>
      </c>
      <c r="V162" s="2">
        <v>0.03</v>
      </c>
      <c r="W162" s="2">
        <v>0.03</v>
      </c>
      <c r="X162" s="2">
        <v>0.03</v>
      </c>
      <c r="Y162" s="2">
        <v>0.05</v>
      </c>
      <c r="Z162" s="2">
        <v>0.05</v>
      </c>
      <c r="AA162" s="2">
        <v>0.05</v>
      </c>
      <c r="AB162" s="2">
        <v>0.05</v>
      </c>
      <c r="AC162" s="2">
        <v>0.05</v>
      </c>
      <c r="AD162" s="2">
        <v>-1</v>
      </c>
      <c r="AE162" s="2">
        <v>-1</v>
      </c>
      <c r="AF162">
        <f t="shared" si="0"/>
        <v>1</v>
      </c>
      <c r="AG162">
        <f t="shared" si="1"/>
        <v>1</v>
      </c>
      <c r="AH162">
        <f t="shared" si="2"/>
        <v>1</v>
      </c>
      <c r="AI162">
        <f t="shared" si="3"/>
        <v>1</v>
      </c>
      <c r="AJ162">
        <f t="shared" si="4"/>
        <v>1</v>
      </c>
      <c r="AK162">
        <f t="shared" si="5"/>
        <v>1</v>
      </c>
      <c r="AL162">
        <f t="shared" si="6"/>
        <v>1</v>
      </c>
      <c r="AM162">
        <f t="shared" si="7"/>
        <v>1</v>
      </c>
      <c r="AN162">
        <f t="shared" si="8"/>
        <v>1</v>
      </c>
      <c r="AO162">
        <f t="shared" si="9"/>
        <v>-1</v>
      </c>
      <c r="AP162">
        <f t="shared" si="10"/>
        <v>-1</v>
      </c>
      <c r="AQ162">
        <v>0</v>
      </c>
      <c r="AR162" t="s">
        <v>2</v>
      </c>
      <c r="AS162">
        <v>-1</v>
      </c>
      <c r="AT162">
        <v>-1</v>
      </c>
      <c r="AU162">
        <v>-1</v>
      </c>
      <c r="AV162">
        <v>-1</v>
      </c>
      <c r="AW162">
        <v>-1</v>
      </c>
      <c r="AX162">
        <v>-1</v>
      </c>
      <c r="AY162">
        <v>-1</v>
      </c>
      <c r="AZ162">
        <v>-1</v>
      </c>
      <c r="BA162">
        <v>-1</v>
      </c>
      <c r="BB162">
        <v>0</v>
      </c>
      <c r="BC162" t="s">
        <v>2</v>
      </c>
      <c r="BD162">
        <v>-1</v>
      </c>
      <c r="BE162">
        <v>-1</v>
      </c>
      <c r="BF162">
        <v>-1</v>
      </c>
      <c r="BG162">
        <v>-1</v>
      </c>
      <c r="BH162">
        <v>-1</v>
      </c>
      <c r="BI162">
        <v>-1</v>
      </c>
      <c r="BJ162">
        <v>-1</v>
      </c>
      <c r="BK162">
        <v>-1</v>
      </c>
      <c r="BL162">
        <v>-1</v>
      </c>
      <c r="BM162">
        <v>-1</v>
      </c>
      <c r="BN162">
        <v>-1</v>
      </c>
      <c r="BO162">
        <v>-1</v>
      </c>
    </row>
    <row r="163" spans="1:67" x14ac:dyDescent="0.25">
      <c r="A163">
        <v>160</v>
      </c>
      <c r="B163">
        <v>20002</v>
      </c>
      <c r="C163" t="str">
        <f>VLOOKUP(B163,[1]resources!$A$2:$D$300,3,FALSE)</f>
        <v>!!JUICE_LIMEADE</v>
      </c>
      <c r="D163">
        <v>7</v>
      </c>
      <c r="E163" t="str">
        <f>VLOOKUP(D163,[1]bonus_paytable!$A$2:$D$300,3,FALSE)</f>
        <v>bottomite_blue_male_minnow</v>
      </c>
      <c r="F163">
        <v>-1</v>
      </c>
      <c r="G163">
        <v>-1</v>
      </c>
      <c r="H163">
        <v>1</v>
      </c>
      <c r="I163" t="s">
        <v>1</v>
      </c>
      <c r="J163">
        <v>80002</v>
      </c>
      <c r="K163">
        <v>15</v>
      </c>
      <c r="L163">
        <v>10008</v>
      </c>
      <c r="M163">
        <v>30001</v>
      </c>
      <c r="N163">
        <v>27</v>
      </c>
      <c r="O163">
        <v>2002</v>
      </c>
      <c r="P163">
        <v>30007</v>
      </c>
      <c r="Q163">
        <v>60016</v>
      </c>
      <c r="R163">
        <v>80007</v>
      </c>
      <c r="S163">
        <v>-1</v>
      </c>
      <c r="T163">
        <v>-1</v>
      </c>
      <c r="U163" s="2">
        <v>0.01</v>
      </c>
      <c r="V163" s="2">
        <v>0.03</v>
      </c>
      <c r="W163" s="2">
        <v>0.03</v>
      </c>
      <c r="X163" s="2">
        <v>0.03</v>
      </c>
      <c r="Y163" s="2">
        <v>0.05</v>
      </c>
      <c r="Z163" s="2">
        <v>0.05</v>
      </c>
      <c r="AA163" s="2">
        <v>0.05</v>
      </c>
      <c r="AB163" s="2">
        <v>0.05</v>
      </c>
      <c r="AC163" s="2">
        <v>0.05</v>
      </c>
      <c r="AD163" s="2">
        <v>-1</v>
      </c>
      <c r="AE163" s="2">
        <v>-1</v>
      </c>
      <c r="AF163">
        <f t="shared" si="0"/>
        <v>1</v>
      </c>
      <c r="AG163">
        <f t="shared" si="1"/>
        <v>1</v>
      </c>
      <c r="AH163">
        <f t="shared" si="2"/>
        <v>1</v>
      </c>
      <c r="AI163">
        <f t="shared" si="3"/>
        <v>1</v>
      </c>
      <c r="AJ163">
        <f t="shared" si="4"/>
        <v>1</v>
      </c>
      <c r="AK163">
        <f t="shared" si="5"/>
        <v>1</v>
      </c>
      <c r="AL163">
        <f t="shared" si="6"/>
        <v>1</v>
      </c>
      <c r="AM163">
        <f t="shared" si="7"/>
        <v>1</v>
      </c>
      <c r="AN163">
        <f t="shared" si="8"/>
        <v>1</v>
      </c>
      <c r="AO163">
        <f t="shared" si="9"/>
        <v>-1</v>
      </c>
      <c r="AP163">
        <f t="shared" si="10"/>
        <v>-1</v>
      </c>
      <c r="AQ163">
        <v>0</v>
      </c>
      <c r="AR163" t="s">
        <v>2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0</v>
      </c>
      <c r="BC163" t="s">
        <v>2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</row>
    <row r="164" spans="1:67" x14ac:dyDescent="0.25">
      <c r="A164">
        <v>161</v>
      </c>
      <c r="B164">
        <v>30009</v>
      </c>
      <c r="C164" t="str">
        <f>VLOOKUP(B164,[1]resources!$A$2:$D$300,3,FALSE)</f>
        <v>!!SMOOTHIE_STRAWBERRY_SQUEEZE</v>
      </c>
      <c r="D164">
        <v>7</v>
      </c>
      <c r="E164" t="str">
        <f>VLOOKUP(D164,[1]bonus_paytable!$A$2:$D$300,3,FALSE)</f>
        <v>bottomite_blue_male_minnow</v>
      </c>
      <c r="F164">
        <v>-1</v>
      </c>
      <c r="G164">
        <v>-1</v>
      </c>
      <c r="H164">
        <v>1</v>
      </c>
      <c r="I164" t="s">
        <v>1</v>
      </c>
      <c r="J164">
        <v>80002</v>
      </c>
      <c r="K164">
        <v>15</v>
      </c>
      <c r="L164">
        <v>10008</v>
      </c>
      <c r="M164">
        <v>30001</v>
      </c>
      <c r="N164">
        <v>27</v>
      </c>
      <c r="O164">
        <v>2002</v>
      </c>
      <c r="P164">
        <v>30007</v>
      </c>
      <c r="Q164">
        <v>60016</v>
      </c>
      <c r="R164">
        <v>80007</v>
      </c>
      <c r="S164">
        <v>-1</v>
      </c>
      <c r="T164">
        <v>-1</v>
      </c>
      <c r="U164" s="2">
        <v>0.01</v>
      </c>
      <c r="V164" s="2">
        <v>0.03</v>
      </c>
      <c r="W164" s="2">
        <v>0.03</v>
      </c>
      <c r="X164" s="2">
        <v>0.03</v>
      </c>
      <c r="Y164" s="2">
        <v>0.05</v>
      </c>
      <c r="Z164" s="2">
        <v>0.05</v>
      </c>
      <c r="AA164" s="2">
        <v>0.05</v>
      </c>
      <c r="AB164" s="2">
        <v>0.05</v>
      </c>
      <c r="AC164" s="2">
        <v>0.05</v>
      </c>
      <c r="AD164" s="2">
        <v>-1</v>
      </c>
      <c r="AE164" s="2">
        <v>-1</v>
      </c>
      <c r="AF164">
        <f t="shared" si="0"/>
        <v>1</v>
      </c>
      <c r="AG164">
        <f t="shared" si="1"/>
        <v>1</v>
      </c>
      <c r="AH164">
        <f t="shared" si="2"/>
        <v>1</v>
      </c>
      <c r="AI164">
        <f t="shared" si="3"/>
        <v>1</v>
      </c>
      <c r="AJ164">
        <f t="shared" si="4"/>
        <v>1</v>
      </c>
      <c r="AK164">
        <f t="shared" si="5"/>
        <v>1</v>
      </c>
      <c r="AL164">
        <f t="shared" si="6"/>
        <v>1</v>
      </c>
      <c r="AM164">
        <f t="shared" si="7"/>
        <v>1</v>
      </c>
      <c r="AN164">
        <f t="shared" si="8"/>
        <v>1</v>
      </c>
      <c r="AO164">
        <f t="shared" si="9"/>
        <v>-1</v>
      </c>
      <c r="AP164">
        <f t="shared" si="10"/>
        <v>-1</v>
      </c>
      <c r="AQ164">
        <v>0</v>
      </c>
      <c r="AR164" t="s">
        <v>2</v>
      </c>
      <c r="AS164">
        <v>-1</v>
      </c>
      <c r="AT164">
        <v>-1</v>
      </c>
      <c r="AU164">
        <v>-1</v>
      </c>
      <c r="AV164">
        <v>-1</v>
      </c>
      <c r="AW164">
        <v>-1</v>
      </c>
      <c r="AX164">
        <v>-1</v>
      </c>
      <c r="AY164">
        <v>-1</v>
      </c>
      <c r="AZ164">
        <v>-1</v>
      </c>
      <c r="BA164">
        <v>-1</v>
      </c>
      <c r="BB164">
        <v>0</v>
      </c>
      <c r="BC164" t="s">
        <v>2</v>
      </c>
      <c r="BD164">
        <v>-1</v>
      </c>
      <c r="BE164">
        <v>-1</v>
      </c>
      <c r="BF164">
        <v>-1</v>
      </c>
      <c r="BG164">
        <v>-1</v>
      </c>
      <c r="BH164">
        <v>-1</v>
      </c>
      <c r="BI164">
        <v>-1</v>
      </c>
      <c r="BJ164">
        <v>-1</v>
      </c>
      <c r="BK164">
        <v>-1</v>
      </c>
      <c r="BL164">
        <v>-1</v>
      </c>
      <c r="BM164">
        <v>-1</v>
      </c>
      <c r="BN164">
        <v>-1</v>
      </c>
      <c r="BO164">
        <v>-1</v>
      </c>
    </row>
    <row r="165" spans="1:67" x14ac:dyDescent="0.25">
      <c r="A165">
        <v>162</v>
      </c>
      <c r="B165">
        <v>50004</v>
      </c>
      <c r="C165" t="str">
        <f>VLOOKUP(B165,[1]resources!$A$2:$D$300,3,FALSE)</f>
        <v>!!SHAKE_SALTY_BANANA</v>
      </c>
      <c r="D165">
        <v>7</v>
      </c>
      <c r="E165" t="str">
        <f>VLOOKUP(D165,[1]bonus_paytable!$A$2:$D$300,3,FALSE)</f>
        <v>bottomite_blue_male_minnow</v>
      </c>
      <c r="F165">
        <v>-1</v>
      </c>
      <c r="G165">
        <v>-1</v>
      </c>
      <c r="H165">
        <v>1</v>
      </c>
      <c r="I165" t="s">
        <v>1</v>
      </c>
      <c r="J165">
        <v>80002</v>
      </c>
      <c r="K165">
        <v>15</v>
      </c>
      <c r="L165">
        <v>10008</v>
      </c>
      <c r="M165">
        <v>30001</v>
      </c>
      <c r="N165">
        <v>27</v>
      </c>
      <c r="O165">
        <v>2002</v>
      </c>
      <c r="P165">
        <v>30007</v>
      </c>
      <c r="Q165">
        <v>60016</v>
      </c>
      <c r="R165">
        <v>80007</v>
      </c>
      <c r="S165">
        <v>-1</v>
      </c>
      <c r="T165">
        <v>-1</v>
      </c>
      <c r="U165" s="2">
        <v>0.01</v>
      </c>
      <c r="V165" s="2">
        <v>0.03</v>
      </c>
      <c r="W165" s="2">
        <v>0.03</v>
      </c>
      <c r="X165" s="2">
        <v>0.03</v>
      </c>
      <c r="Y165" s="2">
        <v>0.05</v>
      </c>
      <c r="Z165" s="2">
        <v>0.05</v>
      </c>
      <c r="AA165" s="2">
        <v>0.05</v>
      </c>
      <c r="AB165" s="2">
        <v>0.05</v>
      </c>
      <c r="AC165" s="2">
        <v>0.05</v>
      </c>
      <c r="AD165" s="2">
        <v>-1</v>
      </c>
      <c r="AE165" s="2">
        <v>-1</v>
      </c>
      <c r="AF165">
        <f t="shared" si="0"/>
        <v>1</v>
      </c>
      <c r="AG165">
        <f t="shared" si="1"/>
        <v>1</v>
      </c>
      <c r="AH165">
        <f t="shared" si="2"/>
        <v>1</v>
      </c>
      <c r="AI165">
        <f t="shared" si="3"/>
        <v>1</v>
      </c>
      <c r="AJ165">
        <f t="shared" si="4"/>
        <v>1</v>
      </c>
      <c r="AK165">
        <f t="shared" si="5"/>
        <v>1</v>
      </c>
      <c r="AL165">
        <f t="shared" si="6"/>
        <v>1</v>
      </c>
      <c r="AM165">
        <f t="shared" si="7"/>
        <v>1</v>
      </c>
      <c r="AN165">
        <f t="shared" si="8"/>
        <v>1</v>
      </c>
      <c r="AO165">
        <f t="shared" si="9"/>
        <v>-1</v>
      </c>
      <c r="AP165">
        <f t="shared" si="10"/>
        <v>-1</v>
      </c>
      <c r="AQ165">
        <v>0</v>
      </c>
      <c r="AR165" t="s">
        <v>2</v>
      </c>
      <c r="AS165">
        <v>-1</v>
      </c>
      <c r="AT165">
        <v>-1</v>
      </c>
      <c r="AU165">
        <v>-1</v>
      </c>
      <c r="AV165">
        <v>-1</v>
      </c>
      <c r="AW165">
        <v>-1</v>
      </c>
      <c r="AX165">
        <v>-1</v>
      </c>
      <c r="AY165">
        <v>-1</v>
      </c>
      <c r="AZ165">
        <v>-1</v>
      </c>
      <c r="BA165">
        <v>-1</v>
      </c>
      <c r="BB165">
        <v>0</v>
      </c>
      <c r="BC165" t="s">
        <v>2</v>
      </c>
      <c r="BD165">
        <v>-1</v>
      </c>
      <c r="BE165">
        <v>-1</v>
      </c>
      <c r="BF165">
        <v>-1</v>
      </c>
      <c r="BG165">
        <v>-1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-1</v>
      </c>
      <c r="BO165">
        <v>-1</v>
      </c>
    </row>
    <row r="166" spans="1:67" x14ac:dyDescent="0.25">
      <c r="A166">
        <v>163</v>
      </c>
      <c r="B166">
        <v>60014</v>
      </c>
      <c r="C166" t="str">
        <f>VLOOKUP(B166,[1]resources!$A$2:$D$300,3,FALSE)</f>
        <v>!!BOUQUET_FLOWERCORAL_FRIENDLYFLOWER</v>
      </c>
      <c r="D166">
        <v>7</v>
      </c>
      <c r="E166" t="str">
        <f>VLOOKUP(D166,[1]bonus_paytable!$A$2:$D$300,3,FALSE)</f>
        <v>bottomite_blue_male_minnow</v>
      </c>
      <c r="F166">
        <v>-1</v>
      </c>
      <c r="G166">
        <v>-1</v>
      </c>
      <c r="H166">
        <v>1</v>
      </c>
      <c r="I166" t="s">
        <v>1</v>
      </c>
      <c r="J166">
        <v>80002</v>
      </c>
      <c r="K166">
        <v>15</v>
      </c>
      <c r="L166">
        <v>10008</v>
      </c>
      <c r="M166">
        <v>30001</v>
      </c>
      <c r="N166">
        <v>27</v>
      </c>
      <c r="O166">
        <v>2002</v>
      </c>
      <c r="P166">
        <v>30007</v>
      </c>
      <c r="Q166">
        <v>60016</v>
      </c>
      <c r="R166">
        <v>80007</v>
      </c>
      <c r="S166">
        <v>-1</v>
      </c>
      <c r="T166">
        <v>-1</v>
      </c>
      <c r="U166" s="2">
        <v>0.01</v>
      </c>
      <c r="V166" s="2">
        <v>0.03</v>
      </c>
      <c r="W166" s="2">
        <v>0.03</v>
      </c>
      <c r="X166" s="2">
        <v>0.03</v>
      </c>
      <c r="Y166" s="2">
        <v>0.05</v>
      </c>
      <c r="Z166" s="2">
        <v>0.05</v>
      </c>
      <c r="AA166" s="2">
        <v>0.05</v>
      </c>
      <c r="AB166" s="2">
        <v>0.05</v>
      </c>
      <c r="AC166" s="2">
        <v>0.05</v>
      </c>
      <c r="AD166" s="2">
        <v>-1</v>
      </c>
      <c r="AE166" s="2">
        <v>-1</v>
      </c>
      <c r="AF166">
        <f t="shared" si="0"/>
        <v>1</v>
      </c>
      <c r="AG166">
        <f t="shared" si="1"/>
        <v>1</v>
      </c>
      <c r="AH166">
        <f t="shared" si="2"/>
        <v>1</v>
      </c>
      <c r="AI166">
        <f t="shared" si="3"/>
        <v>1</v>
      </c>
      <c r="AJ166">
        <f t="shared" si="4"/>
        <v>1</v>
      </c>
      <c r="AK166">
        <f t="shared" si="5"/>
        <v>1</v>
      </c>
      <c r="AL166">
        <f t="shared" si="6"/>
        <v>1</v>
      </c>
      <c r="AM166">
        <f t="shared" si="7"/>
        <v>1</v>
      </c>
      <c r="AN166">
        <f t="shared" si="8"/>
        <v>1</v>
      </c>
      <c r="AO166">
        <f t="shared" si="9"/>
        <v>-1</v>
      </c>
      <c r="AP166">
        <f t="shared" si="10"/>
        <v>-1</v>
      </c>
      <c r="AQ166">
        <v>0</v>
      </c>
      <c r="AR166" t="s">
        <v>2</v>
      </c>
      <c r="AS166">
        <v>-1</v>
      </c>
      <c r="AT166">
        <v>-1</v>
      </c>
      <c r="AU166">
        <v>-1</v>
      </c>
      <c r="AV166">
        <v>-1</v>
      </c>
      <c r="AW166">
        <v>-1</v>
      </c>
      <c r="AX166">
        <v>-1</v>
      </c>
      <c r="AY166">
        <v>-1</v>
      </c>
      <c r="AZ166">
        <v>-1</v>
      </c>
      <c r="BA166">
        <v>-1</v>
      </c>
      <c r="BB166">
        <v>0</v>
      </c>
      <c r="BC166" t="s">
        <v>2</v>
      </c>
      <c r="BD166">
        <v>-1</v>
      </c>
      <c r="BE166">
        <v>-1</v>
      </c>
      <c r="BF166">
        <v>-1</v>
      </c>
      <c r="BG166">
        <v>-1</v>
      </c>
      <c r="BH166">
        <v>-1</v>
      </c>
      <c r="BI166">
        <v>-1</v>
      </c>
      <c r="BJ166">
        <v>-1</v>
      </c>
      <c r="BK166">
        <v>-1</v>
      </c>
      <c r="BL166">
        <v>-1</v>
      </c>
      <c r="BM166">
        <v>-1</v>
      </c>
      <c r="BN166">
        <v>-1</v>
      </c>
      <c r="BO166">
        <v>-1</v>
      </c>
    </row>
    <row r="167" spans="1:67" x14ac:dyDescent="0.25">
      <c r="A167">
        <v>164</v>
      </c>
      <c r="B167">
        <v>70008</v>
      </c>
      <c r="C167" t="str">
        <f>VLOOKUP(B167,[1]resources!$A$2:$D$300,3,FALSE)</f>
        <v>!!PERFUME_SCENTOSAILOR</v>
      </c>
      <c r="D167">
        <v>7</v>
      </c>
      <c r="E167" t="str">
        <f>VLOOKUP(D167,[1]bonus_paytable!$A$2:$D$300,3,FALSE)</f>
        <v>bottomite_blue_male_minnow</v>
      </c>
      <c r="F167">
        <v>-1</v>
      </c>
      <c r="G167">
        <v>-1</v>
      </c>
      <c r="H167">
        <v>1</v>
      </c>
      <c r="I167" t="s">
        <v>1</v>
      </c>
      <c r="J167">
        <v>80002</v>
      </c>
      <c r="K167">
        <v>15</v>
      </c>
      <c r="L167">
        <v>10008</v>
      </c>
      <c r="M167">
        <v>30001</v>
      </c>
      <c r="N167">
        <v>27</v>
      </c>
      <c r="O167">
        <v>2002</v>
      </c>
      <c r="P167">
        <v>30007</v>
      </c>
      <c r="Q167">
        <v>60016</v>
      </c>
      <c r="R167">
        <v>80007</v>
      </c>
      <c r="S167">
        <v>-1</v>
      </c>
      <c r="T167">
        <v>-1</v>
      </c>
      <c r="U167" s="2">
        <v>0.01</v>
      </c>
      <c r="V167" s="2">
        <v>0.03</v>
      </c>
      <c r="W167" s="2">
        <v>0.03</v>
      </c>
      <c r="X167" s="2">
        <v>0.03</v>
      </c>
      <c r="Y167" s="2">
        <v>0.05</v>
      </c>
      <c r="Z167" s="2">
        <v>0.05</v>
      </c>
      <c r="AA167" s="2">
        <v>0.05</v>
      </c>
      <c r="AB167" s="2">
        <v>0.05</v>
      </c>
      <c r="AC167" s="2">
        <v>0.05</v>
      </c>
      <c r="AD167" s="2">
        <v>-1</v>
      </c>
      <c r="AE167" s="2">
        <v>-1</v>
      </c>
      <c r="AF167">
        <f t="shared" si="0"/>
        <v>1</v>
      </c>
      <c r="AG167">
        <f t="shared" si="1"/>
        <v>1</v>
      </c>
      <c r="AH167">
        <f t="shared" si="2"/>
        <v>1</v>
      </c>
      <c r="AI167">
        <f t="shared" si="3"/>
        <v>1</v>
      </c>
      <c r="AJ167">
        <f t="shared" si="4"/>
        <v>1</v>
      </c>
      <c r="AK167">
        <f t="shared" si="5"/>
        <v>1</v>
      </c>
      <c r="AL167">
        <f t="shared" si="6"/>
        <v>1</v>
      </c>
      <c r="AM167">
        <f t="shared" si="7"/>
        <v>1</v>
      </c>
      <c r="AN167">
        <f t="shared" si="8"/>
        <v>1</v>
      </c>
      <c r="AO167">
        <f t="shared" si="9"/>
        <v>-1</v>
      </c>
      <c r="AP167">
        <f t="shared" si="10"/>
        <v>-1</v>
      </c>
      <c r="AQ167">
        <v>0</v>
      </c>
      <c r="AR167" t="s">
        <v>2</v>
      </c>
      <c r="AS167">
        <v>-1</v>
      </c>
      <c r="AT167">
        <v>-1</v>
      </c>
      <c r="AU167">
        <v>-1</v>
      </c>
      <c r="AV167">
        <v>-1</v>
      </c>
      <c r="AW167">
        <v>-1</v>
      </c>
      <c r="AX167">
        <v>-1</v>
      </c>
      <c r="AY167">
        <v>-1</v>
      </c>
      <c r="AZ167">
        <v>-1</v>
      </c>
      <c r="BA167">
        <v>-1</v>
      </c>
      <c r="BB167">
        <v>0</v>
      </c>
      <c r="BC167" t="s">
        <v>2</v>
      </c>
      <c r="BD167">
        <v>-1</v>
      </c>
      <c r="BE167">
        <v>-1</v>
      </c>
      <c r="BF167">
        <v>-1</v>
      </c>
      <c r="BG167">
        <v>-1</v>
      </c>
      <c r="BH167">
        <v>-1</v>
      </c>
      <c r="BI167">
        <v>-1</v>
      </c>
      <c r="BJ167">
        <v>-1</v>
      </c>
      <c r="BK167">
        <v>-1</v>
      </c>
      <c r="BL167">
        <v>-1</v>
      </c>
      <c r="BM167">
        <v>-1</v>
      </c>
      <c r="BN167">
        <v>-1</v>
      </c>
      <c r="BO167">
        <v>-1</v>
      </c>
    </row>
    <row r="168" spans="1:67" x14ac:dyDescent="0.25">
      <c r="A168">
        <v>165</v>
      </c>
      <c r="B168">
        <v>80004</v>
      </c>
      <c r="C168" t="str">
        <f>VLOOKUP(B168,[1]resources!$A$2:$D$300,3,FALSE)</f>
        <v>!!FOOD_BAKED_DUTCHMANSDUTCHAPPLEPIE</v>
      </c>
      <c r="D168">
        <v>7</v>
      </c>
      <c r="E168" t="str">
        <f>VLOOKUP(D168,[1]bonus_paytable!$A$2:$D$300,3,FALSE)</f>
        <v>bottomite_blue_male_minnow</v>
      </c>
      <c r="F168">
        <v>-1</v>
      </c>
      <c r="G168">
        <v>-1</v>
      </c>
      <c r="H168">
        <v>1</v>
      </c>
      <c r="I168" t="s">
        <v>1</v>
      </c>
      <c r="J168">
        <v>80002</v>
      </c>
      <c r="K168">
        <v>15</v>
      </c>
      <c r="L168">
        <v>10008</v>
      </c>
      <c r="M168">
        <v>30001</v>
      </c>
      <c r="N168">
        <v>27</v>
      </c>
      <c r="O168">
        <v>2002</v>
      </c>
      <c r="P168">
        <v>30007</v>
      </c>
      <c r="Q168">
        <v>60016</v>
      </c>
      <c r="R168">
        <v>80007</v>
      </c>
      <c r="S168">
        <v>-1</v>
      </c>
      <c r="T168">
        <v>-1</v>
      </c>
      <c r="U168" s="2">
        <v>0.01</v>
      </c>
      <c r="V168" s="2">
        <v>0.03</v>
      </c>
      <c r="W168" s="2">
        <v>0.03</v>
      </c>
      <c r="X168" s="2">
        <v>0.03</v>
      </c>
      <c r="Y168" s="2">
        <v>0.05</v>
      </c>
      <c r="Z168" s="2">
        <v>0.05</v>
      </c>
      <c r="AA168" s="2">
        <v>0.05</v>
      </c>
      <c r="AB168" s="2">
        <v>0.05</v>
      </c>
      <c r="AC168" s="2">
        <v>0.05</v>
      </c>
      <c r="AD168" s="2">
        <v>-1</v>
      </c>
      <c r="AE168" s="2">
        <v>-1</v>
      </c>
      <c r="AF168">
        <f t="shared" si="0"/>
        <v>1</v>
      </c>
      <c r="AG168">
        <f t="shared" si="1"/>
        <v>1</v>
      </c>
      <c r="AH168">
        <f t="shared" si="2"/>
        <v>1</v>
      </c>
      <c r="AI168">
        <f t="shared" si="3"/>
        <v>1</v>
      </c>
      <c r="AJ168">
        <f t="shared" si="4"/>
        <v>1</v>
      </c>
      <c r="AK168">
        <f t="shared" si="5"/>
        <v>1</v>
      </c>
      <c r="AL168">
        <f t="shared" si="6"/>
        <v>1</v>
      </c>
      <c r="AM168">
        <f t="shared" si="7"/>
        <v>1</v>
      </c>
      <c r="AN168">
        <f t="shared" si="8"/>
        <v>1</v>
      </c>
      <c r="AO168">
        <f t="shared" si="9"/>
        <v>-1</v>
      </c>
      <c r="AP168">
        <f t="shared" si="10"/>
        <v>-1</v>
      </c>
      <c r="AQ168">
        <v>0</v>
      </c>
      <c r="AR168" t="s">
        <v>2</v>
      </c>
      <c r="AS168">
        <v>-1</v>
      </c>
      <c r="AT168">
        <v>-1</v>
      </c>
      <c r="AU168">
        <v>-1</v>
      </c>
      <c r="AV168">
        <v>-1</v>
      </c>
      <c r="AW168">
        <v>-1</v>
      </c>
      <c r="AX168">
        <v>-1</v>
      </c>
      <c r="AY168">
        <v>-1</v>
      </c>
      <c r="AZ168">
        <v>-1</v>
      </c>
      <c r="BA168">
        <v>-1</v>
      </c>
      <c r="BB168">
        <v>0</v>
      </c>
      <c r="BC168" t="s">
        <v>2</v>
      </c>
      <c r="BD168">
        <v>-1</v>
      </c>
      <c r="BE168">
        <v>-1</v>
      </c>
      <c r="BF168">
        <v>-1</v>
      </c>
      <c r="BG168">
        <v>-1</v>
      </c>
      <c r="BH168">
        <v>-1</v>
      </c>
      <c r="BI168">
        <v>-1</v>
      </c>
      <c r="BJ168">
        <v>-1</v>
      </c>
      <c r="BK168">
        <v>-1</v>
      </c>
      <c r="BL168">
        <v>-1</v>
      </c>
      <c r="BM168">
        <v>-1</v>
      </c>
      <c r="BN168">
        <v>-1</v>
      </c>
      <c r="BO168">
        <v>-1</v>
      </c>
    </row>
    <row r="169" spans="1:67" x14ac:dyDescent="0.25">
      <c r="A169">
        <v>166</v>
      </c>
      <c r="B169">
        <v>80001</v>
      </c>
      <c r="C169" t="str">
        <f>VLOOKUP(B169,[1]resources!$A$2:$D$300,3,FALSE)</f>
        <v>!!FOOD_BAKED_CHERRIESGARY</v>
      </c>
      <c r="D169">
        <v>7</v>
      </c>
      <c r="E169" t="str">
        <f>VLOOKUP(D169,[1]bonus_paytable!$A$2:$D$300,3,FALSE)</f>
        <v>bottomite_blue_male_minnow</v>
      </c>
      <c r="F169">
        <v>-1</v>
      </c>
      <c r="G169">
        <v>-1</v>
      </c>
      <c r="H169">
        <v>1</v>
      </c>
      <c r="I169" t="s">
        <v>1</v>
      </c>
      <c r="J169">
        <v>80002</v>
      </c>
      <c r="K169">
        <v>15</v>
      </c>
      <c r="L169">
        <v>10008</v>
      </c>
      <c r="M169">
        <v>30001</v>
      </c>
      <c r="N169">
        <v>27</v>
      </c>
      <c r="O169">
        <v>2002</v>
      </c>
      <c r="P169">
        <v>30007</v>
      </c>
      <c r="Q169">
        <v>60016</v>
      </c>
      <c r="R169">
        <v>80007</v>
      </c>
      <c r="S169">
        <v>-1</v>
      </c>
      <c r="T169">
        <v>-1</v>
      </c>
      <c r="U169" s="2">
        <v>0.01</v>
      </c>
      <c r="V169" s="2">
        <v>0.03</v>
      </c>
      <c r="W169" s="2">
        <v>0.03</v>
      </c>
      <c r="X169" s="2">
        <v>0.03</v>
      </c>
      <c r="Y169" s="2">
        <v>0.05</v>
      </c>
      <c r="Z169" s="2">
        <v>0.05</v>
      </c>
      <c r="AA169" s="2">
        <v>0.05</v>
      </c>
      <c r="AB169" s="2">
        <v>0.05</v>
      </c>
      <c r="AC169" s="2">
        <v>0.05</v>
      </c>
      <c r="AD169" s="2">
        <v>-1</v>
      </c>
      <c r="AE169" s="2">
        <v>-1</v>
      </c>
      <c r="AF169">
        <f t="shared" si="0"/>
        <v>1</v>
      </c>
      <c r="AG169">
        <f t="shared" si="1"/>
        <v>1</v>
      </c>
      <c r="AH169">
        <f t="shared" si="2"/>
        <v>1</v>
      </c>
      <c r="AI169">
        <f t="shared" si="3"/>
        <v>1</v>
      </c>
      <c r="AJ169">
        <f t="shared" si="4"/>
        <v>1</v>
      </c>
      <c r="AK169">
        <f t="shared" si="5"/>
        <v>1</v>
      </c>
      <c r="AL169">
        <f t="shared" si="6"/>
        <v>1</v>
      </c>
      <c r="AM169">
        <f t="shared" si="7"/>
        <v>1</v>
      </c>
      <c r="AN169">
        <f t="shared" si="8"/>
        <v>1</v>
      </c>
      <c r="AO169">
        <f t="shared" si="9"/>
        <v>-1</v>
      </c>
      <c r="AP169">
        <f t="shared" si="10"/>
        <v>-1</v>
      </c>
      <c r="AQ169">
        <v>0</v>
      </c>
      <c r="AR169" t="s">
        <v>2</v>
      </c>
      <c r="AS169">
        <v>-1</v>
      </c>
      <c r="AT169">
        <v>-1</v>
      </c>
      <c r="AU169">
        <v>-1</v>
      </c>
      <c r="AV169">
        <v>-1</v>
      </c>
      <c r="AW169">
        <v>-1</v>
      </c>
      <c r="AX169">
        <v>-1</v>
      </c>
      <c r="AY169">
        <v>-1</v>
      </c>
      <c r="AZ169">
        <v>-1</v>
      </c>
      <c r="BA169">
        <v>-1</v>
      </c>
      <c r="BB169">
        <v>0</v>
      </c>
      <c r="BC169" t="s">
        <v>2</v>
      </c>
      <c r="BD169">
        <v>-1</v>
      </c>
      <c r="BE169">
        <v>-1</v>
      </c>
      <c r="BF169">
        <v>-1</v>
      </c>
      <c r="BG169">
        <v>-1</v>
      </c>
      <c r="BH169">
        <v>-1</v>
      </c>
      <c r="BI169">
        <v>-1</v>
      </c>
      <c r="BJ169">
        <v>-1</v>
      </c>
      <c r="BK169">
        <v>-1</v>
      </c>
      <c r="BL169">
        <v>-1</v>
      </c>
      <c r="BM169">
        <v>-1</v>
      </c>
      <c r="BN169">
        <v>-1</v>
      </c>
      <c r="BO169">
        <v>-1</v>
      </c>
    </row>
    <row r="170" spans="1:67" x14ac:dyDescent="0.25">
      <c r="A170">
        <v>167</v>
      </c>
      <c r="B170">
        <v>1</v>
      </c>
      <c r="C170" t="str">
        <f>VLOOKUP(B170,[1]resources!$A$2:$D$300,3,FALSE)</f>
        <v>!!FOOD_KRABBYPATTY</v>
      </c>
      <c r="D170">
        <v>8</v>
      </c>
      <c r="E170" t="str">
        <f>VLOOKUP(D170,[1]bonus_paytable!$A$2:$D$300,3,FALSE)</f>
        <v>bottomite_orange_male_dingus</v>
      </c>
      <c r="F170">
        <v>-1</v>
      </c>
      <c r="G170">
        <v>-1</v>
      </c>
      <c r="H170">
        <v>1</v>
      </c>
      <c r="I170" t="s">
        <v>1</v>
      </c>
      <c r="J170">
        <v>10009</v>
      </c>
      <c r="K170">
        <v>22</v>
      </c>
      <c r="L170">
        <v>13</v>
      </c>
      <c r="M170">
        <v>20001</v>
      </c>
      <c r="N170">
        <v>2002</v>
      </c>
      <c r="O170">
        <v>20000</v>
      </c>
      <c r="P170">
        <v>30007</v>
      </c>
      <c r="Q170">
        <v>70000</v>
      </c>
      <c r="R170">
        <v>80007</v>
      </c>
      <c r="S170">
        <v>60001</v>
      </c>
      <c r="T170">
        <v>-1</v>
      </c>
      <c r="U170" s="2">
        <v>0.01</v>
      </c>
      <c r="V170" s="2">
        <v>0.03</v>
      </c>
      <c r="W170" s="2">
        <v>0.03</v>
      </c>
      <c r="X170" s="2">
        <v>0.03</v>
      </c>
      <c r="Y170" s="2">
        <v>0.05</v>
      </c>
      <c r="Z170" s="2">
        <v>0.05</v>
      </c>
      <c r="AA170" s="2">
        <v>0.05</v>
      </c>
      <c r="AB170" s="2">
        <v>0.05</v>
      </c>
      <c r="AC170" s="2">
        <v>0.05</v>
      </c>
      <c r="AD170" s="2">
        <v>0.05</v>
      </c>
      <c r="AE170" s="2">
        <v>-1</v>
      </c>
      <c r="AF170">
        <f t="shared" si="0"/>
        <v>1</v>
      </c>
      <c r="AG170">
        <f t="shared" si="1"/>
        <v>1</v>
      </c>
      <c r="AH170">
        <f t="shared" si="2"/>
        <v>1</v>
      </c>
      <c r="AI170">
        <f t="shared" si="3"/>
        <v>1</v>
      </c>
      <c r="AJ170">
        <f t="shared" si="4"/>
        <v>1</v>
      </c>
      <c r="AK170">
        <f t="shared" si="5"/>
        <v>1</v>
      </c>
      <c r="AL170">
        <f t="shared" si="6"/>
        <v>1</v>
      </c>
      <c r="AM170">
        <f t="shared" si="7"/>
        <v>1</v>
      </c>
      <c r="AN170">
        <f t="shared" si="8"/>
        <v>1</v>
      </c>
      <c r="AO170">
        <f t="shared" si="9"/>
        <v>1</v>
      </c>
      <c r="AP170">
        <f t="shared" si="10"/>
        <v>-1</v>
      </c>
      <c r="AQ170">
        <v>0</v>
      </c>
      <c r="AR170" t="s">
        <v>2</v>
      </c>
      <c r="AS170">
        <v>-1</v>
      </c>
      <c r="AT170">
        <v>-1</v>
      </c>
      <c r="AU170">
        <v>-1</v>
      </c>
      <c r="AV170">
        <v>-1</v>
      </c>
      <c r="AW170">
        <v>-1</v>
      </c>
      <c r="AX170">
        <v>-1</v>
      </c>
      <c r="AY170">
        <v>-1</v>
      </c>
      <c r="AZ170">
        <v>-1</v>
      </c>
      <c r="BA170">
        <v>-1</v>
      </c>
      <c r="BB170">
        <v>0</v>
      </c>
      <c r="BC170" t="s">
        <v>2</v>
      </c>
      <c r="BD170">
        <v>-1</v>
      </c>
      <c r="BE170">
        <v>-1</v>
      </c>
      <c r="BF170">
        <v>-1</v>
      </c>
      <c r="BG170">
        <v>-1</v>
      </c>
      <c r="BH170">
        <v>-1</v>
      </c>
      <c r="BI170">
        <v>-1</v>
      </c>
      <c r="BJ170">
        <v>-1</v>
      </c>
      <c r="BK170">
        <v>-1</v>
      </c>
      <c r="BL170">
        <v>-1</v>
      </c>
      <c r="BM170">
        <v>-1</v>
      </c>
      <c r="BN170">
        <v>-1</v>
      </c>
      <c r="BO170">
        <v>-1</v>
      </c>
    </row>
    <row r="171" spans="1:67" x14ac:dyDescent="0.25">
      <c r="A171">
        <v>168</v>
      </c>
      <c r="B171">
        <v>16</v>
      </c>
      <c r="C171" t="str">
        <f>VLOOKUP(B171,[1]resources!$A$2:$D$300,3,FALSE)</f>
        <v>!!FOOD_DUTCHDOUBLE</v>
      </c>
      <c r="D171">
        <v>8</v>
      </c>
      <c r="E171" t="str">
        <f>VLOOKUP(D171,[1]bonus_paytable!$A$2:$D$300,3,FALSE)</f>
        <v>bottomite_orange_male_dingus</v>
      </c>
      <c r="F171">
        <v>-1</v>
      </c>
      <c r="G171">
        <v>-1</v>
      </c>
      <c r="H171">
        <v>1</v>
      </c>
      <c r="I171" t="s">
        <v>1</v>
      </c>
      <c r="J171">
        <v>10009</v>
      </c>
      <c r="K171">
        <v>22</v>
      </c>
      <c r="L171">
        <v>13</v>
      </c>
      <c r="M171">
        <v>20001</v>
      </c>
      <c r="N171">
        <v>2002</v>
      </c>
      <c r="O171">
        <v>20000</v>
      </c>
      <c r="P171">
        <v>30007</v>
      </c>
      <c r="Q171">
        <v>70000</v>
      </c>
      <c r="R171">
        <v>80007</v>
      </c>
      <c r="S171">
        <v>60001</v>
      </c>
      <c r="T171">
        <v>-1</v>
      </c>
      <c r="U171" s="2">
        <v>0.01</v>
      </c>
      <c r="V171" s="2">
        <v>0.03</v>
      </c>
      <c r="W171" s="2">
        <v>0.03</v>
      </c>
      <c r="X171" s="2">
        <v>0.03</v>
      </c>
      <c r="Y171" s="2">
        <v>0.05</v>
      </c>
      <c r="Z171" s="2">
        <v>0.05</v>
      </c>
      <c r="AA171" s="2">
        <v>0.05</v>
      </c>
      <c r="AB171" s="2">
        <v>0.05</v>
      </c>
      <c r="AC171" s="2">
        <v>0.05</v>
      </c>
      <c r="AD171" s="2">
        <v>0.05</v>
      </c>
      <c r="AE171" s="2">
        <v>-1</v>
      </c>
      <c r="AF171">
        <f t="shared" ref="AF171:AF234" si="11">IF(J171&gt;-1,1,-1)</f>
        <v>1</v>
      </c>
      <c r="AG171">
        <f t="shared" ref="AG171:AG234" si="12">IF(K171&gt;-1,1,-1)</f>
        <v>1</v>
      </c>
      <c r="AH171">
        <f t="shared" ref="AH171:AH234" si="13">IF(L171&gt;-1,1,-1)</f>
        <v>1</v>
      </c>
      <c r="AI171">
        <f t="shared" ref="AI171:AI234" si="14">IF(M171&gt;-1,1,-1)</f>
        <v>1</v>
      </c>
      <c r="AJ171">
        <f t="shared" ref="AJ171:AJ234" si="15">IF(N171&gt;-1,1,-1)</f>
        <v>1</v>
      </c>
      <c r="AK171">
        <f t="shared" ref="AK171:AK234" si="16">IF(O171&gt;-1,1,-1)</f>
        <v>1</v>
      </c>
      <c r="AL171">
        <f t="shared" ref="AL171:AL234" si="17">IF(P171&gt;-1,1,-1)</f>
        <v>1</v>
      </c>
      <c r="AM171">
        <f t="shared" ref="AM171:AM234" si="18">IF(Q171&gt;-1,1,-1)</f>
        <v>1</v>
      </c>
      <c r="AN171">
        <f t="shared" ref="AN171:AN234" si="19">IF(R171&gt;-1,1,-1)</f>
        <v>1</v>
      </c>
      <c r="AO171">
        <f t="shared" ref="AO171:AO234" si="20">IF(S171&gt;-1,1,-1)</f>
        <v>1</v>
      </c>
      <c r="AP171">
        <f t="shared" ref="AP171:AP234" si="21">IF(T171&gt;-1,1,-1)</f>
        <v>-1</v>
      </c>
      <c r="AQ171">
        <v>0</v>
      </c>
      <c r="AR171" t="s">
        <v>2</v>
      </c>
      <c r="AS171">
        <v>-1</v>
      </c>
      <c r="AT171">
        <v>-1</v>
      </c>
      <c r="AU171">
        <v>-1</v>
      </c>
      <c r="AV171">
        <v>-1</v>
      </c>
      <c r="AW171">
        <v>-1</v>
      </c>
      <c r="AX171">
        <v>-1</v>
      </c>
      <c r="AY171">
        <v>-1</v>
      </c>
      <c r="AZ171">
        <v>-1</v>
      </c>
      <c r="BA171">
        <v>-1</v>
      </c>
      <c r="BB171">
        <v>0</v>
      </c>
      <c r="BC171" t="s">
        <v>2</v>
      </c>
      <c r="BD171">
        <v>-1</v>
      </c>
      <c r="BE171">
        <v>-1</v>
      </c>
      <c r="BF171">
        <v>-1</v>
      </c>
      <c r="BG171">
        <v>-1</v>
      </c>
      <c r="BH171">
        <v>-1</v>
      </c>
      <c r="BI171">
        <v>-1</v>
      </c>
      <c r="BJ171">
        <v>-1</v>
      </c>
      <c r="BK171">
        <v>-1</v>
      </c>
      <c r="BL171">
        <v>-1</v>
      </c>
      <c r="BM171">
        <v>-1</v>
      </c>
      <c r="BN171">
        <v>-1</v>
      </c>
      <c r="BO171">
        <v>-1</v>
      </c>
    </row>
    <row r="172" spans="1:67" x14ac:dyDescent="0.25">
      <c r="A172">
        <v>169</v>
      </c>
      <c r="B172">
        <v>41</v>
      </c>
      <c r="C172" t="str">
        <f>VLOOKUP(B172,[1]resources!$A$2:$D$300,3,FALSE)</f>
        <v>!!FOOD_GARLICBREAD</v>
      </c>
      <c r="D172">
        <v>8</v>
      </c>
      <c r="E172" t="str">
        <f>VLOOKUP(D172,[1]bonus_paytable!$A$2:$D$300,3,FALSE)</f>
        <v>bottomite_orange_male_dingus</v>
      </c>
      <c r="F172">
        <v>-1</v>
      </c>
      <c r="G172">
        <v>-1</v>
      </c>
      <c r="H172">
        <v>1</v>
      </c>
      <c r="I172" t="s">
        <v>1</v>
      </c>
      <c r="J172">
        <v>10009</v>
      </c>
      <c r="K172">
        <v>22</v>
      </c>
      <c r="L172">
        <v>13</v>
      </c>
      <c r="M172">
        <v>20001</v>
      </c>
      <c r="N172">
        <v>2002</v>
      </c>
      <c r="O172">
        <v>20000</v>
      </c>
      <c r="P172">
        <v>30007</v>
      </c>
      <c r="Q172">
        <v>70000</v>
      </c>
      <c r="R172">
        <v>80007</v>
      </c>
      <c r="S172">
        <v>60001</v>
      </c>
      <c r="T172">
        <v>-1</v>
      </c>
      <c r="U172" s="2">
        <v>0.01</v>
      </c>
      <c r="V172" s="2">
        <v>0.03</v>
      </c>
      <c r="W172" s="2">
        <v>0.03</v>
      </c>
      <c r="X172" s="2">
        <v>0.03</v>
      </c>
      <c r="Y172" s="2">
        <v>0.05</v>
      </c>
      <c r="Z172" s="2">
        <v>0.05</v>
      </c>
      <c r="AA172" s="2">
        <v>0.05</v>
      </c>
      <c r="AB172" s="2">
        <v>0.05</v>
      </c>
      <c r="AC172" s="2">
        <v>0.05</v>
      </c>
      <c r="AD172" s="2">
        <v>0.05</v>
      </c>
      <c r="AE172" s="2">
        <v>-1</v>
      </c>
      <c r="AF172">
        <f t="shared" si="11"/>
        <v>1</v>
      </c>
      <c r="AG172">
        <f t="shared" si="12"/>
        <v>1</v>
      </c>
      <c r="AH172">
        <f t="shared" si="13"/>
        <v>1</v>
      </c>
      <c r="AI172">
        <f t="shared" si="14"/>
        <v>1</v>
      </c>
      <c r="AJ172">
        <f t="shared" si="15"/>
        <v>1</v>
      </c>
      <c r="AK172">
        <f t="shared" si="16"/>
        <v>1</v>
      </c>
      <c r="AL172">
        <f t="shared" si="17"/>
        <v>1</v>
      </c>
      <c r="AM172">
        <f t="shared" si="18"/>
        <v>1</v>
      </c>
      <c r="AN172">
        <f t="shared" si="19"/>
        <v>1</v>
      </c>
      <c r="AO172">
        <f t="shared" si="20"/>
        <v>1</v>
      </c>
      <c r="AP172">
        <f t="shared" si="21"/>
        <v>-1</v>
      </c>
      <c r="AQ172">
        <v>0</v>
      </c>
      <c r="AR172" t="s">
        <v>2</v>
      </c>
      <c r="AS172">
        <v>-1</v>
      </c>
      <c r="AT172">
        <v>-1</v>
      </c>
      <c r="AU172">
        <v>-1</v>
      </c>
      <c r="AV172">
        <v>-1</v>
      </c>
      <c r="AW172">
        <v>-1</v>
      </c>
      <c r="AX172">
        <v>-1</v>
      </c>
      <c r="AY172">
        <v>-1</v>
      </c>
      <c r="AZ172">
        <v>-1</v>
      </c>
      <c r="BA172">
        <v>-1</v>
      </c>
      <c r="BB172">
        <v>0</v>
      </c>
      <c r="BC172" t="s">
        <v>2</v>
      </c>
      <c r="BD172">
        <v>-1</v>
      </c>
      <c r="BE172">
        <v>-1</v>
      </c>
      <c r="BF172">
        <v>-1</v>
      </c>
      <c r="BG172">
        <v>-1</v>
      </c>
      <c r="BH172">
        <v>-1</v>
      </c>
      <c r="BI172">
        <v>-1</v>
      </c>
      <c r="BJ172">
        <v>-1</v>
      </c>
      <c r="BK172">
        <v>-1</v>
      </c>
      <c r="BL172">
        <v>-1</v>
      </c>
      <c r="BM172">
        <v>-1</v>
      </c>
      <c r="BN172">
        <v>-1</v>
      </c>
      <c r="BO172">
        <v>-1</v>
      </c>
    </row>
    <row r="173" spans="1:67" x14ac:dyDescent="0.25">
      <c r="A173">
        <v>170</v>
      </c>
      <c r="B173">
        <v>20003</v>
      </c>
      <c r="C173" t="str">
        <f>VLOOKUP(B173,[1]resources!$A$2:$D$300,3,FALSE)</f>
        <v>!!JUICE_ORANGE</v>
      </c>
      <c r="D173">
        <v>8</v>
      </c>
      <c r="E173" t="str">
        <f>VLOOKUP(D173,[1]bonus_paytable!$A$2:$D$300,3,FALSE)</f>
        <v>bottomite_orange_male_dingus</v>
      </c>
      <c r="F173">
        <v>-1</v>
      </c>
      <c r="G173">
        <v>-1</v>
      </c>
      <c r="H173">
        <v>1</v>
      </c>
      <c r="I173" t="s">
        <v>1</v>
      </c>
      <c r="J173">
        <v>10009</v>
      </c>
      <c r="K173">
        <v>22</v>
      </c>
      <c r="L173">
        <v>13</v>
      </c>
      <c r="M173">
        <v>20001</v>
      </c>
      <c r="N173">
        <v>2002</v>
      </c>
      <c r="O173">
        <v>20000</v>
      </c>
      <c r="P173">
        <v>30007</v>
      </c>
      <c r="Q173">
        <v>70000</v>
      </c>
      <c r="R173">
        <v>80007</v>
      </c>
      <c r="S173">
        <v>60001</v>
      </c>
      <c r="T173">
        <v>-1</v>
      </c>
      <c r="U173" s="2">
        <v>0.01</v>
      </c>
      <c r="V173" s="2">
        <v>0.03</v>
      </c>
      <c r="W173" s="2">
        <v>0.03</v>
      </c>
      <c r="X173" s="2">
        <v>0.03</v>
      </c>
      <c r="Y173" s="2">
        <v>0.05</v>
      </c>
      <c r="Z173" s="2">
        <v>0.05</v>
      </c>
      <c r="AA173" s="2">
        <v>0.05</v>
      </c>
      <c r="AB173" s="2">
        <v>0.05</v>
      </c>
      <c r="AC173" s="2">
        <v>0.05</v>
      </c>
      <c r="AD173" s="2">
        <v>0.05</v>
      </c>
      <c r="AE173" s="2">
        <v>-1</v>
      </c>
      <c r="AF173">
        <f t="shared" si="11"/>
        <v>1</v>
      </c>
      <c r="AG173">
        <f t="shared" si="12"/>
        <v>1</v>
      </c>
      <c r="AH173">
        <f t="shared" si="13"/>
        <v>1</v>
      </c>
      <c r="AI173">
        <f t="shared" si="14"/>
        <v>1</v>
      </c>
      <c r="AJ173">
        <f t="shared" si="15"/>
        <v>1</v>
      </c>
      <c r="AK173">
        <f t="shared" si="16"/>
        <v>1</v>
      </c>
      <c r="AL173">
        <f t="shared" si="17"/>
        <v>1</v>
      </c>
      <c r="AM173">
        <f t="shared" si="18"/>
        <v>1</v>
      </c>
      <c r="AN173">
        <f t="shared" si="19"/>
        <v>1</v>
      </c>
      <c r="AO173">
        <f t="shared" si="20"/>
        <v>1</v>
      </c>
      <c r="AP173">
        <f t="shared" si="21"/>
        <v>-1</v>
      </c>
      <c r="AQ173">
        <v>0</v>
      </c>
      <c r="AR173" t="s">
        <v>2</v>
      </c>
      <c r="AS173">
        <v>-1</v>
      </c>
      <c r="AT173">
        <v>-1</v>
      </c>
      <c r="AU173">
        <v>-1</v>
      </c>
      <c r="AV173">
        <v>-1</v>
      </c>
      <c r="AW173">
        <v>-1</v>
      </c>
      <c r="AX173">
        <v>-1</v>
      </c>
      <c r="AY173">
        <v>-1</v>
      </c>
      <c r="AZ173">
        <v>-1</v>
      </c>
      <c r="BA173">
        <v>-1</v>
      </c>
      <c r="BB173">
        <v>0</v>
      </c>
      <c r="BC173" t="s">
        <v>2</v>
      </c>
      <c r="BD173">
        <v>-1</v>
      </c>
      <c r="BE173">
        <v>-1</v>
      </c>
      <c r="BF173">
        <v>-1</v>
      </c>
      <c r="BG173">
        <v>-1</v>
      </c>
      <c r="BH173">
        <v>-1</v>
      </c>
      <c r="BI173">
        <v>-1</v>
      </c>
      <c r="BJ173">
        <v>-1</v>
      </c>
      <c r="BK173">
        <v>-1</v>
      </c>
      <c r="BL173">
        <v>-1</v>
      </c>
      <c r="BM173">
        <v>-1</v>
      </c>
      <c r="BN173">
        <v>-1</v>
      </c>
      <c r="BO173">
        <v>-1</v>
      </c>
    </row>
    <row r="174" spans="1:67" x14ac:dyDescent="0.25">
      <c r="A174">
        <v>171</v>
      </c>
      <c r="B174">
        <v>30003</v>
      </c>
      <c r="C174" t="str">
        <f>VLOOKUP(B174,[1]resources!$A$2:$D$300,3,FALSE)</f>
        <v>!!SMOOTHIE_CHERRYADE_CHILLER</v>
      </c>
      <c r="D174">
        <v>8</v>
      </c>
      <c r="E174" t="str">
        <f>VLOOKUP(D174,[1]bonus_paytable!$A$2:$D$300,3,FALSE)</f>
        <v>bottomite_orange_male_dingus</v>
      </c>
      <c r="F174">
        <v>-1</v>
      </c>
      <c r="G174">
        <v>-1</v>
      </c>
      <c r="H174">
        <v>1</v>
      </c>
      <c r="I174" t="s">
        <v>1</v>
      </c>
      <c r="J174">
        <v>10009</v>
      </c>
      <c r="K174">
        <v>22</v>
      </c>
      <c r="L174">
        <v>13</v>
      </c>
      <c r="M174">
        <v>20001</v>
      </c>
      <c r="N174">
        <v>2002</v>
      </c>
      <c r="O174">
        <v>20000</v>
      </c>
      <c r="P174">
        <v>30007</v>
      </c>
      <c r="Q174">
        <v>70000</v>
      </c>
      <c r="R174">
        <v>80007</v>
      </c>
      <c r="S174">
        <v>60001</v>
      </c>
      <c r="T174">
        <v>-1</v>
      </c>
      <c r="U174" s="2">
        <v>0.01</v>
      </c>
      <c r="V174" s="2">
        <v>0.03</v>
      </c>
      <c r="W174" s="2">
        <v>0.03</v>
      </c>
      <c r="X174" s="2">
        <v>0.03</v>
      </c>
      <c r="Y174" s="2">
        <v>0.05</v>
      </c>
      <c r="Z174" s="2">
        <v>0.05</v>
      </c>
      <c r="AA174" s="2">
        <v>0.05</v>
      </c>
      <c r="AB174" s="2">
        <v>0.05</v>
      </c>
      <c r="AC174" s="2">
        <v>0.05</v>
      </c>
      <c r="AD174" s="2">
        <v>0.05</v>
      </c>
      <c r="AE174" s="2">
        <v>-1</v>
      </c>
      <c r="AF174">
        <f t="shared" si="11"/>
        <v>1</v>
      </c>
      <c r="AG174">
        <f t="shared" si="12"/>
        <v>1</v>
      </c>
      <c r="AH174">
        <f t="shared" si="13"/>
        <v>1</v>
      </c>
      <c r="AI174">
        <f t="shared" si="14"/>
        <v>1</v>
      </c>
      <c r="AJ174">
        <f t="shared" si="15"/>
        <v>1</v>
      </c>
      <c r="AK174">
        <f t="shared" si="16"/>
        <v>1</v>
      </c>
      <c r="AL174">
        <f t="shared" si="17"/>
        <v>1</v>
      </c>
      <c r="AM174">
        <f t="shared" si="18"/>
        <v>1</v>
      </c>
      <c r="AN174">
        <f t="shared" si="19"/>
        <v>1</v>
      </c>
      <c r="AO174">
        <f t="shared" si="20"/>
        <v>1</v>
      </c>
      <c r="AP174">
        <f t="shared" si="21"/>
        <v>-1</v>
      </c>
      <c r="AQ174">
        <v>0</v>
      </c>
      <c r="AR174" t="s">
        <v>2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0</v>
      </c>
      <c r="BC174" t="s">
        <v>2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</row>
    <row r="175" spans="1:67" x14ac:dyDescent="0.25">
      <c r="A175">
        <v>172</v>
      </c>
      <c r="B175">
        <v>50006</v>
      </c>
      <c r="C175" t="str">
        <f>VLOOKUP(B175,[1]resources!$A$2:$D$300,3,FALSE)</f>
        <v>!!SHAKE_TARTBERRY_TWIST</v>
      </c>
      <c r="D175">
        <v>8</v>
      </c>
      <c r="E175" t="str">
        <f>VLOOKUP(D175,[1]bonus_paytable!$A$2:$D$300,3,FALSE)</f>
        <v>bottomite_orange_male_dingus</v>
      </c>
      <c r="F175">
        <v>-1</v>
      </c>
      <c r="G175">
        <v>-1</v>
      </c>
      <c r="H175">
        <v>1</v>
      </c>
      <c r="I175" t="s">
        <v>1</v>
      </c>
      <c r="J175">
        <v>10009</v>
      </c>
      <c r="K175">
        <v>22</v>
      </c>
      <c r="L175">
        <v>13</v>
      </c>
      <c r="M175">
        <v>20001</v>
      </c>
      <c r="N175">
        <v>2002</v>
      </c>
      <c r="O175">
        <v>20000</v>
      </c>
      <c r="P175">
        <v>30007</v>
      </c>
      <c r="Q175">
        <v>70000</v>
      </c>
      <c r="R175">
        <v>80007</v>
      </c>
      <c r="S175">
        <v>60001</v>
      </c>
      <c r="T175">
        <v>-1</v>
      </c>
      <c r="U175" s="2">
        <v>0.01</v>
      </c>
      <c r="V175" s="2">
        <v>0.03</v>
      </c>
      <c r="W175" s="2">
        <v>0.03</v>
      </c>
      <c r="X175" s="2">
        <v>0.03</v>
      </c>
      <c r="Y175" s="2">
        <v>0.05</v>
      </c>
      <c r="Z175" s="2">
        <v>0.05</v>
      </c>
      <c r="AA175" s="2">
        <v>0.05</v>
      </c>
      <c r="AB175" s="2">
        <v>0.05</v>
      </c>
      <c r="AC175" s="2">
        <v>0.05</v>
      </c>
      <c r="AD175" s="2">
        <v>0.05</v>
      </c>
      <c r="AE175" s="2">
        <v>-1</v>
      </c>
      <c r="AF175">
        <f t="shared" si="11"/>
        <v>1</v>
      </c>
      <c r="AG175">
        <f t="shared" si="12"/>
        <v>1</v>
      </c>
      <c r="AH175">
        <f t="shared" si="13"/>
        <v>1</v>
      </c>
      <c r="AI175">
        <f t="shared" si="14"/>
        <v>1</v>
      </c>
      <c r="AJ175">
        <f t="shared" si="15"/>
        <v>1</v>
      </c>
      <c r="AK175">
        <f t="shared" si="16"/>
        <v>1</v>
      </c>
      <c r="AL175">
        <f t="shared" si="17"/>
        <v>1</v>
      </c>
      <c r="AM175">
        <f t="shared" si="18"/>
        <v>1</v>
      </c>
      <c r="AN175">
        <f t="shared" si="19"/>
        <v>1</v>
      </c>
      <c r="AO175">
        <f t="shared" si="20"/>
        <v>1</v>
      </c>
      <c r="AP175">
        <f t="shared" si="21"/>
        <v>-1</v>
      </c>
      <c r="AQ175">
        <v>0</v>
      </c>
      <c r="AR175" t="s">
        <v>2</v>
      </c>
      <c r="AS175">
        <v>-1</v>
      </c>
      <c r="AT175">
        <v>-1</v>
      </c>
      <c r="AU175">
        <v>-1</v>
      </c>
      <c r="AV175">
        <v>-1</v>
      </c>
      <c r="AW175">
        <v>-1</v>
      </c>
      <c r="AX175">
        <v>-1</v>
      </c>
      <c r="AY175">
        <v>-1</v>
      </c>
      <c r="AZ175">
        <v>-1</v>
      </c>
      <c r="BA175">
        <v>-1</v>
      </c>
      <c r="BB175">
        <v>0</v>
      </c>
      <c r="BC175" t="s">
        <v>2</v>
      </c>
      <c r="BD175">
        <v>-1</v>
      </c>
      <c r="BE175">
        <v>-1</v>
      </c>
      <c r="BF175">
        <v>-1</v>
      </c>
      <c r="BG175">
        <v>-1</v>
      </c>
      <c r="BH175">
        <v>-1</v>
      </c>
      <c r="BI175">
        <v>-1</v>
      </c>
      <c r="BJ175">
        <v>-1</v>
      </c>
      <c r="BK175">
        <v>-1</v>
      </c>
      <c r="BL175">
        <v>-1</v>
      </c>
      <c r="BM175">
        <v>-1</v>
      </c>
      <c r="BN175">
        <v>-1</v>
      </c>
      <c r="BO175">
        <v>-1</v>
      </c>
    </row>
    <row r="176" spans="1:67" x14ac:dyDescent="0.25">
      <c r="A176">
        <v>173</v>
      </c>
      <c r="B176">
        <v>60016</v>
      </c>
      <c r="C176" t="str">
        <f>VLOOKUP(B176,[1]resources!$A$2:$D$300,3,FALSE)</f>
        <v>!!BOUQUET_FLOWERCORAL_BUNCHOBRANCHES</v>
      </c>
      <c r="D176">
        <v>8</v>
      </c>
      <c r="E176" t="str">
        <f>VLOOKUP(D176,[1]bonus_paytable!$A$2:$D$300,3,FALSE)</f>
        <v>bottomite_orange_male_dingus</v>
      </c>
      <c r="F176">
        <v>-1</v>
      </c>
      <c r="G176">
        <v>-1</v>
      </c>
      <c r="H176">
        <v>1</v>
      </c>
      <c r="I176" t="s">
        <v>1</v>
      </c>
      <c r="J176">
        <v>10009</v>
      </c>
      <c r="K176">
        <v>22</v>
      </c>
      <c r="L176">
        <v>13</v>
      </c>
      <c r="M176">
        <v>20001</v>
      </c>
      <c r="N176">
        <v>2002</v>
      </c>
      <c r="O176">
        <v>20000</v>
      </c>
      <c r="P176">
        <v>30007</v>
      </c>
      <c r="Q176">
        <v>70000</v>
      </c>
      <c r="R176">
        <v>80007</v>
      </c>
      <c r="S176">
        <v>60001</v>
      </c>
      <c r="T176">
        <v>-1</v>
      </c>
      <c r="U176" s="2">
        <v>0.01</v>
      </c>
      <c r="V176" s="2">
        <v>0.03</v>
      </c>
      <c r="W176" s="2">
        <v>0.03</v>
      </c>
      <c r="X176" s="2">
        <v>0.03</v>
      </c>
      <c r="Y176" s="2">
        <v>0.05</v>
      </c>
      <c r="Z176" s="2">
        <v>0.05</v>
      </c>
      <c r="AA176" s="2">
        <v>0.05</v>
      </c>
      <c r="AB176" s="2">
        <v>0.05</v>
      </c>
      <c r="AC176" s="2">
        <v>0.05</v>
      </c>
      <c r="AD176" s="2">
        <v>0.05</v>
      </c>
      <c r="AE176" s="2">
        <v>-1</v>
      </c>
      <c r="AF176">
        <f t="shared" si="11"/>
        <v>1</v>
      </c>
      <c r="AG176">
        <f t="shared" si="12"/>
        <v>1</v>
      </c>
      <c r="AH176">
        <f t="shared" si="13"/>
        <v>1</v>
      </c>
      <c r="AI176">
        <f t="shared" si="14"/>
        <v>1</v>
      </c>
      <c r="AJ176">
        <f t="shared" si="15"/>
        <v>1</v>
      </c>
      <c r="AK176">
        <f t="shared" si="16"/>
        <v>1</v>
      </c>
      <c r="AL176">
        <f t="shared" si="17"/>
        <v>1</v>
      </c>
      <c r="AM176">
        <f t="shared" si="18"/>
        <v>1</v>
      </c>
      <c r="AN176">
        <f t="shared" si="19"/>
        <v>1</v>
      </c>
      <c r="AO176">
        <f t="shared" si="20"/>
        <v>1</v>
      </c>
      <c r="AP176">
        <f t="shared" si="21"/>
        <v>-1</v>
      </c>
      <c r="AQ176">
        <v>0</v>
      </c>
      <c r="AR176" t="s">
        <v>2</v>
      </c>
      <c r="AS176">
        <v>-1</v>
      </c>
      <c r="AT176">
        <v>-1</v>
      </c>
      <c r="AU176">
        <v>-1</v>
      </c>
      <c r="AV176">
        <v>-1</v>
      </c>
      <c r="AW176">
        <v>-1</v>
      </c>
      <c r="AX176">
        <v>-1</v>
      </c>
      <c r="AY176">
        <v>-1</v>
      </c>
      <c r="AZ176">
        <v>-1</v>
      </c>
      <c r="BA176">
        <v>-1</v>
      </c>
      <c r="BB176">
        <v>0</v>
      </c>
      <c r="BC176" t="s">
        <v>2</v>
      </c>
      <c r="BD176">
        <v>-1</v>
      </c>
      <c r="BE176">
        <v>-1</v>
      </c>
      <c r="BF176">
        <v>-1</v>
      </c>
      <c r="BG176">
        <v>-1</v>
      </c>
      <c r="BH176">
        <v>-1</v>
      </c>
      <c r="BI176">
        <v>-1</v>
      </c>
      <c r="BJ176">
        <v>-1</v>
      </c>
      <c r="BK176">
        <v>-1</v>
      </c>
      <c r="BL176">
        <v>-1</v>
      </c>
      <c r="BM176">
        <v>-1</v>
      </c>
      <c r="BN176">
        <v>-1</v>
      </c>
      <c r="BO176">
        <v>-1</v>
      </c>
    </row>
    <row r="177" spans="1:67" x14ac:dyDescent="0.25">
      <c r="A177">
        <v>174</v>
      </c>
      <c r="B177">
        <v>70002</v>
      </c>
      <c r="C177" t="str">
        <f>VLOOKUP(B177,[1]resources!$A$2:$D$300,3,FALSE)</f>
        <v>!!PERFUME_CAPSIZEFORHIM</v>
      </c>
      <c r="D177">
        <v>8</v>
      </c>
      <c r="E177" t="str">
        <f>VLOOKUP(D177,[1]bonus_paytable!$A$2:$D$300,3,FALSE)</f>
        <v>bottomite_orange_male_dingus</v>
      </c>
      <c r="F177">
        <v>-1</v>
      </c>
      <c r="G177">
        <v>-1</v>
      </c>
      <c r="H177">
        <v>1</v>
      </c>
      <c r="I177" t="s">
        <v>1</v>
      </c>
      <c r="J177">
        <v>10009</v>
      </c>
      <c r="K177">
        <v>22</v>
      </c>
      <c r="L177">
        <v>13</v>
      </c>
      <c r="M177">
        <v>20001</v>
      </c>
      <c r="N177">
        <v>2002</v>
      </c>
      <c r="O177">
        <v>20000</v>
      </c>
      <c r="P177">
        <v>30007</v>
      </c>
      <c r="Q177">
        <v>70000</v>
      </c>
      <c r="R177">
        <v>80007</v>
      </c>
      <c r="S177">
        <v>60001</v>
      </c>
      <c r="T177">
        <v>-1</v>
      </c>
      <c r="U177" s="2">
        <v>0.01</v>
      </c>
      <c r="V177" s="2">
        <v>0.03</v>
      </c>
      <c r="W177" s="2">
        <v>0.03</v>
      </c>
      <c r="X177" s="2">
        <v>0.03</v>
      </c>
      <c r="Y177" s="2">
        <v>0.05</v>
      </c>
      <c r="Z177" s="2">
        <v>0.05</v>
      </c>
      <c r="AA177" s="2">
        <v>0.05</v>
      </c>
      <c r="AB177" s="2">
        <v>0.05</v>
      </c>
      <c r="AC177" s="2">
        <v>0.05</v>
      </c>
      <c r="AD177" s="2">
        <v>0.05</v>
      </c>
      <c r="AE177" s="2">
        <v>-1</v>
      </c>
      <c r="AF177">
        <f t="shared" si="11"/>
        <v>1</v>
      </c>
      <c r="AG177">
        <f t="shared" si="12"/>
        <v>1</v>
      </c>
      <c r="AH177">
        <f t="shared" si="13"/>
        <v>1</v>
      </c>
      <c r="AI177">
        <f t="shared" si="14"/>
        <v>1</v>
      </c>
      <c r="AJ177">
        <f t="shared" si="15"/>
        <v>1</v>
      </c>
      <c r="AK177">
        <f t="shared" si="16"/>
        <v>1</v>
      </c>
      <c r="AL177">
        <f t="shared" si="17"/>
        <v>1</v>
      </c>
      <c r="AM177">
        <f t="shared" si="18"/>
        <v>1</v>
      </c>
      <c r="AN177">
        <f t="shared" si="19"/>
        <v>1</v>
      </c>
      <c r="AO177">
        <f t="shared" si="20"/>
        <v>1</v>
      </c>
      <c r="AP177">
        <f t="shared" si="21"/>
        <v>-1</v>
      </c>
      <c r="AQ177">
        <v>0</v>
      </c>
      <c r="AR177" t="s">
        <v>2</v>
      </c>
      <c r="AS177">
        <v>-1</v>
      </c>
      <c r="AT177">
        <v>-1</v>
      </c>
      <c r="AU177">
        <v>-1</v>
      </c>
      <c r="AV177">
        <v>-1</v>
      </c>
      <c r="AW177">
        <v>-1</v>
      </c>
      <c r="AX177">
        <v>-1</v>
      </c>
      <c r="AY177">
        <v>-1</v>
      </c>
      <c r="AZ177">
        <v>-1</v>
      </c>
      <c r="BA177">
        <v>-1</v>
      </c>
      <c r="BB177">
        <v>0</v>
      </c>
      <c r="BC177" t="s">
        <v>2</v>
      </c>
      <c r="BD177">
        <v>-1</v>
      </c>
      <c r="BE177">
        <v>-1</v>
      </c>
      <c r="BF177">
        <v>-1</v>
      </c>
      <c r="BG177">
        <v>-1</v>
      </c>
      <c r="BH177">
        <v>-1</v>
      </c>
      <c r="BI177">
        <v>-1</v>
      </c>
      <c r="BJ177">
        <v>-1</v>
      </c>
      <c r="BK177">
        <v>-1</v>
      </c>
      <c r="BL177">
        <v>-1</v>
      </c>
      <c r="BM177">
        <v>-1</v>
      </c>
      <c r="BN177">
        <v>-1</v>
      </c>
      <c r="BO177">
        <v>-1</v>
      </c>
    </row>
    <row r="178" spans="1:67" x14ac:dyDescent="0.25">
      <c r="A178">
        <v>175</v>
      </c>
      <c r="B178">
        <v>80006</v>
      </c>
      <c r="C178" t="str">
        <f>VLOOKUP(B178,[1]resources!$A$2:$D$300,3,FALSE)</f>
        <v>!!FOOD_BAKED_FERRYCHERRYCHEESECAKE</v>
      </c>
      <c r="D178">
        <v>8</v>
      </c>
      <c r="E178" t="str">
        <f>VLOOKUP(D178,[1]bonus_paytable!$A$2:$D$300,3,FALSE)</f>
        <v>bottomite_orange_male_dingus</v>
      </c>
      <c r="F178">
        <v>-1</v>
      </c>
      <c r="G178">
        <v>-1</v>
      </c>
      <c r="H178">
        <v>1</v>
      </c>
      <c r="I178" t="s">
        <v>1</v>
      </c>
      <c r="J178">
        <v>10009</v>
      </c>
      <c r="K178">
        <v>22</v>
      </c>
      <c r="L178">
        <v>13</v>
      </c>
      <c r="M178">
        <v>20001</v>
      </c>
      <c r="N178">
        <v>2002</v>
      </c>
      <c r="O178">
        <v>20000</v>
      </c>
      <c r="P178">
        <v>30007</v>
      </c>
      <c r="Q178">
        <v>70000</v>
      </c>
      <c r="R178">
        <v>80007</v>
      </c>
      <c r="S178">
        <v>60001</v>
      </c>
      <c r="T178">
        <v>-1</v>
      </c>
      <c r="U178" s="2">
        <v>0.01</v>
      </c>
      <c r="V178" s="2">
        <v>0.03</v>
      </c>
      <c r="W178" s="2">
        <v>0.03</v>
      </c>
      <c r="X178" s="2">
        <v>0.03</v>
      </c>
      <c r="Y178" s="2">
        <v>0.05</v>
      </c>
      <c r="Z178" s="2">
        <v>0.05</v>
      </c>
      <c r="AA178" s="2">
        <v>0.05</v>
      </c>
      <c r="AB178" s="2">
        <v>0.05</v>
      </c>
      <c r="AC178" s="2">
        <v>0.05</v>
      </c>
      <c r="AD178" s="2">
        <v>0.05</v>
      </c>
      <c r="AE178" s="2">
        <v>-1</v>
      </c>
      <c r="AF178">
        <f t="shared" si="11"/>
        <v>1</v>
      </c>
      <c r="AG178">
        <f t="shared" si="12"/>
        <v>1</v>
      </c>
      <c r="AH178">
        <f t="shared" si="13"/>
        <v>1</v>
      </c>
      <c r="AI178">
        <f t="shared" si="14"/>
        <v>1</v>
      </c>
      <c r="AJ178">
        <f t="shared" si="15"/>
        <v>1</v>
      </c>
      <c r="AK178">
        <f t="shared" si="16"/>
        <v>1</v>
      </c>
      <c r="AL178">
        <f t="shared" si="17"/>
        <v>1</v>
      </c>
      <c r="AM178">
        <f t="shared" si="18"/>
        <v>1</v>
      </c>
      <c r="AN178">
        <f t="shared" si="19"/>
        <v>1</v>
      </c>
      <c r="AO178">
        <f t="shared" si="20"/>
        <v>1</v>
      </c>
      <c r="AP178">
        <f t="shared" si="21"/>
        <v>-1</v>
      </c>
      <c r="AQ178">
        <v>0</v>
      </c>
      <c r="AR178" t="s">
        <v>2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0</v>
      </c>
      <c r="BC178" t="s">
        <v>2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</row>
    <row r="179" spans="1:67" x14ac:dyDescent="0.25">
      <c r="A179">
        <v>176</v>
      </c>
      <c r="B179">
        <v>80009</v>
      </c>
      <c r="C179" t="str">
        <f>VLOOKUP(B179,[1]resources!$A$2:$D$300,3,FALSE)</f>
        <v>!!FOOD_BAKED_MAROONEDMACAROONS</v>
      </c>
      <c r="D179">
        <v>8</v>
      </c>
      <c r="E179" t="str">
        <f>VLOOKUP(D179,[1]bonus_paytable!$A$2:$D$300,3,FALSE)</f>
        <v>bottomite_orange_male_dingus</v>
      </c>
      <c r="F179">
        <v>-1</v>
      </c>
      <c r="G179">
        <v>-1</v>
      </c>
      <c r="H179">
        <v>1</v>
      </c>
      <c r="I179" t="s">
        <v>1</v>
      </c>
      <c r="J179">
        <v>10009</v>
      </c>
      <c r="K179">
        <v>22</v>
      </c>
      <c r="L179">
        <v>13</v>
      </c>
      <c r="M179">
        <v>20001</v>
      </c>
      <c r="N179">
        <v>2002</v>
      </c>
      <c r="O179">
        <v>20000</v>
      </c>
      <c r="P179">
        <v>30007</v>
      </c>
      <c r="Q179">
        <v>70000</v>
      </c>
      <c r="R179">
        <v>80007</v>
      </c>
      <c r="S179">
        <v>60001</v>
      </c>
      <c r="T179">
        <v>-1</v>
      </c>
      <c r="U179" s="2">
        <v>0.01</v>
      </c>
      <c r="V179" s="2">
        <v>0.03</v>
      </c>
      <c r="W179" s="2">
        <v>0.03</v>
      </c>
      <c r="X179" s="2">
        <v>0.03</v>
      </c>
      <c r="Y179" s="2">
        <v>0.05</v>
      </c>
      <c r="Z179" s="2">
        <v>0.05</v>
      </c>
      <c r="AA179" s="2">
        <v>0.05</v>
      </c>
      <c r="AB179" s="2">
        <v>0.05</v>
      </c>
      <c r="AC179" s="2">
        <v>0.05</v>
      </c>
      <c r="AD179" s="2">
        <v>0.05</v>
      </c>
      <c r="AE179" s="2">
        <v>-1</v>
      </c>
      <c r="AF179">
        <f t="shared" si="11"/>
        <v>1</v>
      </c>
      <c r="AG179">
        <f t="shared" si="12"/>
        <v>1</v>
      </c>
      <c r="AH179">
        <f t="shared" si="13"/>
        <v>1</v>
      </c>
      <c r="AI179">
        <f t="shared" si="14"/>
        <v>1</v>
      </c>
      <c r="AJ179">
        <f t="shared" si="15"/>
        <v>1</v>
      </c>
      <c r="AK179">
        <f t="shared" si="16"/>
        <v>1</v>
      </c>
      <c r="AL179">
        <f t="shared" si="17"/>
        <v>1</v>
      </c>
      <c r="AM179">
        <f t="shared" si="18"/>
        <v>1</v>
      </c>
      <c r="AN179">
        <f t="shared" si="19"/>
        <v>1</v>
      </c>
      <c r="AO179">
        <f t="shared" si="20"/>
        <v>1</v>
      </c>
      <c r="AP179">
        <f t="shared" si="21"/>
        <v>-1</v>
      </c>
      <c r="AQ179">
        <v>0</v>
      </c>
      <c r="AR179" t="s">
        <v>2</v>
      </c>
      <c r="AS179">
        <v>-1</v>
      </c>
      <c r="AT179">
        <v>-1</v>
      </c>
      <c r="AU179">
        <v>-1</v>
      </c>
      <c r="AV179">
        <v>-1</v>
      </c>
      <c r="AW179">
        <v>-1</v>
      </c>
      <c r="AX179">
        <v>-1</v>
      </c>
      <c r="AY179">
        <v>-1</v>
      </c>
      <c r="AZ179">
        <v>-1</v>
      </c>
      <c r="BA179">
        <v>-1</v>
      </c>
      <c r="BB179">
        <v>0</v>
      </c>
      <c r="BC179" t="s">
        <v>2</v>
      </c>
      <c r="BD179">
        <v>-1</v>
      </c>
      <c r="BE179">
        <v>-1</v>
      </c>
      <c r="BF179">
        <v>-1</v>
      </c>
      <c r="BG179">
        <v>-1</v>
      </c>
      <c r="BH179">
        <v>-1</v>
      </c>
      <c r="BI179">
        <v>-1</v>
      </c>
      <c r="BJ179">
        <v>-1</v>
      </c>
      <c r="BK179">
        <v>-1</v>
      </c>
      <c r="BL179">
        <v>-1</v>
      </c>
      <c r="BM179">
        <v>-1</v>
      </c>
      <c r="BN179">
        <v>-1</v>
      </c>
      <c r="BO179">
        <v>-1</v>
      </c>
    </row>
    <row r="180" spans="1:67" x14ac:dyDescent="0.25">
      <c r="A180">
        <v>177</v>
      </c>
      <c r="B180">
        <v>31</v>
      </c>
      <c r="C180" t="str">
        <f>VLOOKUP(B180,[1]resources!$A$2:$D$300,3,FALSE)</f>
        <v>!!FOOD_CAESAR_SALAD</v>
      </c>
      <c r="D180">
        <v>9</v>
      </c>
      <c r="E180" t="str">
        <f>VLOOKUP(D180,[1]bonus_paytable!$A$2:$D$300,3,FALSE)</f>
        <v>bottomite_turquoise_male_average</v>
      </c>
      <c r="F180">
        <v>-1</v>
      </c>
      <c r="G180">
        <v>-1</v>
      </c>
      <c r="H180">
        <v>1</v>
      </c>
      <c r="I180" t="s">
        <v>1</v>
      </c>
      <c r="J180">
        <v>70009</v>
      </c>
      <c r="K180">
        <v>80006</v>
      </c>
      <c r="L180">
        <v>60015</v>
      </c>
      <c r="M180">
        <v>2000</v>
      </c>
      <c r="N180">
        <v>20001</v>
      </c>
      <c r="O180">
        <v>20000</v>
      </c>
      <c r="P180">
        <v>30007</v>
      </c>
      <c r="Q180">
        <v>70000</v>
      </c>
      <c r="R180">
        <v>80003</v>
      </c>
      <c r="S180">
        <v>60001</v>
      </c>
      <c r="T180">
        <v>-1</v>
      </c>
      <c r="U180" s="2">
        <v>0.01</v>
      </c>
      <c r="V180" s="2">
        <v>0.03</v>
      </c>
      <c r="W180" s="2">
        <v>0.03</v>
      </c>
      <c r="X180" s="2">
        <v>0.03</v>
      </c>
      <c r="Y180" s="2">
        <v>0.03</v>
      </c>
      <c r="Z180" s="2">
        <v>0.05</v>
      </c>
      <c r="AA180" s="2">
        <v>0.05</v>
      </c>
      <c r="AB180" s="2">
        <v>0.05</v>
      </c>
      <c r="AC180" s="2">
        <v>0.05</v>
      </c>
      <c r="AD180" s="2">
        <v>0.05</v>
      </c>
      <c r="AE180" s="2">
        <v>-1</v>
      </c>
      <c r="AF180">
        <f t="shared" si="11"/>
        <v>1</v>
      </c>
      <c r="AG180">
        <f t="shared" si="12"/>
        <v>1</v>
      </c>
      <c r="AH180">
        <f t="shared" si="13"/>
        <v>1</v>
      </c>
      <c r="AI180">
        <f t="shared" si="14"/>
        <v>1</v>
      </c>
      <c r="AJ180">
        <f t="shared" si="15"/>
        <v>1</v>
      </c>
      <c r="AK180">
        <f t="shared" si="16"/>
        <v>1</v>
      </c>
      <c r="AL180">
        <f t="shared" si="17"/>
        <v>1</v>
      </c>
      <c r="AM180">
        <f t="shared" si="18"/>
        <v>1</v>
      </c>
      <c r="AN180">
        <f t="shared" si="19"/>
        <v>1</v>
      </c>
      <c r="AO180">
        <f t="shared" si="20"/>
        <v>1</v>
      </c>
      <c r="AP180">
        <f t="shared" si="21"/>
        <v>-1</v>
      </c>
      <c r="AQ180">
        <v>0</v>
      </c>
      <c r="AR180" t="s">
        <v>2</v>
      </c>
      <c r="AS180">
        <v>-1</v>
      </c>
      <c r="AT180">
        <v>-1</v>
      </c>
      <c r="AU180">
        <v>-1</v>
      </c>
      <c r="AV180">
        <v>-1</v>
      </c>
      <c r="AW180">
        <v>-1</v>
      </c>
      <c r="AX180">
        <v>-1</v>
      </c>
      <c r="AY180">
        <v>-1</v>
      </c>
      <c r="AZ180">
        <v>-1</v>
      </c>
      <c r="BA180">
        <v>-1</v>
      </c>
      <c r="BB180">
        <v>0</v>
      </c>
      <c r="BC180" t="s">
        <v>2</v>
      </c>
      <c r="BD180">
        <v>-1</v>
      </c>
      <c r="BE180">
        <v>-1</v>
      </c>
      <c r="BF180">
        <v>-1</v>
      </c>
      <c r="BG180">
        <v>-1</v>
      </c>
      <c r="BH180">
        <v>-1</v>
      </c>
      <c r="BI180">
        <v>-1</v>
      </c>
      <c r="BJ180">
        <v>-1</v>
      </c>
      <c r="BK180">
        <v>-1</v>
      </c>
      <c r="BL180">
        <v>-1</v>
      </c>
      <c r="BM180">
        <v>-1</v>
      </c>
      <c r="BN180">
        <v>-1</v>
      </c>
      <c r="BO180">
        <v>-1</v>
      </c>
    </row>
    <row r="181" spans="1:67" x14ac:dyDescent="0.25">
      <c r="A181">
        <v>178</v>
      </c>
      <c r="B181">
        <v>28</v>
      </c>
      <c r="C181" t="str">
        <f>VLOOKUP(B181,[1]resources!$A$2:$D$300,3,FALSE)</f>
        <v>!!FOOD_BISQUE</v>
      </c>
      <c r="D181">
        <v>9</v>
      </c>
      <c r="E181" t="str">
        <f>VLOOKUP(D181,[1]bonus_paytable!$A$2:$D$300,3,FALSE)</f>
        <v>bottomite_turquoise_male_average</v>
      </c>
      <c r="F181">
        <v>-1</v>
      </c>
      <c r="G181">
        <v>-1</v>
      </c>
      <c r="H181">
        <v>1</v>
      </c>
      <c r="I181" t="s">
        <v>1</v>
      </c>
      <c r="J181">
        <v>70009</v>
      </c>
      <c r="K181">
        <v>80006</v>
      </c>
      <c r="L181">
        <v>60015</v>
      </c>
      <c r="M181">
        <v>2000</v>
      </c>
      <c r="N181">
        <v>20001</v>
      </c>
      <c r="O181">
        <v>20000</v>
      </c>
      <c r="P181">
        <v>30007</v>
      </c>
      <c r="Q181">
        <v>70000</v>
      </c>
      <c r="R181">
        <v>80003</v>
      </c>
      <c r="S181">
        <v>60001</v>
      </c>
      <c r="T181">
        <v>-1</v>
      </c>
      <c r="U181" s="2">
        <v>0.01</v>
      </c>
      <c r="V181" s="2">
        <v>0.03</v>
      </c>
      <c r="W181" s="2">
        <v>0.03</v>
      </c>
      <c r="X181" s="2">
        <v>0.03</v>
      </c>
      <c r="Y181" s="2">
        <v>0.03</v>
      </c>
      <c r="Z181" s="2">
        <v>0.05</v>
      </c>
      <c r="AA181" s="2">
        <v>0.05</v>
      </c>
      <c r="AB181" s="2">
        <v>0.05</v>
      </c>
      <c r="AC181" s="2">
        <v>0.05</v>
      </c>
      <c r="AD181" s="2">
        <v>0.05</v>
      </c>
      <c r="AE181" s="2">
        <v>-1</v>
      </c>
      <c r="AF181">
        <f t="shared" si="11"/>
        <v>1</v>
      </c>
      <c r="AG181">
        <f t="shared" si="12"/>
        <v>1</v>
      </c>
      <c r="AH181">
        <f t="shared" si="13"/>
        <v>1</v>
      </c>
      <c r="AI181">
        <f t="shared" si="14"/>
        <v>1</v>
      </c>
      <c r="AJ181">
        <f t="shared" si="15"/>
        <v>1</v>
      </c>
      <c r="AK181">
        <f t="shared" si="16"/>
        <v>1</v>
      </c>
      <c r="AL181">
        <f t="shared" si="17"/>
        <v>1</v>
      </c>
      <c r="AM181">
        <f t="shared" si="18"/>
        <v>1</v>
      </c>
      <c r="AN181">
        <f t="shared" si="19"/>
        <v>1</v>
      </c>
      <c r="AO181">
        <f t="shared" si="20"/>
        <v>1</v>
      </c>
      <c r="AP181">
        <f t="shared" si="21"/>
        <v>-1</v>
      </c>
      <c r="AQ181">
        <v>0</v>
      </c>
      <c r="AR181" t="s">
        <v>2</v>
      </c>
      <c r="AS181">
        <v>-1</v>
      </c>
      <c r="AT181">
        <v>-1</v>
      </c>
      <c r="AU181">
        <v>-1</v>
      </c>
      <c r="AV181">
        <v>-1</v>
      </c>
      <c r="AW181">
        <v>-1</v>
      </c>
      <c r="AX181">
        <v>-1</v>
      </c>
      <c r="AY181">
        <v>-1</v>
      </c>
      <c r="AZ181">
        <v>-1</v>
      </c>
      <c r="BA181">
        <v>-1</v>
      </c>
      <c r="BB181">
        <v>0</v>
      </c>
      <c r="BC181" t="s">
        <v>2</v>
      </c>
      <c r="BD181">
        <v>-1</v>
      </c>
      <c r="BE181">
        <v>-1</v>
      </c>
      <c r="BF181">
        <v>-1</v>
      </c>
      <c r="BG181">
        <v>-1</v>
      </c>
      <c r="BH181">
        <v>-1</v>
      </c>
      <c r="BI181">
        <v>-1</v>
      </c>
      <c r="BJ181">
        <v>-1</v>
      </c>
      <c r="BK181">
        <v>-1</v>
      </c>
      <c r="BL181">
        <v>-1</v>
      </c>
      <c r="BM181">
        <v>-1</v>
      </c>
      <c r="BN181">
        <v>-1</v>
      </c>
      <c r="BO181">
        <v>-1</v>
      </c>
    </row>
    <row r="182" spans="1:67" x14ac:dyDescent="0.25">
      <c r="A182">
        <v>179</v>
      </c>
      <c r="B182">
        <v>27</v>
      </c>
      <c r="C182" t="str">
        <f>VLOOKUP(B182,[1]resources!$A$2:$D$300,3,FALSE)</f>
        <v>!!FOOD_BRUSCHETTA</v>
      </c>
      <c r="D182">
        <v>9</v>
      </c>
      <c r="E182" t="str">
        <f>VLOOKUP(D182,[1]bonus_paytable!$A$2:$D$300,3,FALSE)</f>
        <v>bottomite_turquoise_male_average</v>
      </c>
      <c r="F182">
        <v>-1</v>
      </c>
      <c r="G182">
        <v>-1</v>
      </c>
      <c r="H182">
        <v>1</v>
      </c>
      <c r="I182" t="s">
        <v>1</v>
      </c>
      <c r="J182">
        <v>70009</v>
      </c>
      <c r="K182">
        <v>80006</v>
      </c>
      <c r="L182">
        <v>60015</v>
      </c>
      <c r="M182">
        <v>2000</v>
      </c>
      <c r="N182">
        <v>20001</v>
      </c>
      <c r="O182">
        <v>20000</v>
      </c>
      <c r="P182">
        <v>30007</v>
      </c>
      <c r="Q182">
        <v>70000</v>
      </c>
      <c r="R182">
        <v>80003</v>
      </c>
      <c r="S182">
        <v>60001</v>
      </c>
      <c r="T182">
        <v>-1</v>
      </c>
      <c r="U182" s="2">
        <v>0.01</v>
      </c>
      <c r="V182" s="2">
        <v>0.03</v>
      </c>
      <c r="W182" s="2">
        <v>0.03</v>
      </c>
      <c r="X182" s="2">
        <v>0.03</v>
      </c>
      <c r="Y182" s="2">
        <v>0.03</v>
      </c>
      <c r="Z182" s="2">
        <v>0.05</v>
      </c>
      <c r="AA182" s="2">
        <v>0.05</v>
      </c>
      <c r="AB182" s="2">
        <v>0.05</v>
      </c>
      <c r="AC182" s="2">
        <v>0.05</v>
      </c>
      <c r="AD182" s="2">
        <v>0.05</v>
      </c>
      <c r="AE182" s="2">
        <v>-1</v>
      </c>
      <c r="AF182">
        <f t="shared" si="11"/>
        <v>1</v>
      </c>
      <c r="AG182">
        <f t="shared" si="12"/>
        <v>1</v>
      </c>
      <c r="AH182">
        <f t="shared" si="13"/>
        <v>1</v>
      </c>
      <c r="AI182">
        <f t="shared" si="14"/>
        <v>1</v>
      </c>
      <c r="AJ182">
        <f t="shared" si="15"/>
        <v>1</v>
      </c>
      <c r="AK182">
        <f t="shared" si="16"/>
        <v>1</v>
      </c>
      <c r="AL182">
        <f t="shared" si="17"/>
        <v>1</v>
      </c>
      <c r="AM182">
        <f t="shared" si="18"/>
        <v>1</v>
      </c>
      <c r="AN182">
        <f t="shared" si="19"/>
        <v>1</v>
      </c>
      <c r="AO182">
        <f t="shared" si="20"/>
        <v>1</v>
      </c>
      <c r="AP182">
        <f t="shared" si="21"/>
        <v>-1</v>
      </c>
      <c r="AQ182">
        <v>0</v>
      </c>
      <c r="AR182" t="s">
        <v>2</v>
      </c>
      <c r="AS182">
        <v>-1</v>
      </c>
      <c r="AT182">
        <v>-1</v>
      </c>
      <c r="AU182">
        <v>-1</v>
      </c>
      <c r="AV182">
        <v>-1</v>
      </c>
      <c r="AW182">
        <v>-1</v>
      </c>
      <c r="AX182">
        <v>-1</v>
      </c>
      <c r="AY182">
        <v>-1</v>
      </c>
      <c r="AZ182">
        <v>-1</v>
      </c>
      <c r="BA182">
        <v>-1</v>
      </c>
      <c r="BB182">
        <v>0</v>
      </c>
      <c r="BC182" t="s">
        <v>2</v>
      </c>
      <c r="BD182">
        <v>-1</v>
      </c>
      <c r="BE182">
        <v>-1</v>
      </c>
      <c r="BF182">
        <v>-1</v>
      </c>
      <c r="BG182">
        <v>-1</v>
      </c>
      <c r="BH182">
        <v>-1</v>
      </c>
      <c r="BI182">
        <v>-1</v>
      </c>
      <c r="BJ182">
        <v>-1</v>
      </c>
      <c r="BK182">
        <v>-1</v>
      </c>
      <c r="BL182">
        <v>-1</v>
      </c>
      <c r="BM182">
        <v>-1</v>
      </c>
      <c r="BN182">
        <v>-1</v>
      </c>
      <c r="BO182">
        <v>-1</v>
      </c>
    </row>
    <row r="183" spans="1:67" x14ac:dyDescent="0.25">
      <c r="A183">
        <v>180</v>
      </c>
      <c r="B183">
        <v>22</v>
      </c>
      <c r="C183" t="str">
        <f>VLOOKUP(B183,[1]resources!$A$2:$D$300,3,FALSE)</f>
        <v>!!FOOD_SEAWEEDSALAD</v>
      </c>
      <c r="D183">
        <v>9</v>
      </c>
      <c r="E183" t="str">
        <f>VLOOKUP(D183,[1]bonus_paytable!$A$2:$D$300,3,FALSE)</f>
        <v>bottomite_turquoise_male_average</v>
      </c>
      <c r="F183">
        <v>-1</v>
      </c>
      <c r="G183">
        <v>-1</v>
      </c>
      <c r="H183">
        <v>1</v>
      </c>
      <c r="I183" t="s">
        <v>1</v>
      </c>
      <c r="J183">
        <v>70009</v>
      </c>
      <c r="K183">
        <v>80006</v>
      </c>
      <c r="L183">
        <v>60015</v>
      </c>
      <c r="M183">
        <v>2000</v>
      </c>
      <c r="N183">
        <v>20001</v>
      </c>
      <c r="O183">
        <v>20000</v>
      </c>
      <c r="P183">
        <v>30007</v>
      </c>
      <c r="Q183">
        <v>70000</v>
      </c>
      <c r="R183">
        <v>80003</v>
      </c>
      <c r="S183">
        <v>60001</v>
      </c>
      <c r="T183">
        <v>-1</v>
      </c>
      <c r="U183" s="2">
        <v>0.01</v>
      </c>
      <c r="V183" s="2">
        <v>0.03</v>
      </c>
      <c r="W183" s="2">
        <v>0.03</v>
      </c>
      <c r="X183" s="2">
        <v>0.03</v>
      </c>
      <c r="Y183" s="2">
        <v>0.03</v>
      </c>
      <c r="Z183" s="2">
        <v>0.05</v>
      </c>
      <c r="AA183" s="2">
        <v>0.05</v>
      </c>
      <c r="AB183" s="2">
        <v>0.05</v>
      </c>
      <c r="AC183" s="2">
        <v>0.05</v>
      </c>
      <c r="AD183" s="2">
        <v>0.05</v>
      </c>
      <c r="AE183" s="2">
        <v>-1</v>
      </c>
      <c r="AF183">
        <f t="shared" si="11"/>
        <v>1</v>
      </c>
      <c r="AG183">
        <f t="shared" si="12"/>
        <v>1</v>
      </c>
      <c r="AH183">
        <f t="shared" si="13"/>
        <v>1</v>
      </c>
      <c r="AI183">
        <f t="shared" si="14"/>
        <v>1</v>
      </c>
      <c r="AJ183">
        <f t="shared" si="15"/>
        <v>1</v>
      </c>
      <c r="AK183">
        <f t="shared" si="16"/>
        <v>1</v>
      </c>
      <c r="AL183">
        <f t="shared" si="17"/>
        <v>1</v>
      </c>
      <c r="AM183">
        <f t="shared" si="18"/>
        <v>1</v>
      </c>
      <c r="AN183">
        <f t="shared" si="19"/>
        <v>1</v>
      </c>
      <c r="AO183">
        <f t="shared" si="20"/>
        <v>1</v>
      </c>
      <c r="AP183">
        <f t="shared" si="21"/>
        <v>-1</v>
      </c>
      <c r="AQ183">
        <v>0</v>
      </c>
      <c r="AR183" t="s">
        <v>2</v>
      </c>
      <c r="AS183">
        <v>-1</v>
      </c>
      <c r="AT183">
        <v>-1</v>
      </c>
      <c r="AU183">
        <v>-1</v>
      </c>
      <c r="AV183">
        <v>-1</v>
      </c>
      <c r="AW183">
        <v>-1</v>
      </c>
      <c r="AX183">
        <v>-1</v>
      </c>
      <c r="AY183">
        <v>-1</v>
      </c>
      <c r="AZ183">
        <v>-1</v>
      </c>
      <c r="BA183">
        <v>-1</v>
      </c>
      <c r="BB183">
        <v>0</v>
      </c>
      <c r="BC183" t="s">
        <v>2</v>
      </c>
      <c r="BD183">
        <v>-1</v>
      </c>
      <c r="BE183">
        <v>-1</v>
      </c>
      <c r="BF183">
        <v>-1</v>
      </c>
      <c r="BG183">
        <v>-1</v>
      </c>
      <c r="BH183">
        <v>-1</v>
      </c>
      <c r="BI183">
        <v>-1</v>
      </c>
      <c r="BJ183">
        <v>-1</v>
      </c>
      <c r="BK183">
        <v>-1</v>
      </c>
      <c r="BL183">
        <v>-1</v>
      </c>
      <c r="BM183">
        <v>-1</v>
      </c>
      <c r="BN183">
        <v>-1</v>
      </c>
      <c r="BO183">
        <v>-1</v>
      </c>
    </row>
    <row r="184" spans="1:67" x14ac:dyDescent="0.25">
      <c r="A184">
        <v>181</v>
      </c>
      <c r="B184">
        <v>20004</v>
      </c>
      <c r="C184" t="str">
        <f>VLOOKUP(B184,[1]resources!$A$2:$D$300,3,FALSE)</f>
        <v>!!JUICE_PEACHNECTAR</v>
      </c>
      <c r="D184">
        <v>9</v>
      </c>
      <c r="E184" t="str">
        <f>VLOOKUP(D184,[1]bonus_paytable!$A$2:$D$300,3,FALSE)</f>
        <v>bottomite_turquoise_male_average</v>
      </c>
      <c r="F184">
        <v>-1</v>
      </c>
      <c r="G184">
        <v>-1</v>
      </c>
      <c r="H184">
        <v>1</v>
      </c>
      <c r="I184" t="s">
        <v>1</v>
      </c>
      <c r="J184">
        <v>70009</v>
      </c>
      <c r="K184">
        <v>80006</v>
      </c>
      <c r="L184">
        <v>60015</v>
      </c>
      <c r="M184">
        <v>2000</v>
      </c>
      <c r="N184">
        <v>20001</v>
      </c>
      <c r="O184">
        <v>20000</v>
      </c>
      <c r="P184">
        <v>30007</v>
      </c>
      <c r="Q184">
        <v>70000</v>
      </c>
      <c r="R184">
        <v>80003</v>
      </c>
      <c r="S184">
        <v>60001</v>
      </c>
      <c r="T184">
        <v>-1</v>
      </c>
      <c r="U184" s="2">
        <v>0.01</v>
      </c>
      <c r="V184" s="2">
        <v>0.03</v>
      </c>
      <c r="W184" s="2">
        <v>0.03</v>
      </c>
      <c r="X184" s="2">
        <v>0.03</v>
      </c>
      <c r="Y184" s="2">
        <v>0.03</v>
      </c>
      <c r="Z184" s="2">
        <v>0.05</v>
      </c>
      <c r="AA184" s="2">
        <v>0.05</v>
      </c>
      <c r="AB184" s="2">
        <v>0.05</v>
      </c>
      <c r="AC184" s="2">
        <v>0.05</v>
      </c>
      <c r="AD184" s="2">
        <v>0.05</v>
      </c>
      <c r="AE184" s="2">
        <v>-1</v>
      </c>
      <c r="AF184">
        <f t="shared" si="11"/>
        <v>1</v>
      </c>
      <c r="AG184">
        <f t="shared" si="12"/>
        <v>1</v>
      </c>
      <c r="AH184">
        <f t="shared" si="13"/>
        <v>1</v>
      </c>
      <c r="AI184">
        <f t="shared" si="14"/>
        <v>1</v>
      </c>
      <c r="AJ184">
        <f t="shared" si="15"/>
        <v>1</v>
      </c>
      <c r="AK184">
        <f t="shared" si="16"/>
        <v>1</v>
      </c>
      <c r="AL184">
        <f t="shared" si="17"/>
        <v>1</v>
      </c>
      <c r="AM184">
        <f t="shared" si="18"/>
        <v>1</v>
      </c>
      <c r="AN184">
        <f t="shared" si="19"/>
        <v>1</v>
      </c>
      <c r="AO184">
        <f t="shared" si="20"/>
        <v>1</v>
      </c>
      <c r="AP184">
        <f t="shared" si="21"/>
        <v>-1</v>
      </c>
      <c r="AQ184">
        <v>0</v>
      </c>
      <c r="AR184" t="s">
        <v>2</v>
      </c>
      <c r="AS184">
        <v>-1</v>
      </c>
      <c r="AT184">
        <v>-1</v>
      </c>
      <c r="AU184">
        <v>-1</v>
      </c>
      <c r="AV184">
        <v>-1</v>
      </c>
      <c r="AW184">
        <v>-1</v>
      </c>
      <c r="AX184">
        <v>-1</v>
      </c>
      <c r="AY184">
        <v>-1</v>
      </c>
      <c r="AZ184">
        <v>-1</v>
      </c>
      <c r="BA184">
        <v>-1</v>
      </c>
      <c r="BB184">
        <v>0</v>
      </c>
      <c r="BC184" t="s">
        <v>2</v>
      </c>
      <c r="BD184">
        <v>-1</v>
      </c>
      <c r="BE184">
        <v>-1</v>
      </c>
      <c r="BF184">
        <v>-1</v>
      </c>
      <c r="BG184">
        <v>-1</v>
      </c>
      <c r="BH184">
        <v>-1</v>
      </c>
      <c r="BI184">
        <v>-1</v>
      </c>
      <c r="BJ184">
        <v>-1</v>
      </c>
      <c r="BK184">
        <v>-1</v>
      </c>
      <c r="BL184">
        <v>-1</v>
      </c>
      <c r="BM184">
        <v>-1</v>
      </c>
      <c r="BN184">
        <v>-1</v>
      </c>
      <c r="BO184">
        <v>-1</v>
      </c>
    </row>
    <row r="185" spans="1:67" x14ac:dyDescent="0.25">
      <c r="A185">
        <v>182</v>
      </c>
      <c r="B185">
        <v>60018</v>
      </c>
      <c r="C185" t="str">
        <f>VLOOKUP(B185,[1]resources!$A$2:$D$300,3,FALSE)</f>
        <v>!!BOUQUET_FLOWERCORAL_CORALPARADISE</v>
      </c>
      <c r="D185">
        <v>9</v>
      </c>
      <c r="E185" t="str">
        <f>VLOOKUP(D185,[1]bonus_paytable!$A$2:$D$300,3,FALSE)</f>
        <v>bottomite_turquoise_male_average</v>
      </c>
      <c r="F185">
        <v>-1</v>
      </c>
      <c r="G185">
        <v>-1</v>
      </c>
      <c r="H185">
        <v>1</v>
      </c>
      <c r="I185" t="s">
        <v>1</v>
      </c>
      <c r="J185">
        <v>70009</v>
      </c>
      <c r="K185">
        <v>80006</v>
      </c>
      <c r="L185">
        <v>60015</v>
      </c>
      <c r="M185">
        <v>2000</v>
      </c>
      <c r="N185">
        <v>20001</v>
      </c>
      <c r="O185">
        <v>20000</v>
      </c>
      <c r="P185">
        <v>30007</v>
      </c>
      <c r="Q185">
        <v>70000</v>
      </c>
      <c r="R185">
        <v>80003</v>
      </c>
      <c r="S185">
        <v>60001</v>
      </c>
      <c r="T185">
        <v>-1</v>
      </c>
      <c r="U185" s="2">
        <v>0.01</v>
      </c>
      <c r="V185" s="2">
        <v>0.03</v>
      </c>
      <c r="W185" s="2">
        <v>0.03</v>
      </c>
      <c r="X185" s="2">
        <v>0.03</v>
      </c>
      <c r="Y185" s="2">
        <v>0.03</v>
      </c>
      <c r="Z185" s="2">
        <v>0.05</v>
      </c>
      <c r="AA185" s="2">
        <v>0.05</v>
      </c>
      <c r="AB185" s="2">
        <v>0.05</v>
      </c>
      <c r="AC185" s="2">
        <v>0.05</v>
      </c>
      <c r="AD185" s="2">
        <v>0.05</v>
      </c>
      <c r="AE185" s="2">
        <v>-1</v>
      </c>
      <c r="AF185">
        <f t="shared" si="11"/>
        <v>1</v>
      </c>
      <c r="AG185">
        <f t="shared" si="12"/>
        <v>1</v>
      </c>
      <c r="AH185">
        <f t="shared" si="13"/>
        <v>1</v>
      </c>
      <c r="AI185">
        <f t="shared" si="14"/>
        <v>1</v>
      </c>
      <c r="AJ185">
        <f t="shared" si="15"/>
        <v>1</v>
      </c>
      <c r="AK185">
        <f t="shared" si="16"/>
        <v>1</v>
      </c>
      <c r="AL185">
        <f t="shared" si="17"/>
        <v>1</v>
      </c>
      <c r="AM185">
        <f t="shared" si="18"/>
        <v>1</v>
      </c>
      <c r="AN185">
        <f t="shared" si="19"/>
        <v>1</v>
      </c>
      <c r="AO185">
        <f t="shared" si="20"/>
        <v>1</v>
      </c>
      <c r="AP185">
        <f t="shared" si="21"/>
        <v>-1</v>
      </c>
      <c r="AQ185">
        <v>0</v>
      </c>
      <c r="AR185" t="s">
        <v>2</v>
      </c>
      <c r="AS185">
        <v>-1</v>
      </c>
      <c r="AT185">
        <v>-1</v>
      </c>
      <c r="AU185">
        <v>-1</v>
      </c>
      <c r="AV185">
        <v>-1</v>
      </c>
      <c r="AW185">
        <v>-1</v>
      </c>
      <c r="AX185">
        <v>-1</v>
      </c>
      <c r="AY185">
        <v>-1</v>
      </c>
      <c r="AZ185">
        <v>-1</v>
      </c>
      <c r="BA185">
        <v>-1</v>
      </c>
      <c r="BB185">
        <v>0</v>
      </c>
      <c r="BC185" t="s">
        <v>2</v>
      </c>
      <c r="BD185">
        <v>-1</v>
      </c>
      <c r="BE185">
        <v>-1</v>
      </c>
      <c r="BF185">
        <v>-1</v>
      </c>
      <c r="BG185">
        <v>-1</v>
      </c>
      <c r="BH185">
        <v>-1</v>
      </c>
      <c r="BI185">
        <v>-1</v>
      </c>
      <c r="BJ185">
        <v>-1</v>
      </c>
      <c r="BK185">
        <v>-1</v>
      </c>
      <c r="BL185">
        <v>-1</v>
      </c>
      <c r="BM185">
        <v>-1</v>
      </c>
      <c r="BN185">
        <v>-1</v>
      </c>
      <c r="BO185">
        <v>-1</v>
      </c>
    </row>
    <row r="186" spans="1:67" x14ac:dyDescent="0.25">
      <c r="A186">
        <v>183</v>
      </c>
      <c r="B186">
        <v>70002</v>
      </c>
      <c r="C186" t="str">
        <f>VLOOKUP(B186,[1]resources!$A$2:$D$300,3,FALSE)</f>
        <v>!!PERFUME_CAPSIZEFORHIM</v>
      </c>
      <c r="D186">
        <v>9</v>
      </c>
      <c r="E186" t="str">
        <f>VLOOKUP(D186,[1]bonus_paytable!$A$2:$D$300,3,FALSE)</f>
        <v>bottomite_turquoise_male_average</v>
      </c>
      <c r="F186">
        <v>-1</v>
      </c>
      <c r="G186">
        <v>-1</v>
      </c>
      <c r="H186">
        <v>1</v>
      </c>
      <c r="I186" t="s">
        <v>1</v>
      </c>
      <c r="J186">
        <v>70009</v>
      </c>
      <c r="K186">
        <v>80006</v>
      </c>
      <c r="L186">
        <v>60015</v>
      </c>
      <c r="M186">
        <v>2000</v>
      </c>
      <c r="N186">
        <v>20001</v>
      </c>
      <c r="O186">
        <v>20000</v>
      </c>
      <c r="P186">
        <v>30007</v>
      </c>
      <c r="Q186">
        <v>70000</v>
      </c>
      <c r="R186">
        <v>80003</v>
      </c>
      <c r="S186">
        <v>60001</v>
      </c>
      <c r="T186">
        <v>-1</v>
      </c>
      <c r="U186" s="2">
        <v>0.01</v>
      </c>
      <c r="V186" s="2">
        <v>0.03</v>
      </c>
      <c r="W186" s="2">
        <v>0.03</v>
      </c>
      <c r="X186" s="2">
        <v>0.03</v>
      </c>
      <c r="Y186" s="2">
        <v>0.03</v>
      </c>
      <c r="Z186" s="2">
        <v>0.05</v>
      </c>
      <c r="AA186" s="2">
        <v>0.05</v>
      </c>
      <c r="AB186" s="2">
        <v>0.05</v>
      </c>
      <c r="AC186" s="2">
        <v>0.05</v>
      </c>
      <c r="AD186" s="2">
        <v>0.05</v>
      </c>
      <c r="AE186" s="2">
        <v>-1</v>
      </c>
      <c r="AF186">
        <f t="shared" si="11"/>
        <v>1</v>
      </c>
      <c r="AG186">
        <f t="shared" si="12"/>
        <v>1</v>
      </c>
      <c r="AH186">
        <f t="shared" si="13"/>
        <v>1</v>
      </c>
      <c r="AI186">
        <f t="shared" si="14"/>
        <v>1</v>
      </c>
      <c r="AJ186">
        <f t="shared" si="15"/>
        <v>1</v>
      </c>
      <c r="AK186">
        <f t="shared" si="16"/>
        <v>1</v>
      </c>
      <c r="AL186">
        <f t="shared" si="17"/>
        <v>1</v>
      </c>
      <c r="AM186">
        <f t="shared" si="18"/>
        <v>1</v>
      </c>
      <c r="AN186">
        <f t="shared" si="19"/>
        <v>1</v>
      </c>
      <c r="AO186">
        <f t="shared" si="20"/>
        <v>1</v>
      </c>
      <c r="AP186">
        <f t="shared" si="21"/>
        <v>-1</v>
      </c>
      <c r="AQ186">
        <v>0</v>
      </c>
      <c r="AR186" t="s">
        <v>2</v>
      </c>
      <c r="AS186">
        <v>-1</v>
      </c>
      <c r="AT186">
        <v>-1</v>
      </c>
      <c r="AU186">
        <v>-1</v>
      </c>
      <c r="AV186">
        <v>-1</v>
      </c>
      <c r="AW186">
        <v>-1</v>
      </c>
      <c r="AX186">
        <v>-1</v>
      </c>
      <c r="AY186">
        <v>-1</v>
      </c>
      <c r="AZ186">
        <v>-1</v>
      </c>
      <c r="BA186">
        <v>-1</v>
      </c>
      <c r="BB186">
        <v>0</v>
      </c>
      <c r="BC186" t="s">
        <v>2</v>
      </c>
      <c r="BD186">
        <v>-1</v>
      </c>
      <c r="BE186">
        <v>-1</v>
      </c>
      <c r="BF186">
        <v>-1</v>
      </c>
      <c r="BG186">
        <v>-1</v>
      </c>
      <c r="BH186">
        <v>-1</v>
      </c>
      <c r="BI186">
        <v>-1</v>
      </c>
      <c r="BJ186">
        <v>-1</v>
      </c>
      <c r="BK186">
        <v>-1</v>
      </c>
      <c r="BL186">
        <v>-1</v>
      </c>
      <c r="BM186">
        <v>-1</v>
      </c>
      <c r="BN186">
        <v>-1</v>
      </c>
      <c r="BO186">
        <v>-1</v>
      </c>
    </row>
    <row r="187" spans="1:67" x14ac:dyDescent="0.25">
      <c r="A187">
        <v>184</v>
      </c>
      <c r="B187">
        <v>80016</v>
      </c>
      <c r="C187" t="str">
        <f>VLOOKUP(B187,[1]resources!$A$2:$D$300,3,FALSE)</f>
        <v>!!FOOD_BAKED_THEAPPLEFANCYSON</v>
      </c>
      <c r="D187">
        <v>9</v>
      </c>
      <c r="E187" t="str">
        <f>VLOOKUP(D187,[1]bonus_paytable!$A$2:$D$300,3,FALSE)</f>
        <v>bottomite_turquoise_male_average</v>
      </c>
      <c r="F187">
        <v>-1</v>
      </c>
      <c r="G187">
        <v>-1</v>
      </c>
      <c r="H187">
        <v>1</v>
      </c>
      <c r="I187" t="s">
        <v>1</v>
      </c>
      <c r="J187">
        <v>70009</v>
      </c>
      <c r="K187">
        <v>80006</v>
      </c>
      <c r="L187">
        <v>60015</v>
      </c>
      <c r="M187">
        <v>2000</v>
      </c>
      <c r="N187">
        <v>20001</v>
      </c>
      <c r="O187">
        <v>20000</v>
      </c>
      <c r="P187">
        <v>30007</v>
      </c>
      <c r="Q187">
        <v>70000</v>
      </c>
      <c r="R187">
        <v>80003</v>
      </c>
      <c r="S187">
        <v>60001</v>
      </c>
      <c r="T187">
        <v>-1</v>
      </c>
      <c r="U187" s="2">
        <v>0.01</v>
      </c>
      <c r="V187" s="2">
        <v>0.03</v>
      </c>
      <c r="W187" s="2">
        <v>0.03</v>
      </c>
      <c r="X187" s="2">
        <v>0.03</v>
      </c>
      <c r="Y187" s="2">
        <v>0.03</v>
      </c>
      <c r="Z187" s="2">
        <v>0.05</v>
      </c>
      <c r="AA187" s="2">
        <v>0.05</v>
      </c>
      <c r="AB187" s="2">
        <v>0.05</v>
      </c>
      <c r="AC187" s="2">
        <v>0.05</v>
      </c>
      <c r="AD187" s="2">
        <v>0.05</v>
      </c>
      <c r="AE187" s="2">
        <v>-1</v>
      </c>
      <c r="AF187">
        <f t="shared" si="11"/>
        <v>1</v>
      </c>
      <c r="AG187">
        <f t="shared" si="12"/>
        <v>1</v>
      </c>
      <c r="AH187">
        <f t="shared" si="13"/>
        <v>1</v>
      </c>
      <c r="AI187">
        <f t="shared" si="14"/>
        <v>1</v>
      </c>
      <c r="AJ187">
        <f t="shared" si="15"/>
        <v>1</v>
      </c>
      <c r="AK187">
        <f t="shared" si="16"/>
        <v>1</v>
      </c>
      <c r="AL187">
        <f t="shared" si="17"/>
        <v>1</v>
      </c>
      <c r="AM187">
        <f t="shared" si="18"/>
        <v>1</v>
      </c>
      <c r="AN187">
        <f t="shared" si="19"/>
        <v>1</v>
      </c>
      <c r="AO187">
        <f t="shared" si="20"/>
        <v>1</v>
      </c>
      <c r="AP187">
        <f t="shared" si="21"/>
        <v>-1</v>
      </c>
      <c r="AQ187">
        <v>0</v>
      </c>
      <c r="AR187" t="s">
        <v>2</v>
      </c>
      <c r="AS187">
        <v>-1</v>
      </c>
      <c r="AT187">
        <v>-1</v>
      </c>
      <c r="AU187">
        <v>-1</v>
      </c>
      <c r="AV187">
        <v>-1</v>
      </c>
      <c r="AW187">
        <v>-1</v>
      </c>
      <c r="AX187">
        <v>-1</v>
      </c>
      <c r="AY187">
        <v>-1</v>
      </c>
      <c r="AZ187">
        <v>-1</v>
      </c>
      <c r="BA187">
        <v>-1</v>
      </c>
      <c r="BB187">
        <v>0</v>
      </c>
      <c r="BC187" t="s">
        <v>2</v>
      </c>
      <c r="BD187">
        <v>-1</v>
      </c>
      <c r="BE187">
        <v>-1</v>
      </c>
      <c r="BF187">
        <v>-1</v>
      </c>
      <c r="BG187">
        <v>-1</v>
      </c>
      <c r="BH187">
        <v>-1</v>
      </c>
      <c r="BI187">
        <v>-1</v>
      </c>
      <c r="BJ187">
        <v>-1</v>
      </c>
      <c r="BK187">
        <v>-1</v>
      </c>
      <c r="BL187">
        <v>-1</v>
      </c>
      <c r="BM187">
        <v>-1</v>
      </c>
      <c r="BN187">
        <v>-1</v>
      </c>
      <c r="BO187">
        <v>-1</v>
      </c>
    </row>
    <row r="188" spans="1:67" x14ac:dyDescent="0.25">
      <c r="A188">
        <v>185</v>
      </c>
      <c r="B188">
        <v>80002</v>
      </c>
      <c r="C188" t="str">
        <f>VLOOKUP(B188,[1]resources!$A$2:$D$300,3,FALSE)</f>
        <v>!!FOOD_BAKED_COCONUTCOBBLER</v>
      </c>
      <c r="D188">
        <v>9</v>
      </c>
      <c r="E188" t="str">
        <f>VLOOKUP(D188,[1]bonus_paytable!$A$2:$D$300,3,FALSE)</f>
        <v>bottomite_turquoise_male_average</v>
      </c>
      <c r="F188">
        <v>-1</v>
      </c>
      <c r="G188">
        <v>-1</v>
      </c>
      <c r="H188">
        <v>1</v>
      </c>
      <c r="I188" t="s">
        <v>1</v>
      </c>
      <c r="J188">
        <v>70009</v>
      </c>
      <c r="K188">
        <v>80006</v>
      </c>
      <c r="L188">
        <v>60015</v>
      </c>
      <c r="M188">
        <v>2000</v>
      </c>
      <c r="N188">
        <v>20001</v>
      </c>
      <c r="O188">
        <v>20000</v>
      </c>
      <c r="P188">
        <v>30007</v>
      </c>
      <c r="Q188">
        <v>70000</v>
      </c>
      <c r="R188">
        <v>80003</v>
      </c>
      <c r="S188">
        <v>60001</v>
      </c>
      <c r="T188">
        <v>-1</v>
      </c>
      <c r="U188" s="2">
        <v>0.01</v>
      </c>
      <c r="V188" s="2">
        <v>0.03</v>
      </c>
      <c r="W188" s="2">
        <v>0.03</v>
      </c>
      <c r="X188" s="2">
        <v>0.03</v>
      </c>
      <c r="Y188" s="2">
        <v>0.03</v>
      </c>
      <c r="Z188" s="2">
        <v>0.05</v>
      </c>
      <c r="AA188" s="2">
        <v>0.05</v>
      </c>
      <c r="AB188" s="2">
        <v>0.05</v>
      </c>
      <c r="AC188" s="2">
        <v>0.05</v>
      </c>
      <c r="AD188" s="2">
        <v>0.05</v>
      </c>
      <c r="AE188" s="2">
        <v>-1</v>
      </c>
      <c r="AF188">
        <f t="shared" si="11"/>
        <v>1</v>
      </c>
      <c r="AG188">
        <f t="shared" si="12"/>
        <v>1</v>
      </c>
      <c r="AH188">
        <f t="shared" si="13"/>
        <v>1</v>
      </c>
      <c r="AI188">
        <f t="shared" si="14"/>
        <v>1</v>
      </c>
      <c r="AJ188">
        <f t="shared" si="15"/>
        <v>1</v>
      </c>
      <c r="AK188">
        <f t="shared" si="16"/>
        <v>1</v>
      </c>
      <c r="AL188">
        <f t="shared" si="17"/>
        <v>1</v>
      </c>
      <c r="AM188">
        <f t="shared" si="18"/>
        <v>1</v>
      </c>
      <c r="AN188">
        <f t="shared" si="19"/>
        <v>1</v>
      </c>
      <c r="AO188">
        <f t="shared" si="20"/>
        <v>1</v>
      </c>
      <c r="AP188">
        <f t="shared" si="21"/>
        <v>-1</v>
      </c>
      <c r="AQ188">
        <v>0</v>
      </c>
      <c r="AR188" t="s">
        <v>2</v>
      </c>
      <c r="AS188">
        <v>-1</v>
      </c>
      <c r="AT188">
        <v>-1</v>
      </c>
      <c r="AU188">
        <v>-1</v>
      </c>
      <c r="AV188">
        <v>-1</v>
      </c>
      <c r="AW188">
        <v>-1</v>
      </c>
      <c r="AX188">
        <v>-1</v>
      </c>
      <c r="AY188">
        <v>-1</v>
      </c>
      <c r="AZ188">
        <v>-1</v>
      </c>
      <c r="BA188">
        <v>-1</v>
      </c>
      <c r="BB188">
        <v>0</v>
      </c>
      <c r="BC188" t="s">
        <v>2</v>
      </c>
      <c r="BD188">
        <v>-1</v>
      </c>
      <c r="BE188">
        <v>-1</v>
      </c>
      <c r="BF188">
        <v>-1</v>
      </c>
      <c r="BG188">
        <v>-1</v>
      </c>
      <c r="BH188">
        <v>-1</v>
      </c>
      <c r="BI188">
        <v>-1</v>
      </c>
      <c r="BJ188">
        <v>-1</v>
      </c>
      <c r="BK188">
        <v>-1</v>
      </c>
      <c r="BL188">
        <v>-1</v>
      </c>
      <c r="BM188">
        <v>-1</v>
      </c>
      <c r="BN188">
        <v>-1</v>
      </c>
      <c r="BO188">
        <v>-1</v>
      </c>
    </row>
    <row r="189" spans="1:67" x14ac:dyDescent="0.25">
      <c r="A189">
        <v>186</v>
      </c>
      <c r="B189">
        <v>80008</v>
      </c>
      <c r="C189" t="str">
        <f>VLOOKUP(B189,[1]resources!$A$2:$D$300,3,FALSE)</f>
        <v>!!FOOD_BAKED_LIFESABEACHPEACHCOBBLER</v>
      </c>
      <c r="D189">
        <v>9</v>
      </c>
      <c r="E189" t="str">
        <f>VLOOKUP(D189,[1]bonus_paytable!$A$2:$D$300,3,FALSE)</f>
        <v>bottomite_turquoise_male_average</v>
      </c>
      <c r="F189">
        <v>-1</v>
      </c>
      <c r="G189">
        <v>-1</v>
      </c>
      <c r="H189">
        <v>1</v>
      </c>
      <c r="I189" t="s">
        <v>1</v>
      </c>
      <c r="J189">
        <v>70009</v>
      </c>
      <c r="K189">
        <v>80006</v>
      </c>
      <c r="L189">
        <v>60015</v>
      </c>
      <c r="M189">
        <v>2000</v>
      </c>
      <c r="N189">
        <v>20001</v>
      </c>
      <c r="O189">
        <v>20000</v>
      </c>
      <c r="P189">
        <v>30007</v>
      </c>
      <c r="Q189">
        <v>70000</v>
      </c>
      <c r="R189">
        <v>80003</v>
      </c>
      <c r="S189">
        <v>60001</v>
      </c>
      <c r="T189">
        <v>-1</v>
      </c>
      <c r="U189" s="2">
        <v>0.01</v>
      </c>
      <c r="V189" s="2">
        <v>0.03</v>
      </c>
      <c r="W189" s="2">
        <v>0.03</v>
      </c>
      <c r="X189" s="2">
        <v>0.03</v>
      </c>
      <c r="Y189" s="2">
        <v>0.03</v>
      </c>
      <c r="Z189" s="2">
        <v>0.05</v>
      </c>
      <c r="AA189" s="2">
        <v>0.05</v>
      </c>
      <c r="AB189" s="2">
        <v>0.05</v>
      </c>
      <c r="AC189" s="2">
        <v>0.05</v>
      </c>
      <c r="AD189" s="2">
        <v>0.05</v>
      </c>
      <c r="AE189" s="2">
        <v>-1</v>
      </c>
      <c r="AF189">
        <f t="shared" si="11"/>
        <v>1</v>
      </c>
      <c r="AG189">
        <f t="shared" si="12"/>
        <v>1</v>
      </c>
      <c r="AH189">
        <f t="shared" si="13"/>
        <v>1</v>
      </c>
      <c r="AI189">
        <f t="shared" si="14"/>
        <v>1</v>
      </c>
      <c r="AJ189">
        <f t="shared" si="15"/>
        <v>1</v>
      </c>
      <c r="AK189">
        <f t="shared" si="16"/>
        <v>1</v>
      </c>
      <c r="AL189">
        <f t="shared" si="17"/>
        <v>1</v>
      </c>
      <c r="AM189">
        <f t="shared" si="18"/>
        <v>1</v>
      </c>
      <c r="AN189">
        <f t="shared" si="19"/>
        <v>1</v>
      </c>
      <c r="AO189">
        <f t="shared" si="20"/>
        <v>1</v>
      </c>
      <c r="AP189">
        <f t="shared" si="21"/>
        <v>-1</v>
      </c>
      <c r="AQ189">
        <v>0</v>
      </c>
      <c r="AR189" t="s">
        <v>2</v>
      </c>
      <c r="AS189">
        <v>-1</v>
      </c>
      <c r="AT189">
        <v>-1</v>
      </c>
      <c r="AU189">
        <v>-1</v>
      </c>
      <c r="AV189">
        <v>-1</v>
      </c>
      <c r="AW189">
        <v>-1</v>
      </c>
      <c r="AX189">
        <v>-1</v>
      </c>
      <c r="AY189">
        <v>-1</v>
      </c>
      <c r="AZ189">
        <v>-1</v>
      </c>
      <c r="BA189">
        <v>-1</v>
      </c>
      <c r="BB189">
        <v>0</v>
      </c>
      <c r="BC189" t="s">
        <v>2</v>
      </c>
      <c r="BD189">
        <v>-1</v>
      </c>
      <c r="BE189">
        <v>-1</v>
      </c>
      <c r="BF189">
        <v>-1</v>
      </c>
      <c r="BG189">
        <v>-1</v>
      </c>
      <c r="BH189">
        <v>-1</v>
      </c>
      <c r="BI189">
        <v>-1</v>
      </c>
      <c r="BJ189">
        <v>-1</v>
      </c>
      <c r="BK189">
        <v>-1</v>
      </c>
      <c r="BL189">
        <v>-1</v>
      </c>
      <c r="BM189">
        <v>-1</v>
      </c>
      <c r="BN189">
        <v>-1</v>
      </c>
      <c r="BO189">
        <v>-1</v>
      </c>
    </row>
    <row r="190" spans="1:67" x14ac:dyDescent="0.25">
      <c r="A190">
        <v>187</v>
      </c>
      <c r="B190">
        <v>1</v>
      </c>
      <c r="C190" t="str">
        <f>VLOOKUP(B190,[1]resources!$A$2:$D$300,3,FALSE)</f>
        <v>!!FOOD_KRABBYPATTY</v>
      </c>
      <c r="D190">
        <v>10</v>
      </c>
      <c r="E190" t="str">
        <f>VLOOKUP(D190,[1]bonus_paytable!$A$2:$D$300,3,FALSE)</f>
        <v>bottomite_orange_male_dingus_2</v>
      </c>
      <c r="F190">
        <v>-1</v>
      </c>
      <c r="G190">
        <v>-1</v>
      </c>
      <c r="H190">
        <v>1</v>
      </c>
      <c r="I190" t="s">
        <v>1</v>
      </c>
      <c r="J190">
        <v>30006</v>
      </c>
      <c r="K190">
        <v>80006</v>
      </c>
      <c r="L190">
        <v>97</v>
      </c>
      <c r="M190">
        <v>20002</v>
      </c>
      <c r="N190">
        <v>60000</v>
      </c>
      <c r="O190">
        <v>99</v>
      </c>
      <c r="P190">
        <v>20000</v>
      </c>
      <c r="Q190">
        <v>40003</v>
      </c>
      <c r="R190">
        <v>70000</v>
      </c>
      <c r="S190">
        <v>60016</v>
      </c>
      <c r="T190">
        <v>-1</v>
      </c>
      <c r="U190" s="2">
        <v>0.01</v>
      </c>
      <c r="V190" s="2">
        <v>0.03</v>
      </c>
      <c r="W190" s="2">
        <v>0.03</v>
      </c>
      <c r="X190" s="2">
        <v>0.03</v>
      </c>
      <c r="Y190" s="2">
        <v>0.03</v>
      </c>
      <c r="Z190" s="2">
        <v>0.05</v>
      </c>
      <c r="AA190" s="2">
        <v>0.05</v>
      </c>
      <c r="AB190" s="2">
        <v>0.05</v>
      </c>
      <c r="AC190" s="2">
        <v>0.05</v>
      </c>
      <c r="AD190" s="2">
        <v>0.05</v>
      </c>
      <c r="AE190" s="2">
        <v>-1</v>
      </c>
      <c r="AF190">
        <f t="shared" si="11"/>
        <v>1</v>
      </c>
      <c r="AG190">
        <f t="shared" si="12"/>
        <v>1</v>
      </c>
      <c r="AH190">
        <f t="shared" si="13"/>
        <v>1</v>
      </c>
      <c r="AI190">
        <f t="shared" si="14"/>
        <v>1</v>
      </c>
      <c r="AJ190">
        <f t="shared" si="15"/>
        <v>1</v>
      </c>
      <c r="AK190">
        <f t="shared" si="16"/>
        <v>1</v>
      </c>
      <c r="AL190">
        <f t="shared" si="17"/>
        <v>1</v>
      </c>
      <c r="AM190">
        <f t="shared" si="18"/>
        <v>1</v>
      </c>
      <c r="AN190">
        <f t="shared" si="19"/>
        <v>1</v>
      </c>
      <c r="AO190">
        <f t="shared" si="20"/>
        <v>1</v>
      </c>
      <c r="AP190">
        <f t="shared" si="21"/>
        <v>-1</v>
      </c>
      <c r="AQ190">
        <v>0</v>
      </c>
      <c r="AR190" t="s">
        <v>2</v>
      </c>
      <c r="AS190">
        <v>-1</v>
      </c>
      <c r="AT190">
        <v>-1</v>
      </c>
      <c r="AU190">
        <v>-1</v>
      </c>
      <c r="AV190">
        <v>-1</v>
      </c>
      <c r="AW190">
        <v>-1</v>
      </c>
      <c r="AX190">
        <v>-1</v>
      </c>
      <c r="AY190">
        <v>-1</v>
      </c>
      <c r="AZ190">
        <v>-1</v>
      </c>
      <c r="BA190">
        <v>-1</v>
      </c>
      <c r="BB190">
        <v>0</v>
      </c>
      <c r="BC190" t="s">
        <v>2</v>
      </c>
      <c r="BD190">
        <v>-1</v>
      </c>
      <c r="BE190">
        <v>-1</v>
      </c>
      <c r="BF190">
        <v>-1</v>
      </c>
      <c r="BG190">
        <v>-1</v>
      </c>
      <c r="BH190">
        <v>-1</v>
      </c>
      <c r="BI190">
        <v>-1</v>
      </c>
      <c r="BJ190">
        <v>-1</v>
      </c>
      <c r="BK190">
        <v>-1</v>
      </c>
      <c r="BL190">
        <v>-1</v>
      </c>
      <c r="BM190">
        <v>-1</v>
      </c>
      <c r="BN190">
        <v>-1</v>
      </c>
      <c r="BO190">
        <v>-1</v>
      </c>
    </row>
    <row r="191" spans="1:67" x14ac:dyDescent="0.25">
      <c r="A191">
        <v>188</v>
      </c>
      <c r="B191">
        <v>19</v>
      </c>
      <c r="C191" t="str">
        <f>VLOOKUP(B191,[1]resources!$A$2:$D$300,3,FALSE)</f>
        <v>!!FOOD_KELPCAKE</v>
      </c>
      <c r="D191">
        <v>10</v>
      </c>
      <c r="E191" t="str">
        <f>VLOOKUP(D191,[1]bonus_paytable!$A$2:$D$300,3,FALSE)</f>
        <v>bottomite_orange_male_dingus_2</v>
      </c>
      <c r="F191">
        <v>-1</v>
      </c>
      <c r="G191">
        <v>-1</v>
      </c>
      <c r="H191">
        <v>1</v>
      </c>
      <c r="I191" t="s">
        <v>1</v>
      </c>
      <c r="J191">
        <v>30006</v>
      </c>
      <c r="K191">
        <v>80006</v>
      </c>
      <c r="L191">
        <v>97</v>
      </c>
      <c r="M191">
        <v>20002</v>
      </c>
      <c r="N191">
        <v>60000</v>
      </c>
      <c r="O191">
        <v>99</v>
      </c>
      <c r="P191">
        <v>20000</v>
      </c>
      <c r="Q191">
        <v>40003</v>
      </c>
      <c r="R191">
        <v>70000</v>
      </c>
      <c r="S191">
        <v>60016</v>
      </c>
      <c r="T191">
        <v>-1</v>
      </c>
      <c r="U191" s="2">
        <v>0.01</v>
      </c>
      <c r="V191" s="2">
        <v>0.03</v>
      </c>
      <c r="W191" s="2">
        <v>0.03</v>
      </c>
      <c r="X191" s="2">
        <v>0.03</v>
      </c>
      <c r="Y191" s="2">
        <v>0.03</v>
      </c>
      <c r="Z191" s="2">
        <v>0.05</v>
      </c>
      <c r="AA191" s="2">
        <v>0.05</v>
      </c>
      <c r="AB191" s="2">
        <v>0.05</v>
      </c>
      <c r="AC191" s="2">
        <v>0.05</v>
      </c>
      <c r="AD191" s="2">
        <v>0.05</v>
      </c>
      <c r="AE191" s="2">
        <v>-1</v>
      </c>
      <c r="AF191">
        <f t="shared" si="11"/>
        <v>1</v>
      </c>
      <c r="AG191">
        <f t="shared" si="12"/>
        <v>1</v>
      </c>
      <c r="AH191">
        <f t="shared" si="13"/>
        <v>1</v>
      </c>
      <c r="AI191">
        <f t="shared" si="14"/>
        <v>1</v>
      </c>
      <c r="AJ191">
        <f t="shared" si="15"/>
        <v>1</v>
      </c>
      <c r="AK191">
        <f t="shared" si="16"/>
        <v>1</v>
      </c>
      <c r="AL191">
        <f t="shared" si="17"/>
        <v>1</v>
      </c>
      <c r="AM191">
        <f t="shared" si="18"/>
        <v>1</v>
      </c>
      <c r="AN191">
        <f t="shared" si="19"/>
        <v>1</v>
      </c>
      <c r="AO191">
        <f t="shared" si="20"/>
        <v>1</v>
      </c>
      <c r="AP191">
        <f t="shared" si="21"/>
        <v>-1</v>
      </c>
      <c r="AQ191">
        <v>0</v>
      </c>
      <c r="AR191" t="s">
        <v>2</v>
      </c>
      <c r="AS191">
        <v>-1</v>
      </c>
      <c r="AT191">
        <v>-1</v>
      </c>
      <c r="AU191">
        <v>-1</v>
      </c>
      <c r="AV191">
        <v>-1</v>
      </c>
      <c r="AW191">
        <v>-1</v>
      </c>
      <c r="AX191">
        <v>-1</v>
      </c>
      <c r="AY191">
        <v>-1</v>
      </c>
      <c r="AZ191">
        <v>-1</v>
      </c>
      <c r="BA191">
        <v>-1</v>
      </c>
      <c r="BB191">
        <v>0</v>
      </c>
      <c r="BC191" t="s">
        <v>2</v>
      </c>
      <c r="BD191">
        <v>-1</v>
      </c>
      <c r="BE191">
        <v>-1</v>
      </c>
      <c r="BF191">
        <v>-1</v>
      </c>
      <c r="BG191">
        <v>-1</v>
      </c>
      <c r="BH191">
        <v>-1</v>
      </c>
      <c r="BI191">
        <v>-1</v>
      </c>
      <c r="BJ191">
        <v>-1</v>
      </c>
      <c r="BK191">
        <v>-1</v>
      </c>
      <c r="BL191">
        <v>-1</v>
      </c>
      <c r="BM191">
        <v>-1</v>
      </c>
      <c r="BN191">
        <v>-1</v>
      </c>
      <c r="BO191">
        <v>-1</v>
      </c>
    </row>
    <row r="192" spans="1:67" x14ac:dyDescent="0.25">
      <c r="A192">
        <v>189</v>
      </c>
      <c r="B192">
        <v>23</v>
      </c>
      <c r="C192" t="str">
        <f>VLOOKUP(B192,[1]resources!$A$2:$D$300,3,FALSE)</f>
        <v>!!FOOD_KELPKLT</v>
      </c>
      <c r="D192">
        <v>10</v>
      </c>
      <c r="E192" t="str">
        <f>VLOOKUP(D192,[1]bonus_paytable!$A$2:$D$300,3,FALSE)</f>
        <v>bottomite_orange_male_dingus_2</v>
      </c>
      <c r="F192">
        <v>-1</v>
      </c>
      <c r="G192">
        <v>-1</v>
      </c>
      <c r="H192">
        <v>1</v>
      </c>
      <c r="I192" t="s">
        <v>1</v>
      </c>
      <c r="J192">
        <v>30006</v>
      </c>
      <c r="K192">
        <v>80006</v>
      </c>
      <c r="L192">
        <v>97</v>
      </c>
      <c r="M192">
        <v>20002</v>
      </c>
      <c r="N192">
        <v>60000</v>
      </c>
      <c r="O192">
        <v>99</v>
      </c>
      <c r="P192">
        <v>20000</v>
      </c>
      <c r="Q192">
        <v>40003</v>
      </c>
      <c r="R192">
        <v>70000</v>
      </c>
      <c r="S192">
        <v>60016</v>
      </c>
      <c r="T192">
        <v>-1</v>
      </c>
      <c r="U192" s="2">
        <v>0.01</v>
      </c>
      <c r="V192" s="2">
        <v>0.03</v>
      </c>
      <c r="W192" s="2">
        <v>0.03</v>
      </c>
      <c r="X192" s="2">
        <v>0.03</v>
      </c>
      <c r="Y192" s="2">
        <v>0.03</v>
      </c>
      <c r="Z192" s="2">
        <v>0.05</v>
      </c>
      <c r="AA192" s="2">
        <v>0.05</v>
      </c>
      <c r="AB192" s="2">
        <v>0.05</v>
      </c>
      <c r="AC192" s="2">
        <v>0.05</v>
      </c>
      <c r="AD192" s="2">
        <v>0.05</v>
      </c>
      <c r="AE192" s="2">
        <v>-1</v>
      </c>
      <c r="AF192">
        <f t="shared" si="11"/>
        <v>1</v>
      </c>
      <c r="AG192">
        <f t="shared" si="12"/>
        <v>1</v>
      </c>
      <c r="AH192">
        <f t="shared" si="13"/>
        <v>1</v>
      </c>
      <c r="AI192">
        <f t="shared" si="14"/>
        <v>1</v>
      </c>
      <c r="AJ192">
        <f t="shared" si="15"/>
        <v>1</v>
      </c>
      <c r="AK192">
        <f t="shared" si="16"/>
        <v>1</v>
      </c>
      <c r="AL192">
        <f t="shared" si="17"/>
        <v>1</v>
      </c>
      <c r="AM192">
        <f t="shared" si="18"/>
        <v>1</v>
      </c>
      <c r="AN192">
        <f t="shared" si="19"/>
        <v>1</v>
      </c>
      <c r="AO192">
        <f t="shared" si="20"/>
        <v>1</v>
      </c>
      <c r="AP192">
        <f t="shared" si="21"/>
        <v>-1</v>
      </c>
      <c r="AQ192">
        <v>0</v>
      </c>
      <c r="AR192" t="s">
        <v>2</v>
      </c>
      <c r="AS192">
        <v>-1</v>
      </c>
      <c r="AT192">
        <v>-1</v>
      </c>
      <c r="AU192">
        <v>-1</v>
      </c>
      <c r="AV192">
        <v>-1</v>
      </c>
      <c r="AW192">
        <v>-1</v>
      </c>
      <c r="AX192">
        <v>-1</v>
      </c>
      <c r="AY192">
        <v>-1</v>
      </c>
      <c r="AZ192">
        <v>-1</v>
      </c>
      <c r="BA192">
        <v>-1</v>
      </c>
      <c r="BB192">
        <v>0</v>
      </c>
      <c r="BC192" t="s">
        <v>2</v>
      </c>
      <c r="BD192">
        <v>-1</v>
      </c>
      <c r="BE192">
        <v>-1</v>
      </c>
      <c r="BF192">
        <v>-1</v>
      </c>
      <c r="BG192">
        <v>-1</v>
      </c>
      <c r="BH192">
        <v>-1</v>
      </c>
      <c r="BI192">
        <v>-1</v>
      </c>
      <c r="BJ192">
        <v>-1</v>
      </c>
      <c r="BK192">
        <v>-1</v>
      </c>
      <c r="BL192">
        <v>-1</v>
      </c>
      <c r="BM192">
        <v>-1</v>
      </c>
      <c r="BN192">
        <v>-1</v>
      </c>
      <c r="BO192">
        <v>-1</v>
      </c>
    </row>
    <row r="193" spans="1:67" x14ac:dyDescent="0.25">
      <c r="A193">
        <v>190</v>
      </c>
      <c r="B193">
        <v>95</v>
      </c>
      <c r="C193" t="str">
        <f>VLOOKUP(B193,[1]resources!$A$2:$D$300,3,FALSE)</f>
        <v>!!FOOD_CUBEDKETCHUPKABOBS</v>
      </c>
      <c r="D193">
        <v>10</v>
      </c>
      <c r="E193" t="str">
        <f>VLOOKUP(D193,[1]bonus_paytable!$A$2:$D$300,3,FALSE)</f>
        <v>bottomite_orange_male_dingus_2</v>
      </c>
      <c r="F193">
        <v>-1</v>
      </c>
      <c r="G193">
        <v>-1</v>
      </c>
      <c r="H193">
        <v>1</v>
      </c>
      <c r="I193" t="s">
        <v>1</v>
      </c>
      <c r="J193">
        <v>30006</v>
      </c>
      <c r="K193">
        <v>80006</v>
      </c>
      <c r="L193">
        <v>97</v>
      </c>
      <c r="M193">
        <v>20002</v>
      </c>
      <c r="N193">
        <v>60000</v>
      </c>
      <c r="O193">
        <v>99</v>
      </c>
      <c r="P193">
        <v>20000</v>
      </c>
      <c r="Q193">
        <v>40003</v>
      </c>
      <c r="R193">
        <v>70000</v>
      </c>
      <c r="S193">
        <v>60016</v>
      </c>
      <c r="T193">
        <v>-1</v>
      </c>
      <c r="U193" s="2">
        <v>0.01</v>
      </c>
      <c r="V193" s="2">
        <v>0.03</v>
      </c>
      <c r="W193" s="2">
        <v>0.03</v>
      </c>
      <c r="X193" s="2">
        <v>0.03</v>
      </c>
      <c r="Y193" s="2">
        <v>0.03</v>
      </c>
      <c r="Z193" s="2">
        <v>0.05</v>
      </c>
      <c r="AA193" s="2">
        <v>0.05</v>
      </c>
      <c r="AB193" s="2">
        <v>0.05</v>
      </c>
      <c r="AC193" s="2">
        <v>0.05</v>
      </c>
      <c r="AD193" s="2">
        <v>0.05</v>
      </c>
      <c r="AE193" s="2">
        <v>-1</v>
      </c>
      <c r="AF193">
        <f t="shared" si="11"/>
        <v>1</v>
      </c>
      <c r="AG193">
        <f t="shared" si="12"/>
        <v>1</v>
      </c>
      <c r="AH193">
        <f t="shared" si="13"/>
        <v>1</v>
      </c>
      <c r="AI193">
        <f t="shared" si="14"/>
        <v>1</v>
      </c>
      <c r="AJ193">
        <f t="shared" si="15"/>
        <v>1</v>
      </c>
      <c r="AK193">
        <f t="shared" si="16"/>
        <v>1</v>
      </c>
      <c r="AL193">
        <f t="shared" si="17"/>
        <v>1</v>
      </c>
      <c r="AM193">
        <f t="shared" si="18"/>
        <v>1</v>
      </c>
      <c r="AN193">
        <f t="shared" si="19"/>
        <v>1</v>
      </c>
      <c r="AO193">
        <f t="shared" si="20"/>
        <v>1</v>
      </c>
      <c r="AP193">
        <f t="shared" si="21"/>
        <v>-1</v>
      </c>
      <c r="AQ193">
        <v>0</v>
      </c>
      <c r="AR193" t="s">
        <v>2</v>
      </c>
      <c r="AS193">
        <v>-1</v>
      </c>
      <c r="AT193">
        <v>-1</v>
      </c>
      <c r="AU193">
        <v>-1</v>
      </c>
      <c r="AV193">
        <v>-1</v>
      </c>
      <c r="AW193">
        <v>-1</v>
      </c>
      <c r="AX193">
        <v>-1</v>
      </c>
      <c r="AY193">
        <v>-1</v>
      </c>
      <c r="AZ193">
        <v>-1</v>
      </c>
      <c r="BA193">
        <v>-1</v>
      </c>
      <c r="BB193">
        <v>0</v>
      </c>
      <c r="BC193" t="s">
        <v>2</v>
      </c>
      <c r="BD193">
        <v>-1</v>
      </c>
      <c r="BE193">
        <v>-1</v>
      </c>
      <c r="BF193">
        <v>-1</v>
      </c>
      <c r="BG193">
        <v>-1</v>
      </c>
      <c r="BH193">
        <v>-1</v>
      </c>
      <c r="BI193">
        <v>-1</v>
      </c>
      <c r="BJ193">
        <v>-1</v>
      </c>
      <c r="BK193">
        <v>-1</v>
      </c>
      <c r="BL193">
        <v>-1</v>
      </c>
      <c r="BM193">
        <v>-1</v>
      </c>
      <c r="BN193">
        <v>-1</v>
      </c>
      <c r="BO193">
        <v>-1</v>
      </c>
    </row>
    <row r="194" spans="1:67" x14ac:dyDescent="0.25">
      <c r="A194">
        <v>191</v>
      </c>
      <c r="B194">
        <v>20000</v>
      </c>
      <c r="C194" t="str">
        <f>VLOOKUP(B194,[1]resources!$A$2:$D$300,3,FALSE)</f>
        <v>!!JUICE_APPLE</v>
      </c>
      <c r="D194">
        <v>10</v>
      </c>
      <c r="E194" t="str">
        <f>VLOOKUP(D194,[1]bonus_paytable!$A$2:$D$300,3,FALSE)</f>
        <v>bottomite_orange_male_dingus_2</v>
      </c>
      <c r="F194">
        <v>-1</v>
      </c>
      <c r="G194">
        <v>-1</v>
      </c>
      <c r="H194">
        <v>1</v>
      </c>
      <c r="I194" t="s">
        <v>1</v>
      </c>
      <c r="J194">
        <v>30006</v>
      </c>
      <c r="K194">
        <v>80006</v>
      </c>
      <c r="L194">
        <v>97</v>
      </c>
      <c r="M194">
        <v>20002</v>
      </c>
      <c r="N194">
        <v>60000</v>
      </c>
      <c r="O194">
        <v>99</v>
      </c>
      <c r="P194">
        <v>20000</v>
      </c>
      <c r="Q194">
        <v>40003</v>
      </c>
      <c r="R194">
        <v>70000</v>
      </c>
      <c r="S194">
        <v>60016</v>
      </c>
      <c r="T194">
        <v>-1</v>
      </c>
      <c r="U194" s="2">
        <v>0.01</v>
      </c>
      <c r="V194" s="2">
        <v>0.03</v>
      </c>
      <c r="W194" s="2">
        <v>0.03</v>
      </c>
      <c r="X194" s="2">
        <v>0.03</v>
      </c>
      <c r="Y194" s="2">
        <v>0.03</v>
      </c>
      <c r="Z194" s="2">
        <v>0.05</v>
      </c>
      <c r="AA194" s="2">
        <v>0.05</v>
      </c>
      <c r="AB194" s="2">
        <v>0.05</v>
      </c>
      <c r="AC194" s="2">
        <v>0.05</v>
      </c>
      <c r="AD194" s="2">
        <v>0.05</v>
      </c>
      <c r="AE194" s="2">
        <v>-1</v>
      </c>
      <c r="AF194">
        <f t="shared" si="11"/>
        <v>1</v>
      </c>
      <c r="AG194">
        <f t="shared" si="12"/>
        <v>1</v>
      </c>
      <c r="AH194">
        <f t="shared" si="13"/>
        <v>1</v>
      </c>
      <c r="AI194">
        <f t="shared" si="14"/>
        <v>1</v>
      </c>
      <c r="AJ194">
        <f t="shared" si="15"/>
        <v>1</v>
      </c>
      <c r="AK194">
        <f t="shared" si="16"/>
        <v>1</v>
      </c>
      <c r="AL194">
        <f t="shared" si="17"/>
        <v>1</v>
      </c>
      <c r="AM194">
        <f t="shared" si="18"/>
        <v>1</v>
      </c>
      <c r="AN194">
        <f t="shared" si="19"/>
        <v>1</v>
      </c>
      <c r="AO194">
        <f t="shared" si="20"/>
        <v>1</v>
      </c>
      <c r="AP194">
        <f t="shared" si="21"/>
        <v>-1</v>
      </c>
      <c r="AQ194">
        <v>0</v>
      </c>
      <c r="AR194" t="s">
        <v>2</v>
      </c>
      <c r="AS194">
        <v>-1</v>
      </c>
      <c r="AT194">
        <v>-1</v>
      </c>
      <c r="AU194">
        <v>-1</v>
      </c>
      <c r="AV194">
        <v>-1</v>
      </c>
      <c r="AW194">
        <v>-1</v>
      </c>
      <c r="AX194">
        <v>-1</v>
      </c>
      <c r="AY194">
        <v>-1</v>
      </c>
      <c r="AZ194">
        <v>-1</v>
      </c>
      <c r="BA194">
        <v>-1</v>
      </c>
      <c r="BB194">
        <v>0</v>
      </c>
      <c r="BC194" t="s">
        <v>2</v>
      </c>
      <c r="BD194">
        <v>-1</v>
      </c>
      <c r="BE194">
        <v>-1</v>
      </c>
      <c r="BF194">
        <v>-1</v>
      </c>
      <c r="BG194">
        <v>-1</v>
      </c>
      <c r="BH194">
        <v>-1</v>
      </c>
      <c r="BI194">
        <v>-1</v>
      </c>
      <c r="BJ194">
        <v>-1</v>
      </c>
      <c r="BK194">
        <v>-1</v>
      </c>
      <c r="BL194">
        <v>-1</v>
      </c>
      <c r="BM194">
        <v>-1</v>
      </c>
      <c r="BN194">
        <v>-1</v>
      </c>
      <c r="BO194">
        <v>-1</v>
      </c>
    </row>
    <row r="195" spans="1:67" x14ac:dyDescent="0.25">
      <c r="A195">
        <v>192</v>
      </c>
      <c r="B195">
        <v>30004</v>
      </c>
      <c r="C195" t="str">
        <f>VLOOKUP(B195,[1]resources!$A$2:$D$300,3,FALSE)</f>
        <v>!!SMOOTHIE_CITRUS_SLURVEY</v>
      </c>
      <c r="D195">
        <v>10</v>
      </c>
      <c r="E195" t="str">
        <f>VLOOKUP(D195,[1]bonus_paytable!$A$2:$D$300,3,FALSE)</f>
        <v>bottomite_orange_male_dingus_2</v>
      </c>
      <c r="F195">
        <v>-1</v>
      </c>
      <c r="G195">
        <v>-1</v>
      </c>
      <c r="H195">
        <v>1</v>
      </c>
      <c r="I195" t="s">
        <v>1</v>
      </c>
      <c r="J195">
        <v>30006</v>
      </c>
      <c r="K195">
        <v>80006</v>
      </c>
      <c r="L195">
        <v>97</v>
      </c>
      <c r="M195">
        <v>20002</v>
      </c>
      <c r="N195">
        <v>60000</v>
      </c>
      <c r="O195">
        <v>99</v>
      </c>
      <c r="P195">
        <v>20000</v>
      </c>
      <c r="Q195">
        <v>40003</v>
      </c>
      <c r="R195">
        <v>70000</v>
      </c>
      <c r="S195">
        <v>60016</v>
      </c>
      <c r="T195">
        <v>-1</v>
      </c>
      <c r="U195" s="2">
        <v>0.01</v>
      </c>
      <c r="V195" s="2">
        <v>0.03</v>
      </c>
      <c r="W195" s="2">
        <v>0.03</v>
      </c>
      <c r="X195" s="2">
        <v>0.03</v>
      </c>
      <c r="Y195" s="2">
        <v>0.03</v>
      </c>
      <c r="Z195" s="2">
        <v>0.05</v>
      </c>
      <c r="AA195" s="2">
        <v>0.05</v>
      </c>
      <c r="AB195" s="2">
        <v>0.05</v>
      </c>
      <c r="AC195" s="2">
        <v>0.05</v>
      </c>
      <c r="AD195" s="2">
        <v>0.05</v>
      </c>
      <c r="AE195" s="2">
        <v>-1</v>
      </c>
      <c r="AF195">
        <f t="shared" si="11"/>
        <v>1</v>
      </c>
      <c r="AG195">
        <f t="shared" si="12"/>
        <v>1</v>
      </c>
      <c r="AH195">
        <f t="shared" si="13"/>
        <v>1</v>
      </c>
      <c r="AI195">
        <f t="shared" si="14"/>
        <v>1</v>
      </c>
      <c r="AJ195">
        <f t="shared" si="15"/>
        <v>1</v>
      </c>
      <c r="AK195">
        <f t="shared" si="16"/>
        <v>1</v>
      </c>
      <c r="AL195">
        <f t="shared" si="17"/>
        <v>1</v>
      </c>
      <c r="AM195">
        <f t="shared" si="18"/>
        <v>1</v>
      </c>
      <c r="AN195">
        <f t="shared" si="19"/>
        <v>1</v>
      </c>
      <c r="AO195">
        <f t="shared" si="20"/>
        <v>1</v>
      </c>
      <c r="AP195">
        <f t="shared" si="21"/>
        <v>-1</v>
      </c>
      <c r="AQ195">
        <v>0</v>
      </c>
      <c r="AR195" t="s">
        <v>2</v>
      </c>
      <c r="AS195">
        <v>-1</v>
      </c>
      <c r="AT195">
        <v>-1</v>
      </c>
      <c r="AU195">
        <v>-1</v>
      </c>
      <c r="AV195">
        <v>-1</v>
      </c>
      <c r="AW195">
        <v>-1</v>
      </c>
      <c r="AX195">
        <v>-1</v>
      </c>
      <c r="AY195">
        <v>-1</v>
      </c>
      <c r="AZ195">
        <v>-1</v>
      </c>
      <c r="BA195">
        <v>-1</v>
      </c>
      <c r="BB195">
        <v>0</v>
      </c>
      <c r="BC195" t="s">
        <v>2</v>
      </c>
      <c r="BD195">
        <v>-1</v>
      </c>
      <c r="BE195">
        <v>-1</v>
      </c>
      <c r="BF195">
        <v>-1</v>
      </c>
      <c r="BG195">
        <v>-1</v>
      </c>
      <c r="BH195">
        <v>-1</v>
      </c>
      <c r="BI195">
        <v>-1</v>
      </c>
      <c r="BJ195">
        <v>-1</v>
      </c>
      <c r="BK195">
        <v>-1</v>
      </c>
      <c r="BL195">
        <v>-1</v>
      </c>
      <c r="BM195">
        <v>-1</v>
      </c>
      <c r="BN195">
        <v>-1</v>
      </c>
      <c r="BO195">
        <v>-1</v>
      </c>
    </row>
    <row r="196" spans="1:67" x14ac:dyDescent="0.25">
      <c r="A196">
        <v>193</v>
      </c>
      <c r="B196">
        <v>40003</v>
      </c>
      <c r="C196" t="str">
        <f>VLOOKUP(B196,[1]resources!$A$2:$D$300,3,FALSE)</f>
        <v>!!ICECREAM_CARAMEL</v>
      </c>
      <c r="D196">
        <v>10</v>
      </c>
      <c r="E196" t="str">
        <f>VLOOKUP(D196,[1]bonus_paytable!$A$2:$D$300,3,FALSE)</f>
        <v>bottomite_orange_male_dingus_2</v>
      </c>
      <c r="F196">
        <v>-1</v>
      </c>
      <c r="G196">
        <v>-1</v>
      </c>
      <c r="H196">
        <v>1</v>
      </c>
      <c r="I196" t="s">
        <v>1</v>
      </c>
      <c r="J196">
        <v>30006</v>
      </c>
      <c r="K196">
        <v>80006</v>
      </c>
      <c r="L196">
        <v>97</v>
      </c>
      <c r="M196">
        <v>20002</v>
      </c>
      <c r="N196">
        <v>60000</v>
      </c>
      <c r="O196">
        <v>99</v>
      </c>
      <c r="P196">
        <v>20000</v>
      </c>
      <c r="Q196">
        <v>40003</v>
      </c>
      <c r="R196">
        <v>70000</v>
      </c>
      <c r="S196">
        <v>60016</v>
      </c>
      <c r="T196">
        <v>-1</v>
      </c>
      <c r="U196" s="2">
        <v>0.01</v>
      </c>
      <c r="V196" s="2">
        <v>0.03</v>
      </c>
      <c r="W196" s="2">
        <v>0.03</v>
      </c>
      <c r="X196" s="2">
        <v>0.03</v>
      </c>
      <c r="Y196" s="2">
        <v>0.03</v>
      </c>
      <c r="Z196" s="2">
        <v>0.05</v>
      </c>
      <c r="AA196" s="2">
        <v>0.05</v>
      </c>
      <c r="AB196" s="2">
        <v>0.05</v>
      </c>
      <c r="AC196" s="2">
        <v>0.05</v>
      </c>
      <c r="AD196" s="2">
        <v>0.05</v>
      </c>
      <c r="AE196" s="2">
        <v>-1</v>
      </c>
      <c r="AF196">
        <f t="shared" si="11"/>
        <v>1</v>
      </c>
      <c r="AG196">
        <f t="shared" si="12"/>
        <v>1</v>
      </c>
      <c r="AH196">
        <f t="shared" si="13"/>
        <v>1</v>
      </c>
      <c r="AI196">
        <f t="shared" si="14"/>
        <v>1</v>
      </c>
      <c r="AJ196">
        <f t="shared" si="15"/>
        <v>1</v>
      </c>
      <c r="AK196">
        <f t="shared" si="16"/>
        <v>1</v>
      </c>
      <c r="AL196">
        <f t="shared" si="17"/>
        <v>1</v>
      </c>
      <c r="AM196">
        <f t="shared" si="18"/>
        <v>1</v>
      </c>
      <c r="AN196">
        <f t="shared" si="19"/>
        <v>1</v>
      </c>
      <c r="AO196">
        <f t="shared" si="20"/>
        <v>1</v>
      </c>
      <c r="AP196">
        <f t="shared" si="21"/>
        <v>-1</v>
      </c>
      <c r="AQ196">
        <v>0</v>
      </c>
      <c r="AR196" t="s">
        <v>2</v>
      </c>
      <c r="AS196">
        <v>-1</v>
      </c>
      <c r="AT196">
        <v>-1</v>
      </c>
      <c r="AU196">
        <v>-1</v>
      </c>
      <c r="AV196">
        <v>-1</v>
      </c>
      <c r="AW196">
        <v>-1</v>
      </c>
      <c r="AX196">
        <v>-1</v>
      </c>
      <c r="AY196">
        <v>-1</v>
      </c>
      <c r="AZ196">
        <v>-1</v>
      </c>
      <c r="BA196">
        <v>-1</v>
      </c>
      <c r="BB196">
        <v>0</v>
      </c>
      <c r="BC196" t="s">
        <v>2</v>
      </c>
      <c r="BD196">
        <v>-1</v>
      </c>
      <c r="BE196">
        <v>-1</v>
      </c>
      <c r="BF196">
        <v>-1</v>
      </c>
      <c r="BG196">
        <v>-1</v>
      </c>
      <c r="BH196">
        <v>-1</v>
      </c>
      <c r="BI196">
        <v>-1</v>
      </c>
      <c r="BJ196">
        <v>-1</v>
      </c>
      <c r="BK196">
        <v>-1</v>
      </c>
      <c r="BL196">
        <v>-1</v>
      </c>
      <c r="BM196">
        <v>-1</v>
      </c>
      <c r="BN196">
        <v>-1</v>
      </c>
      <c r="BO196">
        <v>-1</v>
      </c>
    </row>
    <row r="197" spans="1:67" x14ac:dyDescent="0.25">
      <c r="A197">
        <v>194</v>
      </c>
      <c r="B197">
        <v>50002</v>
      </c>
      <c r="C197" t="str">
        <f>VLOOKUP(B197,[1]resources!$A$2:$D$300,3,FALSE)</f>
        <v>!!SHAKE_CORAL_CRUSH</v>
      </c>
      <c r="D197">
        <v>10</v>
      </c>
      <c r="E197" t="str">
        <f>VLOOKUP(D197,[1]bonus_paytable!$A$2:$D$300,3,FALSE)</f>
        <v>bottomite_orange_male_dingus_2</v>
      </c>
      <c r="F197">
        <v>-1</v>
      </c>
      <c r="G197">
        <v>-1</v>
      </c>
      <c r="H197">
        <v>1</v>
      </c>
      <c r="I197" t="s">
        <v>1</v>
      </c>
      <c r="J197">
        <v>30006</v>
      </c>
      <c r="K197">
        <v>80006</v>
      </c>
      <c r="L197">
        <v>97</v>
      </c>
      <c r="M197">
        <v>20002</v>
      </c>
      <c r="N197">
        <v>60000</v>
      </c>
      <c r="O197">
        <v>99</v>
      </c>
      <c r="P197">
        <v>20000</v>
      </c>
      <c r="Q197">
        <v>40003</v>
      </c>
      <c r="R197">
        <v>70000</v>
      </c>
      <c r="S197">
        <v>60016</v>
      </c>
      <c r="T197">
        <v>-1</v>
      </c>
      <c r="U197" s="2">
        <v>0.01</v>
      </c>
      <c r="V197" s="2">
        <v>0.03</v>
      </c>
      <c r="W197" s="2">
        <v>0.03</v>
      </c>
      <c r="X197" s="2">
        <v>0.03</v>
      </c>
      <c r="Y197" s="2">
        <v>0.03</v>
      </c>
      <c r="Z197" s="2">
        <v>0.05</v>
      </c>
      <c r="AA197" s="2">
        <v>0.05</v>
      </c>
      <c r="AB197" s="2">
        <v>0.05</v>
      </c>
      <c r="AC197" s="2">
        <v>0.05</v>
      </c>
      <c r="AD197" s="2">
        <v>0.05</v>
      </c>
      <c r="AE197" s="2">
        <v>-1</v>
      </c>
      <c r="AF197">
        <f t="shared" si="11"/>
        <v>1</v>
      </c>
      <c r="AG197">
        <f t="shared" si="12"/>
        <v>1</v>
      </c>
      <c r="AH197">
        <f t="shared" si="13"/>
        <v>1</v>
      </c>
      <c r="AI197">
        <f t="shared" si="14"/>
        <v>1</v>
      </c>
      <c r="AJ197">
        <f t="shared" si="15"/>
        <v>1</v>
      </c>
      <c r="AK197">
        <f t="shared" si="16"/>
        <v>1</v>
      </c>
      <c r="AL197">
        <f t="shared" si="17"/>
        <v>1</v>
      </c>
      <c r="AM197">
        <f t="shared" si="18"/>
        <v>1</v>
      </c>
      <c r="AN197">
        <f t="shared" si="19"/>
        <v>1</v>
      </c>
      <c r="AO197">
        <f t="shared" si="20"/>
        <v>1</v>
      </c>
      <c r="AP197">
        <f t="shared" si="21"/>
        <v>-1</v>
      </c>
      <c r="AQ197">
        <v>0</v>
      </c>
      <c r="AR197" t="s">
        <v>2</v>
      </c>
      <c r="AS197">
        <v>-1</v>
      </c>
      <c r="AT197">
        <v>-1</v>
      </c>
      <c r="AU197">
        <v>-1</v>
      </c>
      <c r="AV197">
        <v>-1</v>
      </c>
      <c r="AW197">
        <v>-1</v>
      </c>
      <c r="AX197">
        <v>-1</v>
      </c>
      <c r="AY197">
        <v>-1</v>
      </c>
      <c r="AZ197">
        <v>-1</v>
      </c>
      <c r="BA197">
        <v>-1</v>
      </c>
      <c r="BB197">
        <v>0</v>
      </c>
      <c r="BC197" t="s">
        <v>2</v>
      </c>
      <c r="BD197">
        <v>-1</v>
      </c>
      <c r="BE197">
        <v>-1</v>
      </c>
      <c r="BF197">
        <v>-1</v>
      </c>
      <c r="BG197">
        <v>-1</v>
      </c>
      <c r="BH197">
        <v>-1</v>
      </c>
      <c r="BI197">
        <v>-1</v>
      </c>
      <c r="BJ197">
        <v>-1</v>
      </c>
      <c r="BK197">
        <v>-1</v>
      </c>
      <c r="BL197">
        <v>-1</v>
      </c>
      <c r="BM197">
        <v>-1</v>
      </c>
      <c r="BN197">
        <v>-1</v>
      </c>
      <c r="BO197">
        <v>-1</v>
      </c>
    </row>
    <row r="198" spans="1:67" x14ac:dyDescent="0.25">
      <c r="A198">
        <v>195</v>
      </c>
      <c r="B198">
        <v>80014</v>
      </c>
      <c r="C198" t="str">
        <f>VLOOKUP(B198,[1]resources!$A$2:$D$300,3,FALSE)</f>
        <v>!!FOOD_BAKED_SHELDONSSTRAWBERRYSHORTCAKE</v>
      </c>
      <c r="D198">
        <v>10</v>
      </c>
      <c r="E198" t="str">
        <f>VLOOKUP(D198,[1]bonus_paytable!$A$2:$D$300,3,FALSE)</f>
        <v>bottomite_orange_male_dingus_2</v>
      </c>
      <c r="F198">
        <v>-1</v>
      </c>
      <c r="G198">
        <v>-1</v>
      </c>
      <c r="H198">
        <v>1</v>
      </c>
      <c r="I198" t="s">
        <v>1</v>
      </c>
      <c r="J198">
        <v>30006</v>
      </c>
      <c r="K198">
        <v>80006</v>
      </c>
      <c r="L198">
        <v>97</v>
      </c>
      <c r="M198">
        <v>20002</v>
      </c>
      <c r="N198">
        <v>60000</v>
      </c>
      <c r="O198">
        <v>99</v>
      </c>
      <c r="P198">
        <v>20000</v>
      </c>
      <c r="Q198">
        <v>40003</v>
      </c>
      <c r="R198">
        <v>70000</v>
      </c>
      <c r="S198">
        <v>60016</v>
      </c>
      <c r="T198">
        <v>-1</v>
      </c>
      <c r="U198" s="2">
        <v>0.01</v>
      </c>
      <c r="V198" s="2">
        <v>0.03</v>
      </c>
      <c r="W198" s="2">
        <v>0.03</v>
      </c>
      <c r="X198" s="2">
        <v>0.03</v>
      </c>
      <c r="Y198" s="2">
        <v>0.03</v>
      </c>
      <c r="Z198" s="2">
        <v>0.05</v>
      </c>
      <c r="AA198" s="2">
        <v>0.05</v>
      </c>
      <c r="AB198" s="2">
        <v>0.05</v>
      </c>
      <c r="AC198" s="2">
        <v>0.05</v>
      </c>
      <c r="AD198" s="2">
        <v>0.05</v>
      </c>
      <c r="AE198" s="2">
        <v>-1</v>
      </c>
      <c r="AF198">
        <f t="shared" si="11"/>
        <v>1</v>
      </c>
      <c r="AG198">
        <f t="shared" si="12"/>
        <v>1</v>
      </c>
      <c r="AH198">
        <f t="shared" si="13"/>
        <v>1</v>
      </c>
      <c r="AI198">
        <f t="shared" si="14"/>
        <v>1</v>
      </c>
      <c r="AJ198">
        <f t="shared" si="15"/>
        <v>1</v>
      </c>
      <c r="AK198">
        <f t="shared" si="16"/>
        <v>1</v>
      </c>
      <c r="AL198">
        <f t="shared" si="17"/>
        <v>1</v>
      </c>
      <c r="AM198">
        <f t="shared" si="18"/>
        <v>1</v>
      </c>
      <c r="AN198">
        <f t="shared" si="19"/>
        <v>1</v>
      </c>
      <c r="AO198">
        <f t="shared" si="20"/>
        <v>1</v>
      </c>
      <c r="AP198">
        <f t="shared" si="21"/>
        <v>-1</v>
      </c>
      <c r="AQ198">
        <v>0</v>
      </c>
      <c r="AR198" t="s">
        <v>2</v>
      </c>
      <c r="AS198">
        <v>-1</v>
      </c>
      <c r="AT198">
        <v>-1</v>
      </c>
      <c r="AU198">
        <v>-1</v>
      </c>
      <c r="AV198">
        <v>-1</v>
      </c>
      <c r="AW198">
        <v>-1</v>
      </c>
      <c r="AX198">
        <v>-1</v>
      </c>
      <c r="AY198">
        <v>-1</v>
      </c>
      <c r="AZ198">
        <v>-1</v>
      </c>
      <c r="BA198">
        <v>-1</v>
      </c>
      <c r="BB198">
        <v>0</v>
      </c>
      <c r="BC198" t="s">
        <v>2</v>
      </c>
      <c r="BD198">
        <v>-1</v>
      </c>
      <c r="BE198">
        <v>-1</v>
      </c>
      <c r="BF198">
        <v>-1</v>
      </c>
      <c r="BG198">
        <v>-1</v>
      </c>
      <c r="BH198">
        <v>-1</v>
      </c>
      <c r="BI198">
        <v>-1</v>
      </c>
      <c r="BJ198">
        <v>-1</v>
      </c>
      <c r="BK198">
        <v>-1</v>
      </c>
      <c r="BL198">
        <v>-1</v>
      </c>
      <c r="BM198">
        <v>-1</v>
      </c>
      <c r="BN198">
        <v>-1</v>
      </c>
      <c r="BO198">
        <v>-1</v>
      </c>
    </row>
    <row r="199" spans="1:67" x14ac:dyDescent="0.25">
      <c r="A199">
        <v>196</v>
      </c>
      <c r="B199">
        <v>80004</v>
      </c>
      <c r="C199" t="str">
        <f>VLOOKUP(B199,[1]resources!$A$2:$D$300,3,FALSE)</f>
        <v>!!FOOD_BAKED_DUTCHMANSDUTCHAPPLEPIE</v>
      </c>
      <c r="D199">
        <v>10</v>
      </c>
      <c r="E199" t="str">
        <f>VLOOKUP(D199,[1]bonus_paytable!$A$2:$D$300,3,FALSE)</f>
        <v>bottomite_orange_male_dingus_2</v>
      </c>
      <c r="F199">
        <v>-1</v>
      </c>
      <c r="G199">
        <v>-1</v>
      </c>
      <c r="H199">
        <v>1</v>
      </c>
      <c r="I199" t="s">
        <v>1</v>
      </c>
      <c r="J199">
        <v>30006</v>
      </c>
      <c r="K199">
        <v>80006</v>
      </c>
      <c r="L199">
        <v>97</v>
      </c>
      <c r="M199">
        <v>20002</v>
      </c>
      <c r="N199">
        <v>60000</v>
      </c>
      <c r="O199">
        <v>99</v>
      </c>
      <c r="P199">
        <v>20000</v>
      </c>
      <c r="Q199">
        <v>40003</v>
      </c>
      <c r="R199">
        <v>70000</v>
      </c>
      <c r="S199">
        <v>60016</v>
      </c>
      <c r="T199">
        <v>-1</v>
      </c>
      <c r="U199" s="2">
        <v>0.01</v>
      </c>
      <c r="V199" s="2">
        <v>0.03</v>
      </c>
      <c r="W199" s="2">
        <v>0.03</v>
      </c>
      <c r="X199" s="2">
        <v>0.03</v>
      </c>
      <c r="Y199" s="2">
        <v>0.03</v>
      </c>
      <c r="Z199" s="2">
        <v>0.05</v>
      </c>
      <c r="AA199" s="2">
        <v>0.05</v>
      </c>
      <c r="AB199" s="2">
        <v>0.05</v>
      </c>
      <c r="AC199" s="2">
        <v>0.05</v>
      </c>
      <c r="AD199" s="2">
        <v>0.05</v>
      </c>
      <c r="AE199" s="2">
        <v>-1</v>
      </c>
      <c r="AF199">
        <f t="shared" si="11"/>
        <v>1</v>
      </c>
      <c r="AG199">
        <f t="shared" si="12"/>
        <v>1</v>
      </c>
      <c r="AH199">
        <f t="shared" si="13"/>
        <v>1</v>
      </c>
      <c r="AI199">
        <f t="shared" si="14"/>
        <v>1</v>
      </c>
      <c r="AJ199">
        <f t="shared" si="15"/>
        <v>1</v>
      </c>
      <c r="AK199">
        <f t="shared" si="16"/>
        <v>1</v>
      </c>
      <c r="AL199">
        <f t="shared" si="17"/>
        <v>1</v>
      </c>
      <c r="AM199">
        <f t="shared" si="18"/>
        <v>1</v>
      </c>
      <c r="AN199">
        <f t="shared" si="19"/>
        <v>1</v>
      </c>
      <c r="AO199">
        <f t="shared" si="20"/>
        <v>1</v>
      </c>
      <c r="AP199">
        <f t="shared" si="21"/>
        <v>-1</v>
      </c>
      <c r="AQ199">
        <v>0</v>
      </c>
      <c r="AR199" t="s">
        <v>2</v>
      </c>
      <c r="AS199">
        <v>-1</v>
      </c>
      <c r="AT199">
        <v>-1</v>
      </c>
      <c r="AU199">
        <v>-1</v>
      </c>
      <c r="AV199">
        <v>-1</v>
      </c>
      <c r="AW199">
        <v>-1</v>
      </c>
      <c r="AX199">
        <v>-1</v>
      </c>
      <c r="AY199">
        <v>-1</v>
      </c>
      <c r="AZ199">
        <v>-1</v>
      </c>
      <c r="BA199">
        <v>-1</v>
      </c>
      <c r="BB199">
        <v>0</v>
      </c>
      <c r="BC199" t="s">
        <v>2</v>
      </c>
      <c r="BD199">
        <v>-1</v>
      </c>
      <c r="BE199">
        <v>-1</v>
      </c>
      <c r="BF199">
        <v>-1</v>
      </c>
      <c r="BG199">
        <v>-1</v>
      </c>
      <c r="BH199">
        <v>-1</v>
      </c>
      <c r="BI199">
        <v>-1</v>
      </c>
      <c r="BJ199">
        <v>-1</v>
      </c>
      <c r="BK199">
        <v>-1</v>
      </c>
      <c r="BL199">
        <v>-1</v>
      </c>
      <c r="BM199">
        <v>-1</v>
      </c>
      <c r="BN199">
        <v>-1</v>
      </c>
      <c r="BO199">
        <v>-1</v>
      </c>
    </row>
    <row r="200" spans="1:67" x14ac:dyDescent="0.25">
      <c r="A200">
        <v>197</v>
      </c>
      <c r="B200">
        <v>31</v>
      </c>
      <c r="C200" t="str">
        <f>VLOOKUP(B200,[1]resources!$A$2:$D$300,3,FALSE)</f>
        <v>!!FOOD_CAESAR_SALAD</v>
      </c>
      <c r="D200">
        <v>11</v>
      </c>
      <c r="E200" t="str">
        <f>VLOOKUP(D200,[1]bonus_paytable!$A$2:$D$300,3,FALSE)</f>
        <v>genescallops</v>
      </c>
      <c r="F200">
        <v>-1</v>
      </c>
      <c r="G200">
        <v>-1</v>
      </c>
      <c r="H200">
        <v>1</v>
      </c>
      <c r="I200" t="s">
        <v>1</v>
      </c>
      <c r="J200">
        <v>18</v>
      </c>
      <c r="K200">
        <v>80015</v>
      </c>
      <c r="L200">
        <v>32</v>
      </c>
      <c r="M200">
        <v>30003</v>
      </c>
      <c r="N200">
        <v>2002</v>
      </c>
      <c r="O200">
        <v>30007</v>
      </c>
      <c r="P200">
        <v>40000</v>
      </c>
      <c r="Q200">
        <v>50004</v>
      </c>
      <c r="R200">
        <v>60001</v>
      </c>
      <c r="S200">
        <v>-1</v>
      </c>
      <c r="T200">
        <v>-1</v>
      </c>
      <c r="U200" s="2">
        <v>0.01</v>
      </c>
      <c r="V200" s="2">
        <v>0.03</v>
      </c>
      <c r="W200" s="2">
        <v>0.03</v>
      </c>
      <c r="X200" s="2">
        <v>0.03</v>
      </c>
      <c r="Y200" s="2">
        <v>0.05</v>
      </c>
      <c r="Z200" s="2">
        <v>0.05</v>
      </c>
      <c r="AA200" s="2">
        <v>0.05</v>
      </c>
      <c r="AB200" s="2">
        <v>0.05</v>
      </c>
      <c r="AC200" s="2">
        <v>0.05</v>
      </c>
      <c r="AD200" s="2">
        <v>-1</v>
      </c>
      <c r="AE200" s="2">
        <v>-1</v>
      </c>
      <c r="AF200">
        <f t="shared" si="11"/>
        <v>1</v>
      </c>
      <c r="AG200">
        <f t="shared" si="12"/>
        <v>1</v>
      </c>
      <c r="AH200">
        <f t="shared" si="13"/>
        <v>1</v>
      </c>
      <c r="AI200">
        <f t="shared" si="14"/>
        <v>1</v>
      </c>
      <c r="AJ200">
        <f t="shared" si="15"/>
        <v>1</v>
      </c>
      <c r="AK200">
        <f t="shared" si="16"/>
        <v>1</v>
      </c>
      <c r="AL200">
        <f t="shared" si="17"/>
        <v>1</v>
      </c>
      <c r="AM200">
        <f t="shared" si="18"/>
        <v>1</v>
      </c>
      <c r="AN200">
        <f t="shared" si="19"/>
        <v>1</v>
      </c>
      <c r="AO200">
        <f t="shared" si="20"/>
        <v>-1</v>
      </c>
      <c r="AP200">
        <f t="shared" si="21"/>
        <v>-1</v>
      </c>
      <c r="AQ200">
        <v>0</v>
      </c>
      <c r="AR200" t="s">
        <v>2</v>
      </c>
      <c r="AS200">
        <v>-1</v>
      </c>
      <c r="AT200">
        <v>-1</v>
      </c>
      <c r="AU200">
        <v>-1</v>
      </c>
      <c r="AV200">
        <v>-1</v>
      </c>
      <c r="AW200">
        <v>-1</v>
      </c>
      <c r="AX200">
        <v>-1</v>
      </c>
      <c r="AY200">
        <v>-1</v>
      </c>
      <c r="AZ200">
        <v>-1</v>
      </c>
      <c r="BA200">
        <v>-1</v>
      </c>
      <c r="BB200">
        <v>0</v>
      </c>
      <c r="BC200" t="s">
        <v>2</v>
      </c>
      <c r="BD200">
        <v>-1</v>
      </c>
      <c r="BE200">
        <v>-1</v>
      </c>
      <c r="BF200">
        <v>-1</v>
      </c>
      <c r="BG200">
        <v>-1</v>
      </c>
      <c r="BH200">
        <v>-1</v>
      </c>
      <c r="BI200">
        <v>-1</v>
      </c>
      <c r="BJ200">
        <v>-1</v>
      </c>
      <c r="BK200">
        <v>-1</v>
      </c>
      <c r="BL200">
        <v>-1</v>
      </c>
      <c r="BM200">
        <v>-1</v>
      </c>
      <c r="BN200">
        <v>-1</v>
      </c>
      <c r="BO200">
        <v>-1</v>
      </c>
    </row>
    <row r="201" spans="1:67" x14ac:dyDescent="0.25">
      <c r="A201">
        <v>198</v>
      </c>
      <c r="B201">
        <v>27</v>
      </c>
      <c r="C201" t="str">
        <f>VLOOKUP(B201,[1]resources!$A$2:$D$300,3,FALSE)</f>
        <v>!!FOOD_BRUSCHETTA</v>
      </c>
      <c r="D201">
        <v>11</v>
      </c>
      <c r="E201" t="str">
        <f>VLOOKUP(D201,[1]bonus_paytable!$A$2:$D$300,3,FALSE)</f>
        <v>genescallops</v>
      </c>
      <c r="F201">
        <v>-1</v>
      </c>
      <c r="G201">
        <v>-1</v>
      </c>
      <c r="H201">
        <v>1</v>
      </c>
      <c r="I201" t="s">
        <v>1</v>
      </c>
      <c r="J201">
        <v>18</v>
      </c>
      <c r="K201">
        <v>80015</v>
      </c>
      <c r="L201">
        <v>32</v>
      </c>
      <c r="M201">
        <v>30003</v>
      </c>
      <c r="N201">
        <v>2002</v>
      </c>
      <c r="O201">
        <v>30007</v>
      </c>
      <c r="P201">
        <v>40000</v>
      </c>
      <c r="Q201">
        <v>50004</v>
      </c>
      <c r="R201">
        <v>60001</v>
      </c>
      <c r="S201">
        <v>-1</v>
      </c>
      <c r="T201">
        <v>-1</v>
      </c>
      <c r="U201" s="2">
        <v>0.01</v>
      </c>
      <c r="V201" s="2">
        <v>0.03</v>
      </c>
      <c r="W201" s="2">
        <v>0.03</v>
      </c>
      <c r="X201" s="2">
        <v>0.03</v>
      </c>
      <c r="Y201" s="2">
        <v>0.05</v>
      </c>
      <c r="Z201" s="2">
        <v>0.05</v>
      </c>
      <c r="AA201" s="2">
        <v>0.05</v>
      </c>
      <c r="AB201" s="2">
        <v>0.05</v>
      </c>
      <c r="AC201" s="2">
        <v>0.05</v>
      </c>
      <c r="AD201" s="2">
        <v>-1</v>
      </c>
      <c r="AE201" s="2">
        <v>-1</v>
      </c>
      <c r="AF201">
        <f t="shared" si="11"/>
        <v>1</v>
      </c>
      <c r="AG201">
        <f t="shared" si="12"/>
        <v>1</v>
      </c>
      <c r="AH201">
        <f t="shared" si="13"/>
        <v>1</v>
      </c>
      <c r="AI201">
        <f t="shared" si="14"/>
        <v>1</v>
      </c>
      <c r="AJ201">
        <f t="shared" si="15"/>
        <v>1</v>
      </c>
      <c r="AK201">
        <f t="shared" si="16"/>
        <v>1</v>
      </c>
      <c r="AL201">
        <f t="shared" si="17"/>
        <v>1</v>
      </c>
      <c r="AM201">
        <f t="shared" si="18"/>
        <v>1</v>
      </c>
      <c r="AN201">
        <f t="shared" si="19"/>
        <v>1</v>
      </c>
      <c r="AO201">
        <f t="shared" si="20"/>
        <v>-1</v>
      </c>
      <c r="AP201">
        <f t="shared" si="21"/>
        <v>-1</v>
      </c>
      <c r="AQ201">
        <v>0</v>
      </c>
      <c r="AR201" t="s">
        <v>2</v>
      </c>
      <c r="AS201">
        <v>-1</v>
      </c>
      <c r="AT201">
        <v>-1</v>
      </c>
      <c r="AU201">
        <v>-1</v>
      </c>
      <c r="AV201">
        <v>-1</v>
      </c>
      <c r="AW201">
        <v>-1</v>
      </c>
      <c r="AX201">
        <v>-1</v>
      </c>
      <c r="AY201">
        <v>-1</v>
      </c>
      <c r="AZ201">
        <v>-1</v>
      </c>
      <c r="BA201">
        <v>-1</v>
      </c>
      <c r="BB201">
        <v>0</v>
      </c>
      <c r="BC201" t="s">
        <v>2</v>
      </c>
      <c r="BD201">
        <v>-1</v>
      </c>
      <c r="BE201">
        <v>-1</v>
      </c>
      <c r="BF201">
        <v>-1</v>
      </c>
      <c r="BG201">
        <v>-1</v>
      </c>
      <c r="BH201">
        <v>-1</v>
      </c>
      <c r="BI201">
        <v>-1</v>
      </c>
      <c r="BJ201">
        <v>-1</v>
      </c>
      <c r="BK201">
        <v>-1</v>
      </c>
      <c r="BL201">
        <v>-1</v>
      </c>
      <c r="BM201">
        <v>-1</v>
      </c>
      <c r="BN201">
        <v>-1</v>
      </c>
      <c r="BO201">
        <v>-1</v>
      </c>
    </row>
    <row r="202" spans="1:67" x14ac:dyDescent="0.25">
      <c r="A202">
        <v>199</v>
      </c>
      <c r="B202">
        <v>41</v>
      </c>
      <c r="C202" t="str">
        <f>VLOOKUP(B202,[1]resources!$A$2:$D$300,3,FALSE)</f>
        <v>!!FOOD_GARLICBREAD</v>
      </c>
      <c r="D202">
        <v>11</v>
      </c>
      <c r="E202" t="str">
        <f>VLOOKUP(D202,[1]bonus_paytable!$A$2:$D$300,3,FALSE)</f>
        <v>genescallops</v>
      </c>
      <c r="F202">
        <v>-1</v>
      </c>
      <c r="G202">
        <v>-1</v>
      </c>
      <c r="H202">
        <v>1</v>
      </c>
      <c r="I202" t="s">
        <v>1</v>
      </c>
      <c r="J202">
        <v>18</v>
      </c>
      <c r="K202">
        <v>80015</v>
      </c>
      <c r="L202">
        <v>32</v>
      </c>
      <c r="M202">
        <v>30003</v>
      </c>
      <c r="N202">
        <v>2002</v>
      </c>
      <c r="O202">
        <v>30007</v>
      </c>
      <c r="P202">
        <v>40000</v>
      </c>
      <c r="Q202">
        <v>50004</v>
      </c>
      <c r="R202">
        <v>60001</v>
      </c>
      <c r="S202">
        <v>-1</v>
      </c>
      <c r="T202">
        <v>-1</v>
      </c>
      <c r="U202" s="2">
        <v>0.01</v>
      </c>
      <c r="V202" s="2">
        <v>0.03</v>
      </c>
      <c r="W202" s="2">
        <v>0.03</v>
      </c>
      <c r="X202" s="2">
        <v>0.03</v>
      </c>
      <c r="Y202" s="2">
        <v>0.05</v>
      </c>
      <c r="Z202" s="2">
        <v>0.05</v>
      </c>
      <c r="AA202" s="2">
        <v>0.05</v>
      </c>
      <c r="AB202" s="2">
        <v>0.05</v>
      </c>
      <c r="AC202" s="2">
        <v>0.05</v>
      </c>
      <c r="AD202" s="2">
        <v>-1</v>
      </c>
      <c r="AE202" s="2">
        <v>-1</v>
      </c>
      <c r="AF202">
        <f t="shared" si="11"/>
        <v>1</v>
      </c>
      <c r="AG202">
        <f t="shared" si="12"/>
        <v>1</v>
      </c>
      <c r="AH202">
        <f t="shared" si="13"/>
        <v>1</v>
      </c>
      <c r="AI202">
        <f t="shared" si="14"/>
        <v>1</v>
      </c>
      <c r="AJ202">
        <f t="shared" si="15"/>
        <v>1</v>
      </c>
      <c r="AK202">
        <f t="shared" si="16"/>
        <v>1</v>
      </c>
      <c r="AL202">
        <f t="shared" si="17"/>
        <v>1</v>
      </c>
      <c r="AM202">
        <f t="shared" si="18"/>
        <v>1</v>
      </c>
      <c r="AN202">
        <f t="shared" si="19"/>
        <v>1</v>
      </c>
      <c r="AO202">
        <f t="shared" si="20"/>
        <v>-1</v>
      </c>
      <c r="AP202">
        <f t="shared" si="21"/>
        <v>-1</v>
      </c>
      <c r="AQ202">
        <v>0</v>
      </c>
      <c r="AR202" t="s">
        <v>2</v>
      </c>
      <c r="AS202">
        <v>-1</v>
      </c>
      <c r="AT202">
        <v>-1</v>
      </c>
      <c r="AU202">
        <v>-1</v>
      </c>
      <c r="AV202">
        <v>-1</v>
      </c>
      <c r="AW202">
        <v>-1</v>
      </c>
      <c r="AX202">
        <v>-1</v>
      </c>
      <c r="AY202">
        <v>-1</v>
      </c>
      <c r="AZ202">
        <v>-1</v>
      </c>
      <c r="BA202">
        <v>-1</v>
      </c>
      <c r="BB202">
        <v>0</v>
      </c>
      <c r="BC202" t="s">
        <v>2</v>
      </c>
      <c r="BD202">
        <v>-1</v>
      </c>
      <c r="BE202">
        <v>-1</v>
      </c>
      <c r="BF202">
        <v>-1</v>
      </c>
      <c r="BG202">
        <v>-1</v>
      </c>
      <c r="BH202">
        <v>-1</v>
      </c>
      <c r="BI202">
        <v>-1</v>
      </c>
      <c r="BJ202">
        <v>-1</v>
      </c>
      <c r="BK202">
        <v>-1</v>
      </c>
      <c r="BL202">
        <v>-1</v>
      </c>
      <c r="BM202">
        <v>-1</v>
      </c>
      <c r="BN202">
        <v>-1</v>
      </c>
      <c r="BO202">
        <v>-1</v>
      </c>
    </row>
    <row r="203" spans="1:67" x14ac:dyDescent="0.25">
      <c r="A203">
        <v>200</v>
      </c>
      <c r="B203">
        <v>20001</v>
      </c>
      <c r="C203" t="str">
        <f>VLOOKUP(B203,[1]resources!$A$2:$D$300,3,FALSE)</f>
        <v>!!JUICE_LEMONADE</v>
      </c>
      <c r="D203">
        <v>11</v>
      </c>
      <c r="E203" t="str">
        <f>VLOOKUP(D203,[1]bonus_paytable!$A$2:$D$300,3,FALSE)</f>
        <v>genescallops</v>
      </c>
      <c r="F203">
        <v>-1</v>
      </c>
      <c r="G203">
        <v>-1</v>
      </c>
      <c r="H203">
        <v>1</v>
      </c>
      <c r="I203" t="s">
        <v>1</v>
      </c>
      <c r="J203">
        <v>18</v>
      </c>
      <c r="K203">
        <v>80015</v>
      </c>
      <c r="L203">
        <v>32</v>
      </c>
      <c r="M203">
        <v>30003</v>
      </c>
      <c r="N203">
        <v>2002</v>
      </c>
      <c r="O203">
        <v>30007</v>
      </c>
      <c r="P203">
        <v>40000</v>
      </c>
      <c r="Q203">
        <v>50004</v>
      </c>
      <c r="R203">
        <v>60001</v>
      </c>
      <c r="S203">
        <v>-1</v>
      </c>
      <c r="T203">
        <v>-1</v>
      </c>
      <c r="U203" s="2">
        <v>0.01</v>
      </c>
      <c r="V203" s="2">
        <v>0.03</v>
      </c>
      <c r="W203" s="2">
        <v>0.03</v>
      </c>
      <c r="X203" s="2">
        <v>0.03</v>
      </c>
      <c r="Y203" s="2">
        <v>0.05</v>
      </c>
      <c r="Z203" s="2">
        <v>0.05</v>
      </c>
      <c r="AA203" s="2">
        <v>0.05</v>
      </c>
      <c r="AB203" s="2">
        <v>0.05</v>
      </c>
      <c r="AC203" s="2">
        <v>0.05</v>
      </c>
      <c r="AD203" s="2">
        <v>-1</v>
      </c>
      <c r="AE203" s="2">
        <v>-1</v>
      </c>
      <c r="AF203">
        <f t="shared" si="11"/>
        <v>1</v>
      </c>
      <c r="AG203">
        <f t="shared" si="12"/>
        <v>1</v>
      </c>
      <c r="AH203">
        <f t="shared" si="13"/>
        <v>1</v>
      </c>
      <c r="AI203">
        <f t="shared" si="14"/>
        <v>1</v>
      </c>
      <c r="AJ203">
        <f t="shared" si="15"/>
        <v>1</v>
      </c>
      <c r="AK203">
        <f t="shared" si="16"/>
        <v>1</v>
      </c>
      <c r="AL203">
        <f t="shared" si="17"/>
        <v>1</v>
      </c>
      <c r="AM203">
        <f t="shared" si="18"/>
        <v>1</v>
      </c>
      <c r="AN203">
        <f t="shared" si="19"/>
        <v>1</v>
      </c>
      <c r="AO203">
        <f t="shared" si="20"/>
        <v>-1</v>
      </c>
      <c r="AP203">
        <f t="shared" si="21"/>
        <v>-1</v>
      </c>
      <c r="AQ203">
        <v>0</v>
      </c>
      <c r="AR203" t="s">
        <v>2</v>
      </c>
      <c r="AS203">
        <v>-1</v>
      </c>
      <c r="AT203">
        <v>-1</v>
      </c>
      <c r="AU203">
        <v>-1</v>
      </c>
      <c r="AV203">
        <v>-1</v>
      </c>
      <c r="AW203">
        <v>-1</v>
      </c>
      <c r="AX203">
        <v>-1</v>
      </c>
      <c r="AY203">
        <v>-1</v>
      </c>
      <c r="AZ203">
        <v>-1</v>
      </c>
      <c r="BA203">
        <v>-1</v>
      </c>
      <c r="BB203">
        <v>0</v>
      </c>
      <c r="BC203" t="s">
        <v>2</v>
      </c>
      <c r="BD203">
        <v>-1</v>
      </c>
      <c r="BE203">
        <v>-1</v>
      </c>
      <c r="BF203">
        <v>-1</v>
      </c>
      <c r="BG203">
        <v>-1</v>
      </c>
      <c r="BH203">
        <v>-1</v>
      </c>
      <c r="BI203">
        <v>-1</v>
      </c>
      <c r="BJ203">
        <v>-1</v>
      </c>
      <c r="BK203">
        <v>-1</v>
      </c>
      <c r="BL203">
        <v>-1</v>
      </c>
      <c r="BM203">
        <v>-1</v>
      </c>
      <c r="BN203">
        <v>-1</v>
      </c>
      <c r="BO203">
        <v>-1</v>
      </c>
    </row>
    <row r="204" spans="1:67" x14ac:dyDescent="0.25">
      <c r="A204">
        <v>201</v>
      </c>
      <c r="B204">
        <v>30008</v>
      </c>
      <c r="C204" t="str">
        <f>VLOOKUP(B204,[1]resources!$A$2:$D$300,3,FALSE)</f>
        <v>!!SMOOTHIE_ORANGE_NUT</v>
      </c>
      <c r="D204">
        <v>11</v>
      </c>
      <c r="E204" t="str">
        <f>VLOOKUP(D204,[1]bonus_paytable!$A$2:$D$300,3,FALSE)</f>
        <v>genescallops</v>
      </c>
      <c r="F204">
        <v>-1</v>
      </c>
      <c r="G204">
        <v>-1</v>
      </c>
      <c r="H204">
        <v>1</v>
      </c>
      <c r="I204" t="s">
        <v>1</v>
      </c>
      <c r="J204">
        <v>18</v>
      </c>
      <c r="K204">
        <v>80015</v>
      </c>
      <c r="L204">
        <v>32</v>
      </c>
      <c r="M204">
        <v>30003</v>
      </c>
      <c r="N204">
        <v>2002</v>
      </c>
      <c r="O204">
        <v>30007</v>
      </c>
      <c r="P204">
        <v>40000</v>
      </c>
      <c r="Q204">
        <v>50004</v>
      </c>
      <c r="R204">
        <v>60001</v>
      </c>
      <c r="S204">
        <v>-1</v>
      </c>
      <c r="T204">
        <v>-1</v>
      </c>
      <c r="U204" s="2">
        <v>0.01</v>
      </c>
      <c r="V204" s="2">
        <v>0.03</v>
      </c>
      <c r="W204" s="2">
        <v>0.03</v>
      </c>
      <c r="X204" s="2">
        <v>0.03</v>
      </c>
      <c r="Y204" s="2">
        <v>0.05</v>
      </c>
      <c r="Z204" s="2">
        <v>0.05</v>
      </c>
      <c r="AA204" s="2">
        <v>0.05</v>
      </c>
      <c r="AB204" s="2">
        <v>0.05</v>
      </c>
      <c r="AC204" s="2">
        <v>0.05</v>
      </c>
      <c r="AD204" s="2">
        <v>-1</v>
      </c>
      <c r="AE204" s="2">
        <v>-1</v>
      </c>
      <c r="AF204">
        <f t="shared" si="11"/>
        <v>1</v>
      </c>
      <c r="AG204">
        <f t="shared" si="12"/>
        <v>1</v>
      </c>
      <c r="AH204">
        <f t="shared" si="13"/>
        <v>1</v>
      </c>
      <c r="AI204">
        <f t="shared" si="14"/>
        <v>1</v>
      </c>
      <c r="AJ204">
        <f t="shared" si="15"/>
        <v>1</v>
      </c>
      <c r="AK204">
        <f t="shared" si="16"/>
        <v>1</v>
      </c>
      <c r="AL204">
        <f t="shared" si="17"/>
        <v>1</v>
      </c>
      <c r="AM204">
        <f t="shared" si="18"/>
        <v>1</v>
      </c>
      <c r="AN204">
        <f t="shared" si="19"/>
        <v>1</v>
      </c>
      <c r="AO204">
        <f t="shared" si="20"/>
        <v>-1</v>
      </c>
      <c r="AP204">
        <f t="shared" si="21"/>
        <v>-1</v>
      </c>
      <c r="AQ204">
        <v>0</v>
      </c>
      <c r="AR204" t="s">
        <v>2</v>
      </c>
      <c r="AS204">
        <v>-1</v>
      </c>
      <c r="AT204">
        <v>-1</v>
      </c>
      <c r="AU204">
        <v>-1</v>
      </c>
      <c r="AV204">
        <v>-1</v>
      </c>
      <c r="AW204">
        <v>-1</v>
      </c>
      <c r="AX204">
        <v>-1</v>
      </c>
      <c r="AY204">
        <v>-1</v>
      </c>
      <c r="AZ204">
        <v>-1</v>
      </c>
      <c r="BA204">
        <v>-1</v>
      </c>
      <c r="BB204">
        <v>0</v>
      </c>
      <c r="BC204" t="s">
        <v>2</v>
      </c>
      <c r="BD204">
        <v>-1</v>
      </c>
      <c r="BE204">
        <v>-1</v>
      </c>
      <c r="BF204">
        <v>-1</v>
      </c>
      <c r="BG204">
        <v>-1</v>
      </c>
      <c r="BH204">
        <v>-1</v>
      </c>
      <c r="BI204">
        <v>-1</v>
      </c>
      <c r="BJ204">
        <v>-1</v>
      </c>
      <c r="BK204">
        <v>-1</v>
      </c>
      <c r="BL204">
        <v>-1</v>
      </c>
      <c r="BM204">
        <v>-1</v>
      </c>
      <c r="BN204">
        <v>-1</v>
      </c>
      <c r="BO204">
        <v>-1</v>
      </c>
    </row>
    <row r="205" spans="1:67" x14ac:dyDescent="0.25">
      <c r="A205">
        <v>202</v>
      </c>
      <c r="B205">
        <v>50006</v>
      </c>
      <c r="C205" t="str">
        <f>VLOOKUP(B205,[1]resources!$A$2:$D$300,3,FALSE)</f>
        <v>!!SHAKE_TARTBERRY_TWIST</v>
      </c>
      <c r="D205">
        <v>11</v>
      </c>
      <c r="E205" t="str">
        <f>VLOOKUP(D205,[1]bonus_paytable!$A$2:$D$300,3,FALSE)</f>
        <v>genescallops</v>
      </c>
      <c r="F205">
        <v>-1</v>
      </c>
      <c r="G205">
        <v>-1</v>
      </c>
      <c r="H205">
        <v>1</v>
      </c>
      <c r="I205" t="s">
        <v>1</v>
      </c>
      <c r="J205">
        <v>18</v>
      </c>
      <c r="K205">
        <v>80015</v>
      </c>
      <c r="L205">
        <v>32</v>
      </c>
      <c r="M205">
        <v>30003</v>
      </c>
      <c r="N205">
        <v>2002</v>
      </c>
      <c r="O205">
        <v>30007</v>
      </c>
      <c r="P205">
        <v>40000</v>
      </c>
      <c r="Q205">
        <v>50004</v>
      </c>
      <c r="R205">
        <v>60001</v>
      </c>
      <c r="S205">
        <v>-1</v>
      </c>
      <c r="T205">
        <v>-1</v>
      </c>
      <c r="U205" s="2">
        <v>0.01</v>
      </c>
      <c r="V205" s="2">
        <v>0.03</v>
      </c>
      <c r="W205" s="2">
        <v>0.03</v>
      </c>
      <c r="X205" s="2">
        <v>0.03</v>
      </c>
      <c r="Y205" s="2">
        <v>0.05</v>
      </c>
      <c r="Z205" s="2">
        <v>0.05</v>
      </c>
      <c r="AA205" s="2">
        <v>0.05</v>
      </c>
      <c r="AB205" s="2">
        <v>0.05</v>
      </c>
      <c r="AC205" s="2">
        <v>0.05</v>
      </c>
      <c r="AD205" s="2">
        <v>-1</v>
      </c>
      <c r="AE205" s="2">
        <v>-1</v>
      </c>
      <c r="AF205">
        <f t="shared" si="11"/>
        <v>1</v>
      </c>
      <c r="AG205">
        <f t="shared" si="12"/>
        <v>1</v>
      </c>
      <c r="AH205">
        <f t="shared" si="13"/>
        <v>1</v>
      </c>
      <c r="AI205">
        <f t="shared" si="14"/>
        <v>1</v>
      </c>
      <c r="AJ205">
        <f t="shared" si="15"/>
        <v>1</v>
      </c>
      <c r="AK205">
        <f t="shared" si="16"/>
        <v>1</v>
      </c>
      <c r="AL205">
        <f t="shared" si="17"/>
        <v>1</v>
      </c>
      <c r="AM205">
        <f t="shared" si="18"/>
        <v>1</v>
      </c>
      <c r="AN205">
        <f t="shared" si="19"/>
        <v>1</v>
      </c>
      <c r="AO205">
        <f t="shared" si="20"/>
        <v>-1</v>
      </c>
      <c r="AP205">
        <f t="shared" si="21"/>
        <v>-1</v>
      </c>
      <c r="AQ205">
        <v>0</v>
      </c>
      <c r="AR205" t="s">
        <v>2</v>
      </c>
      <c r="AS205">
        <v>-1</v>
      </c>
      <c r="AT205">
        <v>-1</v>
      </c>
      <c r="AU205">
        <v>-1</v>
      </c>
      <c r="AV205">
        <v>-1</v>
      </c>
      <c r="AW205">
        <v>-1</v>
      </c>
      <c r="AX205">
        <v>-1</v>
      </c>
      <c r="AY205">
        <v>-1</v>
      </c>
      <c r="AZ205">
        <v>-1</v>
      </c>
      <c r="BA205">
        <v>-1</v>
      </c>
      <c r="BB205">
        <v>0</v>
      </c>
      <c r="BC205" t="s">
        <v>2</v>
      </c>
      <c r="BD205">
        <v>-1</v>
      </c>
      <c r="BE205">
        <v>-1</v>
      </c>
      <c r="BF205">
        <v>-1</v>
      </c>
      <c r="BG205">
        <v>-1</v>
      </c>
      <c r="BH205">
        <v>-1</v>
      </c>
      <c r="BI205">
        <v>-1</v>
      </c>
      <c r="BJ205">
        <v>-1</v>
      </c>
      <c r="BK205">
        <v>-1</v>
      </c>
      <c r="BL205">
        <v>-1</v>
      </c>
      <c r="BM205">
        <v>-1</v>
      </c>
      <c r="BN205">
        <v>-1</v>
      </c>
      <c r="BO205">
        <v>-1</v>
      </c>
    </row>
    <row r="206" spans="1:67" x14ac:dyDescent="0.25">
      <c r="A206">
        <v>203</v>
      </c>
      <c r="B206">
        <v>50003</v>
      </c>
      <c r="C206" t="str">
        <f>VLOOKUP(B206,[1]resources!$A$2:$D$300,3,FALSE)</f>
        <v>!!SHAKE_FRUTIY_BREEZE</v>
      </c>
      <c r="D206">
        <v>11</v>
      </c>
      <c r="E206" t="str">
        <f>VLOOKUP(D206,[1]bonus_paytable!$A$2:$D$300,3,FALSE)</f>
        <v>genescallops</v>
      </c>
      <c r="F206">
        <v>-1</v>
      </c>
      <c r="G206">
        <v>-1</v>
      </c>
      <c r="H206">
        <v>1</v>
      </c>
      <c r="I206" t="s">
        <v>1</v>
      </c>
      <c r="J206">
        <v>18</v>
      </c>
      <c r="K206">
        <v>80015</v>
      </c>
      <c r="L206">
        <v>32</v>
      </c>
      <c r="M206">
        <v>30003</v>
      </c>
      <c r="N206">
        <v>2002</v>
      </c>
      <c r="O206">
        <v>30007</v>
      </c>
      <c r="P206">
        <v>40000</v>
      </c>
      <c r="Q206">
        <v>50004</v>
      </c>
      <c r="R206">
        <v>60001</v>
      </c>
      <c r="S206">
        <v>-1</v>
      </c>
      <c r="T206">
        <v>-1</v>
      </c>
      <c r="U206" s="2">
        <v>0.01</v>
      </c>
      <c r="V206" s="2">
        <v>0.03</v>
      </c>
      <c r="W206" s="2">
        <v>0.03</v>
      </c>
      <c r="X206" s="2">
        <v>0.03</v>
      </c>
      <c r="Y206" s="2">
        <v>0.05</v>
      </c>
      <c r="Z206" s="2">
        <v>0.05</v>
      </c>
      <c r="AA206" s="2">
        <v>0.05</v>
      </c>
      <c r="AB206" s="2">
        <v>0.05</v>
      </c>
      <c r="AC206" s="2">
        <v>0.05</v>
      </c>
      <c r="AD206" s="2">
        <v>-1</v>
      </c>
      <c r="AE206" s="2">
        <v>-1</v>
      </c>
      <c r="AF206">
        <f t="shared" si="11"/>
        <v>1</v>
      </c>
      <c r="AG206">
        <f t="shared" si="12"/>
        <v>1</v>
      </c>
      <c r="AH206">
        <f t="shared" si="13"/>
        <v>1</v>
      </c>
      <c r="AI206">
        <f t="shared" si="14"/>
        <v>1</v>
      </c>
      <c r="AJ206">
        <f t="shared" si="15"/>
        <v>1</v>
      </c>
      <c r="AK206">
        <f t="shared" si="16"/>
        <v>1</v>
      </c>
      <c r="AL206">
        <f t="shared" si="17"/>
        <v>1</v>
      </c>
      <c r="AM206">
        <f t="shared" si="18"/>
        <v>1</v>
      </c>
      <c r="AN206">
        <f t="shared" si="19"/>
        <v>1</v>
      </c>
      <c r="AO206">
        <f t="shared" si="20"/>
        <v>-1</v>
      </c>
      <c r="AP206">
        <f t="shared" si="21"/>
        <v>-1</v>
      </c>
      <c r="AQ206">
        <v>0</v>
      </c>
      <c r="AR206" t="s">
        <v>2</v>
      </c>
      <c r="AS206">
        <v>-1</v>
      </c>
      <c r="AT206">
        <v>-1</v>
      </c>
      <c r="AU206">
        <v>-1</v>
      </c>
      <c r="AV206">
        <v>-1</v>
      </c>
      <c r="AW206">
        <v>-1</v>
      </c>
      <c r="AX206">
        <v>-1</v>
      </c>
      <c r="AY206">
        <v>-1</v>
      </c>
      <c r="AZ206">
        <v>-1</v>
      </c>
      <c r="BA206">
        <v>-1</v>
      </c>
      <c r="BB206">
        <v>0</v>
      </c>
      <c r="BC206" t="s">
        <v>2</v>
      </c>
      <c r="BD206">
        <v>-1</v>
      </c>
      <c r="BE206">
        <v>-1</v>
      </c>
      <c r="BF206">
        <v>-1</v>
      </c>
      <c r="BG206">
        <v>-1</v>
      </c>
      <c r="BH206">
        <v>-1</v>
      </c>
      <c r="BI206">
        <v>-1</v>
      </c>
      <c r="BJ206">
        <v>-1</v>
      </c>
      <c r="BK206">
        <v>-1</v>
      </c>
      <c r="BL206">
        <v>-1</v>
      </c>
      <c r="BM206">
        <v>-1</v>
      </c>
      <c r="BN206">
        <v>-1</v>
      </c>
      <c r="BO206">
        <v>-1</v>
      </c>
    </row>
    <row r="207" spans="1:67" x14ac:dyDescent="0.25">
      <c r="A207">
        <v>204</v>
      </c>
      <c r="B207">
        <v>60016</v>
      </c>
      <c r="C207" t="str">
        <f>VLOOKUP(B207,[1]resources!$A$2:$D$300,3,FALSE)</f>
        <v>!!BOUQUET_FLOWERCORAL_BUNCHOBRANCHES</v>
      </c>
      <c r="D207">
        <v>11</v>
      </c>
      <c r="E207" t="str">
        <f>VLOOKUP(D207,[1]bonus_paytable!$A$2:$D$300,3,FALSE)</f>
        <v>genescallops</v>
      </c>
      <c r="F207">
        <v>-1</v>
      </c>
      <c r="G207">
        <v>-1</v>
      </c>
      <c r="H207">
        <v>1</v>
      </c>
      <c r="I207" t="s">
        <v>1</v>
      </c>
      <c r="J207">
        <v>18</v>
      </c>
      <c r="K207">
        <v>80015</v>
      </c>
      <c r="L207">
        <v>32</v>
      </c>
      <c r="M207">
        <v>30003</v>
      </c>
      <c r="N207">
        <v>2002</v>
      </c>
      <c r="O207">
        <v>30007</v>
      </c>
      <c r="P207">
        <v>40000</v>
      </c>
      <c r="Q207">
        <v>50004</v>
      </c>
      <c r="R207">
        <v>60001</v>
      </c>
      <c r="S207">
        <v>-1</v>
      </c>
      <c r="T207">
        <v>-1</v>
      </c>
      <c r="U207" s="2">
        <v>0.01</v>
      </c>
      <c r="V207" s="2">
        <v>0.03</v>
      </c>
      <c r="W207" s="2">
        <v>0.03</v>
      </c>
      <c r="X207" s="2">
        <v>0.03</v>
      </c>
      <c r="Y207" s="2">
        <v>0.05</v>
      </c>
      <c r="Z207" s="2">
        <v>0.05</v>
      </c>
      <c r="AA207" s="2">
        <v>0.05</v>
      </c>
      <c r="AB207" s="2">
        <v>0.05</v>
      </c>
      <c r="AC207" s="2">
        <v>0.05</v>
      </c>
      <c r="AD207" s="2">
        <v>-1</v>
      </c>
      <c r="AE207" s="2">
        <v>-1</v>
      </c>
      <c r="AF207">
        <f t="shared" si="11"/>
        <v>1</v>
      </c>
      <c r="AG207">
        <f t="shared" si="12"/>
        <v>1</v>
      </c>
      <c r="AH207">
        <f t="shared" si="13"/>
        <v>1</v>
      </c>
      <c r="AI207">
        <f t="shared" si="14"/>
        <v>1</v>
      </c>
      <c r="AJ207">
        <f t="shared" si="15"/>
        <v>1</v>
      </c>
      <c r="AK207">
        <f t="shared" si="16"/>
        <v>1</v>
      </c>
      <c r="AL207">
        <f t="shared" si="17"/>
        <v>1</v>
      </c>
      <c r="AM207">
        <f t="shared" si="18"/>
        <v>1</v>
      </c>
      <c r="AN207">
        <f t="shared" si="19"/>
        <v>1</v>
      </c>
      <c r="AO207">
        <f t="shared" si="20"/>
        <v>-1</v>
      </c>
      <c r="AP207">
        <f t="shared" si="21"/>
        <v>-1</v>
      </c>
      <c r="AQ207">
        <v>0</v>
      </c>
      <c r="AR207" t="s">
        <v>2</v>
      </c>
      <c r="AS207">
        <v>-1</v>
      </c>
      <c r="AT207">
        <v>-1</v>
      </c>
      <c r="AU207">
        <v>-1</v>
      </c>
      <c r="AV207">
        <v>-1</v>
      </c>
      <c r="AW207">
        <v>-1</v>
      </c>
      <c r="AX207">
        <v>-1</v>
      </c>
      <c r="AY207">
        <v>-1</v>
      </c>
      <c r="AZ207">
        <v>-1</v>
      </c>
      <c r="BA207">
        <v>-1</v>
      </c>
      <c r="BB207">
        <v>0</v>
      </c>
      <c r="BC207" t="s">
        <v>2</v>
      </c>
      <c r="BD207">
        <v>-1</v>
      </c>
      <c r="BE207">
        <v>-1</v>
      </c>
      <c r="BF207">
        <v>-1</v>
      </c>
      <c r="BG207">
        <v>-1</v>
      </c>
      <c r="BH207">
        <v>-1</v>
      </c>
      <c r="BI207">
        <v>-1</v>
      </c>
      <c r="BJ207">
        <v>-1</v>
      </c>
      <c r="BK207">
        <v>-1</v>
      </c>
      <c r="BL207">
        <v>-1</v>
      </c>
      <c r="BM207">
        <v>-1</v>
      </c>
      <c r="BN207">
        <v>-1</v>
      </c>
      <c r="BO207">
        <v>-1</v>
      </c>
    </row>
    <row r="208" spans="1:67" x14ac:dyDescent="0.25">
      <c r="A208">
        <v>205</v>
      </c>
      <c r="B208">
        <v>70002</v>
      </c>
      <c r="C208" t="str">
        <f>VLOOKUP(B208,[1]resources!$A$2:$D$300,3,FALSE)</f>
        <v>!!PERFUME_CAPSIZEFORHIM</v>
      </c>
      <c r="D208">
        <v>11</v>
      </c>
      <c r="E208" t="str">
        <f>VLOOKUP(D208,[1]bonus_paytable!$A$2:$D$300,3,FALSE)</f>
        <v>genescallops</v>
      </c>
      <c r="F208">
        <v>-1</v>
      </c>
      <c r="G208">
        <v>-1</v>
      </c>
      <c r="H208">
        <v>1</v>
      </c>
      <c r="I208" t="s">
        <v>1</v>
      </c>
      <c r="J208">
        <v>18</v>
      </c>
      <c r="K208">
        <v>80015</v>
      </c>
      <c r="L208">
        <v>32</v>
      </c>
      <c r="M208">
        <v>30003</v>
      </c>
      <c r="N208">
        <v>2002</v>
      </c>
      <c r="O208">
        <v>30007</v>
      </c>
      <c r="P208">
        <v>40000</v>
      </c>
      <c r="Q208">
        <v>50004</v>
      </c>
      <c r="R208">
        <v>60001</v>
      </c>
      <c r="S208">
        <v>-1</v>
      </c>
      <c r="T208">
        <v>-1</v>
      </c>
      <c r="U208" s="2">
        <v>0.01</v>
      </c>
      <c r="V208" s="2">
        <v>0.03</v>
      </c>
      <c r="W208" s="2">
        <v>0.03</v>
      </c>
      <c r="X208" s="2">
        <v>0.03</v>
      </c>
      <c r="Y208" s="2">
        <v>0.05</v>
      </c>
      <c r="Z208" s="2">
        <v>0.05</v>
      </c>
      <c r="AA208" s="2">
        <v>0.05</v>
      </c>
      <c r="AB208" s="2">
        <v>0.05</v>
      </c>
      <c r="AC208" s="2">
        <v>0.05</v>
      </c>
      <c r="AD208" s="2">
        <v>-1</v>
      </c>
      <c r="AE208" s="2">
        <v>-1</v>
      </c>
      <c r="AF208">
        <f t="shared" si="11"/>
        <v>1</v>
      </c>
      <c r="AG208">
        <f t="shared" si="12"/>
        <v>1</v>
      </c>
      <c r="AH208">
        <f t="shared" si="13"/>
        <v>1</v>
      </c>
      <c r="AI208">
        <f t="shared" si="14"/>
        <v>1</v>
      </c>
      <c r="AJ208">
        <f t="shared" si="15"/>
        <v>1</v>
      </c>
      <c r="AK208">
        <f t="shared" si="16"/>
        <v>1</v>
      </c>
      <c r="AL208">
        <f t="shared" si="17"/>
        <v>1</v>
      </c>
      <c r="AM208">
        <f t="shared" si="18"/>
        <v>1</v>
      </c>
      <c r="AN208">
        <f t="shared" si="19"/>
        <v>1</v>
      </c>
      <c r="AO208">
        <f t="shared" si="20"/>
        <v>-1</v>
      </c>
      <c r="AP208">
        <f t="shared" si="21"/>
        <v>-1</v>
      </c>
      <c r="AQ208">
        <v>0</v>
      </c>
      <c r="AR208" t="s">
        <v>2</v>
      </c>
      <c r="AS208">
        <v>-1</v>
      </c>
      <c r="AT208">
        <v>-1</v>
      </c>
      <c r="AU208">
        <v>-1</v>
      </c>
      <c r="AV208">
        <v>-1</v>
      </c>
      <c r="AW208">
        <v>-1</v>
      </c>
      <c r="AX208">
        <v>-1</v>
      </c>
      <c r="AY208">
        <v>-1</v>
      </c>
      <c r="AZ208">
        <v>-1</v>
      </c>
      <c r="BA208">
        <v>-1</v>
      </c>
      <c r="BB208">
        <v>0</v>
      </c>
      <c r="BC208" t="s">
        <v>2</v>
      </c>
      <c r="BD208">
        <v>-1</v>
      </c>
      <c r="BE208">
        <v>-1</v>
      </c>
      <c r="BF208">
        <v>-1</v>
      </c>
      <c r="BG208">
        <v>-1</v>
      </c>
      <c r="BH208">
        <v>-1</v>
      </c>
      <c r="BI208">
        <v>-1</v>
      </c>
      <c r="BJ208">
        <v>-1</v>
      </c>
      <c r="BK208">
        <v>-1</v>
      </c>
      <c r="BL208">
        <v>-1</v>
      </c>
      <c r="BM208">
        <v>-1</v>
      </c>
      <c r="BN208">
        <v>-1</v>
      </c>
      <c r="BO208">
        <v>-1</v>
      </c>
    </row>
    <row r="209" spans="1:67" x14ac:dyDescent="0.25">
      <c r="A209">
        <v>206</v>
      </c>
      <c r="B209">
        <v>80001</v>
      </c>
      <c r="C209" t="str">
        <f>VLOOKUP(B209,[1]resources!$A$2:$D$300,3,FALSE)</f>
        <v>!!FOOD_BAKED_CHERRIESGARY</v>
      </c>
      <c r="D209">
        <v>11</v>
      </c>
      <c r="E209" t="str">
        <f>VLOOKUP(D209,[1]bonus_paytable!$A$2:$D$300,3,FALSE)</f>
        <v>genescallops</v>
      </c>
      <c r="F209">
        <v>-1</v>
      </c>
      <c r="G209">
        <v>-1</v>
      </c>
      <c r="H209">
        <v>1</v>
      </c>
      <c r="I209" t="s">
        <v>1</v>
      </c>
      <c r="J209">
        <v>18</v>
      </c>
      <c r="K209">
        <v>80015</v>
      </c>
      <c r="L209">
        <v>32</v>
      </c>
      <c r="M209">
        <v>30003</v>
      </c>
      <c r="N209">
        <v>2002</v>
      </c>
      <c r="O209">
        <v>30007</v>
      </c>
      <c r="P209">
        <v>40000</v>
      </c>
      <c r="Q209">
        <v>50004</v>
      </c>
      <c r="R209">
        <v>60001</v>
      </c>
      <c r="S209">
        <v>-1</v>
      </c>
      <c r="T209">
        <v>-1</v>
      </c>
      <c r="U209" s="2">
        <v>0.01</v>
      </c>
      <c r="V209" s="2">
        <v>0.03</v>
      </c>
      <c r="W209" s="2">
        <v>0.03</v>
      </c>
      <c r="X209" s="2">
        <v>0.03</v>
      </c>
      <c r="Y209" s="2">
        <v>0.05</v>
      </c>
      <c r="Z209" s="2">
        <v>0.05</v>
      </c>
      <c r="AA209" s="2">
        <v>0.05</v>
      </c>
      <c r="AB209" s="2">
        <v>0.05</v>
      </c>
      <c r="AC209" s="2">
        <v>0.05</v>
      </c>
      <c r="AD209" s="2">
        <v>-1</v>
      </c>
      <c r="AE209" s="2">
        <v>-1</v>
      </c>
      <c r="AF209">
        <f t="shared" si="11"/>
        <v>1</v>
      </c>
      <c r="AG209">
        <f t="shared" si="12"/>
        <v>1</v>
      </c>
      <c r="AH209">
        <f t="shared" si="13"/>
        <v>1</v>
      </c>
      <c r="AI209">
        <f t="shared" si="14"/>
        <v>1</v>
      </c>
      <c r="AJ209">
        <f t="shared" si="15"/>
        <v>1</v>
      </c>
      <c r="AK209">
        <f t="shared" si="16"/>
        <v>1</v>
      </c>
      <c r="AL209">
        <f t="shared" si="17"/>
        <v>1</v>
      </c>
      <c r="AM209">
        <f t="shared" si="18"/>
        <v>1</v>
      </c>
      <c r="AN209">
        <f t="shared" si="19"/>
        <v>1</v>
      </c>
      <c r="AO209">
        <f t="shared" si="20"/>
        <v>-1</v>
      </c>
      <c r="AP209">
        <f t="shared" si="21"/>
        <v>-1</v>
      </c>
      <c r="AQ209">
        <v>0</v>
      </c>
      <c r="AR209" t="s">
        <v>2</v>
      </c>
      <c r="AS209">
        <v>-1</v>
      </c>
      <c r="AT209">
        <v>-1</v>
      </c>
      <c r="AU209">
        <v>-1</v>
      </c>
      <c r="AV209">
        <v>-1</v>
      </c>
      <c r="AW209">
        <v>-1</v>
      </c>
      <c r="AX209">
        <v>-1</v>
      </c>
      <c r="AY209">
        <v>-1</v>
      </c>
      <c r="AZ209">
        <v>-1</v>
      </c>
      <c r="BA209">
        <v>-1</v>
      </c>
      <c r="BB209">
        <v>0</v>
      </c>
      <c r="BC209" t="s">
        <v>2</v>
      </c>
      <c r="BD209">
        <v>-1</v>
      </c>
      <c r="BE209">
        <v>-1</v>
      </c>
      <c r="BF209">
        <v>-1</v>
      </c>
      <c r="BG209">
        <v>-1</v>
      </c>
      <c r="BH209">
        <v>-1</v>
      </c>
      <c r="BI209">
        <v>-1</v>
      </c>
      <c r="BJ209">
        <v>-1</v>
      </c>
      <c r="BK209">
        <v>-1</v>
      </c>
      <c r="BL209">
        <v>-1</v>
      </c>
      <c r="BM209">
        <v>-1</v>
      </c>
      <c r="BN209">
        <v>-1</v>
      </c>
      <c r="BO209">
        <v>-1</v>
      </c>
    </row>
    <row r="210" spans="1:67" x14ac:dyDescent="0.25">
      <c r="A210">
        <v>207</v>
      </c>
      <c r="B210">
        <v>1</v>
      </c>
      <c r="C210" t="str">
        <f>VLOOKUP(B210,[1]resources!$A$2:$D$300,3,FALSE)</f>
        <v>!!FOOD_KRABBYPATTY</v>
      </c>
      <c r="D210">
        <v>12</v>
      </c>
      <c r="E210" t="str">
        <f>VLOOKUP(D210,[1]bonus_paytable!$A$2:$D$300,3,FALSE)</f>
        <v>policefish</v>
      </c>
      <c r="F210">
        <v>-1</v>
      </c>
      <c r="G210">
        <v>-1</v>
      </c>
      <c r="H210">
        <v>1</v>
      </c>
      <c r="I210" t="s">
        <v>1</v>
      </c>
      <c r="J210">
        <v>30000</v>
      </c>
      <c r="K210">
        <v>32</v>
      </c>
      <c r="L210">
        <v>15</v>
      </c>
      <c r="M210">
        <v>30008</v>
      </c>
      <c r="N210">
        <v>27</v>
      </c>
      <c r="O210">
        <v>30002</v>
      </c>
      <c r="P210">
        <v>40000</v>
      </c>
      <c r="Q210">
        <v>50004</v>
      </c>
      <c r="R210">
        <v>-1</v>
      </c>
      <c r="S210">
        <v>-1</v>
      </c>
      <c r="T210">
        <v>-1</v>
      </c>
      <c r="U210" s="2">
        <v>0.01</v>
      </c>
      <c r="V210" s="2">
        <v>0.03</v>
      </c>
      <c r="W210" s="2">
        <v>0.03</v>
      </c>
      <c r="X210" s="2">
        <v>0.03</v>
      </c>
      <c r="Y210" s="2">
        <v>0.05</v>
      </c>
      <c r="Z210" s="2">
        <v>0.05</v>
      </c>
      <c r="AA210" s="2">
        <v>0.05</v>
      </c>
      <c r="AB210" s="2">
        <v>0.05</v>
      </c>
      <c r="AC210" s="2">
        <v>-1</v>
      </c>
      <c r="AD210" s="2">
        <v>-1</v>
      </c>
      <c r="AE210" s="2">
        <v>-1</v>
      </c>
      <c r="AF210">
        <f t="shared" si="11"/>
        <v>1</v>
      </c>
      <c r="AG210">
        <f t="shared" si="12"/>
        <v>1</v>
      </c>
      <c r="AH210">
        <f t="shared" si="13"/>
        <v>1</v>
      </c>
      <c r="AI210">
        <f t="shared" si="14"/>
        <v>1</v>
      </c>
      <c r="AJ210">
        <f t="shared" si="15"/>
        <v>1</v>
      </c>
      <c r="AK210">
        <f t="shared" si="16"/>
        <v>1</v>
      </c>
      <c r="AL210">
        <f t="shared" si="17"/>
        <v>1</v>
      </c>
      <c r="AM210">
        <f t="shared" si="18"/>
        <v>1</v>
      </c>
      <c r="AN210">
        <f t="shared" si="19"/>
        <v>-1</v>
      </c>
      <c r="AO210">
        <f t="shared" si="20"/>
        <v>-1</v>
      </c>
      <c r="AP210">
        <f t="shared" si="21"/>
        <v>-1</v>
      </c>
      <c r="AQ210">
        <v>0</v>
      </c>
      <c r="AR210" t="s">
        <v>2</v>
      </c>
      <c r="AS210">
        <v>-1</v>
      </c>
      <c r="AT210">
        <v>-1</v>
      </c>
      <c r="AU210">
        <v>-1</v>
      </c>
      <c r="AV210">
        <v>-1</v>
      </c>
      <c r="AW210">
        <v>-1</v>
      </c>
      <c r="AX210">
        <v>-1</v>
      </c>
      <c r="AY210">
        <v>-1</v>
      </c>
      <c r="AZ210">
        <v>-1</v>
      </c>
      <c r="BA210">
        <v>-1</v>
      </c>
      <c r="BB210">
        <v>0</v>
      </c>
      <c r="BC210" t="s">
        <v>2</v>
      </c>
      <c r="BD210">
        <v>-1</v>
      </c>
      <c r="BE210">
        <v>-1</v>
      </c>
      <c r="BF210">
        <v>-1</v>
      </c>
      <c r="BG210">
        <v>-1</v>
      </c>
      <c r="BH210">
        <v>-1</v>
      </c>
      <c r="BI210">
        <v>-1</v>
      </c>
      <c r="BJ210">
        <v>-1</v>
      </c>
      <c r="BK210">
        <v>-1</v>
      </c>
      <c r="BL210">
        <v>-1</v>
      </c>
      <c r="BM210">
        <v>-1</v>
      </c>
      <c r="BN210">
        <v>-1</v>
      </c>
      <c r="BO210">
        <v>-1</v>
      </c>
    </row>
    <row r="211" spans="1:67" x14ac:dyDescent="0.25">
      <c r="A211">
        <v>208</v>
      </c>
      <c r="B211">
        <v>15</v>
      </c>
      <c r="C211" t="str">
        <f>VLOOKUP(B211,[1]resources!$A$2:$D$300,3,FALSE)</f>
        <v>!!FOOD_CRYJOHNNY</v>
      </c>
      <c r="D211">
        <v>12</v>
      </c>
      <c r="E211" t="str">
        <f>VLOOKUP(D211,[1]bonus_paytable!$A$2:$D$300,3,FALSE)</f>
        <v>policefish</v>
      </c>
      <c r="F211">
        <v>-1</v>
      </c>
      <c r="G211">
        <v>-1</v>
      </c>
      <c r="H211">
        <v>1</v>
      </c>
      <c r="I211" t="s">
        <v>1</v>
      </c>
      <c r="J211">
        <v>30000</v>
      </c>
      <c r="K211">
        <v>32</v>
      </c>
      <c r="L211">
        <v>15</v>
      </c>
      <c r="M211">
        <v>30008</v>
      </c>
      <c r="N211">
        <v>27</v>
      </c>
      <c r="O211">
        <v>30002</v>
      </c>
      <c r="P211">
        <v>40000</v>
      </c>
      <c r="Q211">
        <v>50004</v>
      </c>
      <c r="R211">
        <v>-1</v>
      </c>
      <c r="S211">
        <v>-1</v>
      </c>
      <c r="T211">
        <v>-1</v>
      </c>
      <c r="U211" s="2">
        <v>0.01</v>
      </c>
      <c r="V211" s="2">
        <v>0.03</v>
      </c>
      <c r="W211" s="2">
        <v>0.03</v>
      </c>
      <c r="X211" s="2">
        <v>0.03</v>
      </c>
      <c r="Y211" s="2">
        <v>0.05</v>
      </c>
      <c r="Z211" s="2">
        <v>0.05</v>
      </c>
      <c r="AA211" s="2">
        <v>0.05</v>
      </c>
      <c r="AB211" s="2">
        <v>0.05</v>
      </c>
      <c r="AC211" s="2">
        <v>-1</v>
      </c>
      <c r="AD211" s="2">
        <v>-1</v>
      </c>
      <c r="AE211" s="2">
        <v>-1</v>
      </c>
      <c r="AF211">
        <f t="shared" si="11"/>
        <v>1</v>
      </c>
      <c r="AG211">
        <f t="shared" si="12"/>
        <v>1</v>
      </c>
      <c r="AH211">
        <f t="shared" si="13"/>
        <v>1</v>
      </c>
      <c r="AI211">
        <f t="shared" si="14"/>
        <v>1</v>
      </c>
      <c r="AJ211">
        <f t="shared" si="15"/>
        <v>1</v>
      </c>
      <c r="AK211">
        <f t="shared" si="16"/>
        <v>1</v>
      </c>
      <c r="AL211">
        <f t="shared" si="17"/>
        <v>1</v>
      </c>
      <c r="AM211">
        <f t="shared" si="18"/>
        <v>1</v>
      </c>
      <c r="AN211">
        <f t="shared" si="19"/>
        <v>-1</v>
      </c>
      <c r="AO211">
        <f t="shared" si="20"/>
        <v>-1</v>
      </c>
      <c r="AP211">
        <f t="shared" si="21"/>
        <v>-1</v>
      </c>
      <c r="AQ211">
        <v>0</v>
      </c>
      <c r="AR211" t="s">
        <v>2</v>
      </c>
      <c r="AS211">
        <v>-1</v>
      </c>
      <c r="AT211">
        <v>-1</v>
      </c>
      <c r="AU211">
        <v>-1</v>
      </c>
      <c r="AV211">
        <v>-1</v>
      </c>
      <c r="AW211">
        <v>-1</v>
      </c>
      <c r="AX211">
        <v>-1</v>
      </c>
      <c r="AY211">
        <v>-1</v>
      </c>
      <c r="AZ211">
        <v>-1</v>
      </c>
      <c r="BA211">
        <v>-1</v>
      </c>
      <c r="BB211">
        <v>0</v>
      </c>
      <c r="BC211" t="s">
        <v>2</v>
      </c>
      <c r="BD211">
        <v>-1</v>
      </c>
      <c r="BE211">
        <v>-1</v>
      </c>
      <c r="BF211">
        <v>-1</v>
      </c>
      <c r="BG211">
        <v>-1</v>
      </c>
      <c r="BH211">
        <v>-1</v>
      </c>
      <c r="BI211">
        <v>-1</v>
      </c>
      <c r="BJ211">
        <v>-1</v>
      </c>
      <c r="BK211">
        <v>-1</v>
      </c>
      <c r="BL211">
        <v>-1</v>
      </c>
      <c r="BM211">
        <v>-1</v>
      </c>
      <c r="BN211">
        <v>-1</v>
      </c>
      <c r="BO211">
        <v>-1</v>
      </c>
    </row>
    <row r="212" spans="1:67" x14ac:dyDescent="0.25">
      <c r="A212">
        <v>209</v>
      </c>
      <c r="B212">
        <v>16</v>
      </c>
      <c r="C212" t="str">
        <f>VLOOKUP(B212,[1]resources!$A$2:$D$300,3,FALSE)</f>
        <v>!!FOOD_DUTCHDOUBLE</v>
      </c>
      <c r="D212">
        <v>12</v>
      </c>
      <c r="E212" t="str">
        <f>VLOOKUP(D212,[1]bonus_paytable!$A$2:$D$300,3,FALSE)</f>
        <v>policefish</v>
      </c>
      <c r="F212">
        <v>-1</v>
      </c>
      <c r="G212">
        <v>-1</v>
      </c>
      <c r="H212">
        <v>1</v>
      </c>
      <c r="I212" t="s">
        <v>1</v>
      </c>
      <c r="J212">
        <v>30000</v>
      </c>
      <c r="K212">
        <v>32</v>
      </c>
      <c r="L212">
        <v>15</v>
      </c>
      <c r="M212">
        <v>30008</v>
      </c>
      <c r="N212">
        <v>27</v>
      </c>
      <c r="O212">
        <v>30002</v>
      </c>
      <c r="P212">
        <v>40000</v>
      </c>
      <c r="Q212">
        <v>50004</v>
      </c>
      <c r="R212">
        <v>-1</v>
      </c>
      <c r="S212">
        <v>-1</v>
      </c>
      <c r="T212">
        <v>-1</v>
      </c>
      <c r="U212" s="2">
        <v>0.01</v>
      </c>
      <c r="V212" s="2">
        <v>0.03</v>
      </c>
      <c r="W212" s="2">
        <v>0.03</v>
      </c>
      <c r="X212" s="2">
        <v>0.03</v>
      </c>
      <c r="Y212" s="2">
        <v>0.05</v>
      </c>
      <c r="Z212" s="2">
        <v>0.05</v>
      </c>
      <c r="AA212" s="2">
        <v>0.05</v>
      </c>
      <c r="AB212" s="2">
        <v>0.05</v>
      </c>
      <c r="AC212" s="2">
        <v>-1</v>
      </c>
      <c r="AD212" s="2">
        <v>-1</v>
      </c>
      <c r="AE212" s="2">
        <v>-1</v>
      </c>
      <c r="AF212">
        <f t="shared" si="11"/>
        <v>1</v>
      </c>
      <c r="AG212">
        <f t="shared" si="12"/>
        <v>1</v>
      </c>
      <c r="AH212">
        <f t="shared" si="13"/>
        <v>1</v>
      </c>
      <c r="AI212">
        <f t="shared" si="14"/>
        <v>1</v>
      </c>
      <c r="AJ212">
        <f t="shared" si="15"/>
        <v>1</v>
      </c>
      <c r="AK212">
        <f t="shared" si="16"/>
        <v>1</v>
      </c>
      <c r="AL212">
        <f t="shared" si="17"/>
        <v>1</v>
      </c>
      <c r="AM212">
        <f t="shared" si="18"/>
        <v>1</v>
      </c>
      <c r="AN212">
        <f t="shared" si="19"/>
        <v>-1</v>
      </c>
      <c r="AO212">
        <f t="shared" si="20"/>
        <v>-1</v>
      </c>
      <c r="AP212">
        <f t="shared" si="21"/>
        <v>-1</v>
      </c>
      <c r="AQ212">
        <v>0</v>
      </c>
      <c r="AR212" t="s">
        <v>2</v>
      </c>
      <c r="AS212">
        <v>-1</v>
      </c>
      <c r="AT212">
        <v>-1</v>
      </c>
      <c r="AU212">
        <v>-1</v>
      </c>
      <c r="AV212">
        <v>-1</v>
      </c>
      <c r="AW212">
        <v>-1</v>
      </c>
      <c r="AX212">
        <v>-1</v>
      </c>
      <c r="AY212">
        <v>-1</v>
      </c>
      <c r="AZ212">
        <v>-1</v>
      </c>
      <c r="BA212">
        <v>-1</v>
      </c>
      <c r="BB212">
        <v>0</v>
      </c>
      <c r="BC212" t="s">
        <v>2</v>
      </c>
      <c r="BD212">
        <v>-1</v>
      </c>
      <c r="BE212">
        <v>-1</v>
      </c>
      <c r="BF212">
        <v>-1</v>
      </c>
      <c r="BG212">
        <v>-1</v>
      </c>
      <c r="BH212">
        <v>-1</v>
      </c>
      <c r="BI212">
        <v>-1</v>
      </c>
      <c r="BJ212">
        <v>-1</v>
      </c>
      <c r="BK212">
        <v>-1</v>
      </c>
      <c r="BL212">
        <v>-1</v>
      </c>
      <c r="BM212">
        <v>-1</v>
      </c>
      <c r="BN212">
        <v>-1</v>
      </c>
      <c r="BO212">
        <v>-1</v>
      </c>
    </row>
    <row r="213" spans="1:67" x14ac:dyDescent="0.25">
      <c r="A213">
        <v>210</v>
      </c>
      <c r="B213">
        <v>20000</v>
      </c>
      <c r="C213" t="str">
        <f>VLOOKUP(B213,[1]resources!$A$2:$D$300,3,FALSE)</f>
        <v>!!JUICE_APPLE</v>
      </c>
      <c r="D213">
        <v>12</v>
      </c>
      <c r="E213" t="str">
        <f>VLOOKUP(D213,[1]bonus_paytable!$A$2:$D$300,3,FALSE)</f>
        <v>policefish</v>
      </c>
      <c r="F213">
        <v>-1</v>
      </c>
      <c r="G213">
        <v>-1</v>
      </c>
      <c r="H213">
        <v>1</v>
      </c>
      <c r="I213" t="s">
        <v>1</v>
      </c>
      <c r="J213">
        <v>30000</v>
      </c>
      <c r="K213">
        <v>32</v>
      </c>
      <c r="L213">
        <v>15</v>
      </c>
      <c r="M213">
        <v>30008</v>
      </c>
      <c r="N213">
        <v>27</v>
      </c>
      <c r="O213">
        <v>30002</v>
      </c>
      <c r="P213">
        <v>40000</v>
      </c>
      <c r="Q213">
        <v>50004</v>
      </c>
      <c r="R213">
        <v>-1</v>
      </c>
      <c r="S213">
        <v>-1</v>
      </c>
      <c r="T213">
        <v>-1</v>
      </c>
      <c r="U213" s="2">
        <v>0.01</v>
      </c>
      <c r="V213" s="2">
        <v>0.03</v>
      </c>
      <c r="W213" s="2">
        <v>0.03</v>
      </c>
      <c r="X213" s="2">
        <v>0.03</v>
      </c>
      <c r="Y213" s="2">
        <v>0.05</v>
      </c>
      <c r="Z213" s="2">
        <v>0.05</v>
      </c>
      <c r="AA213" s="2">
        <v>0.05</v>
      </c>
      <c r="AB213" s="2">
        <v>0.05</v>
      </c>
      <c r="AC213" s="2">
        <v>-1</v>
      </c>
      <c r="AD213" s="2">
        <v>-1</v>
      </c>
      <c r="AE213" s="2">
        <v>-1</v>
      </c>
      <c r="AF213">
        <f t="shared" si="11"/>
        <v>1</v>
      </c>
      <c r="AG213">
        <f t="shared" si="12"/>
        <v>1</v>
      </c>
      <c r="AH213">
        <f t="shared" si="13"/>
        <v>1</v>
      </c>
      <c r="AI213">
        <f t="shared" si="14"/>
        <v>1</v>
      </c>
      <c r="AJ213">
        <f t="shared" si="15"/>
        <v>1</v>
      </c>
      <c r="AK213">
        <f t="shared" si="16"/>
        <v>1</v>
      </c>
      <c r="AL213">
        <f t="shared" si="17"/>
        <v>1</v>
      </c>
      <c r="AM213">
        <f t="shared" si="18"/>
        <v>1</v>
      </c>
      <c r="AN213">
        <f t="shared" si="19"/>
        <v>-1</v>
      </c>
      <c r="AO213">
        <f t="shared" si="20"/>
        <v>-1</v>
      </c>
      <c r="AP213">
        <f t="shared" si="21"/>
        <v>-1</v>
      </c>
      <c r="AQ213">
        <v>0</v>
      </c>
      <c r="AR213" t="s">
        <v>2</v>
      </c>
      <c r="AS213">
        <v>-1</v>
      </c>
      <c r="AT213">
        <v>-1</v>
      </c>
      <c r="AU213">
        <v>-1</v>
      </c>
      <c r="AV213">
        <v>-1</v>
      </c>
      <c r="AW213">
        <v>-1</v>
      </c>
      <c r="AX213">
        <v>-1</v>
      </c>
      <c r="AY213">
        <v>-1</v>
      </c>
      <c r="AZ213">
        <v>-1</v>
      </c>
      <c r="BA213">
        <v>-1</v>
      </c>
      <c r="BB213">
        <v>0</v>
      </c>
      <c r="BC213" t="s">
        <v>2</v>
      </c>
      <c r="BD213">
        <v>-1</v>
      </c>
      <c r="BE213">
        <v>-1</v>
      </c>
      <c r="BF213">
        <v>-1</v>
      </c>
      <c r="BG213">
        <v>-1</v>
      </c>
      <c r="BH213">
        <v>-1</v>
      </c>
      <c r="BI213">
        <v>-1</v>
      </c>
      <c r="BJ213">
        <v>-1</v>
      </c>
      <c r="BK213">
        <v>-1</v>
      </c>
      <c r="BL213">
        <v>-1</v>
      </c>
      <c r="BM213">
        <v>-1</v>
      </c>
      <c r="BN213">
        <v>-1</v>
      </c>
      <c r="BO213">
        <v>-1</v>
      </c>
    </row>
    <row r="214" spans="1:67" x14ac:dyDescent="0.25">
      <c r="A214">
        <v>211</v>
      </c>
      <c r="B214">
        <v>30007</v>
      </c>
      <c r="C214" t="str">
        <f>VLOOKUP(B214,[1]resources!$A$2:$D$300,3,FALSE)</f>
        <v>!!SMOOTHIE_NANNAS_C_SERENADE</v>
      </c>
      <c r="D214">
        <v>12</v>
      </c>
      <c r="E214" t="str">
        <f>VLOOKUP(D214,[1]bonus_paytable!$A$2:$D$300,3,FALSE)</f>
        <v>policefish</v>
      </c>
      <c r="F214">
        <v>-1</v>
      </c>
      <c r="G214">
        <v>-1</v>
      </c>
      <c r="H214">
        <v>1</v>
      </c>
      <c r="I214" t="s">
        <v>1</v>
      </c>
      <c r="J214">
        <v>30000</v>
      </c>
      <c r="K214">
        <v>32</v>
      </c>
      <c r="L214">
        <v>15</v>
      </c>
      <c r="M214">
        <v>30008</v>
      </c>
      <c r="N214">
        <v>27</v>
      </c>
      <c r="O214">
        <v>30002</v>
      </c>
      <c r="P214">
        <v>40000</v>
      </c>
      <c r="Q214">
        <v>50004</v>
      </c>
      <c r="R214">
        <v>-1</v>
      </c>
      <c r="S214">
        <v>-1</v>
      </c>
      <c r="T214">
        <v>-1</v>
      </c>
      <c r="U214" s="2">
        <v>0.01</v>
      </c>
      <c r="V214" s="2">
        <v>0.03</v>
      </c>
      <c r="W214" s="2">
        <v>0.03</v>
      </c>
      <c r="X214" s="2">
        <v>0.03</v>
      </c>
      <c r="Y214" s="2">
        <v>0.05</v>
      </c>
      <c r="Z214" s="2">
        <v>0.05</v>
      </c>
      <c r="AA214" s="2">
        <v>0.05</v>
      </c>
      <c r="AB214" s="2">
        <v>0.05</v>
      </c>
      <c r="AC214" s="2">
        <v>-1</v>
      </c>
      <c r="AD214" s="2">
        <v>-1</v>
      </c>
      <c r="AE214" s="2">
        <v>-1</v>
      </c>
      <c r="AF214">
        <f t="shared" si="11"/>
        <v>1</v>
      </c>
      <c r="AG214">
        <f t="shared" si="12"/>
        <v>1</v>
      </c>
      <c r="AH214">
        <f t="shared" si="13"/>
        <v>1</v>
      </c>
      <c r="AI214">
        <f t="shared" si="14"/>
        <v>1</v>
      </c>
      <c r="AJ214">
        <f t="shared" si="15"/>
        <v>1</v>
      </c>
      <c r="AK214">
        <f t="shared" si="16"/>
        <v>1</v>
      </c>
      <c r="AL214">
        <f t="shared" si="17"/>
        <v>1</v>
      </c>
      <c r="AM214">
        <f t="shared" si="18"/>
        <v>1</v>
      </c>
      <c r="AN214">
        <f t="shared" si="19"/>
        <v>-1</v>
      </c>
      <c r="AO214">
        <f t="shared" si="20"/>
        <v>-1</v>
      </c>
      <c r="AP214">
        <f t="shared" si="21"/>
        <v>-1</v>
      </c>
      <c r="AQ214">
        <v>0</v>
      </c>
      <c r="AR214" t="s">
        <v>2</v>
      </c>
      <c r="AS214">
        <v>-1</v>
      </c>
      <c r="AT214">
        <v>-1</v>
      </c>
      <c r="AU214">
        <v>-1</v>
      </c>
      <c r="AV214">
        <v>-1</v>
      </c>
      <c r="AW214">
        <v>-1</v>
      </c>
      <c r="AX214">
        <v>-1</v>
      </c>
      <c r="AY214">
        <v>-1</v>
      </c>
      <c r="AZ214">
        <v>-1</v>
      </c>
      <c r="BA214">
        <v>-1</v>
      </c>
      <c r="BB214">
        <v>0</v>
      </c>
      <c r="BC214" t="s">
        <v>2</v>
      </c>
      <c r="BD214">
        <v>-1</v>
      </c>
      <c r="BE214">
        <v>-1</v>
      </c>
      <c r="BF214">
        <v>-1</v>
      </c>
      <c r="BG214">
        <v>-1</v>
      </c>
      <c r="BH214">
        <v>-1</v>
      </c>
      <c r="BI214">
        <v>-1</v>
      </c>
      <c r="BJ214">
        <v>-1</v>
      </c>
      <c r="BK214">
        <v>-1</v>
      </c>
      <c r="BL214">
        <v>-1</v>
      </c>
      <c r="BM214">
        <v>-1</v>
      </c>
      <c r="BN214">
        <v>-1</v>
      </c>
      <c r="BO214">
        <v>-1</v>
      </c>
    </row>
    <row r="215" spans="1:67" x14ac:dyDescent="0.25">
      <c r="A215">
        <v>212</v>
      </c>
      <c r="B215">
        <v>40008</v>
      </c>
      <c r="C215" t="str">
        <f>VLOOKUP(B215,[1]resources!$A$2:$D$300,3,FALSE)</f>
        <v>!!ICECREAM_VANILLA</v>
      </c>
      <c r="D215">
        <v>12</v>
      </c>
      <c r="E215" t="str">
        <f>VLOOKUP(D215,[1]bonus_paytable!$A$2:$D$300,3,FALSE)</f>
        <v>policefish</v>
      </c>
      <c r="F215">
        <v>-1</v>
      </c>
      <c r="G215">
        <v>-1</v>
      </c>
      <c r="H215">
        <v>1</v>
      </c>
      <c r="I215" t="s">
        <v>1</v>
      </c>
      <c r="J215">
        <v>30000</v>
      </c>
      <c r="K215">
        <v>32</v>
      </c>
      <c r="L215">
        <v>15</v>
      </c>
      <c r="M215">
        <v>30008</v>
      </c>
      <c r="N215">
        <v>27</v>
      </c>
      <c r="O215">
        <v>30002</v>
      </c>
      <c r="P215">
        <v>40000</v>
      </c>
      <c r="Q215">
        <v>50004</v>
      </c>
      <c r="R215">
        <v>-1</v>
      </c>
      <c r="S215">
        <v>-1</v>
      </c>
      <c r="T215">
        <v>-1</v>
      </c>
      <c r="U215" s="2">
        <v>0.01</v>
      </c>
      <c r="V215" s="2">
        <v>0.03</v>
      </c>
      <c r="W215" s="2">
        <v>0.03</v>
      </c>
      <c r="X215" s="2">
        <v>0.03</v>
      </c>
      <c r="Y215" s="2">
        <v>0.05</v>
      </c>
      <c r="Z215" s="2">
        <v>0.05</v>
      </c>
      <c r="AA215" s="2">
        <v>0.05</v>
      </c>
      <c r="AB215" s="2">
        <v>0.05</v>
      </c>
      <c r="AC215" s="2">
        <v>-1</v>
      </c>
      <c r="AD215" s="2">
        <v>-1</v>
      </c>
      <c r="AE215" s="2">
        <v>-1</v>
      </c>
      <c r="AF215">
        <f t="shared" si="11"/>
        <v>1</v>
      </c>
      <c r="AG215">
        <f t="shared" si="12"/>
        <v>1</v>
      </c>
      <c r="AH215">
        <f t="shared" si="13"/>
        <v>1</v>
      </c>
      <c r="AI215">
        <f t="shared" si="14"/>
        <v>1</v>
      </c>
      <c r="AJ215">
        <f t="shared" si="15"/>
        <v>1</v>
      </c>
      <c r="AK215">
        <f t="shared" si="16"/>
        <v>1</v>
      </c>
      <c r="AL215">
        <f t="shared" si="17"/>
        <v>1</v>
      </c>
      <c r="AM215">
        <f t="shared" si="18"/>
        <v>1</v>
      </c>
      <c r="AN215">
        <f t="shared" si="19"/>
        <v>-1</v>
      </c>
      <c r="AO215">
        <f t="shared" si="20"/>
        <v>-1</v>
      </c>
      <c r="AP215">
        <f t="shared" si="21"/>
        <v>-1</v>
      </c>
      <c r="AQ215">
        <v>0</v>
      </c>
      <c r="AR215" t="s">
        <v>2</v>
      </c>
      <c r="AS215">
        <v>-1</v>
      </c>
      <c r="AT215">
        <v>-1</v>
      </c>
      <c r="AU215">
        <v>-1</v>
      </c>
      <c r="AV215">
        <v>-1</v>
      </c>
      <c r="AW215">
        <v>-1</v>
      </c>
      <c r="AX215">
        <v>-1</v>
      </c>
      <c r="AY215">
        <v>-1</v>
      </c>
      <c r="AZ215">
        <v>-1</v>
      </c>
      <c r="BA215">
        <v>-1</v>
      </c>
      <c r="BB215">
        <v>0</v>
      </c>
      <c r="BC215" t="s">
        <v>2</v>
      </c>
      <c r="BD215">
        <v>-1</v>
      </c>
      <c r="BE215">
        <v>-1</v>
      </c>
      <c r="BF215">
        <v>-1</v>
      </c>
      <c r="BG215">
        <v>-1</v>
      </c>
      <c r="BH215">
        <v>-1</v>
      </c>
      <c r="BI215">
        <v>-1</v>
      </c>
      <c r="BJ215">
        <v>-1</v>
      </c>
      <c r="BK215">
        <v>-1</v>
      </c>
      <c r="BL215">
        <v>-1</v>
      </c>
      <c r="BM215">
        <v>-1</v>
      </c>
      <c r="BN215">
        <v>-1</v>
      </c>
      <c r="BO215">
        <v>-1</v>
      </c>
    </row>
    <row r="216" spans="1:67" x14ac:dyDescent="0.25">
      <c r="A216">
        <v>213</v>
      </c>
      <c r="B216">
        <v>50003</v>
      </c>
      <c r="C216" t="str">
        <f>VLOOKUP(B216,[1]resources!$A$2:$D$300,3,FALSE)</f>
        <v>!!SHAKE_FRUTIY_BREEZE</v>
      </c>
      <c r="D216">
        <v>12</v>
      </c>
      <c r="E216" t="str">
        <f>VLOOKUP(D216,[1]bonus_paytable!$A$2:$D$300,3,FALSE)</f>
        <v>policefish</v>
      </c>
      <c r="F216">
        <v>-1</v>
      </c>
      <c r="G216">
        <v>-1</v>
      </c>
      <c r="H216">
        <v>1</v>
      </c>
      <c r="I216" t="s">
        <v>1</v>
      </c>
      <c r="J216">
        <v>30000</v>
      </c>
      <c r="K216">
        <v>32</v>
      </c>
      <c r="L216">
        <v>15</v>
      </c>
      <c r="M216">
        <v>30008</v>
      </c>
      <c r="N216">
        <v>27</v>
      </c>
      <c r="O216">
        <v>30002</v>
      </c>
      <c r="P216">
        <v>40000</v>
      </c>
      <c r="Q216">
        <v>50004</v>
      </c>
      <c r="R216">
        <v>-1</v>
      </c>
      <c r="S216">
        <v>-1</v>
      </c>
      <c r="T216">
        <v>-1</v>
      </c>
      <c r="U216" s="2">
        <v>0.01</v>
      </c>
      <c r="V216" s="2">
        <v>0.03</v>
      </c>
      <c r="W216" s="2">
        <v>0.03</v>
      </c>
      <c r="X216" s="2">
        <v>0.03</v>
      </c>
      <c r="Y216" s="2">
        <v>0.05</v>
      </c>
      <c r="Z216" s="2">
        <v>0.05</v>
      </c>
      <c r="AA216" s="2">
        <v>0.05</v>
      </c>
      <c r="AB216" s="2">
        <v>0.05</v>
      </c>
      <c r="AC216" s="2">
        <v>-1</v>
      </c>
      <c r="AD216" s="2">
        <v>-1</v>
      </c>
      <c r="AE216" s="2">
        <v>-1</v>
      </c>
      <c r="AF216">
        <f t="shared" si="11"/>
        <v>1</v>
      </c>
      <c r="AG216">
        <f t="shared" si="12"/>
        <v>1</v>
      </c>
      <c r="AH216">
        <f t="shared" si="13"/>
        <v>1</v>
      </c>
      <c r="AI216">
        <f t="shared" si="14"/>
        <v>1</v>
      </c>
      <c r="AJ216">
        <f t="shared" si="15"/>
        <v>1</v>
      </c>
      <c r="AK216">
        <f t="shared" si="16"/>
        <v>1</v>
      </c>
      <c r="AL216">
        <f t="shared" si="17"/>
        <v>1</v>
      </c>
      <c r="AM216">
        <f t="shared" si="18"/>
        <v>1</v>
      </c>
      <c r="AN216">
        <f t="shared" si="19"/>
        <v>-1</v>
      </c>
      <c r="AO216">
        <f t="shared" si="20"/>
        <v>-1</v>
      </c>
      <c r="AP216">
        <f t="shared" si="21"/>
        <v>-1</v>
      </c>
      <c r="AQ216">
        <v>0</v>
      </c>
      <c r="AR216" t="s">
        <v>2</v>
      </c>
      <c r="AS216">
        <v>-1</v>
      </c>
      <c r="AT216">
        <v>-1</v>
      </c>
      <c r="AU216">
        <v>-1</v>
      </c>
      <c r="AV216">
        <v>-1</v>
      </c>
      <c r="AW216">
        <v>-1</v>
      </c>
      <c r="AX216">
        <v>-1</v>
      </c>
      <c r="AY216">
        <v>-1</v>
      </c>
      <c r="AZ216">
        <v>-1</v>
      </c>
      <c r="BA216">
        <v>-1</v>
      </c>
      <c r="BB216">
        <v>0</v>
      </c>
      <c r="BC216" t="s">
        <v>2</v>
      </c>
      <c r="BD216">
        <v>-1</v>
      </c>
      <c r="BE216">
        <v>-1</v>
      </c>
      <c r="BF216">
        <v>-1</v>
      </c>
      <c r="BG216">
        <v>-1</v>
      </c>
      <c r="BH216">
        <v>-1</v>
      </c>
      <c r="BI216">
        <v>-1</v>
      </c>
      <c r="BJ216">
        <v>-1</v>
      </c>
      <c r="BK216">
        <v>-1</v>
      </c>
      <c r="BL216">
        <v>-1</v>
      </c>
      <c r="BM216">
        <v>-1</v>
      </c>
      <c r="BN216">
        <v>-1</v>
      </c>
      <c r="BO216">
        <v>-1</v>
      </c>
    </row>
    <row r="217" spans="1:67" x14ac:dyDescent="0.25">
      <c r="A217">
        <v>214</v>
      </c>
      <c r="B217">
        <v>80004</v>
      </c>
      <c r="C217" t="str">
        <f>VLOOKUP(B217,[1]resources!$A$2:$D$300,3,FALSE)</f>
        <v>!!FOOD_BAKED_DUTCHMANSDUTCHAPPLEPIE</v>
      </c>
      <c r="D217">
        <v>12</v>
      </c>
      <c r="E217" t="str">
        <f>VLOOKUP(D217,[1]bonus_paytable!$A$2:$D$300,3,FALSE)</f>
        <v>policefish</v>
      </c>
      <c r="F217">
        <v>-1</v>
      </c>
      <c r="G217">
        <v>-1</v>
      </c>
      <c r="H217">
        <v>1</v>
      </c>
      <c r="I217" t="s">
        <v>1</v>
      </c>
      <c r="J217">
        <v>30000</v>
      </c>
      <c r="K217">
        <v>32</v>
      </c>
      <c r="L217">
        <v>15</v>
      </c>
      <c r="M217">
        <v>30008</v>
      </c>
      <c r="N217">
        <v>27</v>
      </c>
      <c r="O217">
        <v>30002</v>
      </c>
      <c r="P217">
        <v>40000</v>
      </c>
      <c r="Q217">
        <v>50004</v>
      </c>
      <c r="R217">
        <v>-1</v>
      </c>
      <c r="S217">
        <v>-1</v>
      </c>
      <c r="T217">
        <v>-1</v>
      </c>
      <c r="U217" s="2">
        <v>0.01</v>
      </c>
      <c r="V217" s="2">
        <v>0.03</v>
      </c>
      <c r="W217" s="2">
        <v>0.03</v>
      </c>
      <c r="X217" s="2">
        <v>0.03</v>
      </c>
      <c r="Y217" s="2">
        <v>0.05</v>
      </c>
      <c r="Z217" s="2">
        <v>0.05</v>
      </c>
      <c r="AA217" s="2">
        <v>0.05</v>
      </c>
      <c r="AB217" s="2">
        <v>0.05</v>
      </c>
      <c r="AC217" s="2">
        <v>-1</v>
      </c>
      <c r="AD217" s="2">
        <v>-1</v>
      </c>
      <c r="AE217" s="2">
        <v>-1</v>
      </c>
      <c r="AF217">
        <f t="shared" si="11"/>
        <v>1</v>
      </c>
      <c r="AG217">
        <f t="shared" si="12"/>
        <v>1</v>
      </c>
      <c r="AH217">
        <f t="shared" si="13"/>
        <v>1</v>
      </c>
      <c r="AI217">
        <f t="shared" si="14"/>
        <v>1</v>
      </c>
      <c r="AJ217">
        <f t="shared" si="15"/>
        <v>1</v>
      </c>
      <c r="AK217">
        <f t="shared" si="16"/>
        <v>1</v>
      </c>
      <c r="AL217">
        <f t="shared" si="17"/>
        <v>1</v>
      </c>
      <c r="AM217">
        <f t="shared" si="18"/>
        <v>1</v>
      </c>
      <c r="AN217">
        <f t="shared" si="19"/>
        <v>-1</v>
      </c>
      <c r="AO217">
        <f t="shared" si="20"/>
        <v>-1</v>
      </c>
      <c r="AP217">
        <f t="shared" si="21"/>
        <v>-1</v>
      </c>
      <c r="AQ217">
        <v>0</v>
      </c>
      <c r="AR217" t="s">
        <v>2</v>
      </c>
      <c r="AS217">
        <v>-1</v>
      </c>
      <c r="AT217">
        <v>-1</v>
      </c>
      <c r="AU217">
        <v>-1</v>
      </c>
      <c r="AV217">
        <v>-1</v>
      </c>
      <c r="AW217">
        <v>-1</v>
      </c>
      <c r="AX217">
        <v>-1</v>
      </c>
      <c r="AY217">
        <v>-1</v>
      </c>
      <c r="AZ217">
        <v>-1</v>
      </c>
      <c r="BA217">
        <v>-1</v>
      </c>
      <c r="BB217">
        <v>0</v>
      </c>
      <c r="BC217" t="s">
        <v>2</v>
      </c>
      <c r="BD217">
        <v>-1</v>
      </c>
      <c r="BE217">
        <v>-1</v>
      </c>
      <c r="BF217">
        <v>-1</v>
      </c>
      <c r="BG217">
        <v>-1</v>
      </c>
      <c r="BH217">
        <v>-1</v>
      </c>
      <c r="BI217">
        <v>-1</v>
      </c>
      <c r="BJ217">
        <v>-1</v>
      </c>
      <c r="BK217">
        <v>-1</v>
      </c>
      <c r="BL217">
        <v>-1</v>
      </c>
      <c r="BM217">
        <v>-1</v>
      </c>
      <c r="BN217">
        <v>-1</v>
      </c>
      <c r="BO217">
        <v>-1</v>
      </c>
    </row>
    <row r="218" spans="1:67" x14ac:dyDescent="0.25">
      <c r="A218">
        <v>215</v>
      </c>
      <c r="B218">
        <v>80006</v>
      </c>
      <c r="C218" t="str">
        <f>VLOOKUP(B218,[1]resources!$A$2:$D$300,3,FALSE)</f>
        <v>!!FOOD_BAKED_FERRYCHERRYCHEESECAKE</v>
      </c>
      <c r="D218">
        <v>12</v>
      </c>
      <c r="E218" t="str">
        <f>VLOOKUP(D218,[1]bonus_paytable!$A$2:$D$300,3,FALSE)</f>
        <v>policefish</v>
      </c>
      <c r="F218">
        <v>-1</v>
      </c>
      <c r="G218">
        <v>-1</v>
      </c>
      <c r="H218">
        <v>1</v>
      </c>
      <c r="I218" t="s">
        <v>1</v>
      </c>
      <c r="J218">
        <v>30000</v>
      </c>
      <c r="K218">
        <v>32</v>
      </c>
      <c r="L218">
        <v>15</v>
      </c>
      <c r="M218">
        <v>30008</v>
      </c>
      <c r="N218">
        <v>27</v>
      </c>
      <c r="O218">
        <v>30002</v>
      </c>
      <c r="P218">
        <v>40000</v>
      </c>
      <c r="Q218">
        <v>50004</v>
      </c>
      <c r="R218">
        <v>-1</v>
      </c>
      <c r="S218">
        <v>-1</v>
      </c>
      <c r="T218">
        <v>-1</v>
      </c>
      <c r="U218" s="2">
        <v>0.01</v>
      </c>
      <c r="V218" s="2">
        <v>0.03</v>
      </c>
      <c r="W218" s="2">
        <v>0.03</v>
      </c>
      <c r="X218" s="2">
        <v>0.03</v>
      </c>
      <c r="Y218" s="2">
        <v>0.05</v>
      </c>
      <c r="Z218" s="2">
        <v>0.05</v>
      </c>
      <c r="AA218" s="2">
        <v>0.05</v>
      </c>
      <c r="AB218" s="2">
        <v>0.05</v>
      </c>
      <c r="AC218" s="2">
        <v>-1</v>
      </c>
      <c r="AD218" s="2">
        <v>-1</v>
      </c>
      <c r="AE218" s="2">
        <v>-1</v>
      </c>
      <c r="AF218">
        <f t="shared" si="11"/>
        <v>1</v>
      </c>
      <c r="AG218">
        <f t="shared" si="12"/>
        <v>1</v>
      </c>
      <c r="AH218">
        <f t="shared" si="13"/>
        <v>1</v>
      </c>
      <c r="AI218">
        <f t="shared" si="14"/>
        <v>1</v>
      </c>
      <c r="AJ218">
        <f t="shared" si="15"/>
        <v>1</v>
      </c>
      <c r="AK218">
        <f t="shared" si="16"/>
        <v>1</v>
      </c>
      <c r="AL218">
        <f t="shared" si="17"/>
        <v>1</v>
      </c>
      <c r="AM218">
        <f t="shared" si="18"/>
        <v>1</v>
      </c>
      <c r="AN218">
        <f t="shared" si="19"/>
        <v>-1</v>
      </c>
      <c r="AO218">
        <f t="shared" si="20"/>
        <v>-1</v>
      </c>
      <c r="AP218">
        <f t="shared" si="21"/>
        <v>-1</v>
      </c>
      <c r="AQ218">
        <v>0</v>
      </c>
      <c r="AR218" t="s">
        <v>2</v>
      </c>
      <c r="AS218">
        <v>-1</v>
      </c>
      <c r="AT218">
        <v>-1</v>
      </c>
      <c r="AU218">
        <v>-1</v>
      </c>
      <c r="AV218">
        <v>-1</v>
      </c>
      <c r="AW218">
        <v>-1</v>
      </c>
      <c r="AX218">
        <v>-1</v>
      </c>
      <c r="AY218">
        <v>-1</v>
      </c>
      <c r="AZ218">
        <v>-1</v>
      </c>
      <c r="BA218">
        <v>-1</v>
      </c>
      <c r="BB218">
        <v>0</v>
      </c>
      <c r="BC218" t="s">
        <v>2</v>
      </c>
      <c r="BD218">
        <v>-1</v>
      </c>
      <c r="BE218">
        <v>-1</v>
      </c>
      <c r="BF218">
        <v>-1</v>
      </c>
      <c r="BG218">
        <v>-1</v>
      </c>
      <c r="BH218">
        <v>-1</v>
      </c>
      <c r="BI218">
        <v>-1</v>
      </c>
      <c r="BJ218">
        <v>-1</v>
      </c>
      <c r="BK218">
        <v>-1</v>
      </c>
      <c r="BL218">
        <v>-1</v>
      </c>
      <c r="BM218">
        <v>-1</v>
      </c>
      <c r="BN218">
        <v>-1</v>
      </c>
      <c r="BO218">
        <v>-1</v>
      </c>
    </row>
    <row r="219" spans="1:67" x14ac:dyDescent="0.25">
      <c r="A219">
        <v>216</v>
      </c>
      <c r="B219">
        <v>80009</v>
      </c>
      <c r="C219" t="str">
        <f>VLOOKUP(B219,[1]resources!$A$2:$D$300,3,FALSE)</f>
        <v>!!FOOD_BAKED_MAROONEDMACAROONS</v>
      </c>
      <c r="D219">
        <v>12</v>
      </c>
      <c r="E219" t="str">
        <f>VLOOKUP(D219,[1]bonus_paytable!$A$2:$D$300,3,FALSE)</f>
        <v>policefish</v>
      </c>
      <c r="F219">
        <v>-1</v>
      </c>
      <c r="G219">
        <v>-1</v>
      </c>
      <c r="H219">
        <v>1</v>
      </c>
      <c r="I219" t="s">
        <v>1</v>
      </c>
      <c r="J219">
        <v>30000</v>
      </c>
      <c r="K219">
        <v>32</v>
      </c>
      <c r="L219">
        <v>15</v>
      </c>
      <c r="M219">
        <v>30008</v>
      </c>
      <c r="N219">
        <v>27</v>
      </c>
      <c r="O219">
        <v>30002</v>
      </c>
      <c r="P219">
        <v>40000</v>
      </c>
      <c r="Q219">
        <v>50004</v>
      </c>
      <c r="R219">
        <v>-1</v>
      </c>
      <c r="S219">
        <v>-1</v>
      </c>
      <c r="T219">
        <v>-1</v>
      </c>
      <c r="U219" s="2">
        <v>0.01</v>
      </c>
      <c r="V219" s="2">
        <v>0.03</v>
      </c>
      <c r="W219" s="2">
        <v>0.03</v>
      </c>
      <c r="X219" s="2">
        <v>0.03</v>
      </c>
      <c r="Y219" s="2">
        <v>0.05</v>
      </c>
      <c r="Z219" s="2">
        <v>0.05</v>
      </c>
      <c r="AA219" s="2">
        <v>0.05</v>
      </c>
      <c r="AB219" s="2">
        <v>0.05</v>
      </c>
      <c r="AC219" s="2">
        <v>-1</v>
      </c>
      <c r="AD219" s="2">
        <v>-1</v>
      </c>
      <c r="AE219" s="2">
        <v>-1</v>
      </c>
      <c r="AF219">
        <f t="shared" si="11"/>
        <v>1</v>
      </c>
      <c r="AG219">
        <f t="shared" si="12"/>
        <v>1</v>
      </c>
      <c r="AH219">
        <f t="shared" si="13"/>
        <v>1</v>
      </c>
      <c r="AI219">
        <f t="shared" si="14"/>
        <v>1</v>
      </c>
      <c r="AJ219">
        <f t="shared" si="15"/>
        <v>1</v>
      </c>
      <c r="AK219">
        <f t="shared" si="16"/>
        <v>1</v>
      </c>
      <c r="AL219">
        <f t="shared" si="17"/>
        <v>1</v>
      </c>
      <c r="AM219">
        <f t="shared" si="18"/>
        <v>1</v>
      </c>
      <c r="AN219">
        <f t="shared" si="19"/>
        <v>-1</v>
      </c>
      <c r="AO219">
        <f t="shared" si="20"/>
        <v>-1</v>
      </c>
      <c r="AP219">
        <f t="shared" si="21"/>
        <v>-1</v>
      </c>
      <c r="AQ219">
        <v>0</v>
      </c>
      <c r="AR219" t="s">
        <v>2</v>
      </c>
      <c r="AS219">
        <v>-1</v>
      </c>
      <c r="AT219">
        <v>-1</v>
      </c>
      <c r="AU219">
        <v>-1</v>
      </c>
      <c r="AV219">
        <v>-1</v>
      </c>
      <c r="AW219">
        <v>-1</v>
      </c>
      <c r="AX219">
        <v>-1</v>
      </c>
      <c r="AY219">
        <v>-1</v>
      </c>
      <c r="AZ219">
        <v>-1</v>
      </c>
      <c r="BA219">
        <v>-1</v>
      </c>
      <c r="BB219">
        <v>0</v>
      </c>
      <c r="BC219" t="s">
        <v>2</v>
      </c>
      <c r="BD219">
        <v>-1</v>
      </c>
      <c r="BE219">
        <v>-1</v>
      </c>
      <c r="BF219">
        <v>-1</v>
      </c>
      <c r="BG219">
        <v>-1</v>
      </c>
      <c r="BH219">
        <v>-1</v>
      </c>
      <c r="BI219">
        <v>-1</v>
      </c>
      <c r="BJ219">
        <v>-1</v>
      </c>
      <c r="BK219">
        <v>-1</v>
      </c>
      <c r="BL219">
        <v>-1</v>
      </c>
      <c r="BM219">
        <v>-1</v>
      </c>
      <c r="BN219">
        <v>-1</v>
      </c>
      <c r="BO219">
        <v>-1</v>
      </c>
    </row>
    <row r="220" spans="1:67" x14ac:dyDescent="0.25">
      <c r="A220">
        <v>217</v>
      </c>
      <c r="B220">
        <v>15</v>
      </c>
      <c r="C220" t="str">
        <f>VLOOKUP(B220,[1]resources!$A$2:$D$300,3,FALSE)</f>
        <v>!!FOOD_CRYJOHNNY</v>
      </c>
      <c r="D220">
        <v>13</v>
      </c>
      <c r="E220" t="str">
        <f>VLOOKUP(D220,[1]bonus_paytable!$A$2:$D$300,3,FALSE)</f>
        <v>squidward</v>
      </c>
      <c r="F220">
        <v>-1</v>
      </c>
      <c r="G220">
        <v>-1</v>
      </c>
      <c r="H220">
        <v>1</v>
      </c>
      <c r="I220" t="s">
        <v>1</v>
      </c>
      <c r="J220">
        <v>19</v>
      </c>
      <c r="K220">
        <v>16</v>
      </c>
      <c r="L220">
        <v>22</v>
      </c>
      <c r="M220">
        <v>30003</v>
      </c>
      <c r="N220">
        <v>96</v>
      </c>
      <c r="O220">
        <v>27</v>
      </c>
      <c r="P220">
        <v>30007</v>
      </c>
      <c r="Q220">
        <v>60016</v>
      </c>
      <c r="R220">
        <v>50005</v>
      </c>
      <c r="S220">
        <v>80007</v>
      </c>
      <c r="T220">
        <v>-1</v>
      </c>
      <c r="U220" s="2">
        <v>0.01</v>
      </c>
      <c r="V220" s="2">
        <v>0.03</v>
      </c>
      <c r="W220" s="2">
        <v>0.03</v>
      </c>
      <c r="X220" s="2">
        <v>0.03</v>
      </c>
      <c r="Y220" s="2">
        <v>0.05</v>
      </c>
      <c r="Z220" s="2">
        <v>0.05</v>
      </c>
      <c r="AA220" s="2">
        <v>0.05</v>
      </c>
      <c r="AB220" s="2">
        <v>0.05</v>
      </c>
      <c r="AC220" s="2">
        <v>0.05</v>
      </c>
      <c r="AD220" s="2">
        <v>0.05</v>
      </c>
      <c r="AE220" s="2">
        <v>-1</v>
      </c>
      <c r="AF220">
        <f t="shared" si="11"/>
        <v>1</v>
      </c>
      <c r="AG220">
        <f t="shared" si="12"/>
        <v>1</v>
      </c>
      <c r="AH220">
        <f t="shared" si="13"/>
        <v>1</v>
      </c>
      <c r="AI220">
        <f t="shared" si="14"/>
        <v>1</v>
      </c>
      <c r="AJ220">
        <f t="shared" si="15"/>
        <v>1</v>
      </c>
      <c r="AK220">
        <f t="shared" si="16"/>
        <v>1</v>
      </c>
      <c r="AL220">
        <f t="shared" si="17"/>
        <v>1</v>
      </c>
      <c r="AM220">
        <f t="shared" si="18"/>
        <v>1</v>
      </c>
      <c r="AN220">
        <f t="shared" si="19"/>
        <v>1</v>
      </c>
      <c r="AO220">
        <f t="shared" si="20"/>
        <v>1</v>
      </c>
      <c r="AP220">
        <f t="shared" si="21"/>
        <v>-1</v>
      </c>
      <c r="AQ220">
        <v>0</v>
      </c>
      <c r="AR220" t="s">
        <v>2</v>
      </c>
      <c r="AS220">
        <v>-1</v>
      </c>
      <c r="AT220">
        <v>-1</v>
      </c>
      <c r="AU220">
        <v>-1</v>
      </c>
      <c r="AV220">
        <v>-1</v>
      </c>
      <c r="AW220">
        <v>-1</v>
      </c>
      <c r="AX220">
        <v>-1</v>
      </c>
      <c r="AY220">
        <v>-1</v>
      </c>
      <c r="AZ220">
        <v>-1</v>
      </c>
      <c r="BA220">
        <v>-1</v>
      </c>
      <c r="BB220">
        <v>0</v>
      </c>
      <c r="BC220" t="s">
        <v>2</v>
      </c>
      <c r="BD220">
        <v>-1</v>
      </c>
      <c r="BE220">
        <v>-1</v>
      </c>
      <c r="BF220">
        <v>-1</v>
      </c>
      <c r="BG220">
        <v>-1</v>
      </c>
      <c r="BH220">
        <v>-1</v>
      </c>
      <c r="BI220">
        <v>-1</v>
      </c>
      <c r="BJ220">
        <v>-1</v>
      </c>
      <c r="BK220">
        <v>-1</v>
      </c>
      <c r="BL220">
        <v>-1</v>
      </c>
      <c r="BM220">
        <v>-1</v>
      </c>
      <c r="BN220">
        <v>-1</v>
      </c>
      <c r="BO220">
        <v>-1</v>
      </c>
    </row>
    <row r="221" spans="1:67" x14ac:dyDescent="0.25">
      <c r="A221">
        <v>218</v>
      </c>
      <c r="B221">
        <v>46</v>
      </c>
      <c r="C221" t="str">
        <f>VLOOKUP(B221,[1]resources!$A$2:$D$300,3,FALSE)</f>
        <v>!!FOOD_SALAD</v>
      </c>
      <c r="D221">
        <v>13</v>
      </c>
      <c r="E221" t="str">
        <f>VLOOKUP(D221,[1]bonus_paytable!$A$2:$D$300,3,FALSE)</f>
        <v>squidward</v>
      </c>
      <c r="F221">
        <v>-1</v>
      </c>
      <c r="G221">
        <v>-1</v>
      </c>
      <c r="H221">
        <v>1</v>
      </c>
      <c r="I221" t="s">
        <v>1</v>
      </c>
      <c r="J221">
        <v>19</v>
      </c>
      <c r="K221">
        <v>16</v>
      </c>
      <c r="L221">
        <v>22</v>
      </c>
      <c r="M221">
        <v>30003</v>
      </c>
      <c r="N221">
        <v>96</v>
      </c>
      <c r="O221">
        <v>27</v>
      </c>
      <c r="P221">
        <v>30007</v>
      </c>
      <c r="Q221">
        <v>60016</v>
      </c>
      <c r="R221">
        <v>50005</v>
      </c>
      <c r="S221">
        <v>80007</v>
      </c>
      <c r="T221">
        <v>-1</v>
      </c>
      <c r="U221" s="2">
        <v>0.01</v>
      </c>
      <c r="V221" s="2">
        <v>0.03</v>
      </c>
      <c r="W221" s="2">
        <v>0.03</v>
      </c>
      <c r="X221" s="2">
        <v>0.03</v>
      </c>
      <c r="Y221" s="2">
        <v>0.05</v>
      </c>
      <c r="Z221" s="2">
        <v>0.05</v>
      </c>
      <c r="AA221" s="2">
        <v>0.05</v>
      </c>
      <c r="AB221" s="2">
        <v>0.05</v>
      </c>
      <c r="AC221" s="2">
        <v>0.05</v>
      </c>
      <c r="AD221" s="2">
        <v>0.05</v>
      </c>
      <c r="AE221" s="2">
        <v>-1</v>
      </c>
      <c r="AF221">
        <f t="shared" si="11"/>
        <v>1</v>
      </c>
      <c r="AG221">
        <f t="shared" si="12"/>
        <v>1</v>
      </c>
      <c r="AH221">
        <f t="shared" si="13"/>
        <v>1</v>
      </c>
      <c r="AI221">
        <f t="shared" si="14"/>
        <v>1</v>
      </c>
      <c r="AJ221">
        <f t="shared" si="15"/>
        <v>1</v>
      </c>
      <c r="AK221">
        <f t="shared" si="16"/>
        <v>1</v>
      </c>
      <c r="AL221">
        <f t="shared" si="17"/>
        <v>1</v>
      </c>
      <c r="AM221">
        <f t="shared" si="18"/>
        <v>1</v>
      </c>
      <c r="AN221">
        <f t="shared" si="19"/>
        <v>1</v>
      </c>
      <c r="AO221">
        <f t="shared" si="20"/>
        <v>1</v>
      </c>
      <c r="AP221">
        <f t="shared" si="21"/>
        <v>-1</v>
      </c>
      <c r="AQ221">
        <v>0</v>
      </c>
      <c r="AR221" t="s">
        <v>2</v>
      </c>
      <c r="AS221">
        <v>-1</v>
      </c>
      <c r="AT221">
        <v>-1</v>
      </c>
      <c r="AU221">
        <v>-1</v>
      </c>
      <c r="AV221">
        <v>-1</v>
      </c>
      <c r="AW221">
        <v>-1</v>
      </c>
      <c r="AX221">
        <v>-1</v>
      </c>
      <c r="AY221">
        <v>-1</v>
      </c>
      <c r="AZ221">
        <v>-1</v>
      </c>
      <c r="BA221">
        <v>-1</v>
      </c>
      <c r="BB221">
        <v>0</v>
      </c>
      <c r="BC221" t="s">
        <v>2</v>
      </c>
      <c r="BD221">
        <v>-1</v>
      </c>
      <c r="BE221">
        <v>-1</v>
      </c>
      <c r="BF221">
        <v>-1</v>
      </c>
      <c r="BG221">
        <v>-1</v>
      </c>
      <c r="BH221">
        <v>-1</v>
      </c>
      <c r="BI221">
        <v>-1</v>
      </c>
      <c r="BJ221">
        <v>-1</v>
      </c>
      <c r="BK221">
        <v>-1</v>
      </c>
      <c r="BL221">
        <v>-1</v>
      </c>
      <c r="BM221">
        <v>-1</v>
      </c>
      <c r="BN221">
        <v>-1</v>
      </c>
      <c r="BO221">
        <v>-1</v>
      </c>
    </row>
    <row r="222" spans="1:67" x14ac:dyDescent="0.25">
      <c r="A222">
        <v>219</v>
      </c>
      <c r="B222">
        <v>28</v>
      </c>
      <c r="C222" t="str">
        <f>VLOOKUP(B222,[1]resources!$A$2:$D$300,3,FALSE)</f>
        <v>!!FOOD_BISQUE</v>
      </c>
      <c r="D222">
        <v>13</v>
      </c>
      <c r="E222" t="str">
        <f>VLOOKUP(D222,[1]bonus_paytable!$A$2:$D$300,3,FALSE)</f>
        <v>squidward</v>
      </c>
      <c r="F222">
        <v>-1</v>
      </c>
      <c r="G222">
        <v>-1</v>
      </c>
      <c r="H222">
        <v>1</v>
      </c>
      <c r="I222" t="s">
        <v>1</v>
      </c>
      <c r="J222">
        <v>19</v>
      </c>
      <c r="K222">
        <v>16</v>
      </c>
      <c r="L222">
        <v>22</v>
      </c>
      <c r="M222">
        <v>30003</v>
      </c>
      <c r="N222">
        <v>96</v>
      </c>
      <c r="O222">
        <v>27</v>
      </c>
      <c r="P222">
        <v>30007</v>
      </c>
      <c r="Q222">
        <v>60016</v>
      </c>
      <c r="R222">
        <v>50005</v>
      </c>
      <c r="S222">
        <v>80007</v>
      </c>
      <c r="T222">
        <v>-1</v>
      </c>
      <c r="U222" s="2">
        <v>0.01</v>
      </c>
      <c r="V222" s="2">
        <v>0.03</v>
      </c>
      <c r="W222" s="2">
        <v>0.03</v>
      </c>
      <c r="X222" s="2">
        <v>0.03</v>
      </c>
      <c r="Y222" s="2">
        <v>0.05</v>
      </c>
      <c r="Z222" s="2">
        <v>0.05</v>
      </c>
      <c r="AA222" s="2">
        <v>0.05</v>
      </c>
      <c r="AB222" s="2">
        <v>0.05</v>
      </c>
      <c r="AC222" s="2">
        <v>0.05</v>
      </c>
      <c r="AD222" s="2">
        <v>0.05</v>
      </c>
      <c r="AE222" s="2">
        <v>-1</v>
      </c>
      <c r="AF222">
        <f t="shared" si="11"/>
        <v>1</v>
      </c>
      <c r="AG222">
        <f t="shared" si="12"/>
        <v>1</v>
      </c>
      <c r="AH222">
        <f t="shared" si="13"/>
        <v>1</v>
      </c>
      <c r="AI222">
        <f t="shared" si="14"/>
        <v>1</v>
      </c>
      <c r="AJ222">
        <f t="shared" si="15"/>
        <v>1</v>
      </c>
      <c r="AK222">
        <f t="shared" si="16"/>
        <v>1</v>
      </c>
      <c r="AL222">
        <f t="shared" si="17"/>
        <v>1</v>
      </c>
      <c r="AM222">
        <f t="shared" si="18"/>
        <v>1</v>
      </c>
      <c r="AN222">
        <f t="shared" si="19"/>
        <v>1</v>
      </c>
      <c r="AO222">
        <f t="shared" si="20"/>
        <v>1</v>
      </c>
      <c r="AP222">
        <f t="shared" si="21"/>
        <v>-1</v>
      </c>
      <c r="AQ222">
        <v>0</v>
      </c>
      <c r="AR222" t="s">
        <v>2</v>
      </c>
      <c r="AS222">
        <v>-1</v>
      </c>
      <c r="AT222">
        <v>-1</v>
      </c>
      <c r="AU222">
        <v>-1</v>
      </c>
      <c r="AV222">
        <v>-1</v>
      </c>
      <c r="AW222">
        <v>-1</v>
      </c>
      <c r="AX222">
        <v>-1</v>
      </c>
      <c r="AY222">
        <v>-1</v>
      </c>
      <c r="AZ222">
        <v>-1</v>
      </c>
      <c r="BA222">
        <v>-1</v>
      </c>
      <c r="BB222">
        <v>0</v>
      </c>
      <c r="BC222" t="s">
        <v>2</v>
      </c>
      <c r="BD222">
        <v>-1</v>
      </c>
      <c r="BE222">
        <v>-1</v>
      </c>
      <c r="BF222">
        <v>-1</v>
      </c>
      <c r="BG222">
        <v>-1</v>
      </c>
      <c r="BH222">
        <v>-1</v>
      </c>
      <c r="BI222">
        <v>-1</v>
      </c>
      <c r="BJ222">
        <v>-1</v>
      </c>
      <c r="BK222">
        <v>-1</v>
      </c>
      <c r="BL222">
        <v>-1</v>
      </c>
      <c r="BM222">
        <v>-1</v>
      </c>
      <c r="BN222">
        <v>-1</v>
      </c>
      <c r="BO222">
        <v>-1</v>
      </c>
    </row>
    <row r="223" spans="1:67" x14ac:dyDescent="0.25">
      <c r="A223">
        <v>220</v>
      </c>
      <c r="B223">
        <v>41</v>
      </c>
      <c r="C223" t="str">
        <f>VLOOKUP(B223,[1]resources!$A$2:$D$300,3,FALSE)</f>
        <v>!!FOOD_GARLICBREAD</v>
      </c>
      <c r="D223">
        <v>13</v>
      </c>
      <c r="E223" t="str">
        <f>VLOOKUP(D223,[1]bonus_paytable!$A$2:$D$300,3,FALSE)</f>
        <v>squidward</v>
      </c>
      <c r="F223">
        <v>-1</v>
      </c>
      <c r="G223">
        <v>-1</v>
      </c>
      <c r="H223">
        <v>1</v>
      </c>
      <c r="I223" t="s">
        <v>1</v>
      </c>
      <c r="J223">
        <v>19</v>
      </c>
      <c r="K223">
        <v>16</v>
      </c>
      <c r="L223">
        <v>22</v>
      </c>
      <c r="M223">
        <v>30003</v>
      </c>
      <c r="N223">
        <v>96</v>
      </c>
      <c r="O223">
        <v>27</v>
      </c>
      <c r="P223">
        <v>30007</v>
      </c>
      <c r="Q223">
        <v>60016</v>
      </c>
      <c r="R223">
        <v>50005</v>
      </c>
      <c r="S223">
        <v>80007</v>
      </c>
      <c r="T223">
        <v>-1</v>
      </c>
      <c r="U223" s="2">
        <v>0.01</v>
      </c>
      <c r="V223" s="2">
        <v>0.03</v>
      </c>
      <c r="W223" s="2">
        <v>0.03</v>
      </c>
      <c r="X223" s="2">
        <v>0.03</v>
      </c>
      <c r="Y223" s="2">
        <v>0.05</v>
      </c>
      <c r="Z223" s="2">
        <v>0.05</v>
      </c>
      <c r="AA223" s="2">
        <v>0.05</v>
      </c>
      <c r="AB223" s="2">
        <v>0.05</v>
      </c>
      <c r="AC223" s="2">
        <v>0.05</v>
      </c>
      <c r="AD223" s="2">
        <v>0.05</v>
      </c>
      <c r="AE223" s="2">
        <v>-1</v>
      </c>
      <c r="AF223">
        <f t="shared" si="11"/>
        <v>1</v>
      </c>
      <c r="AG223">
        <f t="shared" si="12"/>
        <v>1</v>
      </c>
      <c r="AH223">
        <f t="shared" si="13"/>
        <v>1</v>
      </c>
      <c r="AI223">
        <f t="shared" si="14"/>
        <v>1</v>
      </c>
      <c r="AJ223">
        <f t="shared" si="15"/>
        <v>1</v>
      </c>
      <c r="AK223">
        <f t="shared" si="16"/>
        <v>1</v>
      </c>
      <c r="AL223">
        <f t="shared" si="17"/>
        <v>1</v>
      </c>
      <c r="AM223">
        <f t="shared" si="18"/>
        <v>1</v>
      </c>
      <c r="AN223">
        <f t="shared" si="19"/>
        <v>1</v>
      </c>
      <c r="AO223">
        <f t="shared" si="20"/>
        <v>1</v>
      </c>
      <c r="AP223">
        <f t="shared" si="21"/>
        <v>-1</v>
      </c>
      <c r="AQ223">
        <v>0</v>
      </c>
      <c r="AR223" t="s">
        <v>2</v>
      </c>
      <c r="AS223">
        <v>-1</v>
      </c>
      <c r="AT223">
        <v>-1</v>
      </c>
      <c r="AU223">
        <v>-1</v>
      </c>
      <c r="AV223">
        <v>-1</v>
      </c>
      <c r="AW223">
        <v>-1</v>
      </c>
      <c r="AX223">
        <v>-1</v>
      </c>
      <c r="AY223">
        <v>-1</v>
      </c>
      <c r="AZ223">
        <v>-1</v>
      </c>
      <c r="BA223">
        <v>-1</v>
      </c>
      <c r="BB223">
        <v>0</v>
      </c>
      <c r="BC223" t="s">
        <v>2</v>
      </c>
      <c r="BD223">
        <v>-1</v>
      </c>
      <c r="BE223">
        <v>-1</v>
      </c>
      <c r="BF223">
        <v>-1</v>
      </c>
      <c r="BG223">
        <v>-1</v>
      </c>
      <c r="BH223">
        <v>-1</v>
      </c>
      <c r="BI223">
        <v>-1</v>
      </c>
      <c r="BJ223">
        <v>-1</v>
      </c>
      <c r="BK223">
        <v>-1</v>
      </c>
      <c r="BL223">
        <v>-1</v>
      </c>
      <c r="BM223">
        <v>-1</v>
      </c>
      <c r="BN223">
        <v>-1</v>
      </c>
      <c r="BO223">
        <v>-1</v>
      </c>
    </row>
    <row r="224" spans="1:67" x14ac:dyDescent="0.25">
      <c r="A224">
        <v>221</v>
      </c>
      <c r="B224">
        <v>97</v>
      </c>
      <c r="C224" t="str">
        <f>VLOOKUP(B224,[1]resources!$A$2:$D$300,3,FALSE)</f>
        <v>!!FOOD_PICODEGALLO</v>
      </c>
      <c r="D224">
        <v>13</v>
      </c>
      <c r="E224" t="str">
        <f>VLOOKUP(D224,[1]bonus_paytable!$A$2:$D$300,3,FALSE)</f>
        <v>squidward</v>
      </c>
      <c r="F224">
        <v>-1</v>
      </c>
      <c r="G224">
        <v>-1</v>
      </c>
      <c r="H224">
        <v>1</v>
      </c>
      <c r="I224" t="s">
        <v>1</v>
      </c>
      <c r="J224">
        <v>19</v>
      </c>
      <c r="K224">
        <v>16</v>
      </c>
      <c r="L224">
        <v>22</v>
      </c>
      <c r="M224">
        <v>30003</v>
      </c>
      <c r="N224">
        <v>96</v>
      </c>
      <c r="O224">
        <v>27</v>
      </c>
      <c r="P224">
        <v>30007</v>
      </c>
      <c r="Q224">
        <v>60016</v>
      </c>
      <c r="R224">
        <v>50005</v>
      </c>
      <c r="S224">
        <v>80007</v>
      </c>
      <c r="T224">
        <v>-1</v>
      </c>
      <c r="U224" s="2">
        <v>0.01</v>
      </c>
      <c r="V224" s="2">
        <v>0.03</v>
      </c>
      <c r="W224" s="2">
        <v>0.03</v>
      </c>
      <c r="X224" s="2">
        <v>0.03</v>
      </c>
      <c r="Y224" s="2">
        <v>0.05</v>
      </c>
      <c r="Z224" s="2">
        <v>0.05</v>
      </c>
      <c r="AA224" s="2">
        <v>0.05</v>
      </c>
      <c r="AB224" s="2">
        <v>0.05</v>
      </c>
      <c r="AC224" s="2">
        <v>0.05</v>
      </c>
      <c r="AD224" s="2">
        <v>0.05</v>
      </c>
      <c r="AE224" s="2">
        <v>-1</v>
      </c>
      <c r="AF224">
        <f t="shared" si="11"/>
        <v>1</v>
      </c>
      <c r="AG224">
        <f t="shared" si="12"/>
        <v>1</v>
      </c>
      <c r="AH224">
        <f t="shared" si="13"/>
        <v>1</v>
      </c>
      <c r="AI224">
        <f t="shared" si="14"/>
        <v>1</v>
      </c>
      <c r="AJ224">
        <f t="shared" si="15"/>
        <v>1</v>
      </c>
      <c r="AK224">
        <f t="shared" si="16"/>
        <v>1</v>
      </c>
      <c r="AL224">
        <f t="shared" si="17"/>
        <v>1</v>
      </c>
      <c r="AM224">
        <f t="shared" si="18"/>
        <v>1</v>
      </c>
      <c r="AN224">
        <f t="shared" si="19"/>
        <v>1</v>
      </c>
      <c r="AO224">
        <f t="shared" si="20"/>
        <v>1</v>
      </c>
      <c r="AP224">
        <f t="shared" si="21"/>
        <v>-1</v>
      </c>
      <c r="AQ224">
        <v>0</v>
      </c>
      <c r="AR224" t="s">
        <v>2</v>
      </c>
      <c r="AS224">
        <v>-1</v>
      </c>
      <c r="AT224">
        <v>-1</v>
      </c>
      <c r="AU224">
        <v>-1</v>
      </c>
      <c r="AV224">
        <v>-1</v>
      </c>
      <c r="AW224">
        <v>-1</v>
      </c>
      <c r="AX224">
        <v>-1</v>
      </c>
      <c r="AY224">
        <v>-1</v>
      </c>
      <c r="AZ224">
        <v>-1</v>
      </c>
      <c r="BA224">
        <v>-1</v>
      </c>
      <c r="BB224">
        <v>0</v>
      </c>
      <c r="BC224" t="s">
        <v>2</v>
      </c>
      <c r="BD224">
        <v>-1</v>
      </c>
      <c r="BE224">
        <v>-1</v>
      </c>
      <c r="BF224">
        <v>-1</v>
      </c>
      <c r="BG224">
        <v>-1</v>
      </c>
      <c r="BH224">
        <v>-1</v>
      </c>
      <c r="BI224">
        <v>-1</v>
      </c>
      <c r="BJ224">
        <v>-1</v>
      </c>
      <c r="BK224">
        <v>-1</v>
      </c>
      <c r="BL224">
        <v>-1</v>
      </c>
      <c r="BM224">
        <v>-1</v>
      </c>
      <c r="BN224">
        <v>-1</v>
      </c>
      <c r="BO224">
        <v>-1</v>
      </c>
    </row>
    <row r="225" spans="1:67" x14ac:dyDescent="0.25">
      <c r="A225">
        <v>222</v>
      </c>
      <c r="B225">
        <v>20002</v>
      </c>
      <c r="C225" t="str">
        <f>VLOOKUP(B225,[1]resources!$A$2:$D$300,3,FALSE)</f>
        <v>!!JUICE_LIMEADE</v>
      </c>
      <c r="D225">
        <v>13</v>
      </c>
      <c r="E225" t="str">
        <f>VLOOKUP(D225,[1]bonus_paytable!$A$2:$D$300,3,FALSE)</f>
        <v>squidward</v>
      </c>
      <c r="F225">
        <v>-1</v>
      </c>
      <c r="G225">
        <v>-1</v>
      </c>
      <c r="H225">
        <v>1</v>
      </c>
      <c r="I225" t="s">
        <v>1</v>
      </c>
      <c r="J225">
        <v>19</v>
      </c>
      <c r="K225">
        <v>16</v>
      </c>
      <c r="L225">
        <v>22</v>
      </c>
      <c r="M225">
        <v>30003</v>
      </c>
      <c r="N225">
        <v>96</v>
      </c>
      <c r="O225">
        <v>27</v>
      </c>
      <c r="P225">
        <v>30007</v>
      </c>
      <c r="Q225">
        <v>60016</v>
      </c>
      <c r="R225">
        <v>50005</v>
      </c>
      <c r="S225">
        <v>80007</v>
      </c>
      <c r="T225">
        <v>-1</v>
      </c>
      <c r="U225" s="2">
        <v>0.01</v>
      </c>
      <c r="V225" s="2">
        <v>0.03</v>
      </c>
      <c r="W225" s="2">
        <v>0.03</v>
      </c>
      <c r="X225" s="2">
        <v>0.03</v>
      </c>
      <c r="Y225" s="2">
        <v>0.05</v>
      </c>
      <c r="Z225" s="2">
        <v>0.05</v>
      </c>
      <c r="AA225" s="2">
        <v>0.05</v>
      </c>
      <c r="AB225" s="2">
        <v>0.05</v>
      </c>
      <c r="AC225" s="2">
        <v>0.05</v>
      </c>
      <c r="AD225" s="2">
        <v>0.05</v>
      </c>
      <c r="AE225" s="2">
        <v>-1</v>
      </c>
      <c r="AF225">
        <f t="shared" si="11"/>
        <v>1</v>
      </c>
      <c r="AG225">
        <f t="shared" si="12"/>
        <v>1</v>
      </c>
      <c r="AH225">
        <f t="shared" si="13"/>
        <v>1</v>
      </c>
      <c r="AI225">
        <f t="shared" si="14"/>
        <v>1</v>
      </c>
      <c r="AJ225">
        <f t="shared" si="15"/>
        <v>1</v>
      </c>
      <c r="AK225">
        <f t="shared" si="16"/>
        <v>1</v>
      </c>
      <c r="AL225">
        <f t="shared" si="17"/>
        <v>1</v>
      </c>
      <c r="AM225">
        <f t="shared" si="18"/>
        <v>1</v>
      </c>
      <c r="AN225">
        <f t="shared" si="19"/>
        <v>1</v>
      </c>
      <c r="AO225">
        <f t="shared" si="20"/>
        <v>1</v>
      </c>
      <c r="AP225">
        <f t="shared" si="21"/>
        <v>-1</v>
      </c>
      <c r="AQ225">
        <v>0</v>
      </c>
      <c r="AR225" t="s">
        <v>2</v>
      </c>
      <c r="AS225">
        <v>-1</v>
      </c>
      <c r="AT225">
        <v>-1</v>
      </c>
      <c r="AU225">
        <v>-1</v>
      </c>
      <c r="AV225">
        <v>-1</v>
      </c>
      <c r="AW225">
        <v>-1</v>
      </c>
      <c r="AX225">
        <v>-1</v>
      </c>
      <c r="AY225">
        <v>-1</v>
      </c>
      <c r="AZ225">
        <v>-1</v>
      </c>
      <c r="BA225">
        <v>-1</v>
      </c>
      <c r="BB225">
        <v>0</v>
      </c>
      <c r="BC225" t="s">
        <v>2</v>
      </c>
      <c r="BD225">
        <v>-1</v>
      </c>
      <c r="BE225">
        <v>-1</v>
      </c>
      <c r="BF225">
        <v>-1</v>
      </c>
      <c r="BG225">
        <v>-1</v>
      </c>
      <c r="BH225">
        <v>-1</v>
      </c>
      <c r="BI225">
        <v>-1</v>
      </c>
      <c r="BJ225">
        <v>-1</v>
      </c>
      <c r="BK225">
        <v>-1</v>
      </c>
      <c r="BL225">
        <v>-1</v>
      </c>
      <c r="BM225">
        <v>-1</v>
      </c>
      <c r="BN225">
        <v>-1</v>
      </c>
      <c r="BO225">
        <v>-1</v>
      </c>
    </row>
    <row r="226" spans="1:67" x14ac:dyDescent="0.25">
      <c r="A226">
        <v>223</v>
      </c>
      <c r="B226">
        <v>50006</v>
      </c>
      <c r="C226" t="str">
        <f>VLOOKUP(B226,[1]resources!$A$2:$D$300,3,FALSE)</f>
        <v>!!SHAKE_TARTBERRY_TWIST</v>
      </c>
      <c r="D226">
        <v>13</v>
      </c>
      <c r="E226" t="str">
        <f>VLOOKUP(D226,[1]bonus_paytable!$A$2:$D$300,3,FALSE)</f>
        <v>squidward</v>
      </c>
      <c r="F226">
        <v>-1</v>
      </c>
      <c r="G226">
        <v>-1</v>
      </c>
      <c r="H226">
        <v>1</v>
      </c>
      <c r="I226" t="s">
        <v>1</v>
      </c>
      <c r="J226">
        <v>19</v>
      </c>
      <c r="K226">
        <v>16</v>
      </c>
      <c r="L226">
        <v>22</v>
      </c>
      <c r="M226">
        <v>30003</v>
      </c>
      <c r="N226">
        <v>96</v>
      </c>
      <c r="O226">
        <v>27</v>
      </c>
      <c r="P226">
        <v>30007</v>
      </c>
      <c r="Q226">
        <v>60016</v>
      </c>
      <c r="R226">
        <v>50005</v>
      </c>
      <c r="S226">
        <v>80007</v>
      </c>
      <c r="T226">
        <v>-1</v>
      </c>
      <c r="U226" s="2">
        <v>0.01</v>
      </c>
      <c r="V226" s="2">
        <v>0.03</v>
      </c>
      <c r="W226" s="2">
        <v>0.03</v>
      </c>
      <c r="X226" s="2">
        <v>0.03</v>
      </c>
      <c r="Y226" s="2">
        <v>0.05</v>
      </c>
      <c r="Z226" s="2">
        <v>0.05</v>
      </c>
      <c r="AA226" s="2">
        <v>0.05</v>
      </c>
      <c r="AB226" s="2">
        <v>0.05</v>
      </c>
      <c r="AC226" s="2">
        <v>0.05</v>
      </c>
      <c r="AD226" s="2">
        <v>0.05</v>
      </c>
      <c r="AE226" s="2">
        <v>-1</v>
      </c>
      <c r="AF226">
        <f t="shared" si="11"/>
        <v>1</v>
      </c>
      <c r="AG226">
        <f t="shared" si="12"/>
        <v>1</v>
      </c>
      <c r="AH226">
        <f t="shared" si="13"/>
        <v>1</v>
      </c>
      <c r="AI226">
        <f t="shared" si="14"/>
        <v>1</v>
      </c>
      <c r="AJ226">
        <f t="shared" si="15"/>
        <v>1</v>
      </c>
      <c r="AK226">
        <f t="shared" si="16"/>
        <v>1</v>
      </c>
      <c r="AL226">
        <f t="shared" si="17"/>
        <v>1</v>
      </c>
      <c r="AM226">
        <f t="shared" si="18"/>
        <v>1</v>
      </c>
      <c r="AN226">
        <f t="shared" si="19"/>
        <v>1</v>
      </c>
      <c r="AO226">
        <f t="shared" si="20"/>
        <v>1</v>
      </c>
      <c r="AP226">
        <f t="shared" si="21"/>
        <v>-1</v>
      </c>
      <c r="AQ226">
        <v>0</v>
      </c>
      <c r="AR226" t="s">
        <v>2</v>
      </c>
      <c r="AS226">
        <v>-1</v>
      </c>
      <c r="AT226">
        <v>-1</v>
      </c>
      <c r="AU226">
        <v>-1</v>
      </c>
      <c r="AV226">
        <v>-1</v>
      </c>
      <c r="AW226">
        <v>-1</v>
      </c>
      <c r="AX226">
        <v>-1</v>
      </c>
      <c r="AY226">
        <v>-1</v>
      </c>
      <c r="AZ226">
        <v>-1</v>
      </c>
      <c r="BA226">
        <v>-1</v>
      </c>
      <c r="BB226">
        <v>0</v>
      </c>
      <c r="BC226" t="s">
        <v>2</v>
      </c>
      <c r="BD226">
        <v>-1</v>
      </c>
      <c r="BE226">
        <v>-1</v>
      </c>
      <c r="BF226">
        <v>-1</v>
      </c>
      <c r="BG226">
        <v>-1</v>
      </c>
      <c r="BH226">
        <v>-1</v>
      </c>
      <c r="BI226">
        <v>-1</v>
      </c>
      <c r="BJ226">
        <v>-1</v>
      </c>
      <c r="BK226">
        <v>-1</v>
      </c>
      <c r="BL226">
        <v>-1</v>
      </c>
      <c r="BM226">
        <v>-1</v>
      </c>
      <c r="BN226">
        <v>-1</v>
      </c>
      <c r="BO226">
        <v>-1</v>
      </c>
    </row>
    <row r="227" spans="1:67" x14ac:dyDescent="0.25">
      <c r="A227">
        <v>224</v>
      </c>
      <c r="B227">
        <v>60015</v>
      </c>
      <c r="C227" t="str">
        <f>VLOOKUP(B227,[1]resources!$A$2:$D$300,3,FALSE)</f>
        <v>!!BOUQUET_FLOWERCORAL_CUPN2FLOWERS</v>
      </c>
      <c r="D227">
        <v>13</v>
      </c>
      <c r="E227" t="str">
        <f>VLOOKUP(D227,[1]bonus_paytable!$A$2:$D$300,3,FALSE)</f>
        <v>squidward</v>
      </c>
      <c r="F227">
        <v>-1</v>
      </c>
      <c r="G227">
        <v>-1</v>
      </c>
      <c r="H227">
        <v>1</v>
      </c>
      <c r="I227" t="s">
        <v>1</v>
      </c>
      <c r="J227">
        <v>19</v>
      </c>
      <c r="K227">
        <v>16</v>
      </c>
      <c r="L227">
        <v>22</v>
      </c>
      <c r="M227">
        <v>30003</v>
      </c>
      <c r="N227">
        <v>96</v>
      </c>
      <c r="O227">
        <v>27</v>
      </c>
      <c r="P227">
        <v>30007</v>
      </c>
      <c r="Q227">
        <v>60016</v>
      </c>
      <c r="R227">
        <v>50005</v>
      </c>
      <c r="S227">
        <v>80007</v>
      </c>
      <c r="T227">
        <v>-1</v>
      </c>
      <c r="U227" s="2">
        <v>0.01</v>
      </c>
      <c r="V227" s="2">
        <v>0.03</v>
      </c>
      <c r="W227" s="2">
        <v>0.03</v>
      </c>
      <c r="X227" s="2">
        <v>0.03</v>
      </c>
      <c r="Y227" s="2">
        <v>0.05</v>
      </c>
      <c r="Z227" s="2">
        <v>0.05</v>
      </c>
      <c r="AA227" s="2">
        <v>0.05</v>
      </c>
      <c r="AB227" s="2">
        <v>0.05</v>
      </c>
      <c r="AC227" s="2">
        <v>0.05</v>
      </c>
      <c r="AD227" s="2">
        <v>0.05</v>
      </c>
      <c r="AE227" s="2">
        <v>-1</v>
      </c>
      <c r="AF227">
        <f t="shared" si="11"/>
        <v>1</v>
      </c>
      <c r="AG227">
        <f t="shared" si="12"/>
        <v>1</v>
      </c>
      <c r="AH227">
        <f t="shared" si="13"/>
        <v>1</v>
      </c>
      <c r="AI227">
        <f t="shared" si="14"/>
        <v>1</v>
      </c>
      <c r="AJ227">
        <f t="shared" si="15"/>
        <v>1</v>
      </c>
      <c r="AK227">
        <f t="shared" si="16"/>
        <v>1</v>
      </c>
      <c r="AL227">
        <f t="shared" si="17"/>
        <v>1</v>
      </c>
      <c r="AM227">
        <f t="shared" si="18"/>
        <v>1</v>
      </c>
      <c r="AN227">
        <f t="shared" si="19"/>
        <v>1</v>
      </c>
      <c r="AO227">
        <f t="shared" si="20"/>
        <v>1</v>
      </c>
      <c r="AP227">
        <f t="shared" si="21"/>
        <v>-1</v>
      </c>
      <c r="AQ227">
        <v>0</v>
      </c>
      <c r="AR227" t="s">
        <v>2</v>
      </c>
      <c r="AS227">
        <v>-1</v>
      </c>
      <c r="AT227">
        <v>-1</v>
      </c>
      <c r="AU227">
        <v>-1</v>
      </c>
      <c r="AV227">
        <v>-1</v>
      </c>
      <c r="AW227">
        <v>-1</v>
      </c>
      <c r="AX227">
        <v>-1</v>
      </c>
      <c r="AY227">
        <v>-1</v>
      </c>
      <c r="AZ227">
        <v>-1</v>
      </c>
      <c r="BA227">
        <v>-1</v>
      </c>
      <c r="BB227">
        <v>0</v>
      </c>
      <c r="BC227" t="s">
        <v>2</v>
      </c>
      <c r="BD227">
        <v>-1</v>
      </c>
      <c r="BE227">
        <v>-1</v>
      </c>
      <c r="BF227">
        <v>-1</v>
      </c>
      <c r="BG227">
        <v>-1</v>
      </c>
      <c r="BH227">
        <v>-1</v>
      </c>
      <c r="BI227">
        <v>-1</v>
      </c>
      <c r="BJ227">
        <v>-1</v>
      </c>
      <c r="BK227">
        <v>-1</v>
      </c>
      <c r="BL227">
        <v>-1</v>
      </c>
      <c r="BM227">
        <v>-1</v>
      </c>
      <c r="BN227">
        <v>-1</v>
      </c>
      <c r="BO227">
        <v>-1</v>
      </c>
    </row>
    <row r="228" spans="1:67" x14ac:dyDescent="0.25">
      <c r="A228">
        <v>225</v>
      </c>
      <c r="B228">
        <v>60016</v>
      </c>
      <c r="C228" t="str">
        <f>VLOOKUP(B228,[1]resources!$A$2:$D$300,3,FALSE)</f>
        <v>!!BOUQUET_FLOWERCORAL_BUNCHOBRANCHES</v>
      </c>
      <c r="D228">
        <v>13</v>
      </c>
      <c r="E228" t="str">
        <f>VLOOKUP(D228,[1]bonus_paytable!$A$2:$D$300,3,FALSE)</f>
        <v>squidward</v>
      </c>
      <c r="F228">
        <v>-1</v>
      </c>
      <c r="G228">
        <v>-1</v>
      </c>
      <c r="H228">
        <v>1</v>
      </c>
      <c r="I228" t="s">
        <v>1</v>
      </c>
      <c r="J228">
        <v>19</v>
      </c>
      <c r="K228">
        <v>16</v>
      </c>
      <c r="L228">
        <v>22</v>
      </c>
      <c r="M228">
        <v>30003</v>
      </c>
      <c r="N228">
        <v>96</v>
      </c>
      <c r="O228">
        <v>27</v>
      </c>
      <c r="P228">
        <v>30007</v>
      </c>
      <c r="Q228">
        <v>60016</v>
      </c>
      <c r="R228">
        <v>50005</v>
      </c>
      <c r="S228">
        <v>80007</v>
      </c>
      <c r="T228">
        <v>-1</v>
      </c>
      <c r="U228" s="2">
        <v>0.01</v>
      </c>
      <c r="V228" s="2">
        <v>0.03</v>
      </c>
      <c r="W228" s="2">
        <v>0.03</v>
      </c>
      <c r="X228" s="2">
        <v>0.03</v>
      </c>
      <c r="Y228" s="2">
        <v>0.05</v>
      </c>
      <c r="Z228" s="2">
        <v>0.05</v>
      </c>
      <c r="AA228" s="2">
        <v>0.05</v>
      </c>
      <c r="AB228" s="2">
        <v>0.05</v>
      </c>
      <c r="AC228" s="2">
        <v>0.05</v>
      </c>
      <c r="AD228" s="2">
        <v>0.05</v>
      </c>
      <c r="AE228" s="2">
        <v>-1</v>
      </c>
      <c r="AF228">
        <f t="shared" si="11"/>
        <v>1</v>
      </c>
      <c r="AG228">
        <f t="shared" si="12"/>
        <v>1</v>
      </c>
      <c r="AH228">
        <f t="shared" si="13"/>
        <v>1</v>
      </c>
      <c r="AI228">
        <f t="shared" si="14"/>
        <v>1</v>
      </c>
      <c r="AJ228">
        <f t="shared" si="15"/>
        <v>1</v>
      </c>
      <c r="AK228">
        <f t="shared" si="16"/>
        <v>1</v>
      </c>
      <c r="AL228">
        <f t="shared" si="17"/>
        <v>1</v>
      </c>
      <c r="AM228">
        <f t="shared" si="18"/>
        <v>1</v>
      </c>
      <c r="AN228">
        <f t="shared" si="19"/>
        <v>1</v>
      </c>
      <c r="AO228">
        <f t="shared" si="20"/>
        <v>1</v>
      </c>
      <c r="AP228">
        <f t="shared" si="21"/>
        <v>-1</v>
      </c>
      <c r="AQ228">
        <v>0</v>
      </c>
      <c r="AR228" t="s">
        <v>2</v>
      </c>
      <c r="AS228">
        <v>-1</v>
      </c>
      <c r="AT228">
        <v>-1</v>
      </c>
      <c r="AU228">
        <v>-1</v>
      </c>
      <c r="AV228">
        <v>-1</v>
      </c>
      <c r="AW228">
        <v>-1</v>
      </c>
      <c r="AX228">
        <v>-1</v>
      </c>
      <c r="AY228">
        <v>-1</v>
      </c>
      <c r="AZ228">
        <v>-1</v>
      </c>
      <c r="BA228">
        <v>-1</v>
      </c>
      <c r="BB228">
        <v>0</v>
      </c>
      <c r="BC228" t="s">
        <v>2</v>
      </c>
      <c r="BD228">
        <v>-1</v>
      </c>
      <c r="BE228">
        <v>-1</v>
      </c>
      <c r="BF228">
        <v>-1</v>
      </c>
      <c r="BG228">
        <v>-1</v>
      </c>
      <c r="BH228">
        <v>-1</v>
      </c>
      <c r="BI228">
        <v>-1</v>
      </c>
      <c r="BJ228">
        <v>-1</v>
      </c>
      <c r="BK228">
        <v>-1</v>
      </c>
      <c r="BL228">
        <v>-1</v>
      </c>
      <c r="BM228">
        <v>-1</v>
      </c>
      <c r="BN228">
        <v>-1</v>
      </c>
      <c r="BO228">
        <v>-1</v>
      </c>
    </row>
    <row r="229" spans="1:67" x14ac:dyDescent="0.25">
      <c r="A229">
        <v>226</v>
      </c>
      <c r="B229">
        <v>70008</v>
      </c>
      <c r="C229" t="str">
        <f>VLOOKUP(B229,[1]resources!$A$2:$D$300,3,FALSE)</f>
        <v>!!PERFUME_SCENTOSAILOR</v>
      </c>
      <c r="D229">
        <v>13</v>
      </c>
      <c r="E229" t="str">
        <f>VLOOKUP(D229,[1]bonus_paytable!$A$2:$D$300,3,FALSE)</f>
        <v>squidward</v>
      </c>
      <c r="F229">
        <v>-1</v>
      </c>
      <c r="G229">
        <v>-1</v>
      </c>
      <c r="H229">
        <v>1</v>
      </c>
      <c r="I229" t="s">
        <v>1</v>
      </c>
      <c r="J229">
        <v>19</v>
      </c>
      <c r="K229">
        <v>16</v>
      </c>
      <c r="L229">
        <v>22</v>
      </c>
      <c r="M229">
        <v>30003</v>
      </c>
      <c r="N229">
        <v>96</v>
      </c>
      <c r="O229">
        <v>27</v>
      </c>
      <c r="P229">
        <v>30007</v>
      </c>
      <c r="Q229">
        <v>60016</v>
      </c>
      <c r="R229">
        <v>50005</v>
      </c>
      <c r="S229">
        <v>80007</v>
      </c>
      <c r="T229">
        <v>-1</v>
      </c>
      <c r="U229" s="2">
        <v>0.01</v>
      </c>
      <c r="V229" s="2">
        <v>0.03</v>
      </c>
      <c r="W229" s="2">
        <v>0.03</v>
      </c>
      <c r="X229" s="2">
        <v>0.03</v>
      </c>
      <c r="Y229" s="2">
        <v>0.05</v>
      </c>
      <c r="Z229" s="2">
        <v>0.05</v>
      </c>
      <c r="AA229" s="2">
        <v>0.05</v>
      </c>
      <c r="AB229" s="2">
        <v>0.05</v>
      </c>
      <c r="AC229" s="2">
        <v>0.05</v>
      </c>
      <c r="AD229" s="2">
        <v>0.05</v>
      </c>
      <c r="AE229" s="2">
        <v>-1</v>
      </c>
      <c r="AF229">
        <f t="shared" si="11"/>
        <v>1</v>
      </c>
      <c r="AG229">
        <f t="shared" si="12"/>
        <v>1</v>
      </c>
      <c r="AH229">
        <f t="shared" si="13"/>
        <v>1</v>
      </c>
      <c r="AI229">
        <f t="shared" si="14"/>
        <v>1</v>
      </c>
      <c r="AJ229">
        <f t="shared" si="15"/>
        <v>1</v>
      </c>
      <c r="AK229">
        <f t="shared" si="16"/>
        <v>1</v>
      </c>
      <c r="AL229">
        <f t="shared" si="17"/>
        <v>1</v>
      </c>
      <c r="AM229">
        <f t="shared" si="18"/>
        <v>1</v>
      </c>
      <c r="AN229">
        <f t="shared" si="19"/>
        <v>1</v>
      </c>
      <c r="AO229">
        <f t="shared" si="20"/>
        <v>1</v>
      </c>
      <c r="AP229">
        <f t="shared" si="21"/>
        <v>-1</v>
      </c>
      <c r="AQ229">
        <v>0</v>
      </c>
      <c r="AR229" t="s">
        <v>2</v>
      </c>
      <c r="AS229">
        <v>-1</v>
      </c>
      <c r="AT229">
        <v>-1</v>
      </c>
      <c r="AU229">
        <v>-1</v>
      </c>
      <c r="AV229">
        <v>-1</v>
      </c>
      <c r="AW229">
        <v>-1</v>
      </c>
      <c r="AX229">
        <v>-1</v>
      </c>
      <c r="AY229">
        <v>-1</v>
      </c>
      <c r="AZ229">
        <v>-1</v>
      </c>
      <c r="BA229">
        <v>-1</v>
      </c>
      <c r="BB229">
        <v>0</v>
      </c>
      <c r="BC229" t="s">
        <v>2</v>
      </c>
      <c r="BD229">
        <v>-1</v>
      </c>
      <c r="BE229">
        <v>-1</v>
      </c>
      <c r="BF229">
        <v>-1</v>
      </c>
      <c r="BG229">
        <v>-1</v>
      </c>
      <c r="BH229">
        <v>-1</v>
      </c>
      <c r="BI229">
        <v>-1</v>
      </c>
      <c r="BJ229">
        <v>-1</v>
      </c>
      <c r="BK229">
        <v>-1</v>
      </c>
      <c r="BL229">
        <v>-1</v>
      </c>
      <c r="BM229">
        <v>-1</v>
      </c>
      <c r="BN229">
        <v>-1</v>
      </c>
      <c r="BO229">
        <v>-1</v>
      </c>
    </row>
    <row r="230" spans="1:67" x14ac:dyDescent="0.25">
      <c r="A230">
        <v>227</v>
      </c>
      <c r="B230">
        <v>80004</v>
      </c>
      <c r="C230" t="str">
        <f>VLOOKUP(B230,[1]resources!$A$2:$D$300,3,FALSE)</f>
        <v>!!FOOD_BAKED_DUTCHMANSDUTCHAPPLEPIE</v>
      </c>
      <c r="D230">
        <v>13</v>
      </c>
      <c r="E230" t="str">
        <f>VLOOKUP(D230,[1]bonus_paytable!$A$2:$D$300,3,FALSE)</f>
        <v>squidward</v>
      </c>
      <c r="F230">
        <v>-1</v>
      </c>
      <c r="G230">
        <v>-1</v>
      </c>
      <c r="H230">
        <v>1</v>
      </c>
      <c r="I230" t="s">
        <v>1</v>
      </c>
      <c r="J230">
        <v>19</v>
      </c>
      <c r="K230">
        <v>16</v>
      </c>
      <c r="L230">
        <v>22</v>
      </c>
      <c r="M230">
        <v>30003</v>
      </c>
      <c r="N230">
        <v>96</v>
      </c>
      <c r="O230">
        <v>27</v>
      </c>
      <c r="P230">
        <v>30007</v>
      </c>
      <c r="Q230">
        <v>60016</v>
      </c>
      <c r="R230">
        <v>50005</v>
      </c>
      <c r="S230">
        <v>80007</v>
      </c>
      <c r="T230">
        <v>-1</v>
      </c>
      <c r="U230" s="2">
        <v>0.01</v>
      </c>
      <c r="V230" s="2">
        <v>0.03</v>
      </c>
      <c r="W230" s="2">
        <v>0.03</v>
      </c>
      <c r="X230" s="2">
        <v>0.03</v>
      </c>
      <c r="Y230" s="2">
        <v>0.05</v>
      </c>
      <c r="Z230" s="2">
        <v>0.05</v>
      </c>
      <c r="AA230" s="2">
        <v>0.05</v>
      </c>
      <c r="AB230" s="2">
        <v>0.05</v>
      </c>
      <c r="AC230" s="2">
        <v>0.05</v>
      </c>
      <c r="AD230" s="2">
        <v>0.05</v>
      </c>
      <c r="AE230" s="2">
        <v>-1</v>
      </c>
      <c r="AF230">
        <f t="shared" si="11"/>
        <v>1</v>
      </c>
      <c r="AG230">
        <f t="shared" si="12"/>
        <v>1</v>
      </c>
      <c r="AH230">
        <f t="shared" si="13"/>
        <v>1</v>
      </c>
      <c r="AI230">
        <f t="shared" si="14"/>
        <v>1</v>
      </c>
      <c r="AJ230">
        <f t="shared" si="15"/>
        <v>1</v>
      </c>
      <c r="AK230">
        <f t="shared" si="16"/>
        <v>1</v>
      </c>
      <c r="AL230">
        <f t="shared" si="17"/>
        <v>1</v>
      </c>
      <c r="AM230">
        <f t="shared" si="18"/>
        <v>1</v>
      </c>
      <c r="AN230">
        <f t="shared" si="19"/>
        <v>1</v>
      </c>
      <c r="AO230">
        <f t="shared" si="20"/>
        <v>1</v>
      </c>
      <c r="AP230">
        <f t="shared" si="21"/>
        <v>-1</v>
      </c>
      <c r="AQ230">
        <v>0</v>
      </c>
      <c r="AR230" t="s">
        <v>2</v>
      </c>
      <c r="AS230">
        <v>-1</v>
      </c>
      <c r="AT230">
        <v>-1</v>
      </c>
      <c r="AU230">
        <v>-1</v>
      </c>
      <c r="AV230">
        <v>-1</v>
      </c>
      <c r="AW230">
        <v>-1</v>
      </c>
      <c r="AX230">
        <v>-1</v>
      </c>
      <c r="AY230">
        <v>-1</v>
      </c>
      <c r="AZ230">
        <v>-1</v>
      </c>
      <c r="BA230">
        <v>-1</v>
      </c>
      <c r="BB230">
        <v>0</v>
      </c>
      <c r="BC230" t="s">
        <v>2</v>
      </c>
      <c r="BD230">
        <v>-1</v>
      </c>
      <c r="BE230">
        <v>-1</v>
      </c>
      <c r="BF230">
        <v>-1</v>
      </c>
      <c r="BG230">
        <v>-1</v>
      </c>
      <c r="BH230">
        <v>-1</v>
      </c>
      <c r="BI230">
        <v>-1</v>
      </c>
      <c r="BJ230">
        <v>-1</v>
      </c>
      <c r="BK230">
        <v>-1</v>
      </c>
      <c r="BL230">
        <v>-1</v>
      </c>
      <c r="BM230">
        <v>-1</v>
      </c>
      <c r="BN230">
        <v>-1</v>
      </c>
      <c r="BO230">
        <v>-1</v>
      </c>
    </row>
    <row r="231" spans="1:67" x14ac:dyDescent="0.25">
      <c r="A231">
        <v>228</v>
      </c>
      <c r="B231">
        <v>15</v>
      </c>
      <c r="C231" t="str">
        <f>VLOOKUP(B231,[1]resources!$A$2:$D$300,3,FALSE)</f>
        <v>!!FOOD_CRYJOHNNY</v>
      </c>
      <c r="D231">
        <v>14</v>
      </c>
      <c r="E231" t="str">
        <f>VLOOKUP(D231,[1]bonus_paytable!$A$2:$D$300,3,FALSE)</f>
        <v>bottomite_blue_male_average</v>
      </c>
      <c r="F231">
        <v>-1</v>
      </c>
      <c r="G231">
        <v>-1</v>
      </c>
      <c r="H231">
        <v>1</v>
      </c>
      <c r="I231" t="s">
        <v>1</v>
      </c>
      <c r="J231">
        <v>30004</v>
      </c>
      <c r="K231">
        <v>80014</v>
      </c>
      <c r="L231">
        <v>97</v>
      </c>
      <c r="M231">
        <v>2000</v>
      </c>
      <c r="N231">
        <v>50006</v>
      </c>
      <c r="O231">
        <v>99</v>
      </c>
      <c r="P231">
        <v>80007</v>
      </c>
      <c r="Q231">
        <v>-1</v>
      </c>
      <c r="R231">
        <v>-1</v>
      </c>
      <c r="S231">
        <v>-1</v>
      </c>
      <c r="T231">
        <v>-1</v>
      </c>
      <c r="U231" s="2">
        <v>0.01</v>
      </c>
      <c r="V231" s="2">
        <v>0.03</v>
      </c>
      <c r="W231" s="2">
        <v>0.03</v>
      </c>
      <c r="X231" s="2">
        <v>0.03</v>
      </c>
      <c r="Y231" s="2">
        <v>0.03</v>
      </c>
      <c r="Z231" s="2">
        <v>0.05</v>
      </c>
      <c r="AA231" s="2">
        <v>0.05</v>
      </c>
      <c r="AB231" s="2">
        <v>-1</v>
      </c>
      <c r="AC231" s="2">
        <v>-1</v>
      </c>
      <c r="AD231" s="2">
        <v>-1</v>
      </c>
      <c r="AE231" s="2">
        <v>-1</v>
      </c>
      <c r="AF231">
        <f t="shared" si="11"/>
        <v>1</v>
      </c>
      <c r="AG231">
        <f t="shared" si="12"/>
        <v>1</v>
      </c>
      <c r="AH231">
        <f t="shared" si="13"/>
        <v>1</v>
      </c>
      <c r="AI231">
        <f t="shared" si="14"/>
        <v>1</v>
      </c>
      <c r="AJ231">
        <f t="shared" si="15"/>
        <v>1</v>
      </c>
      <c r="AK231">
        <f t="shared" si="16"/>
        <v>1</v>
      </c>
      <c r="AL231">
        <f t="shared" si="17"/>
        <v>1</v>
      </c>
      <c r="AM231">
        <f t="shared" si="18"/>
        <v>-1</v>
      </c>
      <c r="AN231">
        <f t="shared" si="19"/>
        <v>-1</v>
      </c>
      <c r="AO231">
        <f t="shared" si="20"/>
        <v>-1</v>
      </c>
      <c r="AP231">
        <f t="shared" si="21"/>
        <v>-1</v>
      </c>
      <c r="AQ231">
        <v>0</v>
      </c>
      <c r="AR231" t="s">
        <v>2</v>
      </c>
      <c r="AS231">
        <v>-1</v>
      </c>
      <c r="AT231">
        <v>-1</v>
      </c>
      <c r="AU231">
        <v>-1</v>
      </c>
      <c r="AV231">
        <v>-1</v>
      </c>
      <c r="AW231">
        <v>-1</v>
      </c>
      <c r="AX231">
        <v>-1</v>
      </c>
      <c r="AY231">
        <v>-1</v>
      </c>
      <c r="AZ231">
        <v>-1</v>
      </c>
      <c r="BA231">
        <v>-1</v>
      </c>
      <c r="BB231">
        <v>0</v>
      </c>
      <c r="BC231" t="s">
        <v>2</v>
      </c>
      <c r="BD231">
        <v>-1</v>
      </c>
      <c r="BE231">
        <v>-1</v>
      </c>
      <c r="BF231">
        <v>-1</v>
      </c>
      <c r="BG231">
        <v>-1</v>
      </c>
      <c r="BH231">
        <v>-1</v>
      </c>
      <c r="BI231">
        <v>-1</v>
      </c>
      <c r="BJ231">
        <v>-1</v>
      </c>
      <c r="BK231">
        <v>-1</v>
      </c>
      <c r="BL231">
        <v>-1</v>
      </c>
      <c r="BM231">
        <v>-1</v>
      </c>
      <c r="BN231">
        <v>-1</v>
      </c>
      <c r="BO231">
        <v>-1</v>
      </c>
    </row>
    <row r="232" spans="1:67" x14ac:dyDescent="0.25">
      <c r="A232">
        <v>229</v>
      </c>
      <c r="B232">
        <v>41</v>
      </c>
      <c r="C232" t="str">
        <f>VLOOKUP(B232,[1]resources!$A$2:$D$300,3,FALSE)</f>
        <v>!!FOOD_GARLICBREAD</v>
      </c>
      <c r="D232">
        <v>14</v>
      </c>
      <c r="E232" t="str">
        <f>VLOOKUP(D232,[1]bonus_paytable!$A$2:$D$300,3,FALSE)</f>
        <v>bottomite_blue_male_average</v>
      </c>
      <c r="F232">
        <v>-1</v>
      </c>
      <c r="G232">
        <v>-1</v>
      </c>
      <c r="H232">
        <v>1</v>
      </c>
      <c r="I232" t="s">
        <v>1</v>
      </c>
      <c r="J232">
        <v>30004</v>
      </c>
      <c r="K232">
        <v>80014</v>
      </c>
      <c r="L232">
        <v>97</v>
      </c>
      <c r="M232">
        <v>2000</v>
      </c>
      <c r="N232">
        <v>50006</v>
      </c>
      <c r="O232">
        <v>99</v>
      </c>
      <c r="P232">
        <v>80007</v>
      </c>
      <c r="Q232">
        <v>-1</v>
      </c>
      <c r="R232">
        <v>-1</v>
      </c>
      <c r="S232">
        <v>-1</v>
      </c>
      <c r="T232">
        <v>-1</v>
      </c>
      <c r="U232" s="2">
        <v>0.01</v>
      </c>
      <c r="V232" s="2">
        <v>0.03</v>
      </c>
      <c r="W232" s="2">
        <v>0.03</v>
      </c>
      <c r="X232" s="2">
        <v>0.03</v>
      </c>
      <c r="Y232" s="2">
        <v>0.03</v>
      </c>
      <c r="Z232" s="2">
        <v>0.05</v>
      </c>
      <c r="AA232" s="2">
        <v>0.05</v>
      </c>
      <c r="AB232" s="2">
        <v>-1</v>
      </c>
      <c r="AC232" s="2">
        <v>-1</v>
      </c>
      <c r="AD232" s="2">
        <v>-1</v>
      </c>
      <c r="AE232" s="2">
        <v>-1</v>
      </c>
      <c r="AF232">
        <f t="shared" si="11"/>
        <v>1</v>
      </c>
      <c r="AG232">
        <f t="shared" si="12"/>
        <v>1</v>
      </c>
      <c r="AH232">
        <f t="shared" si="13"/>
        <v>1</v>
      </c>
      <c r="AI232">
        <f t="shared" si="14"/>
        <v>1</v>
      </c>
      <c r="AJ232">
        <f t="shared" si="15"/>
        <v>1</v>
      </c>
      <c r="AK232">
        <f t="shared" si="16"/>
        <v>1</v>
      </c>
      <c r="AL232">
        <f t="shared" si="17"/>
        <v>1</v>
      </c>
      <c r="AM232">
        <f t="shared" si="18"/>
        <v>-1</v>
      </c>
      <c r="AN232">
        <f t="shared" si="19"/>
        <v>-1</v>
      </c>
      <c r="AO232">
        <f t="shared" si="20"/>
        <v>-1</v>
      </c>
      <c r="AP232">
        <f t="shared" si="21"/>
        <v>-1</v>
      </c>
      <c r="AQ232">
        <v>0</v>
      </c>
      <c r="AR232" t="s">
        <v>2</v>
      </c>
      <c r="AS232">
        <v>-1</v>
      </c>
      <c r="AT232">
        <v>-1</v>
      </c>
      <c r="AU232">
        <v>-1</v>
      </c>
      <c r="AV232">
        <v>-1</v>
      </c>
      <c r="AW232">
        <v>-1</v>
      </c>
      <c r="AX232">
        <v>-1</v>
      </c>
      <c r="AY232">
        <v>-1</v>
      </c>
      <c r="AZ232">
        <v>-1</v>
      </c>
      <c r="BA232">
        <v>-1</v>
      </c>
      <c r="BB232">
        <v>0</v>
      </c>
      <c r="BC232" t="s">
        <v>2</v>
      </c>
      <c r="BD232">
        <v>-1</v>
      </c>
      <c r="BE232">
        <v>-1</v>
      </c>
      <c r="BF232">
        <v>-1</v>
      </c>
      <c r="BG232">
        <v>-1</v>
      </c>
      <c r="BH232">
        <v>-1</v>
      </c>
      <c r="BI232">
        <v>-1</v>
      </c>
      <c r="BJ232">
        <v>-1</v>
      </c>
      <c r="BK232">
        <v>-1</v>
      </c>
      <c r="BL232">
        <v>-1</v>
      </c>
      <c r="BM232">
        <v>-1</v>
      </c>
      <c r="BN232">
        <v>-1</v>
      </c>
      <c r="BO232">
        <v>-1</v>
      </c>
    </row>
    <row r="233" spans="1:67" x14ac:dyDescent="0.25">
      <c r="A233">
        <v>230</v>
      </c>
      <c r="B233">
        <v>21</v>
      </c>
      <c r="C233" t="str">
        <f>VLOOKUP(B233,[1]resources!$A$2:$D$300,3,FALSE)</f>
        <v>!!FOOD_KELPDOG</v>
      </c>
      <c r="D233">
        <v>14</v>
      </c>
      <c r="E233" t="str">
        <f>VLOOKUP(D233,[1]bonus_paytable!$A$2:$D$300,3,FALSE)</f>
        <v>bottomite_blue_male_average</v>
      </c>
      <c r="F233">
        <v>-1</v>
      </c>
      <c r="G233">
        <v>-1</v>
      </c>
      <c r="H233">
        <v>1</v>
      </c>
      <c r="I233" t="s">
        <v>1</v>
      </c>
      <c r="J233">
        <v>30004</v>
      </c>
      <c r="K233">
        <v>80014</v>
      </c>
      <c r="L233">
        <v>97</v>
      </c>
      <c r="M233">
        <v>2000</v>
      </c>
      <c r="N233">
        <v>50006</v>
      </c>
      <c r="O233">
        <v>99</v>
      </c>
      <c r="P233">
        <v>80007</v>
      </c>
      <c r="Q233">
        <v>-1</v>
      </c>
      <c r="R233">
        <v>-1</v>
      </c>
      <c r="S233">
        <v>-1</v>
      </c>
      <c r="T233">
        <v>-1</v>
      </c>
      <c r="U233" s="2">
        <v>0.01</v>
      </c>
      <c r="V233" s="2">
        <v>0.03</v>
      </c>
      <c r="W233" s="2">
        <v>0.03</v>
      </c>
      <c r="X233" s="2">
        <v>0.03</v>
      </c>
      <c r="Y233" s="2">
        <v>0.03</v>
      </c>
      <c r="Z233" s="2">
        <v>0.05</v>
      </c>
      <c r="AA233" s="2">
        <v>0.05</v>
      </c>
      <c r="AB233" s="2">
        <v>-1</v>
      </c>
      <c r="AC233" s="2">
        <v>-1</v>
      </c>
      <c r="AD233" s="2">
        <v>-1</v>
      </c>
      <c r="AE233" s="2">
        <v>-1</v>
      </c>
      <c r="AF233">
        <f t="shared" si="11"/>
        <v>1</v>
      </c>
      <c r="AG233">
        <f t="shared" si="12"/>
        <v>1</v>
      </c>
      <c r="AH233">
        <f t="shared" si="13"/>
        <v>1</v>
      </c>
      <c r="AI233">
        <f t="shared" si="14"/>
        <v>1</v>
      </c>
      <c r="AJ233">
        <f t="shared" si="15"/>
        <v>1</v>
      </c>
      <c r="AK233">
        <f t="shared" si="16"/>
        <v>1</v>
      </c>
      <c r="AL233">
        <f t="shared" si="17"/>
        <v>1</v>
      </c>
      <c r="AM233">
        <f t="shared" si="18"/>
        <v>-1</v>
      </c>
      <c r="AN233">
        <f t="shared" si="19"/>
        <v>-1</v>
      </c>
      <c r="AO233">
        <f t="shared" si="20"/>
        <v>-1</v>
      </c>
      <c r="AP233">
        <f t="shared" si="21"/>
        <v>-1</v>
      </c>
      <c r="AQ233">
        <v>0</v>
      </c>
      <c r="AR233" t="s">
        <v>2</v>
      </c>
      <c r="AS233">
        <v>-1</v>
      </c>
      <c r="AT233">
        <v>-1</v>
      </c>
      <c r="AU233">
        <v>-1</v>
      </c>
      <c r="AV233">
        <v>-1</v>
      </c>
      <c r="AW233">
        <v>-1</v>
      </c>
      <c r="AX233">
        <v>-1</v>
      </c>
      <c r="AY233">
        <v>-1</v>
      </c>
      <c r="AZ233">
        <v>-1</v>
      </c>
      <c r="BA233">
        <v>-1</v>
      </c>
      <c r="BB233">
        <v>0</v>
      </c>
      <c r="BC233" t="s">
        <v>2</v>
      </c>
      <c r="BD233">
        <v>-1</v>
      </c>
      <c r="BE233">
        <v>-1</v>
      </c>
      <c r="BF233">
        <v>-1</v>
      </c>
      <c r="BG233">
        <v>-1</v>
      </c>
      <c r="BH233">
        <v>-1</v>
      </c>
      <c r="BI233">
        <v>-1</v>
      </c>
      <c r="BJ233">
        <v>-1</v>
      </c>
      <c r="BK233">
        <v>-1</v>
      </c>
      <c r="BL233">
        <v>-1</v>
      </c>
      <c r="BM233">
        <v>-1</v>
      </c>
      <c r="BN233">
        <v>-1</v>
      </c>
      <c r="BO233">
        <v>-1</v>
      </c>
    </row>
    <row r="234" spans="1:67" x14ac:dyDescent="0.25">
      <c r="A234">
        <v>231</v>
      </c>
      <c r="B234">
        <v>20002</v>
      </c>
      <c r="C234" t="str">
        <f>VLOOKUP(B234,[1]resources!$A$2:$D$300,3,FALSE)</f>
        <v>!!JUICE_LIMEADE</v>
      </c>
      <c r="D234">
        <v>14</v>
      </c>
      <c r="E234" t="str">
        <f>VLOOKUP(D234,[1]bonus_paytable!$A$2:$D$300,3,FALSE)</f>
        <v>bottomite_blue_male_average</v>
      </c>
      <c r="F234">
        <v>-1</v>
      </c>
      <c r="G234">
        <v>-1</v>
      </c>
      <c r="H234">
        <v>1</v>
      </c>
      <c r="I234" t="s">
        <v>1</v>
      </c>
      <c r="J234">
        <v>30004</v>
      </c>
      <c r="K234">
        <v>80014</v>
      </c>
      <c r="L234">
        <v>97</v>
      </c>
      <c r="M234">
        <v>2000</v>
      </c>
      <c r="N234">
        <v>50006</v>
      </c>
      <c r="O234">
        <v>99</v>
      </c>
      <c r="P234">
        <v>80007</v>
      </c>
      <c r="Q234">
        <v>-1</v>
      </c>
      <c r="R234">
        <v>-1</v>
      </c>
      <c r="S234">
        <v>-1</v>
      </c>
      <c r="T234">
        <v>-1</v>
      </c>
      <c r="U234" s="2">
        <v>0.01</v>
      </c>
      <c r="V234" s="2">
        <v>0.03</v>
      </c>
      <c r="W234" s="2">
        <v>0.03</v>
      </c>
      <c r="X234" s="2">
        <v>0.03</v>
      </c>
      <c r="Y234" s="2">
        <v>0.03</v>
      </c>
      <c r="Z234" s="2">
        <v>0.05</v>
      </c>
      <c r="AA234" s="2">
        <v>0.05</v>
      </c>
      <c r="AB234" s="2">
        <v>-1</v>
      </c>
      <c r="AC234" s="2">
        <v>-1</v>
      </c>
      <c r="AD234" s="2">
        <v>-1</v>
      </c>
      <c r="AE234" s="2">
        <v>-1</v>
      </c>
      <c r="AF234">
        <f t="shared" si="11"/>
        <v>1</v>
      </c>
      <c r="AG234">
        <f t="shared" si="12"/>
        <v>1</v>
      </c>
      <c r="AH234">
        <f t="shared" si="13"/>
        <v>1</v>
      </c>
      <c r="AI234">
        <f t="shared" si="14"/>
        <v>1</v>
      </c>
      <c r="AJ234">
        <f t="shared" si="15"/>
        <v>1</v>
      </c>
      <c r="AK234">
        <f t="shared" si="16"/>
        <v>1</v>
      </c>
      <c r="AL234">
        <f t="shared" si="17"/>
        <v>1</v>
      </c>
      <c r="AM234">
        <f t="shared" si="18"/>
        <v>-1</v>
      </c>
      <c r="AN234">
        <f t="shared" si="19"/>
        <v>-1</v>
      </c>
      <c r="AO234">
        <f t="shared" si="20"/>
        <v>-1</v>
      </c>
      <c r="AP234">
        <f t="shared" si="21"/>
        <v>-1</v>
      </c>
      <c r="AQ234">
        <v>0</v>
      </c>
      <c r="AR234" t="s">
        <v>2</v>
      </c>
      <c r="AS234">
        <v>-1</v>
      </c>
      <c r="AT234">
        <v>-1</v>
      </c>
      <c r="AU234">
        <v>-1</v>
      </c>
      <c r="AV234">
        <v>-1</v>
      </c>
      <c r="AW234">
        <v>-1</v>
      </c>
      <c r="AX234">
        <v>-1</v>
      </c>
      <c r="AY234">
        <v>-1</v>
      </c>
      <c r="AZ234">
        <v>-1</v>
      </c>
      <c r="BA234">
        <v>-1</v>
      </c>
      <c r="BB234">
        <v>0</v>
      </c>
      <c r="BC234" t="s">
        <v>2</v>
      </c>
      <c r="BD234">
        <v>-1</v>
      </c>
      <c r="BE234">
        <v>-1</v>
      </c>
      <c r="BF234">
        <v>-1</v>
      </c>
      <c r="BG234">
        <v>-1</v>
      </c>
      <c r="BH234">
        <v>-1</v>
      </c>
      <c r="BI234">
        <v>-1</v>
      </c>
      <c r="BJ234">
        <v>-1</v>
      </c>
      <c r="BK234">
        <v>-1</v>
      </c>
      <c r="BL234">
        <v>-1</v>
      </c>
      <c r="BM234">
        <v>-1</v>
      </c>
      <c r="BN234">
        <v>-1</v>
      </c>
      <c r="BO234">
        <v>-1</v>
      </c>
    </row>
    <row r="235" spans="1:67" x14ac:dyDescent="0.25">
      <c r="A235">
        <v>232</v>
      </c>
      <c r="B235">
        <v>30004</v>
      </c>
      <c r="C235" t="str">
        <f>VLOOKUP(B235,[1]resources!$A$2:$D$300,3,FALSE)</f>
        <v>!!SMOOTHIE_CITRUS_SLURVEY</v>
      </c>
      <c r="D235">
        <v>14</v>
      </c>
      <c r="E235" t="str">
        <f>VLOOKUP(D235,[1]bonus_paytable!$A$2:$D$300,3,FALSE)</f>
        <v>bottomite_blue_male_average</v>
      </c>
      <c r="F235">
        <v>-1</v>
      </c>
      <c r="G235">
        <v>-1</v>
      </c>
      <c r="H235">
        <v>1</v>
      </c>
      <c r="I235" t="s">
        <v>1</v>
      </c>
      <c r="J235">
        <v>30004</v>
      </c>
      <c r="K235">
        <v>80014</v>
      </c>
      <c r="L235">
        <v>97</v>
      </c>
      <c r="M235">
        <v>2000</v>
      </c>
      <c r="N235">
        <v>50006</v>
      </c>
      <c r="O235">
        <v>99</v>
      </c>
      <c r="P235">
        <v>80007</v>
      </c>
      <c r="Q235">
        <v>-1</v>
      </c>
      <c r="R235">
        <v>-1</v>
      </c>
      <c r="S235">
        <v>-1</v>
      </c>
      <c r="T235">
        <v>-1</v>
      </c>
      <c r="U235" s="2">
        <v>0.01</v>
      </c>
      <c r="V235" s="2">
        <v>0.03</v>
      </c>
      <c r="W235" s="2">
        <v>0.03</v>
      </c>
      <c r="X235" s="2">
        <v>0.03</v>
      </c>
      <c r="Y235" s="2">
        <v>0.03</v>
      </c>
      <c r="Z235" s="2">
        <v>0.05</v>
      </c>
      <c r="AA235" s="2">
        <v>0.05</v>
      </c>
      <c r="AB235" s="2">
        <v>-1</v>
      </c>
      <c r="AC235" s="2">
        <v>-1</v>
      </c>
      <c r="AD235" s="2">
        <v>-1</v>
      </c>
      <c r="AE235" s="2">
        <v>-1</v>
      </c>
      <c r="AF235">
        <f t="shared" ref="AF235:AF298" si="22">IF(J235&gt;-1,1,-1)</f>
        <v>1</v>
      </c>
      <c r="AG235">
        <f t="shared" ref="AG235:AG298" si="23">IF(K235&gt;-1,1,-1)</f>
        <v>1</v>
      </c>
      <c r="AH235">
        <f t="shared" ref="AH235:AH298" si="24">IF(L235&gt;-1,1,-1)</f>
        <v>1</v>
      </c>
      <c r="AI235">
        <f t="shared" ref="AI235:AI298" si="25">IF(M235&gt;-1,1,-1)</f>
        <v>1</v>
      </c>
      <c r="AJ235">
        <f t="shared" ref="AJ235:AJ298" si="26">IF(N235&gt;-1,1,-1)</f>
        <v>1</v>
      </c>
      <c r="AK235">
        <f t="shared" ref="AK235:AK298" si="27">IF(O235&gt;-1,1,-1)</f>
        <v>1</v>
      </c>
      <c r="AL235">
        <f t="shared" ref="AL235:AL298" si="28">IF(P235&gt;-1,1,-1)</f>
        <v>1</v>
      </c>
      <c r="AM235">
        <f t="shared" ref="AM235:AM298" si="29">IF(Q235&gt;-1,1,-1)</f>
        <v>-1</v>
      </c>
      <c r="AN235">
        <f t="shared" ref="AN235:AN298" si="30">IF(R235&gt;-1,1,-1)</f>
        <v>-1</v>
      </c>
      <c r="AO235">
        <f t="shared" ref="AO235:AO298" si="31">IF(S235&gt;-1,1,-1)</f>
        <v>-1</v>
      </c>
      <c r="AP235">
        <f t="shared" ref="AP235:AP298" si="32">IF(T235&gt;-1,1,-1)</f>
        <v>-1</v>
      </c>
      <c r="AQ235">
        <v>0</v>
      </c>
      <c r="AR235" t="s">
        <v>2</v>
      </c>
      <c r="AS235">
        <v>-1</v>
      </c>
      <c r="AT235">
        <v>-1</v>
      </c>
      <c r="AU235">
        <v>-1</v>
      </c>
      <c r="AV235">
        <v>-1</v>
      </c>
      <c r="AW235">
        <v>-1</v>
      </c>
      <c r="AX235">
        <v>-1</v>
      </c>
      <c r="AY235">
        <v>-1</v>
      </c>
      <c r="AZ235">
        <v>-1</v>
      </c>
      <c r="BA235">
        <v>-1</v>
      </c>
      <c r="BB235">
        <v>0</v>
      </c>
      <c r="BC235" t="s">
        <v>2</v>
      </c>
      <c r="BD235">
        <v>-1</v>
      </c>
      <c r="BE235">
        <v>-1</v>
      </c>
      <c r="BF235">
        <v>-1</v>
      </c>
      <c r="BG235">
        <v>-1</v>
      </c>
      <c r="BH235">
        <v>-1</v>
      </c>
      <c r="BI235">
        <v>-1</v>
      </c>
      <c r="BJ235">
        <v>-1</v>
      </c>
      <c r="BK235">
        <v>-1</v>
      </c>
      <c r="BL235">
        <v>-1</v>
      </c>
      <c r="BM235">
        <v>-1</v>
      </c>
      <c r="BN235">
        <v>-1</v>
      </c>
      <c r="BO235">
        <v>-1</v>
      </c>
    </row>
    <row r="236" spans="1:67" x14ac:dyDescent="0.25">
      <c r="A236">
        <v>233</v>
      </c>
      <c r="B236">
        <v>50006</v>
      </c>
      <c r="C236" t="str">
        <f>VLOOKUP(B236,[1]resources!$A$2:$D$300,3,FALSE)</f>
        <v>!!SHAKE_TARTBERRY_TWIST</v>
      </c>
      <c r="D236">
        <v>14</v>
      </c>
      <c r="E236" t="str">
        <f>VLOOKUP(D236,[1]bonus_paytable!$A$2:$D$300,3,FALSE)</f>
        <v>bottomite_blue_male_average</v>
      </c>
      <c r="F236">
        <v>-1</v>
      </c>
      <c r="G236">
        <v>-1</v>
      </c>
      <c r="H236">
        <v>1</v>
      </c>
      <c r="I236" t="s">
        <v>1</v>
      </c>
      <c r="J236">
        <v>30004</v>
      </c>
      <c r="K236">
        <v>80014</v>
      </c>
      <c r="L236">
        <v>97</v>
      </c>
      <c r="M236">
        <v>2000</v>
      </c>
      <c r="N236">
        <v>50006</v>
      </c>
      <c r="O236">
        <v>99</v>
      </c>
      <c r="P236">
        <v>80007</v>
      </c>
      <c r="Q236">
        <v>-1</v>
      </c>
      <c r="R236">
        <v>-1</v>
      </c>
      <c r="S236">
        <v>-1</v>
      </c>
      <c r="T236">
        <v>-1</v>
      </c>
      <c r="U236" s="2">
        <v>0.01</v>
      </c>
      <c r="V236" s="2">
        <v>0.03</v>
      </c>
      <c r="W236" s="2">
        <v>0.03</v>
      </c>
      <c r="X236" s="2">
        <v>0.03</v>
      </c>
      <c r="Y236" s="2">
        <v>0.03</v>
      </c>
      <c r="Z236" s="2">
        <v>0.05</v>
      </c>
      <c r="AA236" s="2">
        <v>0.05</v>
      </c>
      <c r="AB236" s="2">
        <v>-1</v>
      </c>
      <c r="AC236" s="2">
        <v>-1</v>
      </c>
      <c r="AD236" s="2">
        <v>-1</v>
      </c>
      <c r="AE236" s="2">
        <v>-1</v>
      </c>
      <c r="AF236">
        <f t="shared" si="22"/>
        <v>1</v>
      </c>
      <c r="AG236">
        <f t="shared" si="23"/>
        <v>1</v>
      </c>
      <c r="AH236">
        <f t="shared" si="24"/>
        <v>1</v>
      </c>
      <c r="AI236">
        <f t="shared" si="25"/>
        <v>1</v>
      </c>
      <c r="AJ236">
        <f t="shared" si="26"/>
        <v>1</v>
      </c>
      <c r="AK236">
        <f t="shared" si="27"/>
        <v>1</v>
      </c>
      <c r="AL236">
        <f t="shared" si="28"/>
        <v>1</v>
      </c>
      <c r="AM236">
        <f t="shared" si="29"/>
        <v>-1</v>
      </c>
      <c r="AN236">
        <f t="shared" si="30"/>
        <v>-1</v>
      </c>
      <c r="AO236">
        <f t="shared" si="31"/>
        <v>-1</v>
      </c>
      <c r="AP236">
        <f t="shared" si="32"/>
        <v>-1</v>
      </c>
      <c r="AQ236">
        <v>0</v>
      </c>
      <c r="AR236" t="s">
        <v>2</v>
      </c>
      <c r="AS236">
        <v>-1</v>
      </c>
      <c r="AT236">
        <v>-1</v>
      </c>
      <c r="AU236">
        <v>-1</v>
      </c>
      <c r="AV236">
        <v>-1</v>
      </c>
      <c r="AW236">
        <v>-1</v>
      </c>
      <c r="AX236">
        <v>-1</v>
      </c>
      <c r="AY236">
        <v>-1</v>
      </c>
      <c r="AZ236">
        <v>-1</v>
      </c>
      <c r="BA236">
        <v>-1</v>
      </c>
      <c r="BB236">
        <v>0</v>
      </c>
      <c r="BC236" t="s">
        <v>2</v>
      </c>
      <c r="BD236">
        <v>-1</v>
      </c>
      <c r="BE236">
        <v>-1</v>
      </c>
      <c r="BF236">
        <v>-1</v>
      </c>
      <c r="BG236">
        <v>-1</v>
      </c>
      <c r="BH236">
        <v>-1</v>
      </c>
      <c r="BI236">
        <v>-1</v>
      </c>
      <c r="BJ236">
        <v>-1</v>
      </c>
      <c r="BK236">
        <v>-1</v>
      </c>
      <c r="BL236">
        <v>-1</v>
      </c>
      <c r="BM236">
        <v>-1</v>
      </c>
      <c r="BN236">
        <v>-1</v>
      </c>
      <c r="BO236">
        <v>-1</v>
      </c>
    </row>
    <row r="237" spans="1:67" x14ac:dyDescent="0.25">
      <c r="A237">
        <v>234</v>
      </c>
      <c r="B237">
        <v>70011</v>
      </c>
      <c r="C237" t="str">
        <f>VLOOKUP(B237,[1]resources!$A$2:$D$300,3,FALSE)</f>
        <v>!!PERFUME_THEDUMP</v>
      </c>
      <c r="D237">
        <v>14</v>
      </c>
      <c r="E237" t="str">
        <f>VLOOKUP(D237,[1]bonus_paytable!$A$2:$D$300,3,FALSE)</f>
        <v>bottomite_blue_male_average</v>
      </c>
      <c r="F237">
        <v>-1</v>
      </c>
      <c r="G237">
        <v>-1</v>
      </c>
      <c r="H237">
        <v>1</v>
      </c>
      <c r="I237" t="s">
        <v>1</v>
      </c>
      <c r="J237">
        <v>30004</v>
      </c>
      <c r="K237">
        <v>80014</v>
      </c>
      <c r="L237">
        <v>97</v>
      </c>
      <c r="M237">
        <v>2000</v>
      </c>
      <c r="N237">
        <v>50006</v>
      </c>
      <c r="O237">
        <v>99</v>
      </c>
      <c r="P237">
        <v>80007</v>
      </c>
      <c r="Q237">
        <v>-1</v>
      </c>
      <c r="R237">
        <v>-1</v>
      </c>
      <c r="S237">
        <v>-1</v>
      </c>
      <c r="T237">
        <v>-1</v>
      </c>
      <c r="U237" s="2">
        <v>0.01</v>
      </c>
      <c r="V237" s="2">
        <v>0.03</v>
      </c>
      <c r="W237" s="2">
        <v>0.03</v>
      </c>
      <c r="X237" s="2">
        <v>0.03</v>
      </c>
      <c r="Y237" s="2">
        <v>0.03</v>
      </c>
      <c r="Z237" s="2">
        <v>0.05</v>
      </c>
      <c r="AA237" s="2">
        <v>0.05</v>
      </c>
      <c r="AB237" s="2">
        <v>-1</v>
      </c>
      <c r="AC237" s="2">
        <v>-1</v>
      </c>
      <c r="AD237" s="2">
        <v>-1</v>
      </c>
      <c r="AE237" s="2">
        <v>-1</v>
      </c>
      <c r="AF237">
        <f t="shared" si="22"/>
        <v>1</v>
      </c>
      <c r="AG237">
        <f t="shared" si="23"/>
        <v>1</v>
      </c>
      <c r="AH237">
        <f t="shared" si="24"/>
        <v>1</v>
      </c>
      <c r="AI237">
        <f t="shared" si="25"/>
        <v>1</v>
      </c>
      <c r="AJ237">
        <f t="shared" si="26"/>
        <v>1</v>
      </c>
      <c r="AK237">
        <f t="shared" si="27"/>
        <v>1</v>
      </c>
      <c r="AL237">
        <f t="shared" si="28"/>
        <v>1</v>
      </c>
      <c r="AM237">
        <f t="shared" si="29"/>
        <v>-1</v>
      </c>
      <c r="AN237">
        <f t="shared" si="30"/>
        <v>-1</v>
      </c>
      <c r="AO237">
        <f t="shared" si="31"/>
        <v>-1</v>
      </c>
      <c r="AP237">
        <f t="shared" si="32"/>
        <v>-1</v>
      </c>
      <c r="AQ237">
        <v>0</v>
      </c>
      <c r="AR237" t="s">
        <v>2</v>
      </c>
      <c r="AS237">
        <v>-1</v>
      </c>
      <c r="AT237">
        <v>-1</v>
      </c>
      <c r="AU237">
        <v>-1</v>
      </c>
      <c r="AV237">
        <v>-1</v>
      </c>
      <c r="AW237">
        <v>-1</v>
      </c>
      <c r="AX237">
        <v>-1</v>
      </c>
      <c r="AY237">
        <v>-1</v>
      </c>
      <c r="AZ237">
        <v>-1</v>
      </c>
      <c r="BA237">
        <v>-1</v>
      </c>
      <c r="BB237">
        <v>0</v>
      </c>
      <c r="BC237" t="s">
        <v>2</v>
      </c>
      <c r="BD237">
        <v>-1</v>
      </c>
      <c r="BE237">
        <v>-1</v>
      </c>
      <c r="BF237">
        <v>-1</v>
      </c>
      <c r="BG237">
        <v>-1</v>
      </c>
      <c r="BH237">
        <v>-1</v>
      </c>
      <c r="BI237">
        <v>-1</v>
      </c>
      <c r="BJ237">
        <v>-1</v>
      </c>
      <c r="BK237">
        <v>-1</v>
      </c>
      <c r="BL237">
        <v>-1</v>
      </c>
      <c r="BM237">
        <v>-1</v>
      </c>
      <c r="BN237">
        <v>-1</v>
      </c>
      <c r="BO237">
        <v>-1</v>
      </c>
    </row>
    <row r="238" spans="1:67" x14ac:dyDescent="0.25">
      <c r="A238">
        <v>235</v>
      </c>
      <c r="B238">
        <v>70009</v>
      </c>
      <c r="C238" t="str">
        <f>VLOOKUP(B238,[1]resources!$A$2:$D$300,3,FALSE)</f>
        <v>!!PERFUME_SEASHANTY</v>
      </c>
      <c r="D238">
        <v>14</v>
      </c>
      <c r="E238" t="str">
        <f>VLOOKUP(D238,[1]bonus_paytable!$A$2:$D$300,3,FALSE)</f>
        <v>bottomite_blue_male_average</v>
      </c>
      <c r="F238">
        <v>-1</v>
      </c>
      <c r="G238">
        <v>-1</v>
      </c>
      <c r="H238">
        <v>1</v>
      </c>
      <c r="I238" t="s">
        <v>1</v>
      </c>
      <c r="J238">
        <v>30004</v>
      </c>
      <c r="K238">
        <v>80014</v>
      </c>
      <c r="L238">
        <v>97</v>
      </c>
      <c r="M238">
        <v>2000</v>
      </c>
      <c r="N238">
        <v>50006</v>
      </c>
      <c r="O238">
        <v>99</v>
      </c>
      <c r="P238">
        <v>80007</v>
      </c>
      <c r="Q238">
        <v>-1</v>
      </c>
      <c r="R238">
        <v>-1</v>
      </c>
      <c r="S238">
        <v>-1</v>
      </c>
      <c r="T238">
        <v>-1</v>
      </c>
      <c r="U238" s="2">
        <v>0.01</v>
      </c>
      <c r="V238" s="2">
        <v>0.03</v>
      </c>
      <c r="W238" s="2">
        <v>0.03</v>
      </c>
      <c r="X238" s="2">
        <v>0.03</v>
      </c>
      <c r="Y238" s="2">
        <v>0.03</v>
      </c>
      <c r="Z238" s="2">
        <v>0.05</v>
      </c>
      <c r="AA238" s="2">
        <v>0.05</v>
      </c>
      <c r="AB238" s="2">
        <v>-1</v>
      </c>
      <c r="AC238" s="2">
        <v>-1</v>
      </c>
      <c r="AD238" s="2">
        <v>-1</v>
      </c>
      <c r="AE238" s="2">
        <v>-1</v>
      </c>
      <c r="AF238">
        <f t="shared" si="22"/>
        <v>1</v>
      </c>
      <c r="AG238">
        <f t="shared" si="23"/>
        <v>1</v>
      </c>
      <c r="AH238">
        <f t="shared" si="24"/>
        <v>1</v>
      </c>
      <c r="AI238">
        <f t="shared" si="25"/>
        <v>1</v>
      </c>
      <c r="AJ238">
        <f t="shared" si="26"/>
        <v>1</v>
      </c>
      <c r="AK238">
        <f t="shared" si="27"/>
        <v>1</v>
      </c>
      <c r="AL238">
        <f t="shared" si="28"/>
        <v>1</v>
      </c>
      <c r="AM238">
        <f t="shared" si="29"/>
        <v>-1</v>
      </c>
      <c r="AN238">
        <f t="shared" si="30"/>
        <v>-1</v>
      </c>
      <c r="AO238">
        <f t="shared" si="31"/>
        <v>-1</v>
      </c>
      <c r="AP238">
        <f t="shared" si="32"/>
        <v>-1</v>
      </c>
      <c r="AQ238">
        <v>0</v>
      </c>
      <c r="AR238" t="s">
        <v>2</v>
      </c>
      <c r="AS238">
        <v>-1</v>
      </c>
      <c r="AT238">
        <v>-1</v>
      </c>
      <c r="AU238">
        <v>-1</v>
      </c>
      <c r="AV238">
        <v>-1</v>
      </c>
      <c r="AW238">
        <v>-1</v>
      </c>
      <c r="AX238">
        <v>-1</v>
      </c>
      <c r="AY238">
        <v>-1</v>
      </c>
      <c r="AZ238">
        <v>-1</v>
      </c>
      <c r="BA238">
        <v>-1</v>
      </c>
      <c r="BB238">
        <v>0</v>
      </c>
      <c r="BC238" t="s">
        <v>2</v>
      </c>
      <c r="BD238">
        <v>-1</v>
      </c>
      <c r="BE238">
        <v>-1</v>
      </c>
      <c r="BF238">
        <v>-1</v>
      </c>
      <c r="BG238">
        <v>-1</v>
      </c>
      <c r="BH238">
        <v>-1</v>
      </c>
      <c r="BI238">
        <v>-1</v>
      </c>
      <c r="BJ238">
        <v>-1</v>
      </c>
      <c r="BK238">
        <v>-1</v>
      </c>
      <c r="BL238">
        <v>-1</v>
      </c>
      <c r="BM238">
        <v>-1</v>
      </c>
      <c r="BN238">
        <v>-1</v>
      </c>
      <c r="BO238">
        <v>-1</v>
      </c>
    </row>
    <row r="239" spans="1:67" x14ac:dyDescent="0.25">
      <c r="A239">
        <v>236</v>
      </c>
      <c r="B239">
        <v>80005</v>
      </c>
      <c r="C239" t="str">
        <f>VLOOKUP(B239,[1]resources!$A$2:$D$300,3,FALSE)</f>
        <v>!!FOOD_BAKED_EVERYVILLAINISLEMONBAR</v>
      </c>
      <c r="D239">
        <v>14</v>
      </c>
      <c r="E239" t="str">
        <f>VLOOKUP(D239,[1]bonus_paytable!$A$2:$D$300,3,FALSE)</f>
        <v>bottomite_blue_male_average</v>
      </c>
      <c r="F239">
        <v>-1</v>
      </c>
      <c r="G239">
        <v>-1</v>
      </c>
      <c r="H239">
        <v>1</v>
      </c>
      <c r="I239" t="s">
        <v>1</v>
      </c>
      <c r="J239">
        <v>30004</v>
      </c>
      <c r="K239">
        <v>80014</v>
      </c>
      <c r="L239">
        <v>97</v>
      </c>
      <c r="M239">
        <v>2000</v>
      </c>
      <c r="N239">
        <v>50006</v>
      </c>
      <c r="O239">
        <v>99</v>
      </c>
      <c r="P239">
        <v>80007</v>
      </c>
      <c r="Q239">
        <v>-1</v>
      </c>
      <c r="R239">
        <v>-1</v>
      </c>
      <c r="S239">
        <v>-1</v>
      </c>
      <c r="T239">
        <v>-1</v>
      </c>
      <c r="U239" s="2">
        <v>0.01</v>
      </c>
      <c r="V239" s="2">
        <v>0.03</v>
      </c>
      <c r="W239" s="2">
        <v>0.03</v>
      </c>
      <c r="X239" s="2">
        <v>0.03</v>
      </c>
      <c r="Y239" s="2">
        <v>0.03</v>
      </c>
      <c r="Z239" s="2">
        <v>0.05</v>
      </c>
      <c r="AA239" s="2">
        <v>0.05</v>
      </c>
      <c r="AB239" s="2">
        <v>-1</v>
      </c>
      <c r="AC239" s="2">
        <v>-1</v>
      </c>
      <c r="AD239" s="2">
        <v>-1</v>
      </c>
      <c r="AE239" s="2">
        <v>-1</v>
      </c>
      <c r="AF239">
        <f t="shared" si="22"/>
        <v>1</v>
      </c>
      <c r="AG239">
        <f t="shared" si="23"/>
        <v>1</v>
      </c>
      <c r="AH239">
        <f t="shared" si="24"/>
        <v>1</v>
      </c>
      <c r="AI239">
        <f t="shared" si="25"/>
        <v>1</v>
      </c>
      <c r="AJ239">
        <f t="shared" si="26"/>
        <v>1</v>
      </c>
      <c r="AK239">
        <f t="shared" si="27"/>
        <v>1</v>
      </c>
      <c r="AL239">
        <f t="shared" si="28"/>
        <v>1</v>
      </c>
      <c r="AM239">
        <f t="shared" si="29"/>
        <v>-1</v>
      </c>
      <c r="AN239">
        <f t="shared" si="30"/>
        <v>-1</v>
      </c>
      <c r="AO239">
        <f t="shared" si="31"/>
        <v>-1</v>
      </c>
      <c r="AP239">
        <f t="shared" si="32"/>
        <v>-1</v>
      </c>
      <c r="AQ239">
        <v>0</v>
      </c>
      <c r="AR239" t="s">
        <v>2</v>
      </c>
      <c r="AS239">
        <v>-1</v>
      </c>
      <c r="AT239">
        <v>-1</v>
      </c>
      <c r="AU239">
        <v>-1</v>
      </c>
      <c r="AV239">
        <v>-1</v>
      </c>
      <c r="AW239">
        <v>-1</v>
      </c>
      <c r="AX239">
        <v>-1</v>
      </c>
      <c r="AY239">
        <v>-1</v>
      </c>
      <c r="AZ239">
        <v>-1</v>
      </c>
      <c r="BA239">
        <v>-1</v>
      </c>
      <c r="BB239">
        <v>0</v>
      </c>
      <c r="BC239" t="s">
        <v>2</v>
      </c>
      <c r="BD239">
        <v>-1</v>
      </c>
      <c r="BE239">
        <v>-1</v>
      </c>
      <c r="BF239">
        <v>-1</v>
      </c>
      <c r="BG239">
        <v>-1</v>
      </c>
      <c r="BH239">
        <v>-1</v>
      </c>
      <c r="BI239">
        <v>-1</v>
      </c>
      <c r="BJ239">
        <v>-1</v>
      </c>
      <c r="BK239">
        <v>-1</v>
      </c>
      <c r="BL239">
        <v>-1</v>
      </c>
      <c r="BM239">
        <v>-1</v>
      </c>
      <c r="BN239">
        <v>-1</v>
      </c>
      <c r="BO239">
        <v>-1</v>
      </c>
    </row>
    <row r="240" spans="1:67" x14ac:dyDescent="0.25">
      <c r="A240">
        <v>237</v>
      </c>
      <c r="B240">
        <v>80010</v>
      </c>
      <c r="C240" t="str">
        <f>VLOOKUP(B240,[1]resources!$A$2:$D$300,3,FALSE)</f>
        <v>!!FOOD_BAKED_MERINGUELEMANRAY</v>
      </c>
      <c r="D240">
        <v>14</v>
      </c>
      <c r="E240" t="str">
        <f>VLOOKUP(D240,[1]bonus_paytable!$A$2:$D$300,3,FALSE)</f>
        <v>bottomite_blue_male_average</v>
      </c>
      <c r="F240">
        <v>-1</v>
      </c>
      <c r="G240">
        <v>-1</v>
      </c>
      <c r="H240">
        <v>1</v>
      </c>
      <c r="I240" t="s">
        <v>1</v>
      </c>
      <c r="J240">
        <v>30004</v>
      </c>
      <c r="K240">
        <v>80014</v>
      </c>
      <c r="L240">
        <v>97</v>
      </c>
      <c r="M240">
        <v>2000</v>
      </c>
      <c r="N240">
        <v>50006</v>
      </c>
      <c r="O240">
        <v>99</v>
      </c>
      <c r="P240">
        <v>80007</v>
      </c>
      <c r="Q240">
        <v>-1</v>
      </c>
      <c r="R240">
        <v>-1</v>
      </c>
      <c r="S240">
        <v>-1</v>
      </c>
      <c r="T240">
        <v>-1</v>
      </c>
      <c r="U240" s="2">
        <v>0.01</v>
      </c>
      <c r="V240" s="2">
        <v>0.03</v>
      </c>
      <c r="W240" s="2">
        <v>0.03</v>
      </c>
      <c r="X240" s="2">
        <v>0.03</v>
      </c>
      <c r="Y240" s="2">
        <v>0.03</v>
      </c>
      <c r="Z240" s="2">
        <v>0.05</v>
      </c>
      <c r="AA240" s="2">
        <v>0.05</v>
      </c>
      <c r="AB240" s="2">
        <v>-1</v>
      </c>
      <c r="AC240" s="2">
        <v>-1</v>
      </c>
      <c r="AD240" s="2">
        <v>-1</v>
      </c>
      <c r="AE240" s="2">
        <v>-1</v>
      </c>
      <c r="AF240">
        <f t="shared" si="22"/>
        <v>1</v>
      </c>
      <c r="AG240">
        <f t="shared" si="23"/>
        <v>1</v>
      </c>
      <c r="AH240">
        <f t="shared" si="24"/>
        <v>1</v>
      </c>
      <c r="AI240">
        <f t="shared" si="25"/>
        <v>1</v>
      </c>
      <c r="AJ240">
        <f t="shared" si="26"/>
        <v>1</v>
      </c>
      <c r="AK240">
        <f t="shared" si="27"/>
        <v>1</v>
      </c>
      <c r="AL240">
        <f t="shared" si="28"/>
        <v>1</v>
      </c>
      <c r="AM240">
        <f t="shared" si="29"/>
        <v>-1</v>
      </c>
      <c r="AN240">
        <f t="shared" si="30"/>
        <v>-1</v>
      </c>
      <c r="AO240">
        <f t="shared" si="31"/>
        <v>-1</v>
      </c>
      <c r="AP240">
        <f t="shared" si="32"/>
        <v>-1</v>
      </c>
      <c r="AQ240">
        <v>0</v>
      </c>
      <c r="AR240" t="s">
        <v>2</v>
      </c>
      <c r="AS240">
        <v>-1</v>
      </c>
      <c r="AT240">
        <v>-1</v>
      </c>
      <c r="AU240">
        <v>-1</v>
      </c>
      <c r="AV240">
        <v>-1</v>
      </c>
      <c r="AW240">
        <v>-1</v>
      </c>
      <c r="AX240">
        <v>-1</v>
      </c>
      <c r="AY240">
        <v>-1</v>
      </c>
      <c r="AZ240">
        <v>-1</v>
      </c>
      <c r="BA240">
        <v>-1</v>
      </c>
      <c r="BB240">
        <v>0</v>
      </c>
      <c r="BC240" t="s">
        <v>2</v>
      </c>
      <c r="BD240">
        <v>-1</v>
      </c>
      <c r="BE240">
        <v>-1</v>
      </c>
      <c r="BF240">
        <v>-1</v>
      </c>
      <c r="BG240">
        <v>-1</v>
      </c>
      <c r="BH240">
        <v>-1</v>
      </c>
      <c r="BI240">
        <v>-1</v>
      </c>
      <c r="BJ240">
        <v>-1</v>
      </c>
      <c r="BK240">
        <v>-1</v>
      </c>
      <c r="BL240">
        <v>-1</v>
      </c>
      <c r="BM240">
        <v>-1</v>
      </c>
      <c r="BN240">
        <v>-1</v>
      </c>
      <c r="BO240">
        <v>-1</v>
      </c>
    </row>
    <row r="241" spans="1:67" x14ac:dyDescent="0.25">
      <c r="A241">
        <v>238</v>
      </c>
      <c r="B241">
        <v>46</v>
      </c>
      <c r="C241" t="str">
        <f>VLOOKUP(B241,[1]resources!$A$2:$D$300,3,FALSE)</f>
        <v>!!FOOD_SALAD</v>
      </c>
      <c r="D241">
        <v>15</v>
      </c>
      <c r="E241" t="str">
        <f>VLOOKUP(D241,[1]bonus_paytable!$A$2:$D$300,3,FALSE)</f>
        <v>bottomite_green_female_average</v>
      </c>
      <c r="F241">
        <v>-1</v>
      </c>
      <c r="G241">
        <v>-1</v>
      </c>
      <c r="H241">
        <v>1</v>
      </c>
      <c r="I241" t="s">
        <v>1</v>
      </c>
      <c r="J241">
        <v>40004</v>
      </c>
      <c r="K241">
        <v>80013</v>
      </c>
      <c r="L241">
        <v>70010</v>
      </c>
      <c r="M241">
        <v>70004</v>
      </c>
      <c r="N241">
        <v>60000</v>
      </c>
      <c r="O241">
        <v>14</v>
      </c>
      <c r="P241">
        <v>30010</v>
      </c>
      <c r="Q241">
        <v>40003</v>
      </c>
      <c r="R241">
        <v>70001</v>
      </c>
      <c r="S241">
        <v>50005</v>
      </c>
      <c r="T241">
        <v>-1</v>
      </c>
      <c r="U241" s="2">
        <v>0.01</v>
      </c>
      <c r="V241" s="2">
        <v>0.03</v>
      </c>
      <c r="W241" s="2">
        <v>0.03</v>
      </c>
      <c r="X241" s="2">
        <v>0.03</v>
      </c>
      <c r="Y241" s="2">
        <v>0.03</v>
      </c>
      <c r="Z241" s="2">
        <v>0.05</v>
      </c>
      <c r="AA241" s="2">
        <v>0.05</v>
      </c>
      <c r="AB241" s="2">
        <v>0.05</v>
      </c>
      <c r="AC241" s="2">
        <v>0.05</v>
      </c>
      <c r="AD241" s="2">
        <v>0.05</v>
      </c>
      <c r="AE241" s="2">
        <v>-1</v>
      </c>
      <c r="AF241">
        <f t="shared" si="22"/>
        <v>1</v>
      </c>
      <c r="AG241">
        <f t="shared" si="23"/>
        <v>1</v>
      </c>
      <c r="AH241">
        <f t="shared" si="24"/>
        <v>1</v>
      </c>
      <c r="AI241">
        <f t="shared" si="25"/>
        <v>1</v>
      </c>
      <c r="AJ241">
        <f t="shared" si="26"/>
        <v>1</v>
      </c>
      <c r="AK241">
        <f t="shared" si="27"/>
        <v>1</v>
      </c>
      <c r="AL241">
        <f t="shared" si="28"/>
        <v>1</v>
      </c>
      <c r="AM241">
        <f t="shared" si="29"/>
        <v>1</v>
      </c>
      <c r="AN241">
        <f t="shared" si="30"/>
        <v>1</v>
      </c>
      <c r="AO241">
        <f t="shared" si="31"/>
        <v>1</v>
      </c>
      <c r="AP241">
        <f t="shared" si="32"/>
        <v>-1</v>
      </c>
      <c r="AQ241">
        <v>0</v>
      </c>
      <c r="AR241" t="s">
        <v>2</v>
      </c>
      <c r="AS241">
        <v>-1</v>
      </c>
      <c r="AT241">
        <v>-1</v>
      </c>
      <c r="AU241">
        <v>-1</v>
      </c>
      <c r="AV241">
        <v>-1</v>
      </c>
      <c r="AW241">
        <v>-1</v>
      </c>
      <c r="AX241">
        <v>-1</v>
      </c>
      <c r="AY241">
        <v>-1</v>
      </c>
      <c r="AZ241">
        <v>-1</v>
      </c>
      <c r="BA241">
        <v>-1</v>
      </c>
      <c r="BB241">
        <v>0</v>
      </c>
      <c r="BC241" t="s">
        <v>2</v>
      </c>
      <c r="BD241">
        <v>-1</v>
      </c>
      <c r="BE241">
        <v>-1</v>
      </c>
      <c r="BF241">
        <v>-1</v>
      </c>
      <c r="BG241">
        <v>-1</v>
      </c>
      <c r="BH241">
        <v>-1</v>
      </c>
      <c r="BI241">
        <v>-1</v>
      </c>
      <c r="BJ241">
        <v>-1</v>
      </c>
      <c r="BK241">
        <v>-1</v>
      </c>
      <c r="BL241">
        <v>-1</v>
      </c>
      <c r="BM241">
        <v>-1</v>
      </c>
      <c r="BN241">
        <v>-1</v>
      </c>
      <c r="BO241">
        <v>-1</v>
      </c>
    </row>
    <row r="242" spans="1:67" x14ac:dyDescent="0.25">
      <c r="A242">
        <v>239</v>
      </c>
      <c r="B242">
        <v>40</v>
      </c>
      <c r="C242" t="str">
        <f>VLOOKUP(B242,[1]resources!$A$2:$D$300,3,FALSE)</f>
        <v>!!FOOD_VEGGIEPATTY</v>
      </c>
      <c r="D242">
        <v>15</v>
      </c>
      <c r="E242" t="str">
        <f>VLOOKUP(D242,[1]bonus_paytable!$A$2:$D$300,3,FALSE)</f>
        <v>bottomite_green_female_average</v>
      </c>
      <c r="F242">
        <v>-1</v>
      </c>
      <c r="G242">
        <v>-1</v>
      </c>
      <c r="H242">
        <v>1</v>
      </c>
      <c r="I242" t="s">
        <v>1</v>
      </c>
      <c r="J242">
        <v>40004</v>
      </c>
      <c r="K242">
        <v>80013</v>
      </c>
      <c r="L242">
        <v>70010</v>
      </c>
      <c r="M242">
        <v>70004</v>
      </c>
      <c r="N242">
        <v>60000</v>
      </c>
      <c r="O242">
        <v>14</v>
      </c>
      <c r="P242">
        <v>30010</v>
      </c>
      <c r="Q242">
        <v>40003</v>
      </c>
      <c r="R242">
        <v>70001</v>
      </c>
      <c r="S242">
        <v>50005</v>
      </c>
      <c r="T242">
        <v>-1</v>
      </c>
      <c r="U242" s="2">
        <v>0.01</v>
      </c>
      <c r="V242" s="2">
        <v>0.03</v>
      </c>
      <c r="W242" s="2">
        <v>0.03</v>
      </c>
      <c r="X242" s="2">
        <v>0.03</v>
      </c>
      <c r="Y242" s="2">
        <v>0.03</v>
      </c>
      <c r="Z242" s="2">
        <v>0.05</v>
      </c>
      <c r="AA242" s="2">
        <v>0.05</v>
      </c>
      <c r="AB242" s="2">
        <v>0.05</v>
      </c>
      <c r="AC242" s="2">
        <v>0.05</v>
      </c>
      <c r="AD242" s="2">
        <v>0.05</v>
      </c>
      <c r="AE242" s="2">
        <v>-1</v>
      </c>
      <c r="AF242">
        <f t="shared" si="22"/>
        <v>1</v>
      </c>
      <c r="AG242">
        <f t="shared" si="23"/>
        <v>1</v>
      </c>
      <c r="AH242">
        <f t="shared" si="24"/>
        <v>1</v>
      </c>
      <c r="AI242">
        <f t="shared" si="25"/>
        <v>1</v>
      </c>
      <c r="AJ242">
        <f t="shared" si="26"/>
        <v>1</v>
      </c>
      <c r="AK242">
        <f t="shared" si="27"/>
        <v>1</v>
      </c>
      <c r="AL242">
        <f t="shared" si="28"/>
        <v>1</v>
      </c>
      <c r="AM242">
        <f t="shared" si="29"/>
        <v>1</v>
      </c>
      <c r="AN242">
        <f t="shared" si="30"/>
        <v>1</v>
      </c>
      <c r="AO242">
        <f t="shared" si="31"/>
        <v>1</v>
      </c>
      <c r="AP242">
        <f t="shared" si="32"/>
        <v>-1</v>
      </c>
      <c r="AQ242">
        <v>0</v>
      </c>
      <c r="AR242" t="s">
        <v>2</v>
      </c>
      <c r="AS242">
        <v>-1</v>
      </c>
      <c r="AT242">
        <v>-1</v>
      </c>
      <c r="AU242">
        <v>-1</v>
      </c>
      <c r="AV242">
        <v>-1</v>
      </c>
      <c r="AW242">
        <v>-1</v>
      </c>
      <c r="AX242">
        <v>-1</v>
      </c>
      <c r="AY242">
        <v>-1</v>
      </c>
      <c r="AZ242">
        <v>-1</v>
      </c>
      <c r="BA242">
        <v>-1</v>
      </c>
      <c r="BB242">
        <v>0</v>
      </c>
      <c r="BC242" t="s">
        <v>2</v>
      </c>
      <c r="BD242">
        <v>-1</v>
      </c>
      <c r="BE242">
        <v>-1</v>
      </c>
      <c r="BF242">
        <v>-1</v>
      </c>
      <c r="BG242">
        <v>-1</v>
      </c>
      <c r="BH242">
        <v>-1</v>
      </c>
      <c r="BI242">
        <v>-1</v>
      </c>
      <c r="BJ242">
        <v>-1</v>
      </c>
      <c r="BK242">
        <v>-1</v>
      </c>
      <c r="BL242">
        <v>-1</v>
      </c>
      <c r="BM242">
        <v>-1</v>
      </c>
      <c r="BN242">
        <v>-1</v>
      </c>
      <c r="BO242">
        <v>-1</v>
      </c>
    </row>
    <row r="243" spans="1:67" x14ac:dyDescent="0.25">
      <c r="A243">
        <v>240</v>
      </c>
      <c r="B243">
        <v>27</v>
      </c>
      <c r="C243" t="str">
        <f>VLOOKUP(B243,[1]resources!$A$2:$D$300,3,FALSE)</f>
        <v>!!FOOD_BRUSCHETTA</v>
      </c>
      <c r="D243">
        <v>15</v>
      </c>
      <c r="E243" t="str">
        <f>VLOOKUP(D243,[1]bonus_paytable!$A$2:$D$300,3,FALSE)</f>
        <v>bottomite_green_female_average</v>
      </c>
      <c r="F243">
        <v>-1</v>
      </c>
      <c r="G243">
        <v>-1</v>
      </c>
      <c r="H243">
        <v>1</v>
      </c>
      <c r="I243" t="s">
        <v>1</v>
      </c>
      <c r="J243">
        <v>40004</v>
      </c>
      <c r="K243">
        <v>80013</v>
      </c>
      <c r="L243">
        <v>70010</v>
      </c>
      <c r="M243">
        <v>70004</v>
      </c>
      <c r="N243">
        <v>60000</v>
      </c>
      <c r="O243">
        <v>14</v>
      </c>
      <c r="P243">
        <v>30010</v>
      </c>
      <c r="Q243">
        <v>40003</v>
      </c>
      <c r="R243">
        <v>70001</v>
      </c>
      <c r="S243">
        <v>50005</v>
      </c>
      <c r="T243">
        <v>-1</v>
      </c>
      <c r="U243" s="2">
        <v>0.01</v>
      </c>
      <c r="V243" s="2">
        <v>0.03</v>
      </c>
      <c r="W243" s="2">
        <v>0.03</v>
      </c>
      <c r="X243" s="2">
        <v>0.03</v>
      </c>
      <c r="Y243" s="2">
        <v>0.03</v>
      </c>
      <c r="Z243" s="2">
        <v>0.05</v>
      </c>
      <c r="AA243" s="2">
        <v>0.05</v>
      </c>
      <c r="AB243" s="2">
        <v>0.05</v>
      </c>
      <c r="AC243" s="2">
        <v>0.05</v>
      </c>
      <c r="AD243" s="2">
        <v>0.05</v>
      </c>
      <c r="AE243" s="2">
        <v>-1</v>
      </c>
      <c r="AF243">
        <f t="shared" si="22"/>
        <v>1</v>
      </c>
      <c r="AG243">
        <f t="shared" si="23"/>
        <v>1</v>
      </c>
      <c r="AH243">
        <f t="shared" si="24"/>
        <v>1</v>
      </c>
      <c r="AI243">
        <f t="shared" si="25"/>
        <v>1</v>
      </c>
      <c r="AJ243">
        <f t="shared" si="26"/>
        <v>1</v>
      </c>
      <c r="AK243">
        <f t="shared" si="27"/>
        <v>1</v>
      </c>
      <c r="AL243">
        <f t="shared" si="28"/>
        <v>1</v>
      </c>
      <c r="AM243">
        <f t="shared" si="29"/>
        <v>1</v>
      </c>
      <c r="AN243">
        <f t="shared" si="30"/>
        <v>1</v>
      </c>
      <c r="AO243">
        <f t="shared" si="31"/>
        <v>1</v>
      </c>
      <c r="AP243">
        <f t="shared" si="32"/>
        <v>-1</v>
      </c>
      <c r="AQ243">
        <v>0</v>
      </c>
      <c r="AR243" t="s">
        <v>2</v>
      </c>
      <c r="AS243">
        <v>-1</v>
      </c>
      <c r="AT243">
        <v>-1</v>
      </c>
      <c r="AU243">
        <v>-1</v>
      </c>
      <c r="AV243">
        <v>-1</v>
      </c>
      <c r="AW243">
        <v>-1</v>
      </c>
      <c r="AX243">
        <v>-1</v>
      </c>
      <c r="AY243">
        <v>-1</v>
      </c>
      <c r="AZ243">
        <v>-1</v>
      </c>
      <c r="BA243">
        <v>-1</v>
      </c>
      <c r="BB243">
        <v>0</v>
      </c>
      <c r="BC243" t="s">
        <v>2</v>
      </c>
      <c r="BD243">
        <v>-1</v>
      </c>
      <c r="BE243">
        <v>-1</v>
      </c>
      <c r="BF243">
        <v>-1</v>
      </c>
      <c r="BG243">
        <v>-1</v>
      </c>
      <c r="BH243">
        <v>-1</v>
      </c>
      <c r="BI243">
        <v>-1</v>
      </c>
      <c r="BJ243">
        <v>-1</v>
      </c>
      <c r="BK243">
        <v>-1</v>
      </c>
      <c r="BL243">
        <v>-1</v>
      </c>
      <c r="BM243">
        <v>-1</v>
      </c>
      <c r="BN243">
        <v>-1</v>
      </c>
      <c r="BO243">
        <v>-1</v>
      </c>
    </row>
    <row r="244" spans="1:67" x14ac:dyDescent="0.25">
      <c r="A244">
        <v>241</v>
      </c>
      <c r="B244">
        <v>20001</v>
      </c>
      <c r="C244" t="str">
        <f>VLOOKUP(B244,[1]resources!$A$2:$D$300,3,FALSE)</f>
        <v>!!JUICE_LEMONADE</v>
      </c>
      <c r="D244">
        <v>15</v>
      </c>
      <c r="E244" t="str">
        <f>VLOOKUP(D244,[1]bonus_paytable!$A$2:$D$300,3,FALSE)</f>
        <v>bottomite_green_female_average</v>
      </c>
      <c r="F244">
        <v>-1</v>
      </c>
      <c r="G244">
        <v>-1</v>
      </c>
      <c r="H244">
        <v>1</v>
      </c>
      <c r="I244" t="s">
        <v>1</v>
      </c>
      <c r="J244">
        <v>40004</v>
      </c>
      <c r="K244">
        <v>80013</v>
      </c>
      <c r="L244">
        <v>70010</v>
      </c>
      <c r="M244">
        <v>70004</v>
      </c>
      <c r="N244">
        <v>60000</v>
      </c>
      <c r="O244">
        <v>14</v>
      </c>
      <c r="P244">
        <v>30010</v>
      </c>
      <c r="Q244">
        <v>40003</v>
      </c>
      <c r="R244">
        <v>70001</v>
      </c>
      <c r="S244">
        <v>50005</v>
      </c>
      <c r="T244">
        <v>-1</v>
      </c>
      <c r="U244" s="2">
        <v>0.01</v>
      </c>
      <c r="V244" s="2">
        <v>0.03</v>
      </c>
      <c r="W244" s="2">
        <v>0.03</v>
      </c>
      <c r="X244" s="2">
        <v>0.03</v>
      </c>
      <c r="Y244" s="2">
        <v>0.03</v>
      </c>
      <c r="Z244" s="2">
        <v>0.05</v>
      </c>
      <c r="AA244" s="2">
        <v>0.05</v>
      </c>
      <c r="AB244" s="2">
        <v>0.05</v>
      </c>
      <c r="AC244" s="2">
        <v>0.05</v>
      </c>
      <c r="AD244" s="2">
        <v>0.05</v>
      </c>
      <c r="AE244" s="2">
        <v>-1</v>
      </c>
      <c r="AF244">
        <f t="shared" si="22"/>
        <v>1</v>
      </c>
      <c r="AG244">
        <f t="shared" si="23"/>
        <v>1</v>
      </c>
      <c r="AH244">
        <f t="shared" si="24"/>
        <v>1</v>
      </c>
      <c r="AI244">
        <f t="shared" si="25"/>
        <v>1</v>
      </c>
      <c r="AJ244">
        <f t="shared" si="26"/>
        <v>1</v>
      </c>
      <c r="AK244">
        <f t="shared" si="27"/>
        <v>1</v>
      </c>
      <c r="AL244">
        <f t="shared" si="28"/>
        <v>1</v>
      </c>
      <c r="AM244">
        <f t="shared" si="29"/>
        <v>1</v>
      </c>
      <c r="AN244">
        <f t="shared" si="30"/>
        <v>1</v>
      </c>
      <c r="AO244">
        <f t="shared" si="31"/>
        <v>1</v>
      </c>
      <c r="AP244">
        <f t="shared" si="32"/>
        <v>-1</v>
      </c>
      <c r="AQ244">
        <v>0</v>
      </c>
      <c r="AR244" t="s">
        <v>2</v>
      </c>
      <c r="AS244">
        <v>-1</v>
      </c>
      <c r="AT244">
        <v>-1</v>
      </c>
      <c r="AU244">
        <v>-1</v>
      </c>
      <c r="AV244">
        <v>-1</v>
      </c>
      <c r="AW244">
        <v>-1</v>
      </c>
      <c r="AX244">
        <v>-1</v>
      </c>
      <c r="AY244">
        <v>-1</v>
      </c>
      <c r="AZ244">
        <v>-1</v>
      </c>
      <c r="BA244">
        <v>-1</v>
      </c>
      <c r="BB244">
        <v>0</v>
      </c>
      <c r="BC244" t="s">
        <v>2</v>
      </c>
      <c r="BD244">
        <v>-1</v>
      </c>
      <c r="BE244">
        <v>-1</v>
      </c>
      <c r="BF244">
        <v>-1</v>
      </c>
      <c r="BG244">
        <v>-1</v>
      </c>
      <c r="BH244">
        <v>-1</v>
      </c>
      <c r="BI244">
        <v>-1</v>
      </c>
      <c r="BJ244">
        <v>-1</v>
      </c>
      <c r="BK244">
        <v>-1</v>
      </c>
      <c r="BL244">
        <v>-1</v>
      </c>
      <c r="BM244">
        <v>-1</v>
      </c>
      <c r="BN244">
        <v>-1</v>
      </c>
      <c r="BO244">
        <v>-1</v>
      </c>
    </row>
    <row r="245" spans="1:67" x14ac:dyDescent="0.25">
      <c r="A245">
        <v>242</v>
      </c>
      <c r="B245">
        <v>30000</v>
      </c>
      <c r="C245" t="str">
        <f>VLOOKUP(B245,[1]resources!$A$2:$D$300,3,FALSE)</f>
        <v>!!SMOOTHIE_BANANA_BREAKER</v>
      </c>
      <c r="D245">
        <v>15</v>
      </c>
      <c r="E245" t="str">
        <f>VLOOKUP(D245,[1]bonus_paytable!$A$2:$D$300,3,FALSE)</f>
        <v>bottomite_green_female_average</v>
      </c>
      <c r="F245">
        <v>-1</v>
      </c>
      <c r="G245">
        <v>-1</v>
      </c>
      <c r="H245">
        <v>1</v>
      </c>
      <c r="I245" t="s">
        <v>1</v>
      </c>
      <c r="J245">
        <v>40004</v>
      </c>
      <c r="K245">
        <v>80013</v>
      </c>
      <c r="L245">
        <v>70010</v>
      </c>
      <c r="M245">
        <v>70004</v>
      </c>
      <c r="N245">
        <v>60000</v>
      </c>
      <c r="O245">
        <v>14</v>
      </c>
      <c r="P245">
        <v>30010</v>
      </c>
      <c r="Q245">
        <v>40003</v>
      </c>
      <c r="R245">
        <v>70001</v>
      </c>
      <c r="S245">
        <v>50005</v>
      </c>
      <c r="T245">
        <v>-1</v>
      </c>
      <c r="U245" s="2">
        <v>0.01</v>
      </c>
      <c r="V245" s="2">
        <v>0.03</v>
      </c>
      <c r="W245" s="2">
        <v>0.03</v>
      </c>
      <c r="X245" s="2">
        <v>0.03</v>
      </c>
      <c r="Y245" s="2">
        <v>0.03</v>
      </c>
      <c r="Z245" s="2">
        <v>0.05</v>
      </c>
      <c r="AA245" s="2">
        <v>0.05</v>
      </c>
      <c r="AB245" s="2">
        <v>0.05</v>
      </c>
      <c r="AC245" s="2">
        <v>0.05</v>
      </c>
      <c r="AD245" s="2">
        <v>0.05</v>
      </c>
      <c r="AE245" s="2">
        <v>-1</v>
      </c>
      <c r="AF245">
        <f t="shared" si="22"/>
        <v>1</v>
      </c>
      <c r="AG245">
        <f t="shared" si="23"/>
        <v>1</v>
      </c>
      <c r="AH245">
        <f t="shared" si="24"/>
        <v>1</v>
      </c>
      <c r="AI245">
        <f t="shared" si="25"/>
        <v>1</v>
      </c>
      <c r="AJ245">
        <f t="shared" si="26"/>
        <v>1</v>
      </c>
      <c r="AK245">
        <f t="shared" si="27"/>
        <v>1</v>
      </c>
      <c r="AL245">
        <f t="shared" si="28"/>
        <v>1</v>
      </c>
      <c r="AM245">
        <f t="shared" si="29"/>
        <v>1</v>
      </c>
      <c r="AN245">
        <f t="shared" si="30"/>
        <v>1</v>
      </c>
      <c r="AO245">
        <f t="shared" si="31"/>
        <v>1</v>
      </c>
      <c r="AP245">
        <f t="shared" si="32"/>
        <v>-1</v>
      </c>
      <c r="AQ245">
        <v>0</v>
      </c>
      <c r="AR245" t="s">
        <v>2</v>
      </c>
      <c r="AS245">
        <v>-1</v>
      </c>
      <c r="AT245">
        <v>-1</v>
      </c>
      <c r="AU245">
        <v>-1</v>
      </c>
      <c r="AV245">
        <v>-1</v>
      </c>
      <c r="AW245">
        <v>-1</v>
      </c>
      <c r="AX245">
        <v>-1</v>
      </c>
      <c r="AY245">
        <v>-1</v>
      </c>
      <c r="AZ245">
        <v>-1</v>
      </c>
      <c r="BA245">
        <v>-1</v>
      </c>
      <c r="BB245">
        <v>0</v>
      </c>
      <c r="BC245" t="s">
        <v>2</v>
      </c>
      <c r="BD245">
        <v>-1</v>
      </c>
      <c r="BE245">
        <v>-1</v>
      </c>
      <c r="BF245">
        <v>-1</v>
      </c>
      <c r="BG245">
        <v>-1</v>
      </c>
      <c r="BH245">
        <v>-1</v>
      </c>
      <c r="BI245">
        <v>-1</v>
      </c>
      <c r="BJ245">
        <v>-1</v>
      </c>
      <c r="BK245">
        <v>-1</v>
      </c>
      <c r="BL245">
        <v>-1</v>
      </c>
      <c r="BM245">
        <v>-1</v>
      </c>
      <c r="BN245">
        <v>-1</v>
      </c>
      <c r="BO245">
        <v>-1</v>
      </c>
    </row>
    <row r="246" spans="1:67" x14ac:dyDescent="0.25">
      <c r="A246">
        <v>243</v>
      </c>
      <c r="B246">
        <v>40007</v>
      </c>
      <c r="C246" t="str">
        <f>VLOOKUP(B246,[1]resources!$A$2:$D$300,3,FALSE)</f>
        <v>!!ICECREAM_STRAWBERRY</v>
      </c>
      <c r="D246">
        <v>15</v>
      </c>
      <c r="E246" t="str">
        <f>VLOOKUP(D246,[1]bonus_paytable!$A$2:$D$300,3,FALSE)</f>
        <v>bottomite_green_female_average</v>
      </c>
      <c r="F246">
        <v>-1</v>
      </c>
      <c r="G246">
        <v>-1</v>
      </c>
      <c r="H246">
        <v>1</v>
      </c>
      <c r="I246" t="s">
        <v>1</v>
      </c>
      <c r="J246">
        <v>40004</v>
      </c>
      <c r="K246">
        <v>80013</v>
      </c>
      <c r="L246">
        <v>70010</v>
      </c>
      <c r="M246">
        <v>70004</v>
      </c>
      <c r="N246">
        <v>60000</v>
      </c>
      <c r="O246">
        <v>14</v>
      </c>
      <c r="P246">
        <v>30010</v>
      </c>
      <c r="Q246">
        <v>40003</v>
      </c>
      <c r="R246">
        <v>70001</v>
      </c>
      <c r="S246">
        <v>50005</v>
      </c>
      <c r="T246">
        <v>-1</v>
      </c>
      <c r="U246" s="2">
        <v>0.01</v>
      </c>
      <c r="V246" s="2">
        <v>0.03</v>
      </c>
      <c r="W246" s="2">
        <v>0.03</v>
      </c>
      <c r="X246" s="2">
        <v>0.03</v>
      </c>
      <c r="Y246" s="2">
        <v>0.03</v>
      </c>
      <c r="Z246" s="2">
        <v>0.05</v>
      </c>
      <c r="AA246" s="2">
        <v>0.05</v>
      </c>
      <c r="AB246" s="2">
        <v>0.05</v>
      </c>
      <c r="AC246" s="2">
        <v>0.05</v>
      </c>
      <c r="AD246" s="2">
        <v>0.05</v>
      </c>
      <c r="AE246" s="2">
        <v>-1</v>
      </c>
      <c r="AF246">
        <f t="shared" si="22"/>
        <v>1</v>
      </c>
      <c r="AG246">
        <f t="shared" si="23"/>
        <v>1</v>
      </c>
      <c r="AH246">
        <f t="shared" si="24"/>
        <v>1</v>
      </c>
      <c r="AI246">
        <f t="shared" si="25"/>
        <v>1</v>
      </c>
      <c r="AJ246">
        <f t="shared" si="26"/>
        <v>1</v>
      </c>
      <c r="AK246">
        <f t="shared" si="27"/>
        <v>1</v>
      </c>
      <c r="AL246">
        <f t="shared" si="28"/>
        <v>1</v>
      </c>
      <c r="AM246">
        <f t="shared" si="29"/>
        <v>1</v>
      </c>
      <c r="AN246">
        <f t="shared" si="30"/>
        <v>1</v>
      </c>
      <c r="AO246">
        <f t="shared" si="31"/>
        <v>1</v>
      </c>
      <c r="AP246">
        <f t="shared" si="32"/>
        <v>-1</v>
      </c>
      <c r="AQ246">
        <v>0</v>
      </c>
      <c r="AR246" t="s">
        <v>2</v>
      </c>
      <c r="AS246">
        <v>-1</v>
      </c>
      <c r="AT246">
        <v>-1</v>
      </c>
      <c r="AU246">
        <v>-1</v>
      </c>
      <c r="AV246">
        <v>-1</v>
      </c>
      <c r="AW246">
        <v>-1</v>
      </c>
      <c r="AX246">
        <v>-1</v>
      </c>
      <c r="AY246">
        <v>-1</v>
      </c>
      <c r="AZ246">
        <v>-1</v>
      </c>
      <c r="BA246">
        <v>-1</v>
      </c>
      <c r="BB246">
        <v>0</v>
      </c>
      <c r="BC246" t="s">
        <v>2</v>
      </c>
      <c r="BD246">
        <v>-1</v>
      </c>
      <c r="BE246">
        <v>-1</v>
      </c>
      <c r="BF246">
        <v>-1</v>
      </c>
      <c r="BG246">
        <v>-1</v>
      </c>
      <c r="BH246">
        <v>-1</v>
      </c>
      <c r="BI246">
        <v>-1</v>
      </c>
      <c r="BJ246">
        <v>-1</v>
      </c>
      <c r="BK246">
        <v>-1</v>
      </c>
      <c r="BL246">
        <v>-1</v>
      </c>
      <c r="BM246">
        <v>-1</v>
      </c>
      <c r="BN246">
        <v>-1</v>
      </c>
      <c r="BO246">
        <v>-1</v>
      </c>
    </row>
    <row r="247" spans="1:67" x14ac:dyDescent="0.25">
      <c r="A247">
        <v>244</v>
      </c>
      <c r="B247">
        <v>50000</v>
      </c>
      <c r="C247" t="str">
        <f>VLOOKUP(B247,[1]resources!$A$2:$D$300,3,FALSE)</f>
        <v>!!SHAKE_BANANAS_N_BITS</v>
      </c>
      <c r="D247">
        <v>15</v>
      </c>
      <c r="E247" t="str">
        <f>VLOOKUP(D247,[1]bonus_paytable!$A$2:$D$300,3,FALSE)</f>
        <v>bottomite_green_female_average</v>
      </c>
      <c r="F247">
        <v>-1</v>
      </c>
      <c r="G247">
        <v>-1</v>
      </c>
      <c r="H247">
        <v>1</v>
      </c>
      <c r="I247" t="s">
        <v>1</v>
      </c>
      <c r="J247">
        <v>40004</v>
      </c>
      <c r="K247">
        <v>80013</v>
      </c>
      <c r="L247">
        <v>70010</v>
      </c>
      <c r="M247">
        <v>70004</v>
      </c>
      <c r="N247">
        <v>60000</v>
      </c>
      <c r="O247">
        <v>14</v>
      </c>
      <c r="P247">
        <v>30010</v>
      </c>
      <c r="Q247">
        <v>40003</v>
      </c>
      <c r="R247">
        <v>70001</v>
      </c>
      <c r="S247">
        <v>50005</v>
      </c>
      <c r="T247">
        <v>-1</v>
      </c>
      <c r="U247" s="2">
        <v>0.01</v>
      </c>
      <c r="V247" s="2">
        <v>0.03</v>
      </c>
      <c r="W247" s="2">
        <v>0.03</v>
      </c>
      <c r="X247" s="2">
        <v>0.03</v>
      </c>
      <c r="Y247" s="2">
        <v>0.03</v>
      </c>
      <c r="Z247" s="2">
        <v>0.05</v>
      </c>
      <c r="AA247" s="2">
        <v>0.05</v>
      </c>
      <c r="AB247" s="2">
        <v>0.05</v>
      </c>
      <c r="AC247" s="2">
        <v>0.05</v>
      </c>
      <c r="AD247" s="2">
        <v>0.05</v>
      </c>
      <c r="AE247" s="2">
        <v>-1</v>
      </c>
      <c r="AF247">
        <f t="shared" si="22"/>
        <v>1</v>
      </c>
      <c r="AG247">
        <f t="shared" si="23"/>
        <v>1</v>
      </c>
      <c r="AH247">
        <f t="shared" si="24"/>
        <v>1</v>
      </c>
      <c r="AI247">
        <f t="shared" si="25"/>
        <v>1</v>
      </c>
      <c r="AJ247">
        <f t="shared" si="26"/>
        <v>1</v>
      </c>
      <c r="AK247">
        <f t="shared" si="27"/>
        <v>1</v>
      </c>
      <c r="AL247">
        <f t="shared" si="28"/>
        <v>1</v>
      </c>
      <c r="AM247">
        <f t="shared" si="29"/>
        <v>1</v>
      </c>
      <c r="AN247">
        <f t="shared" si="30"/>
        <v>1</v>
      </c>
      <c r="AO247">
        <f t="shared" si="31"/>
        <v>1</v>
      </c>
      <c r="AP247">
        <f t="shared" si="32"/>
        <v>-1</v>
      </c>
      <c r="AQ247">
        <v>0</v>
      </c>
      <c r="AR247" t="s">
        <v>2</v>
      </c>
      <c r="AS247">
        <v>-1</v>
      </c>
      <c r="AT247">
        <v>-1</v>
      </c>
      <c r="AU247">
        <v>-1</v>
      </c>
      <c r="AV247">
        <v>-1</v>
      </c>
      <c r="AW247">
        <v>-1</v>
      </c>
      <c r="AX247">
        <v>-1</v>
      </c>
      <c r="AY247">
        <v>-1</v>
      </c>
      <c r="AZ247">
        <v>-1</v>
      </c>
      <c r="BA247">
        <v>-1</v>
      </c>
      <c r="BB247">
        <v>0</v>
      </c>
      <c r="BC247" t="s">
        <v>2</v>
      </c>
      <c r="BD247">
        <v>-1</v>
      </c>
      <c r="BE247">
        <v>-1</v>
      </c>
      <c r="BF247">
        <v>-1</v>
      </c>
      <c r="BG247">
        <v>-1</v>
      </c>
      <c r="BH247">
        <v>-1</v>
      </c>
      <c r="BI247">
        <v>-1</v>
      </c>
      <c r="BJ247">
        <v>-1</v>
      </c>
      <c r="BK247">
        <v>-1</v>
      </c>
      <c r="BL247">
        <v>-1</v>
      </c>
      <c r="BM247">
        <v>-1</v>
      </c>
      <c r="BN247">
        <v>-1</v>
      </c>
      <c r="BO247">
        <v>-1</v>
      </c>
    </row>
    <row r="248" spans="1:67" x14ac:dyDescent="0.25">
      <c r="A248">
        <v>245</v>
      </c>
      <c r="B248">
        <v>60017</v>
      </c>
      <c r="C248" t="str">
        <f>VLOOKUP(B248,[1]resources!$A$2:$D$300,3,FALSE)</f>
        <v>!!BOUQUET_FLOWERCORAL_CUPCORALTREE</v>
      </c>
      <c r="D248">
        <v>15</v>
      </c>
      <c r="E248" t="str">
        <f>VLOOKUP(D248,[1]bonus_paytable!$A$2:$D$300,3,FALSE)</f>
        <v>bottomite_green_female_average</v>
      </c>
      <c r="F248">
        <v>-1</v>
      </c>
      <c r="G248">
        <v>-1</v>
      </c>
      <c r="H248">
        <v>1</v>
      </c>
      <c r="I248" t="s">
        <v>1</v>
      </c>
      <c r="J248">
        <v>40004</v>
      </c>
      <c r="K248">
        <v>80013</v>
      </c>
      <c r="L248">
        <v>70010</v>
      </c>
      <c r="M248">
        <v>70004</v>
      </c>
      <c r="N248">
        <v>60000</v>
      </c>
      <c r="O248">
        <v>14</v>
      </c>
      <c r="P248">
        <v>30010</v>
      </c>
      <c r="Q248">
        <v>40003</v>
      </c>
      <c r="R248">
        <v>70001</v>
      </c>
      <c r="S248">
        <v>50005</v>
      </c>
      <c r="T248">
        <v>-1</v>
      </c>
      <c r="U248" s="2">
        <v>0.01</v>
      </c>
      <c r="V248" s="2">
        <v>0.03</v>
      </c>
      <c r="W248" s="2">
        <v>0.03</v>
      </c>
      <c r="X248" s="2">
        <v>0.03</v>
      </c>
      <c r="Y248" s="2">
        <v>0.03</v>
      </c>
      <c r="Z248" s="2">
        <v>0.05</v>
      </c>
      <c r="AA248" s="2">
        <v>0.05</v>
      </c>
      <c r="AB248" s="2">
        <v>0.05</v>
      </c>
      <c r="AC248" s="2">
        <v>0.05</v>
      </c>
      <c r="AD248" s="2">
        <v>0.05</v>
      </c>
      <c r="AE248" s="2">
        <v>-1</v>
      </c>
      <c r="AF248">
        <f t="shared" si="22"/>
        <v>1</v>
      </c>
      <c r="AG248">
        <f t="shared" si="23"/>
        <v>1</v>
      </c>
      <c r="AH248">
        <f t="shared" si="24"/>
        <v>1</v>
      </c>
      <c r="AI248">
        <f t="shared" si="25"/>
        <v>1</v>
      </c>
      <c r="AJ248">
        <f t="shared" si="26"/>
        <v>1</v>
      </c>
      <c r="AK248">
        <f t="shared" si="27"/>
        <v>1</v>
      </c>
      <c r="AL248">
        <f t="shared" si="28"/>
        <v>1</v>
      </c>
      <c r="AM248">
        <f t="shared" si="29"/>
        <v>1</v>
      </c>
      <c r="AN248">
        <f t="shared" si="30"/>
        <v>1</v>
      </c>
      <c r="AO248">
        <f t="shared" si="31"/>
        <v>1</v>
      </c>
      <c r="AP248">
        <f t="shared" si="32"/>
        <v>-1</v>
      </c>
      <c r="AQ248">
        <v>0</v>
      </c>
      <c r="AR248" t="s">
        <v>2</v>
      </c>
      <c r="AS248">
        <v>-1</v>
      </c>
      <c r="AT248">
        <v>-1</v>
      </c>
      <c r="AU248">
        <v>-1</v>
      </c>
      <c r="AV248">
        <v>-1</v>
      </c>
      <c r="AW248">
        <v>-1</v>
      </c>
      <c r="AX248">
        <v>-1</v>
      </c>
      <c r="AY248">
        <v>-1</v>
      </c>
      <c r="AZ248">
        <v>-1</v>
      </c>
      <c r="BA248">
        <v>-1</v>
      </c>
      <c r="BB248">
        <v>0</v>
      </c>
      <c r="BC248" t="s">
        <v>2</v>
      </c>
      <c r="BD248">
        <v>-1</v>
      </c>
      <c r="BE248">
        <v>-1</v>
      </c>
      <c r="BF248">
        <v>-1</v>
      </c>
      <c r="BG248">
        <v>-1</v>
      </c>
      <c r="BH248">
        <v>-1</v>
      </c>
      <c r="BI248">
        <v>-1</v>
      </c>
      <c r="BJ248">
        <v>-1</v>
      </c>
      <c r="BK248">
        <v>-1</v>
      </c>
      <c r="BL248">
        <v>-1</v>
      </c>
      <c r="BM248">
        <v>-1</v>
      </c>
      <c r="BN248">
        <v>-1</v>
      </c>
      <c r="BO248">
        <v>-1</v>
      </c>
    </row>
    <row r="249" spans="1:67" x14ac:dyDescent="0.25">
      <c r="A249">
        <v>246</v>
      </c>
      <c r="B249">
        <v>60018</v>
      </c>
      <c r="C249" t="str">
        <f>VLOOKUP(B249,[1]resources!$A$2:$D$300,3,FALSE)</f>
        <v>!!BOUQUET_FLOWERCORAL_CORALPARADISE</v>
      </c>
      <c r="D249">
        <v>15</v>
      </c>
      <c r="E249" t="str">
        <f>VLOOKUP(D249,[1]bonus_paytable!$A$2:$D$300,3,FALSE)</f>
        <v>bottomite_green_female_average</v>
      </c>
      <c r="F249">
        <v>-1</v>
      </c>
      <c r="G249">
        <v>-1</v>
      </c>
      <c r="H249">
        <v>1</v>
      </c>
      <c r="I249" t="s">
        <v>1</v>
      </c>
      <c r="J249">
        <v>40004</v>
      </c>
      <c r="K249">
        <v>80013</v>
      </c>
      <c r="L249">
        <v>70010</v>
      </c>
      <c r="M249">
        <v>70004</v>
      </c>
      <c r="N249">
        <v>60000</v>
      </c>
      <c r="O249">
        <v>14</v>
      </c>
      <c r="P249">
        <v>30010</v>
      </c>
      <c r="Q249">
        <v>40003</v>
      </c>
      <c r="R249">
        <v>70001</v>
      </c>
      <c r="S249">
        <v>50005</v>
      </c>
      <c r="T249">
        <v>-1</v>
      </c>
      <c r="U249" s="2">
        <v>0.01</v>
      </c>
      <c r="V249" s="2">
        <v>0.03</v>
      </c>
      <c r="W249" s="2">
        <v>0.03</v>
      </c>
      <c r="X249" s="2">
        <v>0.03</v>
      </c>
      <c r="Y249" s="2">
        <v>0.03</v>
      </c>
      <c r="Z249" s="2">
        <v>0.05</v>
      </c>
      <c r="AA249" s="2">
        <v>0.05</v>
      </c>
      <c r="AB249" s="2">
        <v>0.05</v>
      </c>
      <c r="AC249" s="2">
        <v>0.05</v>
      </c>
      <c r="AD249" s="2">
        <v>0.05</v>
      </c>
      <c r="AE249" s="2">
        <v>-1</v>
      </c>
      <c r="AF249">
        <f t="shared" si="22"/>
        <v>1</v>
      </c>
      <c r="AG249">
        <f t="shared" si="23"/>
        <v>1</v>
      </c>
      <c r="AH249">
        <f t="shared" si="24"/>
        <v>1</v>
      </c>
      <c r="AI249">
        <f t="shared" si="25"/>
        <v>1</v>
      </c>
      <c r="AJ249">
        <f t="shared" si="26"/>
        <v>1</v>
      </c>
      <c r="AK249">
        <f t="shared" si="27"/>
        <v>1</v>
      </c>
      <c r="AL249">
        <f t="shared" si="28"/>
        <v>1</v>
      </c>
      <c r="AM249">
        <f t="shared" si="29"/>
        <v>1</v>
      </c>
      <c r="AN249">
        <f t="shared" si="30"/>
        <v>1</v>
      </c>
      <c r="AO249">
        <f t="shared" si="31"/>
        <v>1</v>
      </c>
      <c r="AP249">
        <f t="shared" si="32"/>
        <v>-1</v>
      </c>
      <c r="AQ249">
        <v>0</v>
      </c>
      <c r="AR249" t="s">
        <v>2</v>
      </c>
      <c r="AS249">
        <v>-1</v>
      </c>
      <c r="AT249">
        <v>-1</v>
      </c>
      <c r="AU249">
        <v>-1</v>
      </c>
      <c r="AV249">
        <v>-1</v>
      </c>
      <c r="AW249">
        <v>-1</v>
      </c>
      <c r="AX249">
        <v>-1</v>
      </c>
      <c r="AY249">
        <v>-1</v>
      </c>
      <c r="AZ249">
        <v>-1</v>
      </c>
      <c r="BA249">
        <v>-1</v>
      </c>
      <c r="BB249">
        <v>0</v>
      </c>
      <c r="BC249" t="s">
        <v>2</v>
      </c>
      <c r="BD249">
        <v>-1</v>
      </c>
      <c r="BE249">
        <v>-1</v>
      </c>
      <c r="BF249">
        <v>-1</v>
      </c>
      <c r="BG249">
        <v>-1</v>
      </c>
      <c r="BH249">
        <v>-1</v>
      </c>
      <c r="BI249">
        <v>-1</v>
      </c>
      <c r="BJ249">
        <v>-1</v>
      </c>
      <c r="BK249">
        <v>-1</v>
      </c>
      <c r="BL249">
        <v>-1</v>
      </c>
      <c r="BM249">
        <v>-1</v>
      </c>
      <c r="BN249">
        <v>-1</v>
      </c>
      <c r="BO249">
        <v>-1</v>
      </c>
    </row>
    <row r="250" spans="1:67" x14ac:dyDescent="0.25">
      <c r="A250">
        <v>247</v>
      </c>
      <c r="B250">
        <v>70010</v>
      </c>
      <c r="C250" t="str">
        <f>VLOOKUP(B250,[1]resources!$A$2:$D$300,3,FALSE)</f>
        <v>!!PERFUME_THATSSOCORAL</v>
      </c>
      <c r="D250">
        <v>15</v>
      </c>
      <c r="E250" t="str">
        <f>VLOOKUP(D250,[1]bonus_paytable!$A$2:$D$300,3,FALSE)</f>
        <v>bottomite_green_female_average</v>
      </c>
      <c r="F250">
        <v>-1</v>
      </c>
      <c r="G250">
        <v>-1</v>
      </c>
      <c r="H250">
        <v>1</v>
      </c>
      <c r="I250" t="s">
        <v>1</v>
      </c>
      <c r="J250">
        <v>40004</v>
      </c>
      <c r="K250">
        <v>80013</v>
      </c>
      <c r="L250">
        <v>70010</v>
      </c>
      <c r="M250">
        <v>70004</v>
      </c>
      <c r="N250">
        <v>60000</v>
      </c>
      <c r="O250">
        <v>14</v>
      </c>
      <c r="P250">
        <v>30010</v>
      </c>
      <c r="Q250">
        <v>40003</v>
      </c>
      <c r="R250">
        <v>70001</v>
      </c>
      <c r="S250">
        <v>50005</v>
      </c>
      <c r="T250">
        <v>-1</v>
      </c>
      <c r="U250" s="2">
        <v>0.01</v>
      </c>
      <c r="V250" s="2">
        <v>0.03</v>
      </c>
      <c r="W250" s="2">
        <v>0.03</v>
      </c>
      <c r="X250" s="2">
        <v>0.03</v>
      </c>
      <c r="Y250" s="2">
        <v>0.03</v>
      </c>
      <c r="Z250" s="2">
        <v>0.05</v>
      </c>
      <c r="AA250" s="2">
        <v>0.05</v>
      </c>
      <c r="AB250" s="2">
        <v>0.05</v>
      </c>
      <c r="AC250" s="2">
        <v>0.05</v>
      </c>
      <c r="AD250" s="2">
        <v>0.05</v>
      </c>
      <c r="AE250" s="2">
        <v>-1</v>
      </c>
      <c r="AF250">
        <f t="shared" si="22"/>
        <v>1</v>
      </c>
      <c r="AG250">
        <f t="shared" si="23"/>
        <v>1</v>
      </c>
      <c r="AH250">
        <f t="shared" si="24"/>
        <v>1</v>
      </c>
      <c r="AI250">
        <f t="shared" si="25"/>
        <v>1</v>
      </c>
      <c r="AJ250">
        <f t="shared" si="26"/>
        <v>1</v>
      </c>
      <c r="AK250">
        <f t="shared" si="27"/>
        <v>1</v>
      </c>
      <c r="AL250">
        <f t="shared" si="28"/>
        <v>1</v>
      </c>
      <c r="AM250">
        <f t="shared" si="29"/>
        <v>1</v>
      </c>
      <c r="AN250">
        <f t="shared" si="30"/>
        <v>1</v>
      </c>
      <c r="AO250">
        <f t="shared" si="31"/>
        <v>1</v>
      </c>
      <c r="AP250">
        <f t="shared" si="32"/>
        <v>-1</v>
      </c>
      <c r="AQ250">
        <v>0</v>
      </c>
      <c r="AR250" t="s">
        <v>2</v>
      </c>
      <c r="AS250">
        <v>-1</v>
      </c>
      <c r="AT250">
        <v>-1</v>
      </c>
      <c r="AU250">
        <v>-1</v>
      </c>
      <c r="AV250">
        <v>-1</v>
      </c>
      <c r="AW250">
        <v>-1</v>
      </c>
      <c r="AX250">
        <v>-1</v>
      </c>
      <c r="AY250">
        <v>-1</v>
      </c>
      <c r="AZ250">
        <v>-1</v>
      </c>
      <c r="BA250">
        <v>-1</v>
      </c>
      <c r="BB250">
        <v>0</v>
      </c>
      <c r="BC250" t="s">
        <v>2</v>
      </c>
      <c r="BD250">
        <v>-1</v>
      </c>
      <c r="BE250">
        <v>-1</v>
      </c>
      <c r="BF250">
        <v>-1</v>
      </c>
      <c r="BG250">
        <v>-1</v>
      </c>
      <c r="BH250">
        <v>-1</v>
      </c>
      <c r="BI250">
        <v>-1</v>
      </c>
      <c r="BJ250">
        <v>-1</v>
      </c>
      <c r="BK250">
        <v>-1</v>
      </c>
      <c r="BL250">
        <v>-1</v>
      </c>
      <c r="BM250">
        <v>-1</v>
      </c>
      <c r="BN250">
        <v>-1</v>
      </c>
      <c r="BO250">
        <v>-1</v>
      </c>
    </row>
    <row r="251" spans="1:67" x14ac:dyDescent="0.25">
      <c r="A251">
        <v>248</v>
      </c>
      <c r="B251">
        <v>80013</v>
      </c>
      <c r="C251" t="str">
        <f>VLOOKUP(B251,[1]resources!$A$2:$D$300,3,FALSE)</f>
        <v>!!FOOD_BAKED_SEALIMEPIE</v>
      </c>
      <c r="D251">
        <v>15</v>
      </c>
      <c r="E251" t="str">
        <f>VLOOKUP(D251,[1]bonus_paytable!$A$2:$D$300,3,FALSE)</f>
        <v>bottomite_green_female_average</v>
      </c>
      <c r="F251">
        <v>-1</v>
      </c>
      <c r="G251">
        <v>-1</v>
      </c>
      <c r="H251">
        <v>1</v>
      </c>
      <c r="I251" t="s">
        <v>1</v>
      </c>
      <c r="J251">
        <v>40004</v>
      </c>
      <c r="K251">
        <v>80013</v>
      </c>
      <c r="L251">
        <v>70010</v>
      </c>
      <c r="M251">
        <v>70004</v>
      </c>
      <c r="N251">
        <v>60000</v>
      </c>
      <c r="O251">
        <v>14</v>
      </c>
      <c r="P251">
        <v>30010</v>
      </c>
      <c r="Q251">
        <v>40003</v>
      </c>
      <c r="R251">
        <v>70001</v>
      </c>
      <c r="S251">
        <v>50005</v>
      </c>
      <c r="T251">
        <v>-1</v>
      </c>
      <c r="U251" s="2">
        <v>0.01</v>
      </c>
      <c r="V251" s="2">
        <v>0.03</v>
      </c>
      <c r="W251" s="2">
        <v>0.03</v>
      </c>
      <c r="X251" s="2">
        <v>0.03</v>
      </c>
      <c r="Y251" s="2">
        <v>0.03</v>
      </c>
      <c r="Z251" s="2">
        <v>0.05</v>
      </c>
      <c r="AA251" s="2">
        <v>0.05</v>
      </c>
      <c r="AB251" s="2">
        <v>0.05</v>
      </c>
      <c r="AC251" s="2">
        <v>0.05</v>
      </c>
      <c r="AD251" s="2">
        <v>0.05</v>
      </c>
      <c r="AE251" s="2">
        <v>-1</v>
      </c>
      <c r="AF251">
        <f t="shared" si="22"/>
        <v>1</v>
      </c>
      <c r="AG251">
        <f t="shared" si="23"/>
        <v>1</v>
      </c>
      <c r="AH251">
        <f t="shared" si="24"/>
        <v>1</v>
      </c>
      <c r="AI251">
        <f t="shared" si="25"/>
        <v>1</v>
      </c>
      <c r="AJ251">
        <f t="shared" si="26"/>
        <v>1</v>
      </c>
      <c r="AK251">
        <f t="shared" si="27"/>
        <v>1</v>
      </c>
      <c r="AL251">
        <f t="shared" si="28"/>
        <v>1</v>
      </c>
      <c r="AM251">
        <f t="shared" si="29"/>
        <v>1</v>
      </c>
      <c r="AN251">
        <f t="shared" si="30"/>
        <v>1</v>
      </c>
      <c r="AO251">
        <f t="shared" si="31"/>
        <v>1</v>
      </c>
      <c r="AP251">
        <f t="shared" si="32"/>
        <v>-1</v>
      </c>
      <c r="AQ251">
        <v>0</v>
      </c>
      <c r="AR251" t="s">
        <v>2</v>
      </c>
      <c r="AS251">
        <v>-1</v>
      </c>
      <c r="AT251">
        <v>-1</v>
      </c>
      <c r="AU251">
        <v>-1</v>
      </c>
      <c r="AV251">
        <v>-1</v>
      </c>
      <c r="AW251">
        <v>-1</v>
      </c>
      <c r="AX251">
        <v>-1</v>
      </c>
      <c r="AY251">
        <v>-1</v>
      </c>
      <c r="AZ251">
        <v>-1</v>
      </c>
      <c r="BA251">
        <v>-1</v>
      </c>
      <c r="BB251">
        <v>0</v>
      </c>
      <c r="BC251" t="s">
        <v>2</v>
      </c>
      <c r="BD251">
        <v>-1</v>
      </c>
      <c r="BE251">
        <v>-1</v>
      </c>
      <c r="BF251">
        <v>-1</v>
      </c>
      <c r="BG251">
        <v>-1</v>
      </c>
      <c r="BH251">
        <v>-1</v>
      </c>
      <c r="BI251">
        <v>-1</v>
      </c>
      <c r="BJ251">
        <v>-1</v>
      </c>
      <c r="BK251">
        <v>-1</v>
      </c>
      <c r="BL251">
        <v>-1</v>
      </c>
      <c r="BM251">
        <v>-1</v>
      </c>
      <c r="BN251">
        <v>-1</v>
      </c>
      <c r="BO251">
        <v>-1</v>
      </c>
    </row>
    <row r="252" spans="1:67" x14ac:dyDescent="0.25">
      <c r="A252">
        <v>249</v>
      </c>
      <c r="B252">
        <v>99</v>
      </c>
      <c r="C252" t="str">
        <f>VLOOKUP(B252,[1]resources!$A$2:$D$300,3,FALSE)</f>
        <v>!!FOOD_PIPSQUEAKPATTY</v>
      </c>
      <c r="D252">
        <v>16</v>
      </c>
      <c r="E252" t="str">
        <f>VLOOKUP(D252,[1]bonus_paytable!$A$2:$D$300,3,FALSE)</f>
        <v>bottomite_green_male_average_2</v>
      </c>
      <c r="F252">
        <v>-1</v>
      </c>
      <c r="G252">
        <v>-1</v>
      </c>
      <c r="H252">
        <v>1</v>
      </c>
      <c r="I252" t="s">
        <v>1</v>
      </c>
      <c r="J252">
        <v>50000</v>
      </c>
      <c r="K252">
        <v>80014</v>
      </c>
      <c r="L252">
        <v>20002</v>
      </c>
      <c r="M252">
        <v>40005</v>
      </c>
      <c r="N252">
        <v>60000</v>
      </c>
      <c r="O252">
        <v>14</v>
      </c>
      <c r="P252">
        <v>30014</v>
      </c>
      <c r="Q252">
        <v>40003</v>
      </c>
      <c r="R252">
        <v>70002</v>
      </c>
      <c r="S252">
        <v>-1</v>
      </c>
      <c r="T252">
        <v>-1</v>
      </c>
      <c r="U252" s="2">
        <v>0.01</v>
      </c>
      <c r="V252" s="2">
        <v>0.03</v>
      </c>
      <c r="W252" s="2">
        <v>0.03</v>
      </c>
      <c r="X252" s="2">
        <v>0.03</v>
      </c>
      <c r="Y252" s="2">
        <v>0.03</v>
      </c>
      <c r="Z252" s="2">
        <v>0.05</v>
      </c>
      <c r="AA252" s="2">
        <v>0.05</v>
      </c>
      <c r="AB252" s="2">
        <v>0.05</v>
      </c>
      <c r="AC252" s="2">
        <v>0.05</v>
      </c>
      <c r="AD252" s="2">
        <v>-1</v>
      </c>
      <c r="AE252" s="2">
        <v>-1</v>
      </c>
      <c r="AF252">
        <f t="shared" si="22"/>
        <v>1</v>
      </c>
      <c r="AG252">
        <f t="shared" si="23"/>
        <v>1</v>
      </c>
      <c r="AH252">
        <f t="shared" si="24"/>
        <v>1</v>
      </c>
      <c r="AI252">
        <f t="shared" si="25"/>
        <v>1</v>
      </c>
      <c r="AJ252">
        <f t="shared" si="26"/>
        <v>1</v>
      </c>
      <c r="AK252">
        <f t="shared" si="27"/>
        <v>1</v>
      </c>
      <c r="AL252">
        <f t="shared" si="28"/>
        <v>1</v>
      </c>
      <c r="AM252">
        <f t="shared" si="29"/>
        <v>1</v>
      </c>
      <c r="AN252">
        <f t="shared" si="30"/>
        <v>1</v>
      </c>
      <c r="AO252">
        <f t="shared" si="31"/>
        <v>-1</v>
      </c>
      <c r="AP252">
        <f t="shared" si="32"/>
        <v>-1</v>
      </c>
      <c r="AQ252">
        <v>0</v>
      </c>
      <c r="AR252" t="s">
        <v>2</v>
      </c>
      <c r="AS252">
        <v>-1</v>
      </c>
      <c r="AT252">
        <v>-1</v>
      </c>
      <c r="AU252">
        <v>-1</v>
      </c>
      <c r="AV252">
        <v>-1</v>
      </c>
      <c r="AW252">
        <v>-1</v>
      </c>
      <c r="AX252">
        <v>-1</v>
      </c>
      <c r="AY252">
        <v>-1</v>
      </c>
      <c r="AZ252">
        <v>-1</v>
      </c>
      <c r="BA252">
        <v>-1</v>
      </c>
      <c r="BB252">
        <v>0</v>
      </c>
      <c r="BC252" t="s">
        <v>2</v>
      </c>
      <c r="BD252">
        <v>-1</v>
      </c>
      <c r="BE252">
        <v>-1</v>
      </c>
      <c r="BF252">
        <v>-1</v>
      </c>
      <c r="BG252">
        <v>-1</v>
      </c>
      <c r="BH252">
        <v>-1</v>
      </c>
      <c r="BI252">
        <v>-1</v>
      </c>
      <c r="BJ252">
        <v>-1</v>
      </c>
      <c r="BK252">
        <v>-1</v>
      </c>
      <c r="BL252">
        <v>-1</v>
      </c>
      <c r="BM252">
        <v>-1</v>
      </c>
      <c r="BN252">
        <v>-1</v>
      </c>
      <c r="BO252">
        <v>-1</v>
      </c>
    </row>
    <row r="253" spans="1:67" x14ac:dyDescent="0.25">
      <c r="A253">
        <v>250</v>
      </c>
      <c r="B253">
        <v>97</v>
      </c>
      <c r="C253" t="str">
        <f>VLOOKUP(B253,[1]resources!$A$2:$D$300,3,FALSE)</f>
        <v>!!FOOD_PICODEGALLO</v>
      </c>
      <c r="D253">
        <v>16</v>
      </c>
      <c r="E253" t="str">
        <f>VLOOKUP(D253,[1]bonus_paytable!$A$2:$D$300,3,FALSE)</f>
        <v>bottomite_green_male_average_2</v>
      </c>
      <c r="F253">
        <v>-1</v>
      </c>
      <c r="G253">
        <v>-1</v>
      </c>
      <c r="H253">
        <v>1</v>
      </c>
      <c r="I253" t="s">
        <v>1</v>
      </c>
      <c r="J253">
        <v>50000</v>
      </c>
      <c r="K253">
        <v>80014</v>
      </c>
      <c r="L253">
        <v>20002</v>
      </c>
      <c r="M253">
        <v>40005</v>
      </c>
      <c r="N253">
        <v>60000</v>
      </c>
      <c r="O253">
        <v>14</v>
      </c>
      <c r="P253">
        <v>30014</v>
      </c>
      <c r="Q253">
        <v>40003</v>
      </c>
      <c r="R253">
        <v>70002</v>
      </c>
      <c r="S253">
        <v>-1</v>
      </c>
      <c r="T253">
        <v>-1</v>
      </c>
      <c r="U253" s="2">
        <v>0.01</v>
      </c>
      <c r="V253" s="2">
        <v>0.03</v>
      </c>
      <c r="W253" s="2">
        <v>0.03</v>
      </c>
      <c r="X253" s="2">
        <v>0.03</v>
      </c>
      <c r="Y253" s="2">
        <v>0.03</v>
      </c>
      <c r="Z253" s="2">
        <v>0.05</v>
      </c>
      <c r="AA253" s="2">
        <v>0.05</v>
      </c>
      <c r="AB253" s="2">
        <v>0.05</v>
      </c>
      <c r="AC253" s="2">
        <v>0.05</v>
      </c>
      <c r="AD253" s="2">
        <v>-1</v>
      </c>
      <c r="AE253" s="2">
        <v>-1</v>
      </c>
      <c r="AF253">
        <f t="shared" si="22"/>
        <v>1</v>
      </c>
      <c r="AG253">
        <f t="shared" si="23"/>
        <v>1</v>
      </c>
      <c r="AH253">
        <f t="shared" si="24"/>
        <v>1</v>
      </c>
      <c r="AI253">
        <f t="shared" si="25"/>
        <v>1</v>
      </c>
      <c r="AJ253">
        <f t="shared" si="26"/>
        <v>1</v>
      </c>
      <c r="AK253">
        <f t="shared" si="27"/>
        <v>1</v>
      </c>
      <c r="AL253">
        <f t="shared" si="28"/>
        <v>1</v>
      </c>
      <c r="AM253">
        <f t="shared" si="29"/>
        <v>1</v>
      </c>
      <c r="AN253">
        <f t="shared" si="30"/>
        <v>1</v>
      </c>
      <c r="AO253">
        <f t="shared" si="31"/>
        <v>-1</v>
      </c>
      <c r="AP253">
        <f t="shared" si="32"/>
        <v>-1</v>
      </c>
      <c r="AQ253">
        <v>0</v>
      </c>
      <c r="AR253" t="s">
        <v>2</v>
      </c>
      <c r="AS253">
        <v>-1</v>
      </c>
      <c r="AT253">
        <v>-1</v>
      </c>
      <c r="AU253">
        <v>-1</v>
      </c>
      <c r="AV253">
        <v>-1</v>
      </c>
      <c r="AW253">
        <v>-1</v>
      </c>
      <c r="AX253">
        <v>-1</v>
      </c>
      <c r="AY253">
        <v>-1</v>
      </c>
      <c r="AZ253">
        <v>-1</v>
      </c>
      <c r="BA253">
        <v>-1</v>
      </c>
      <c r="BB253">
        <v>0</v>
      </c>
      <c r="BC253" t="s">
        <v>2</v>
      </c>
      <c r="BD253">
        <v>-1</v>
      </c>
      <c r="BE253">
        <v>-1</v>
      </c>
      <c r="BF253">
        <v>-1</v>
      </c>
      <c r="BG253">
        <v>-1</v>
      </c>
      <c r="BH253">
        <v>-1</v>
      </c>
      <c r="BI253">
        <v>-1</v>
      </c>
      <c r="BJ253">
        <v>-1</v>
      </c>
      <c r="BK253">
        <v>-1</v>
      </c>
      <c r="BL253">
        <v>-1</v>
      </c>
      <c r="BM253">
        <v>-1</v>
      </c>
      <c r="BN253">
        <v>-1</v>
      </c>
      <c r="BO253">
        <v>-1</v>
      </c>
    </row>
    <row r="254" spans="1:67" x14ac:dyDescent="0.25">
      <c r="A254">
        <v>251</v>
      </c>
      <c r="B254">
        <v>19</v>
      </c>
      <c r="C254" t="str">
        <f>VLOOKUP(B254,[1]resources!$A$2:$D$300,3,FALSE)</f>
        <v>!!FOOD_KELPCAKE</v>
      </c>
      <c r="D254">
        <v>16</v>
      </c>
      <c r="E254" t="str">
        <f>VLOOKUP(D254,[1]bonus_paytable!$A$2:$D$300,3,FALSE)</f>
        <v>bottomite_green_male_average_2</v>
      </c>
      <c r="F254">
        <v>-1</v>
      </c>
      <c r="G254">
        <v>-1</v>
      </c>
      <c r="H254">
        <v>1</v>
      </c>
      <c r="I254" t="s">
        <v>1</v>
      </c>
      <c r="J254">
        <v>50000</v>
      </c>
      <c r="K254">
        <v>80014</v>
      </c>
      <c r="L254">
        <v>20002</v>
      </c>
      <c r="M254">
        <v>40005</v>
      </c>
      <c r="N254">
        <v>60000</v>
      </c>
      <c r="O254">
        <v>14</v>
      </c>
      <c r="P254">
        <v>30014</v>
      </c>
      <c r="Q254">
        <v>40003</v>
      </c>
      <c r="R254">
        <v>70002</v>
      </c>
      <c r="S254">
        <v>-1</v>
      </c>
      <c r="T254">
        <v>-1</v>
      </c>
      <c r="U254" s="2">
        <v>0.01</v>
      </c>
      <c r="V254" s="2">
        <v>0.03</v>
      </c>
      <c r="W254" s="2">
        <v>0.03</v>
      </c>
      <c r="X254" s="2">
        <v>0.03</v>
      </c>
      <c r="Y254" s="2">
        <v>0.03</v>
      </c>
      <c r="Z254" s="2">
        <v>0.05</v>
      </c>
      <c r="AA254" s="2">
        <v>0.05</v>
      </c>
      <c r="AB254" s="2">
        <v>0.05</v>
      </c>
      <c r="AC254" s="2">
        <v>0.05</v>
      </c>
      <c r="AD254" s="2">
        <v>-1</v>
      </c>
      <c r="AE254" s="2">
        <v>-1</v>
      </c>
      <c r="AF254">
        <f t="shared" si="22"/>
        <v>1</v>
      </c>
      <c r="AG254">
        <f t="shared" si="23"/>
        <v>1</v>
      </c>
      <c r="AH254">
        <f t="shared" si="24"/>
        <v>1</v>
      </c>
      <c r="AI254">
        <f t="shared" si="25"/>
        <v>1</v>
      </c>
      <c r="AJ254">
        <f t="shared" si="26"/>
        <v>1</v>
      </c>
      <c r="AK254">
        <f t="shared" si="27"/>
        <v>1</v>
      </c>
      <c r="AL254">
        <f t="shared" si="28"/>
        <v>1</v>
      </c>
      <c r="AM254">
        <f t="shared" si="29"/>
        <v>1</v>
      </c>
      <c r="AN254">
        <f t="shared" si="30"/>
        <v>1</v>
      </c>
      <c r="AO254">
        <f t="shared" si="31"/>
        <v>-1</v>
      </c>
      <c r="AP254">
        <f t="shared" si="32"/>
        <v>-1</v>
      </c>
      <c r="AQ254">
        <v>0</v>
      </c>
      <c r="AR254" t="s">
        <v>2</v>
      </c>
      <c r="AS254">
        <v>-1</v>
      </c>
      <c r="AT254">
        <v>-1</v>
      </c>
      <c r="AU254">
        <v>-1</v>
      </c>
      <c r="AV254">
        <v>-1</v>
      </c>
      <c r="AW254">
        <v>-1</v>
      </c>
      <c r="AX254">
        <v>-1</v>
      </c>
      <c r="AY254">
        <v>-1</v>
      </c>
      <c r="AZ254">
        <v>-1</v>
      </c>
      <c r="BA254">
        <v>-1</v>
      </c>
      <c r="BB254">
        <v>0</v>
      </c>
      <c r="BC254" t="s">
        <v>2</v>
      </c>
      <c r="BD254">
        <v>-1</v>
      </c>
      <c r="BE254">
        <v>-1</v>
      </c>
      <c r="BF254">
        <v>-1</v>
      </c>
      <c r="BG254">
        <v>-1</v>
      </c>
      <c r="BH254">
        <v>-1</v>
      </c>
      <c r="BI254">
        <v>-1</v>
      </c>
      <c r="BJ254">
        <v>-1</v>
      </c>
      <c r="BK254">
        <v>-1</v>
      </c>
      <c r="BL254">
        <v>-1</v>
      </c>
      <c r="BM254">
        <v>-1</v>
      </c>
      <c r="BN254">
        <v>-1</v>
      </c>
      <c r="BO254">
        <v>-1</v>
      </c>
    </row>
    <row r="255" spans="1:67" x14ac:dyDescent="0.25">
      <c r="A255">
        <v>252</v>
      </c>
      <c r="B255">
        <v>20000</v>
      </c>
      <c r="C255" t="str">
        <f>VLOOKUP(B255,[1]resources!$A$2:$D$300,3,FALSE)</f>
        <v>!!JUICE_APPLE</v>
      </c>
      <c r="D255">
        <v>16</v>
      </c>
      <c r="E255" t="str">
        <f>VLOOKUP(D255,[1]bonus_paytable!$A$2:$D$300,3,FALSE)</f>
        <v>bottomite_green_male_average_2</v>
      </c>
      <c r="F255">
        <v>-1</v>
      </c>
      <c r="G255">
        <v>-1</v>
      </c>
      <c r="H255">
        <v>1</v>
      </c>
      <c r="I255" t="s">
        <v>1</v>
      </c>
      <c r="J255">
        <v>50000</v>
      </c>
      <c r="K255">
        <v>80014</v>
      </c>
      <c r="L255">
        <v>20002</v>
      </c>
      <c r="M255">
        <v>40005</v>
      </c>
      <c r="N255">
        <v>60000</v>
      </c>
      <c r="O255">
        <v>14</v>
      </c>
      <c r="P255">
        <v>30014</v>
      </c>
      <c r="Q255">
        <v>40003</v>
      </c>
      <c r="R255">
        <v>70002</v>
      </c>
      <c r="S255">
        <v>-1</v>
      </c>
      <c r="T255">
        <v>-1</v>
      </c>
      <c r="U255" s="2">
        <v>0.01</v>
      </c>
      <c r="V255" s="2">
        <v>0.03</v>
      </c>
      <c r="W255" s="2">
        <v>0.03</v>
      </c>
      <c r="X255" s="2">
        <v>0.03</v>
      </c>
      <c r="Y255" s="2">
        <v>0.03</v>
      </c>
      <c r="Z255" s="2">
        <v>0.05</v>
      </c>
      <c r="AA255" s="2">
        <v>0.05</v>
      </c>
      <c r="AB255" s="2">
        <v>0.05</v>
      </c>
      <c r="AC255" s="2">
        <v>0.05</v>
      </c>
      <c r="AD255" s="2">
        <v>-1</v>
      </c>
      <c r="AE255" s="2">
        <v>-1</v>
      </c>
      <c r="AF255">
        <f t="shared" si="22"/>
        <v>1</v>
      </c>
      <c r="AG255">
        <f t="shared" si="23"/>
        <v>1</v>
      </c>
      <c r="AH255">
        <f t="shared" si="24"/>
        <v>1</v>
      </c>
      <c r="AI255">
        <f t="shared" si="25"/>
        <v>1</v>
      </c>
      <c r="AJ255">
        <f t="shared" si="26"/>
        <v>1</v>
      </c>
      <c r="AK255">
        <f t="shared" si="27"/>
        <v>1</v>
      </c>
      <c r="AL255">
        <f t="shared" si="28"/>
        <v>1</v>
      </c>
      <c r="AM255">
        <f t="shared" si="29"/>
        <v>1</v>
      </c>
      <c r="AN255">
        <f t="shared" si="30"/>
        <v>1</v>
      </c>
      <c r="AO255">
        <f t="shared" si="31"/>
        <v>-1</v>
      </c>
      <c r="AP255">
        <f t="shared" si="32"/>
        <v>-1</v>
      </c>
      <c r="AQ255">
        <v>0</v>
      </c>
      <c r="AR255" t="s">
        <v>2</v>
      </c>
      <c r="AS255">
        <v>-1</v>
      </c>
      <c r="AT255">
        <v>-1</v>
      </c>
      <c r="AU255">
        <v>-1</v>
      </c>
      <c r="AV255">
        <v>-1</v>
      </c>
      <c r="AW255">
        <v>-1</v>
      </c>
      <c r="AX255">
        <v>-1</v>
      </c>
      <c r="AY255">
        <v>-1</v>
      </c>
      <c r="AZ255">
        <v>-1</v>
      </c>
      <c r="BA255">
        <v>-1</v>
      </c>
      <c r="BB255">
        <v>0</v>
      </c>
      <c r="BC255" t="s">
        <v>2</v>
      </c>
      <c r="BD255">
        <v>-1</v>
      </c>
      <c r="BE255">
        <v>-1</v>
      </c>
      <c r="BF255">
        <v>-1</v>
      </c>
      <c r="BG255">
        <v>-1</v>
      </c>
      <c r="BH255">
        <v>-1</v>
      </c>
      <c r="BI255">
        <v>-1</v>
      </c>
      <c r="BJ255">
        <v>-1</v>
      </c>
      <c r="BK255">
        <v>-1</v>
      </c>
      <c r="BL255">
        <v>-1</v>
      </c>
      <c r="BM255">
        <v>-1</v>
      </c>
      <c r="BN255">
        <v>-1</v>
      </c>
      <c r="BO255">
        <v>-1</v>
      </c>
    </row>
    <row r="256" spans="1:67" x14ac:dyDescent="0.25">
      <c r="A256">
        <v>253</v>
      </c>
      <c r="B256">
        <v>30004</v>
      </c>
      <c r="C256" t="str">
        <f>VLOOKUP(B256,[1]resources!$A$2:$D$300,3,FALSE)</f>
        <v>!!SMOOTHIE_CITRUS_SLURVEY</v>
      </c>
      <c r="D256">
        <v>16</v>
      </c>
      <c r="E256" t="str">
        <f>VLOOKUP(D256,[1]bonus_paytable!$A$2:$D$300,3,FALSE)</f>
        <v>bottomite_green_male_average_2</v>
      </c>
      <c r="F256">
        <v>-1</v>
      </c>
      <c r="G256">
        <v>-1</v>
      </c>
      <c r="H256">
        <v>1</v>
      </c>
      <c r="I256" t="s">
        <v>1</v>
      </c>
      <c r="J256">
        <v>50000</v>
      </c>
      <c r="K256">
        <v>80014</v>
      </c>
      <c r="L256">
        <v>20002</v>
      </c>
      <c r="M256">
        <v>40005</v>
      </c>
      <c r="N256">
        <v>60000</v>
      </c>
      <c r="O256">
        <v>14</v>
      </c>
      <c r="P256">
        <v>30014</v>
      </c>
      <c r="Q256">
        <v>40003</v>
      </c>
      <c r="R256">
        <v>70002</v>
      </c>
      <c r="S256">
        <v>-1</v>
      </c>
      <c r="T256">
        <v>-1</v>
      </c>
      <c r="U256" s="2">
        <v>0.01</v>
      </c>
      <c r="V256" s="2">
        <v>0.03</v>
      </c>
      <c r="W256" s="2">
        <v>0.03</v>
      </c>
      <c r="X256" s="2">
        <v>0.03</v>
      </c>
      <c r="Y256" s="2">
        <v>0.03</v>
      </c>
      <c r="Z256" s="2">
        <v>0.05</v>
      </c>
      <c r="AA256" s="2">
        <v>0.05</v>
      </c>
      <c r="AB256" s="2">
        <v>0.05</v>
      </c>
      <c r="AC256" s="2">
        <v>0.05</v>
      </c>
      <c r="AD256" s="2">
        <v>-1</v>
      </c>
      <c r="AE256" s="2">
        <v>-1</v>
      </c>
      <c r="AF256">
        <f t="shared" si="22"/>
        <v>1</v>
      </c>
      <c r="AG256">
        <f t="shared" si="23"/>
        <v>1</v>
      </c>
      <c r="AH256">
        <f t="shared" si="24"/>
        <v>1</v>
      </c>
      <c r="AI256">
        <f t="shared" si="25"/>
        <v>1</v>
      </c>
      <c r="AJ256">
        <f t="shared" si="26"/>
        <v>1</v>
      </c>
      <c r="AK256">
        <f t="shared" si="27"/>
        <v>1</v>
      </c>
      <c r="AL256">
        <f t="shared" si="28"/>
        <v>1</v>
      </c>
      <c r="AM256">
        <f t="shared" si="29"/>
        <v>1</v>
      </c>
      <c r="AN256">
        <f t="shared" si="30"/>
        <v>1</v>
      </c>
      <c r="AO256">
        <f t="shared" si="31"/>
        <v>-1</v>
      </c>
      <c r="AP256">
        <f t="shared" si="32"/>
        <v>-1</v>
      </c>
      <c r="AQ256">
        <v>0</v>
      </c>
      <c r="AR256" t="s">
        <v>2</v>
      </c>
      <c r="AS256">
        <v>-1</v>
      </c>
      <c r="AT256">
        <v>-1</v>
      </c>
      <c r="AU256">
        <v>-1</v>
      </c>
      <c r="AV256">
        <v>-1</v>
      </c>
      <c r="AW256">
        <v>-1</v>
      </c>
      <c r="AX256">
        <v>-1</v>
      </c>
      <c r="AY256">
        <v>-1</v>
      </c>
      <c r="AZ256">
        <v>-1</v>
      </c>
      <c r="BA256">
        <v>-1</v>
      </c>
      <c r="BB256">
        <v>0</v>
      </c>
      <c r="BC256" t="s">
        <v>2</v>
      </c>
      <c r="BD256">
        <v>-1</v>
      </c>
      <c r="BE256">
        <v>-1</v>
      </c>
      <c r="BF256">
        <v>-1</v>
      </c>
      <c r="BG256">
        <v>-1</v>
      </c>
      <c r="BH256">
        <v>-1</v>
      </c>
      <c r="BI256">
        <v>-1</v>
      </c>
      <c r="BJ256">
        <v>-1</v>
      </c>
      <c r="BK256">
        <v>-1</v>
      </c>
      <c r="BL256">
        <v>-1</v>
      </c>
      <c r="BM256">
        <v>-1</v>
      </c>
      <c r="BN256">
        <v>-1</v>
      </c>
      <c r="BO256">
        <v>-1</v>
      </c>
    </row>
    <row r="257" spans="1:67" x14ac:dyDescent="0.25">
      <c r="A257">
        <v>254</v>
      </c>
      <c r="B257">
        <v>40001</v>
      </c>
      <c r="C257" t="str">
        <f>VLOOKUP(B257,[1]resources!$A$2:$D$300,3,FALSE)</f>
        <v>!!ICECREAM_BANANA_SPLIT</v>
      </c>
      <c r="D257">
        <v>16</v>
      </c>
      <c r="E257" t="str">
        <f>VLOOKUP(D257,[1]bonus_paytable!$A$2:$D$300,3,FALSE)</f>
        <v>bottomite_green_male_average_2</v>
      </c>
      <c r="F257">
        <v>-1</v>
      </c>
      <c r="G257">
        <v>-1</v>
      </c>
      <c r="H257">
        <v>1</v>
      </c>
      <c r="I257" t="s">
        <v>1</v>
      </c>
      <c r="J257">
        <v>50000</v>
      </c>
      <c r="K257">
        <v>80014</v>
      </c>
      <c r="L257">
        <v>20002</v>
      </c>
      <c r="M257">
        <v>40005</v>
      </c>
      <c r="N257">
        <v>60000</v>
      </c>
      <c r="O257">
        <v>14</v>
      </c>
      <c r="P257">
        <v>30014</v>
      </c>
      <c r="Q257">
        <v>40003</v>
      </c>
      <c r="R257">
        <v>70002</v>
      </c>
      <c r="S257">
        <v>-1</v>
      </c>
      <c r="T257">
        <v>-1</v>
      </c>
      <c r="U257" s="2">
        <v>0.01</v>
      </c>
      <c r="V257" s="2">
        <v>0.03</v>
      </c>
      <c r="W257" s="2">
        <v>0.03</v>
      </c>
      <c r="X257" s="2">
        <v>0.03</v>
      </c>
      <c r="Y257" s="2">
        <v>0.03</v>
      </c>
      <c r="Z257" s="2">
        <v>0.05</v>
      </c>
      <c r="AA257" s="2">
        <v>0.05</v>
      </c>
      <c r="AB257" s="2">
        <v>0.05</v>
      </c>
      <c r="AC257" s="2">
        <v>0.05</v>
      </c>
      <c r="AD257" s="2">
        <v>-1</v>
      </c>
      <c r="AE257" s="2">
        <v>-1</v>
      </c>
      <c r="AF257">
        <f t="shared" si="22"/>
        <v>1</v>
      </c>
      <c r="AG257">
        <f t="shared" si="23"/>
        <v>1</v>
      </c>
      <c r="AH257">
        <f t="shared" si="24"/>
        <v>1</v>
      </c>
      <c r="AI257">
        <f t="shared" si="25"/>
        <v>1</v>
      </c>
      <c r="AJ257">
        <f t="shared" si="26"/>
        <v>1</v>
      </c>
      <c r="AK257">
        <f t="shared" si="27"/>
        <v>1</v>
      </c>
      <c r="AL257">
        <f t="shared" si="28"/>
        <v>1</v>
      </c>
      <c r="AM257">
        <f t="shared" si="29"/>
        <v>1</v>
      </c>
      <c r="AN257">
        <f t="shared" si="30"/>
        <v>1</v>
      </c>
      <c r="AO257">
        <f t="shared" si="31"/>
        <v>-1</v>
      </c>
      <c r="AP257">
        <f t="shared" si="32"/>
        <v>-1</v>
      </c>
      <c r="AQ257">
        <v>0</v>
      </c>
      <c r="AR257" t="s">
        <v>2</v>
      </c>
      <c r="AS257">
        <v>-1</v>
      </c>
      <c r="AT257">
        <v>-1</v>
      </c>
      <c r="AU257">
        <v>-1</v>
      </c>
      <c r="AV257">
        <v>-1</v>
      </c>
      <c r="AW257">
        <v>-1</v>
      </c>
      <c r="AX257">
        <v>-1</v>
      </c>
      <c r="AY257">
        <v>-1</v>
      </c>
      <c r="AZ257">
        <v>-1</v>
      </c>
      <c r="BA257">
        <v>-1</v>
      </c>
      <c r="BB257">
        <v>0</v>
      </c>
      <c r="BC257" t="s">
        <v>2</v>
      </c>
      <c r="BD257">
        <v>-1</v>
      </c>
      <c r="BE257">
        <v>-1</v>
      </c>
      <c r="BF257">
        <v>-1</v>
      </c>
      <c r="BG257">
        <v>-1</v>
      </c>
      <c r="BH257">
        <v>-1</v>
      </c>
      <c r="BI257">
        <v>-1</v>
      </c>
      <c r="BJ257">
        <v>-1</v>
      </c>
      <c r="BK257">
        <v>-1</v>
      </c>
      <c r="BL257">
        <v>-1</v>
      </c>
      <c r="BM257">
        <v>-1</v>
      </c>
      <c r="BN257">
        <v>-1</v>
      </c>
      <c r="BO257">
        <v>-1</v>
      </c>
    </row>
    <row r="258" spans="1:67" x14ac:dyDescent="0.25">
      <c r="A258">
        <v>255</v>
      </c>
      <c r="B258">
        <v>50007</v>
      </c>
      <c r="C258" t="str">
        <f>VLOOKUP(B258,[1]resources!$A$2:$D$300,3,FALSE)</f>
        <v>!!SHAKE_VANILLA_BLAST</v>
      </c>
      <c r="D258">
        <v>16</v>
      </c>
      <c r="E258" t="str">
        <f>VLOOKUP(D258,[1]bonus_paytable!$A$2:$D$300,3,FALSE)</f>
        <v>bottomite_green_male_average_2</v>
      </c>
      <c r="F258">
        <v>-1</v>
      </c>
      <c r="G258">
        <v>-1</v>
      </c>
      <c r="H258">
        <v>1</v>
      </c>
      <c r="I258" t="s">
        <v>1</v>
      </c>
      <c r="J258">
        <v>50000</v>
      </c>
      <c r="K258">
        <v>80014</v>
      </c>
      <c r="L258">
        <v>20002</v>
      </c>
      <c r="M258">
        <v>40005</v>
      </c>
      <c r="N258">
        <v>60000</v>
      </c>
      <c r="O258">
        <v>14</v>
      </c>
      <c r="P258">
        <v>30014</v>
      </c>
      <c r="Q258">
        <v>40003</v>
      </c>
      <c r="R258">
        <v>70002</v>
      </c>
      <c r="S258">
        <v>-1</v>
      </c>
      <c r="T258">
        <v>-1</v>
      </c>
      <c r="U258" s="2">
        <v>0.01</v>
      </c>
      <c r="V258" s="2">
        <v>0.03</v>
      </c>
      <c r="W258" s="2">
        <v>0.03</v>
      </c>
      <c r="X258" s="2">
        <v>0.03</v>
      </c>
      <c r="Y258" s="2">
        <v>0.03</v>
      </c>
      <c r="Z258" s="2">
        <v>0.05</v>
      </c>
      <c r="AA258" s="2">
        <v>0.05</v>
      </c>
      <c r="AB258" s="2">
        <v>0.05</v>
      </c>
      <c r="AC258" s="2">
        <v>0.05</v>
      </c>
      <c r="AD258" s="2">
        <v>-1</v>
      </c>
      <c r="AE258" s="2">
        <v>-1</v>
      </c>
      <c r="AF258">
        <f t="shared" si="22"/>
        <v>1</v>
      </c>
      <c r="AG258">
        <f t="shared" si="23"/>
        <v>1</v>
      </c>
      <c r="AH258">
        <f t="shared" si="24"/>
        <v>1</v>
      </c>
      <c r="AI258">
        <f t="shared" si="25"/>
        <v>1</v>
      </c>
      <c r="AJ258">
        <f t="shared" si="26"/>
        <v>1</v>
      </c>
      <c r="AK258">
        <f t="shared" si="27"/>
        <v>1</v>
      </c>
      <c r="AL258">
        <f t="shared" si="28"/>
        <v>1</v>
      </c>
      <c r="AM258">
        <f t="shared" si="29"/>
        <v>1</v>
      </c>
      <c r="AN258">
        <f t="shared" si="30"/>
        <v>1</v>
      </c>
      <c r="AO258">
        <f t="shared" si="31"/>
        <v>-1</v>
      </c>
      <c r="AP258">
        <f t="shared" si="32"/>
        <v>-1</v>
      </c>
      <c r="AQ258">
        <v>0</v>
      </c>
      <c r="AR258" t="s">
        <v>2</v>
      </c>
      <c r="AS258">
        <v>-1</v>
      </c>
      <c r="AT258">
        <v>-1</v>
      </c>
      <c r="AU258">
        <v>-1</v>
      </c>
      <c r="AV258">
        <v>-1</v>
      </c>
      <c r="AW258">
        <v>-1</v>
      </c>
      <c r="AX258">
        <v>-1</v>
      </c>
      <c r="AY258">
        <v>-1</v>
      </c>
      <c r="AZ258">
        <v>-1</v>
      </c>
      <c r="BA258">
        <v>-1</v>
      </c>
      <c r="BB258">
        <v>0</v>
      </c>
      <c r="BC258" t="s">
        <v>2</v>
      </c>
      <c r="BD258">
        <v>-1</v>
      </c>
      <c r="BE258">
        <v>-1</v>
      </c>
      <c r="BF258">
        <v>-1</v>
      </c>
      <c r="BG258">
        <v>-1</v>
      </c>
      <c r="BH258">
        <v>-1</v>
      </c>
      <c r="BI258">
        <v>-1</v>
      </c>
      <c r="BJ258">
        <v>-1</v>
      </c>
      <c r="BK258">
        <v>-1</v>
      </c>
      <c r="BL258">
        <v>-1</v>
      </c>
      <c r="BM258">
        <v>-1</v>
      </c>
      <c r="BN258">
        <v>-1</v>
      </c>
      <c r="BO258">
        <v>-1</v>
      </c>
    </row>
    <row r="259" spans="1:67" x14ac:dyDescent="0.25">
      <c r="A259">
        <v>256</v>
      </c>
      <c r="B259">
        <v>70007</v>
      </c>
      <c r="C259" t="str">
        <f>VLOOKUP(B259,[1]resources!$A$2:$D$300,3,FALSE)</f>
        <v>!!PERFUME_LAMPREYAWAY</v>
      </c>
      <c r="D259">
        <v>16</v>
      </c>
      <c r="E259" t="str">
        <f>VLOOKUP(D259,[1]bonus_paytable!$A$2:$D$300,3,FALSE)</f>
        <v>bottomite_green_male_average_2</v>
      </c>
      <c r="F259">
        <v>-1</v>
      </c>
      <c r="G259">
        <v>-1</v>
      </c>
      <c r="H259">
        <v>1</v>
      </c>
      <c r="I259" t="s">
        <v>1</v>
      </c>
      <c r="J259">
        <v>50000</v>
      </c>
      <c r="K259">
        <v>80014</v>
      </c>
      <c r="L259">
        <v>20002</v>
      </c>
      <c r="M259">
        <v>40005</v>
      </c>
      <c r="N259">
        <v>60000</v>
      </c>
      <c r="O259">
        <v>14</v>
      </c>
      <c r="P259">
        <v>30014</v>
      </c>
      <c r="Q259">
        <v>40003</v>
      </c>
      <c r="R259">
        <v>70002</v>
      </c>
      <c r="S259">
        <v>-1</v>
      </c>
      <c r="T259">
        <v>-1</v>
      </c>
      <c r="U259" s="2">
        <v>0.01</v>
      </c>
      <c r="V259" s="2">
        <v>0.03</v>
      </c>
      <c r="W259" s="2">
        <v>0.03</v>
      </c>
      <c r="X259" s="2">
        <v>0.03</v>
      </c>
      <c r="Y259" s="2">
        <v>0.03</v>
      </c>
      <c r="Z259" s="2">
        <v>0.05</v>
      </c>
      <c r="AA259" s="2">
        <v>0.05</v>
      </c>
      <c r="AB259" s="2">
        <v>0.05</v>
      </c>
      <c r="AC259" s="2">
        <v>0.05</v>
      </c>
      <c r="AD259" s="2">
        <v>-1</v>
      </c>
      <c r="AE259" s="2">
        <v>-1</v>
      </c>
      <c r="AF259">
        <f t="shared" si="22"/>
        <v>1</v>
      </c>
      <c r="AG259">
        <f t="shared" si="23"/>
        <v>1</v>
      </c>
      <c r="AH259">
        <f t="shared" si="24"/>
        <v>1</v>
      </c>
      <c r="AI259">
        <f t="shared" si="25"/>
        <v>1</v>
      </c>
      <c r="AJ259">
        <f t="shared" si="26"/>
        <v>1</v>
      </c>
      <c r="AK259">
        <f t="shared" si="27"/>
        <v>1</v>
      </c>
      <c r="AL259">
        <f t="shared" si="28"/>
        <v>1</v>
      </c>
      <c r="AM259">
        <f t="shared" si="29"/>
        <v>1</v>
      </c>
      <c r="AN259">
        <f t="shared" si="30"/>
        <v>1</v>
      </c>
      <c r="AO259">
        <f t="shared" si="31"/>
        <v>-1</v>
      </c>
      <c r="AP259">
        <f t="shared" si="32"/>
        <v>-1</v>
      </c>
      <c r="AQ259">
        <v>0</v>
      </c>
      <c r="AR259" t="s">
        <v>2</v>
      </c>
      <c r="AS259">
        <v>-1</v>
      </c>
      <c r="AT259">
        <v>-1</v>
      </c>
      <c r="AU259">
        <v>-1</v>
      </c>
      <c r="AV259">
        <v>-1</v>
      </c>
      <c r="AW259">
        <v>-1</v>
      </c>
      <c r="AX259">
        <v>-1</v>
      </c>
      <c r="AY259">
        <v>-1</v>
      </c>
      <c r="AZ259">
        <v>-1</v>
      </c>
      <c r="BA259">
        <v>-1</v>
      </c>
      <c r="BB259">
        <v>0</v>
      </c>
      <c r="BC259" t="s">
        <v>2</v>
      </c>
      <c r="BD259">
        <v>-1</v>
      </c>
      <c r="BE259">
        <v>-1</v>
      </c>
      <c r="BF259">
        <v>-1</v>
      </c>
      <c r="BG259">
        <v>-1</v>
      </c>
      <c r="BH259">
        <v>-1</v>
      </c>
      <c r="BI259">
        <v>-1</v>
      </c>
      <c r="BJ259">
        <v>-1</v>
      </c>
      <c r="BK259">
        <v>-1</v>
      </c>
      <c r="BL259">
        <v>-1</v>
      </c>
      <c r="BM259">
        <v>-1</v>
      </c>
      <c r="BN259">
        <v>-1</v>
      </c>
      <c r="BO259">
        <v>-1</v>
      </c>
    </row>
    <row r="260" spans="1:67" x14ac:dyDescent="0.25">
      <c r="A260">
        <v>257</v>
      </c>
      <c r="B260">
        <v>80009</v>
      </c>
      <c r="C260" t="str">
        <f>VLOOKUP(B260,[1]resources!$A$2:$D$300,3,FALSE)</f>
        <v>!!FOOD_BAKED_MAROONEDMACAROONS</v>
      </c>
      <c r="D260">
        <v>16</v>
      </c>
      <c r="E260" t="str">
        <f>VLOOKUP(D260,[1]bonus_paytable!$A$2:$D$300,3,FALSE)</f>
        <v>bottomite_green_male_average_2</v>
      </c>
      <c r="F260">
        <v>-1</v>
      </c>
      <c r="G260">
        <v>-1</v>
      </c>
      <c r="H260">
        <v>1</v>
      </c>
      <c r="I260" t="s">
        <v>1</v>
      </c>
      <c r="J260">
        <v>50000</v>
      </c>
      <c r="K260">
        <v>80014</v>
      </c>
      <c r="L260">
        <v>20002</v>
      </c>
      <c r="M260">
        <v>40005</v>
      </c>
      <c r="N260">
        <v>60000</v>
      </c>
      <c r="O260">
        <v>14</v>
      </c>
      <c r="P260">
        <v>30014</v>
      </c>
      <c r="Q260">
        <v>40003</v>
      </c>
      <c r="R260">
        <v>70002</v>
      </c>
      <c r="S260">
        <v>-1</v>
      </c>
      <c r="T260">
        <v>-1</v>
      </c>
      <c r="U260" s="2">
        <v>0.01</v>
      </c>
      <c r="V260" s="2">
        <v>0.03</v>
      </c>
      <c r="W260" s="2">
        <v>0.03</v>
      </c>
      <c r="X260" s="2">
        <v>0.03</v>
      </c>
      <c r="Y260" s="2">
        <v>0.03</v>
      </c>
      <c r="Z260" s="2">
        <v>0.05</v>
      </c>
      <c r="AA260" s="2">
        <v>0.05</v>
      </c>
      <c r="AB260" s="2">
        <v>0.05</v>
      </c>
      <c r="AC260" s="2">
        <v>0.05</v>
      </c>
      <c r="AD260" s="2">
        <v>-1</v>
      </c>
      <c r="AE260" s="2">
        <v>-1</v>
      </c>
      <c r="AF260">
        <f t="shared" si="22"/>
        <v>1</v>
      </c>
      <c r="AG260">
        <f t="shared" si="23"/>
        <v>1</v>
      </c>
      <c r="AH260">
        <f t="shared" si="24"/>
        <v>1</v>
      </c>
      <c r="AI260">
        <f t="shared" si="25"/>
        <v>1</v>
      </c>
      <c r="AJ260">
        <f t="shared" si="26"/>
        <v>1</v>
      </c>
      <c r="AK260">
        <f t="shared" si="27"/>
        <v>1</v>
      </c>
      <c r="AL260">
        <f t="shared" si="28"/>
        <v>1</v>
      </c>
      <c r="AM260">
        <f t="shared" si="29"/>
        <v>1</v>
      </c>
      <c r="AN260">
        <f t="shared" si="30"/>
        <v>1</v>
      </c>
      <c r="AO260">
        <f t="shared" si="31"/>
        <v>-1</v>
      </c>
      <c r="AP260">
        <f t="shared" si="32"/>
        <v>-1</v>
      </c>
      <c r="AQ260">
        <v>0</v>
      </c>
      <c r="AR260" t="s">
        <v>2</v>
      </c>
      <c r="AS260">
        <v>-1</v>
      </c>
      <c r="AT260">
        <v>-1</v>
      </c>
      <c r="AU260">
        <v>-1</v>
      </c>
      <c r="AV260">
        <v>-1</v>
      </c>
      <c r="AW260">
        <v>-1</v>
      </c>
      <c r="AX260">
        <v>-1</v>
      </c>
      <c r="AY260">
        <v>-1</v>
      </c>
      <c r="AZ260">
        <v>-1</v>
      </c>
      <c r="BA260">
        <v>-1</v>
      </c>
      <c r="BB260">
        <v>0</v>
      </c>
      <c r="BC260" t="s">
        <v>2</v>
      </c>
      <c r="BD260">
        <v>-1</v>
      </c>
      <c r="BE260">
        <v>-1</v>
      </c>
      <c r="BF260">
        <v>-1</v>
      </c>
      <c r="BG260">
        <v>-1</v>
      </c>
      <c r="BH260">
        <v>-1</v>
      </c>
      <c r="BI260">
        <v>-1</v>
      </c>
      <c r="BJ260">
        <v>-1</v>
      </c>
      <c r="BK260">
        <v>-1</v>
      </c>
      <c r="BL260">
        <v>-1</v>
      </c>
      <c r="BM260">
        <v>-1</v>
      </c>
      <c r="BN260">
        <v>-1</v>
      </c>
      <c r="BO260">
        <v>-1</v>
      </c>
    </row>
    <row r="261" spans="1:67" x14ac:dyDescent="0.25">
      <c r="A261">
        <v>258</v>
      </c>
      <c r="B261">
        <v>80011</v>
      </c>
      <c r="C261" t="str">
        <f>VLOOKUP(B261,[1]resources!$A$2:$D$300,3,FALSE)</f>
        <v>!!FOOD_BAKED_PUFFERPASTRYTART</v>
      </c>
      <c r="D261">
        <v>16</v>
      </c>
      <c r="E261" t="str">
        <f>VLOOKUP(D261,[1]bonus_paytable!$A$2:$D$300,3,FALSE)</f>
        <v>bottomite_green_male_average_2</v>
      </c>
      <c r="F261">
        <v>-1</v>
      </c>
      <c r="G261">
        <v>-1</v>
      </c>
      <c r="H261">
        <v>1</v>
      </c>
      <c r="I261" t="s">
        <v>1</v>
      </c>
      <c r="J261">
        <v>50000</v>
      </c>
      <c r="K261">
        <v>80014</v>
      </c>
      <c r="L261">
        <v>20002</v>
      </c>
      <c r="M261">
        <v>40005</v>
      </c>
      <c r="N261">
        <v>60000</v>
      </c>
      <c r="O261">
        <v>14</v>
      </c>
      <c r="P261">
        <v>30014</v>
      </c>
      <c r="Q261">
        <v>40003</v>
      </c>
      <c r="R261">
        <v>70002</v>
      </c>
      <c r="S261">
        <v>-1</v>
      </c>
      <c r="T261">
        <v>-1</v>
      </c>
      <c r="U261" s="2">
        <v>0.01</v>
      </c>
      <c r="V261" s="2">
        <v>0.03</v>
      </c>
      <c r="W261" s="2">
        <v>0.03</v>
      </c>
      <c r="X261" s="2">
        <v>0.03</v>
      </c>
      <c r="Y261" s="2">
        <v>0.03</v>
      </c>
      <c r="Z261" s="2">
        <v>0.05</v>
      </c>
      <c r="AA261" s="2">
        <v>0.05</v>
      </c>
      <c r="AB261" s="2">
        <v>0.05</v>
      </c>
      <c r="AC261" s="2">
        <v>0.05</v>
      </c>
      <c r="AD261" s="2">
        <v>-1</v>
      </c>
      <c r="AE261" s="2">
        <v>-1</v>
      </c>
      <c r="AF261">
        <f t="shared" si="22"/>
        <v>1</v>
      </c>
      <c r="AG261">
        <f t="shared" si="23"/>
        <v>1</v>
      </c>
      <c r="AH261">
        <f t="shared" si="24"/>
        <v>1</v>
      </c>
      <c r="AI261">
        <f t="shared" si="25"/>
        <v>1</v>
      </c>
      <c r="AJ261">
        <f t="shared" si="26"/>
        <v>1</v>
      </c>
      <c r="AK261">
        <f t="shared" si="27"/>
        <v>1</v>
      </c>
      <c r="AL261">
        <f t="shared" si="28"/>
        <v>1</v>
      </c>
      <c r="AM261">
        <f t="shared" si="29"/>
        <v>1</v>
      </c>
      <c r="AN261">
        <f t="shared" si="30"/>
        <v>1</v>
      </c>
      <c r="AO261">
        <f t="shared" si="31"/>
        <v>-1</v>
      </c>
      <c r="AP261">
        <f t="shared" si="32"/>
        <v>-1</v>
      </c>
      <c r="AQ261">
        <v>0</v>
      </c>
      <c r="AR261" t="s">
        <v>2</v>
      </c>
      <c r="AS261">
        <v>-1</v>
      </c>
      <c r="AT261">
        <v>-1</v>
      </c>
      <c r="AU261">
        <v>-1</v>
      </c>
      <c r="AV261">
        <v>-1</v>
      </c>
      <c r="AW261">
        <v>-1</v>
      </c>
      <c r="AX261">
        <v>-1</v>
      </c>
      <c r="AY261">
        <v>-1</v>
      </c>
      <c r="AZ261">
        <v>-1</v>
      </c>
      <c r="BA261">
        <v>-1</v>
      </c>
      <c r="BB261">
        <v>0</v>
      </c>
      <c r="BC261" t="s">
        <v>2</v>
      </c>
      <c r="BD261">
        <v>-1</v>
      </c>
      <c r="BE261">
        <v>-1</v>
      </c>
      <c r="BF261">
        <v>-1</v>
      </c>
      <c r="BG261">
        <v>-1</v>
      </c>
      <c r="BH261">
        <v>-1</v>
      </c>
      <c r="BI261">
        <v>-1</v>
      </c>
      <c r="BJ261">
        <v>-1</v>
      </c>
      <c r="BK261">
        <v>-1</v>
      </c>
      <c r="BL261">
        <v>-1</v>
      </c>
      <c r="BM261">
        <v>-1</v>
      </c>
      <c r="BN261">
        <v>-1</v>
      </c>
      <c r="BO261">
        <v>-1</v>
      </c>
    </row>
    <row r="262" spans="1:67" x14ac:dyDescent="0.25">
      <c r="A262">
        <v>259</v>
      </c>
      <c r="B262">
        <v>97</v>
      </c>
      <c r="C262" t="str">
        <f>VLOOKUP(B262,[1]resources!$A$2:$D$300,3,FALSE)</f>
        <v>!!FOOD_PICODEGALLO</v>
      </c>
      <c r="D262">
        <v>17</v>
      </c>
      <c r="E262" t="str">
        <f>VLOOKUP(D262,[1]bonus_paytable!$A$2:$D$300,3,FALSE)</f>
        <v>bottomite_pink_female_average_2</v>
      </c>
      <c r="F262">
        <v>-1</v>
      </c>
      <c r="G262">
        <v>-1</v>
      </c>
      <c r="H262">
        <v>1</v>
      </c>
      <c r="I262" t="s">
        <v>1</v>
      </c>
      <c r="J262">
        <v>60018</v>
      </c>
      <c r="K262">
        <v>80001</v>
      </c>
      <c r="L262">
        <v>70010</v>
      </c>
      <c r="M262">
        <v>60017</v>
      </c>
      <c r="N262">
        <v>60004</v>
      </c>
      <c r="O262">
        <v>14</v>
      </c>
      <c r="P262">
        <v>30010</v>
      </c>
      <c r="Q262">
        <v>40000</v>
      </c>
      <c r="R262">
        <v>70001</v>
      </c>
      <c r="S262">
        <v>50003</v>
      </c>
      <c r="T262">
        <v>-1</v>
      </c>
      <c r="U262" s="2">
        <v>0.01</v>
      </c>
      <c r="V262" s="2">
        <v>0.03</v>
      </c>
      <c r="W262" s="2">
        <v>0.03</v>
      </c>
      <c r="X262" s="2">
        <v>0.03</v>
      </c>
      <c r="Y262" s="2">
        <v>0.03</v>
      </c>
      <c r="Z262" s="2">
        <v>0.05</v>
      </c>
      <c r="AA262" s="2">
        <v>0.05</v>
      </c>
      <c r="AB262" s="2">
        <v>0.05</v>
      </c>
      <c r="AC262" s="2">
        <v>0.05</v>
      </c>
      <c r="AD262" s="2">
        <v>0.05</v>
      </c>
      <c r="AE262" s="2">
        <v>-1</v>
      </c>
      <c r="AF262">
        <f t="shared" si="22"/>
        <v>1</v>
      </c>
      <c r="AG262">
        <f t="shared" si="23"/>
        <v>1</v>
      </c>
      <c r="AH262">
        <f t="shared" si="24"/>
        <v>1</v>
      </c>
      <c r="AI262">
        <f t="shared" si="25"/>
        <v>1</v>
      </c>
      <c r="AJ262">
        <f t="shared" si="26"/>
        <v>1</v>
      </c>
      <c r="AK262">
        <f t="shared" si="27"/>
        <v>1</v>
      </c>
      <c r="AL262">
        <f t="shared" si="28"/>
        <v>1</v>
      </c>
      <c r="AM262">
        <f t="shared" si="29"/>
        <v>1</v>
      </c>
      <c r="AN262">
        <f t="shared" si="30"/>
        <v>1</v>
      </c>
      <c r="AO262">
        <f t="shared" si="31"/>
        <v>1</v>
      </c>
      <c r="AP262">
        <f t="shared" si="32"/>
        <v>-1</v>
      </c>
      <c r="AQ262">
        <v>0</v>
      </c>
      <c r="AR262" t="s">
        <v>2</v>
      </c>
      <c r="AS262">
        <v>-1</v>
      </c>
      <c r="AT262">
        <v>-1</v>
      </c>
      <c r="AU262">
        <v>-1</v>
      </c>
      <c r="AV262">
        <v>-1</v>
      </c>
      <c r="AW262">
        <v>-1</v>
      </c>
      <c r="AX262">
        <v>-1</v>
      </c>
      <c r="AY262">
        <v>-1</v>
      </c>
      <c r="AZ262">
        <v>-1</v>
      </c>
      <c r="BA262">
        <v>-1</v>
      </c>
      <c r="BB262">
        <v>0</v>
      </c>
      <c r="BC262" t="s">
        <v>2</v>
      </c>
      <c r="BD262">
        <v>-1</v>
      </c>
      <c r="BE262">
        <v>-1</v>
      </c>
      <c r="BF262">
        <v>-1</v>
      </c>
      <c r="BG262">
        <v>-1</v>
      </c>
      <c r="BH262">
        <v>-1</v>
      </c>
      <c r="BI262">
        <v>-1</v>
      </c>
      <c r="BJ262">
        <v>-1</v>
      </c>
      <c r="BK262">
        <v>-1</v>
      </c>
      <c r="BL262">
        <v>-1</v>
      </c>
      <c r="BM262">
        <v>-1</v>
      </c>
      <c r="BN262">
        <v>-1</v>
      </c>
      <c r="BO262">
        <v>-1</v>
      </c>
    </row>
    <row r="263" spans="1:67" x14ac:dyDescent="0.25">
      <c r="A263">
        <v>260</v>
      </c>
      <c r="B263">
        <v>46</v>
      </c>
      <c r="C263" t="str">
        <f>VLOOKUP(B263,[1]resources!$A$2:$D$300,3,FALSE)</f>
        <v>!!FOOD_SALAD</v>
      </c>
      <c r="D263">
        <v>17</v>
      </c>
      <c r="E263" t="str">
        <f>VLOOKUP(D263,[1]bonus_paytable!$A$2:$D$300,3,FALSE)</f>
        <v>bottomite_pink_female_average_2</v>
      </c>
      <c r="F263">
        <v>-1</v>
      </c>
      <c r="G263">
        <v>-1</v>
      </c>
      <c r="H263">
        <v>1</v>
      </c>
      <c r="I263" t="s">
        <v>1</v>
      </c>
      <c r="J263">
        <v>60018</v>
      </c>
      <c r="K263">
        <v>80001</v>
      </c>
      <c r="L263">
        <v>70010</v>
      </c>
      <c r="M263">
        <v>60017</v>
      </c>
      <c r="N263">
        <v>60004</v>
      </c>
      <c r="O263">
        <v>14</v>
      </c>
      <c r="P263">
        <v>30010</v>
      </c>
      <c r="Q263">
        <v>40000</v>
      </c>
      <c r="R263">
        <v>70001</v>
      </c>
      <c r="S263">
        <v>50003</v>
      </c>
      <c r="T263">
        <v>-1</v>
      </c>
      <c r="U263" s="2">
        <v>0.01</v>
      </c>
      <c r="V263" s="2">
        <v>0.03</v>
      </c>
      <c r="W263" s="2">
        <v>0.03</v>
      </c>
      <c r="X263" s="2">
        <v>0.03</v>
      </c>
      <c r="Y263" s="2">
        <v>0.03</v>
      </c>
      <c r="Z263" s="2">
        <v>0.05</v>
      </c>
      <c r="AA263" s="2">
        <v>0.05</v>
      </c>
      <c r="AB263" s="2">
        <v>0.05</v>
      </c>
      <c r="AC263" s="2">
        <v>0.05</v>
      </c>
      <c r="AD263" s="2">
        <v>0.05</v>
      </c>
      <c r="AE263" s="2">
        <v>-1</v>
      </c>
      <c r="AF263">
        <f t="shared" si="22"/>
        <v>1</v>
      </c>
      <c r="AG263">
        <f t="shared" si="23"/>
        <v>1</v>
      </c>
      <c r="AH263">
        <f t="shared" si="24"/>
        <v>1</v>
      </c>
      <c r="AI263">
        <f t="shared" si="25"/>
        <v>1</v>
      </c>
      <c r="AJ263">
        <f t="shared" si="26"/>
        <v>1</v>
      </c>
      <c r="AK263">
        <f t="shared" si="27"/>
        <v>1</v>
      </c>
      <c r="AL263">
        <f t="shared" si="28"/>
        <v>1</v>
      </c>
      <c r="AM263">
        <f t="shared" si="29"/>
        <v>1</v>
      </c>
      <c r="AN263">
        <f t="shared" si="30"/>
        <v>1</v>
      </c>
      <c r="AO263">
        <f t="shared" si="31"/>
        <v>1</v>
      </c>
      <c r="AP263">
        <f t="shared" si="32"/>
        <v>-1</v>
      </c>
      <c r="AQ263">
        <v>0</v>
      </c>
      <c r="AR263" t="s">
        <v>2</v>
      </c>
      <c r="AS263">
        <v>-1</v>
      </c>
      <c r="AT263">
        <v>-1</v>
      </c>
      <c r="AU263">
        <v>-1</v>
      </c>
      <c r="AV263">
        <v>-1</v>
      </c>
      <c r="AW263">
        <v>-1</v>
      </c>
      <c r="AX263">
        <v>-1</v>
      </c>
      <c r="AY263">
        <v>-1</v>
      </c>
      <c r="AZ263">
        <v>-1</v>
      </c>
      <c r="BA263">
        <v>-1</v>
      </c>
      <c r="BB263">
        <v>0</v>
      </c>
      <c r="BC263" t="s">
        <v>2</v>
      </c>
      <c r="BD263">
        <v>-1</v>
      </c>
      <c r="BE263">
        <v>-1</v>
      </c>
      <c r="BF263">
        <v>-1</v>
      </c>
      <c r="BG263">
        <v>-1</v>
      </c>
      <c r="BH263">
        <v>-1</v>
      </c>
      <c r="BI263">
        <v>-1</v>
      </c>
      <c r="BJ263">
        <v>-1</v>
      </c>
      <c r="BK263">
        <v>-1</v>
      </c>
      <c r="BL263">
        <v>-1</v>
      </c>
      <c r="BM263">
        <v>-1</v>
      </c>
      <c r="BN263">
        <v>-1</v>
      </c>
      <c r="BO263">
        <v>-1</v>
      </c>
    </row>
    <row r="264" spans="1:67" x14ac:dyDescent="0.25">
      <c r="A264">
        <v>261</v>
      </c>
      <c r="B264">
        <v>41</v>
      </c>
      <c r="C264" t="str">
        <f>VLOOKUP(B264,[1]resources!$A$2:$D$300,3,FALSE)</f>
        <v>!!FOOD_GARLICBREAD</v>
      </c>
      <c r="D264">
        <v>17</v>
      </c>
      <c r="E264" t="str">
        <f>VLOOKUP(D264,[1]bonus_paytable!$A$2:$D$300,3,FALSE)</f>
        <v>bottomite_pink_female_average_2</v>
      </c>
      <c r="F264">
        <v>-1</v>
      </c>
      <c r="G264">
        <v>-1</v>
      </c>
      <c r="H264">
        <v>1</v>
      </c>
      <c r="I264" t="s">
        <v>1</v>
      </c>
      <c r="J264">
        <v>60018</v>
      </c>
      <c r="K264">
        <v>80001</v>
      </c>
      <c r="L264">
        <v>70010</v>
      </c>
      <c r="M264">
        <v>60017</v>
      </c>
      <c r="N264">
        <v>60004</v>
      </c>
      <c r="O264">
        <v>14</v>
      </c>
      <c r="P264">
        <v>30010</v>
      </c>
      <c r="Q264">
        <v>40000</v>
      </c>
      <c r="R264">
        <v>70001</v>
      </c>
      <c r="S264">
        <v>50003</v>
      </c>
      <c r="T264">
        <v>-1</v>
      </c>
      <c r="U264" s="2">
        <v>0.01</v>
      </c>
      <c r="V264" s="2">
        <v>0.03</v>
      </c>
      <c r="W264" s="2">
        <v>0.03</v>
      </c>
      <c r="X264" s="2">
        <v>0.03</v>
      </c>
      <c r="Y264" s="2">
        <v>0.03</v>
      </c>
      <c r="Z264" s="2">
        <v>0.05</v>
      </c>
      <c r="AA264" s="2">
        <v>0.05</v>
      </c>
      <c r="AB264" s="2">
        <v>0.05</v>
      </c>
      <c r="AC264" s="2">
        <v>0.05</v>
      </c>
      <c r="AD264" s="2">
        <v>0.05</v>
      </c>
      <c r="AE264" s="2">
        <v>-1</v>
      </c>
      <c r="AF264">
        <f t="shared" si="22"/>
        <v>1</v>
      </c>
      <c r="AG264">
        <f t="shared" si="23"/>
        <v>1</v>
      </c>
      <c r="AH264">
        <f t="shared" si="24"/>
        <v>1</v>
      </c>
      <c r="AI264">
        <f t="shared" si="25"/>
        <v>1</v>
      </c>
      <c r="AJ264">
        <f t="shared" si="26"/>
        <v>1</v>
      </c>
      <c r="AK264">
        <f t="shared" si="27"/>
        <v>1</v>
      </c>
      <c r="AL264">
        <f t="shared" si="28"/>
        <v>1</v>
      </c>
      <c r="AM264">
        <f t="shared" si="29"/>
        <v>1</v>
      </c>
      <c r="AN264">
        <f t="shared" si="30"/>
        <v>1</v>
      </c>
      <c r="AO264">
        <f t="shared" si="31"/>
        <v>1</v>
      </c>
      <c r="AP264">
        <f t="shared" si="32"/>
        <v>-1</v>
      </c>
      <c r="AQ264">
        <v>0</v>
      </c>
      <c r="AR264" t="s">
        <v>2</v>
      </c>
      <c r="AS264">
        <v>-1</v>
      </c>
      <c r="AT264">
        <v>-1</v>
      </c>
      <c r="AU264">
        <v>-1</v>
      </c>
      <c r="AV264">
        <v>-1</v>
      </c>
      <c r="AW264">
        <v>-1</v>
      </c>
      <c r="AX264">
        <v>-1</v>
      </c>
      <c r="AY264">
        <v>-1</v>
      </c>
      <c r="AZ264">
        <v>-1</v>
      </c>
      <c r="BA264">
        <v>-1</v>
      </c>
      <c r="BB264">
        <v>0</v>
      </c>
      <c r="BC264" t="s">
        <v>2</v>
      </c>
      <c r="BD264">
        <v>-1</v>
      </c>
      <c r="BE264">
        <v>-1</v>
      </c>
      <c r="BF264">
        <v>-1</v>
      </c>
      <c r="BG264">
        <v>-1</v>
      </c>
      <c r="BH264">
        <v>-1</v>
      </c>
      <c r="BI264">
        <v>-1</v>
      </c>
      <c r="BJ264">
        <v>-1</v>
      </c>
      <c r="BK264">
        <v>-1</v>
      </c>
      <c r="BL264">
        <v>-1</v>
      </c>
      <c r="BM264">
        <v>-1</v>
      </c>
      <c r="BN264">
        <v>-1</v>
      </c>
      <c r="BO264">
        <v>-1</v>
      </c>
    </row>
    <row r="265" spans="1:67" x14ac:dyDescent="0.25">
      <c r="A265">
        <v>262</v>
      </c>
      <c r="B265">
        <v>20004</v>
      </c>
      <c r="C265" t="str">
        <f>VLOOKUP(B265,[1]resources!$A$2:$D$300,3,FALSE)</f>
        <v>!!JUICE_PEACHNECTAR</v>
      </c>
      <c r="D265">
        <v>17</v>
      </c>
      <c r="E265" t="str">
        <f>VLOOKUP(D265,[1]bonus_paytable!$A$2:$D$300,3,FALSE)</f>
        <v>bottomite_pink_female_average_2</v>
      </c>
      <c r="F265">
        <v>-1</v>
      </c>
      <c r="G265">
        <v>-1</v>
      </c>
      <c r="H265">
        <v>1</v>
      </c>
      <c r="I265" t="s">
        <v>1</v>
      </c>
      <c r="J265">
        <v>60018</v>
      </c>
      <c r="K265">
        <v>80001</v>
      </c>
      <c r="L265">
        <v>70010</v>
      </c>
      <c r="M265">
        <v>60017</v>
      </c>
      <c r="N265">
        <v>60004</v>
      </c>
      <c r="O265">
        <v>14</v>
      </c>
      <c r="P265">
        <v>30010</v>
      </c>
      <c r="Q265">
        <v>40000</v>
      </c>
      <c r="R265">
        <v>70001</v>
      </c>
      <c r="S265">
        <v>50003</v>
      </c>
      <c r="T265">
        <v>-1</v>
      </c>
      <c r="U265" s="2">
        <v>0.01</v>
      </c>
      <c r="V265" s="2">
        <v>0.03</v>
      </c>
      <c r="W265" s="2">
        <v>0.03</v>
      </c>
      <c r="X265" s="2">
        <v>0.03</v>
      </c>
      <c r="Y265" s="2">
        <v>0.03</v>
      </c>
      <c r="Z265" s="2">
        <v>0.05</v>
      </c>
      <c r="AA265" s="2">
        <v>0.05</v>
      </c>
      <c r="AB265" s="2">
        <v>0.05</v>
      </c>
      <c r="AC265" s="2">
        <v>0.05</v>
      </c>
      <c r="AD265" s="2">
        <v>0.05</v>
      </c>
      <c r="AE265" s="2">
        <v>-1</v>
      </c>
      <c r="AF265">
        <f t="shared" si="22"/>
        <v>1</v>
      </c>
      <c r="AG265">
        <f t="shared" si="23"/>
        <v>1</v>
      </c>
      <c r="AH265">
        <f t="shared" si="24"/>
        <v>1</v>
      </c>
      <c r="AI265">
        <f t="shared" si="25"/>
        <v>1</v>
      </c>
      <c r="AJ265">
        <f t="shared" si="26"/>
        <v>1</v>
      </c>
      <c r="AK265">
        <f t="shared" si="27"/>
        <v>1</v>
      </c>
      <c r="AL265">
        <f t="shared" si="28"/>
        <v>1</v>
      </c>
      <c r="AM265">
        <f t="shared" si="29"/>
        <v>1</v>
      </c>
      <c r="AN265">
        <f t="shared" si="30"/>
        <v>1</v>
      </c>
      <c r="AO265">
        <f t="shared" si="31"/>
        <v>1</v>
      </c>
      <c r="AP265">
        <f t="shared" si="32"/>
        <v>-1</v>
      </c>
      <c r="AQ265">
        <v>0</v>
      </c>
      <c r="AR265" t="s">
        <v>2</v>
      </c>
      <c r="AS265">
        <v>-1</v>
      </c>
      <c r="AT265">
        <v>-1</v>
      </c>
      <c r="AU265">
        <v>-1</v>
      </c>
      <c r="AV265">
        <v>-1</v>
      </c>
      <c r="AW265">
        <v>-1</v>
      </c>
      <c r="AX265">
        <v>-1</v>
      </c>
      <c r="AY265">
        <v>-1</v>
      </c>
      <c r="AZ265">
        <v>-1</v>
      </c>
      <c r="BA265">
        <v>-1</v>
      </c>
      <c r="BB265">
        <v>0</v>
      </c>
      <c r="BC265" t="s">
        <v>2</v>
      </c>
      <c r="BD265">
        <v>-1</v>
      </c>
      <c r="BE265">
        <v>-1</v>
      </c>
      <c r="BF265">
        <v>-1</v>
      </c>
      <c r="BG265">
        <v>-1</v>
      </c>
      <c r="BH265">
        <v>-1</v>
      </c>
      <c r="BI265">
        <v>-1</v>
      </c>
      <c r="BJ265">
        <v>-1</v>
      </c>
      <c r="BK265">
        <v>-1</v>
      </c>
      <c r="BL265">
        <v>-1</v>
      </c>
      <c r="BM265">
        <v>-1</v>
      </c>
      <c r="BN265">
        <v>-1</v>
      </c>
      <c r="BO265">
        <v>-1</v>
      </c>
    </row>
    <row r="266" spans="1:67" x14ac:dyDescent="0.25">
      <c r="A266">
        <v>263</v>
      </c>
      <c r="B266">
        <v>30009</v>
      </c>
      <c r="C266" t="str">
        <f>VLOOKUP(B266,[1]resources!$A$2:$D$300,3,FALSE)</f>
        <v>!!SMOOTHIE_STRAWBERRY_SQUEEZE</v>
      </c>
      <c r="D266">
        <v>17</v>
      </c>
      <c r="E266" t="str">
        <f>VLOOKUP(D266,[1]bonus_paytable!$A$2:$D$300,3,FALSE)</f>
        <v>bottomite_pink_female_average_2</v>
      </c>
      <c r="F266">
        <v>-1</v>
      </c>
      <c r="G266">
        <v>-1</v>
      </c>
      <c r="H266">
        <v>1</v>
      </c>
      <c r="I266" t="s">
        <v>1</v>
      </c>
      <c r="J266">
        <v>60018</v>
      </c>
      <c r="K266">
        <v>80001</v>
      </c>
      <c r="L266">
        <v>70010</v>
      </c>
      <c r="M266">
        <v>60017</v>
      </c>
      <c r="N266">
        <v>60004</v>
      </c>
      <c r="O266">
        <v>14</v>
      </c>
      <c r="P266">
        <v>30010</v>
      </c>
      <c r="Q266">
        <v>40000</v>
      </c>
      <c r="R266">
        <v>70001</v>
      </c>
      <c r="S266">
        <v>50003</v>
      </c>
      <c r="T266">
        <v>-1</v>
      </c>
      <c r="U266" s="2">
        <v>0.01</v>
      </c>
      <c r="V266" s="2">
        <v>0.03</v>
      </c>
      <c r="W266" s="2">
        <v>0.03</v>
      </c>
      <c r="X266" s="2">
        <v>0.03</v>
      </c>
      <c r="Y266" s="2">
        <v>0.03</v>
      </c>
      <c r="Z266" s="2">
        <v>0.05</v>
      </c>
      <c r="AA266" s="2">
        <v>0.05</v>
      </c>
      <c r="AB266" s="2">
        <v>0.05</v>
      </c>
      <c r="AC266" s="2">
        <v>0.05</v>
      </c>
      <c r="AD266" s="2">
        <v>0.05</v>
      </c>
      <c r="AE266" s="2">
        <v>-1</v>
      </c>
      <c r="AF266">
        <f t="shared" si="22"/>
        <v>1</v>
      </c>
      <c r="AG266">
        <f t="shared" si="23"/>
        <v>1</v>
      </c>
      <c r="AH266">
        <f t="shared" si="24"/>
        <v>1</v>
      </c>
      <c r="AI266">
        <f t="shared" si="25"/>
        <v>1</v>
      </c>
      <c r="AJ266">
        <f t="shared" si="26"/>
        <v>1</v>
      </c>
      <c r="AK266">
        <f t="shared" si="27"/>
        <v>1</v>
      </c>
      <c r="AL266">
        <f t="shared" si="28"/>
        <v>1</v>
      </c>
      <c r="AM266">
        <f t="shared" si="29"/>
        <v>1</v>
      </c>
      <c r="AN266">
        <f t="shared" si="30"/>
        <v>1</v>
      </c>
      <c r="AO266">
        <f t="shared" si="31"/>
        <v>1</v>
      </c>
      <c r="AP266">
        <f t="shared" si="32"/>
        <v>-1</v>
      </c>
      <c r="AQ266">
        <v>0</v>
      </c>
      <c r="AR266" t="s">
        <v>2</v>
      </c>
      <c r="AS266">
        <v>-1</v>
      </c>
      <c r="AT266">
        <v>-1</v>
      </c>
      <c r="AU266">
        <v>-1</v>
      </c>
      <c r="AV266">
        <v>-1</v>
      </c>
      <c r="AW266">
        <v>-1</v>
      </c>
      <c r="AX266">
        <v>-1</v>
      </c>
      <c r="AY266">
        <v>-1</v>
      </c>
      <c r="AZ266">
        <v>-1</v>
      </c>
      <c r="BA266">
        <v>-1</v>
      </c>
      <c r="BB266">
        <v>0</v>
      </c>
      <c r="BC266" t="s">
        <v>2</v>
      </c>
      <c r="BD266">
        <v>-1</v>
      </c>
      <c r="BE266">
        <v>-1</v>
      </c>
      <c r="BF266">
        <v>-1</v>
      </c>
      <c r="BG266">
        <v>-1</v>
      </c>
      <c r="BH266">
        <v>-1</v>
      </c>
      <c r="BI266">
        <v>-1</v>
      </c>
      <c r="BJ266">
        <v>-1</v>
      </c>
      <c r="BK266">
        <v>-1</v>
      </c>
      <c r="BL266">
        <v>-1</v>
      </c>
      <c r="BM266">
        <v>-1</v>
      </c>
      <c r="BN266">
        <v>-1</v>
      </c>
      <c r="BO266">
        <v>-1</v>
      </c>
    </row>
    <row r="267" spans="1:67" x14ac:dyDescent="0.25">
      <c r="A267">
        <v>264</v>
      </c>
      <c r="B267">
        <v>40000</v>
      </c>
      <c r="C267" t="str">
        <f>VLOOKUP(B267,[1]resources!$A$2:$D$300,3,FALSE)</f>
        <v>!!ICECREAM_BANANA</v>
      </c>
      <c r="D267">
        <v>17</v>
      </c>
      <c r="E267" t="str">
        <f>VLOOKUP(D267,[1]bonus_paytable!$A$2:$D$300,3,FALSE)</f>
        <v>bottomite_pink_female_average_2</v>
      </c>
      <c r="F267">
        <v>-1</v>
      </c>
      <c r="G267">
        <v>-1</v>
      </c>
      <c r="H267">
        <v>1</v>
      </c>
      <c r="I267" t="s">
        <v>1</v>
      </c>
      <c r="J267">
        <v>60018</v>
      </c>
      <c r="K267">
        <v>80001</v>
      </c>
      <c r="L267">
        <v>70010</v>
      </c>
      <c r="M267">
        <v>60017</v>
      </c>
      <c r="N267">
        <v>60004</v>
      </c>
      <c r="O267">
        <v>14</v>
      </c>
      <c r="P267">
        <v>30010</v>
      </c>
      <c r="Q267">
        <v>40000</v>
      </c>
      <c r="R267">
        <v>70001</v>
      </c>
      <c r="S267">
        <v>50003</v>
      </c>
      <c r="T267">
        <v>-1</v>
      </c>
      <c r="U267" s="2">
        <v>0.01</v>
      </c>
      <c r="V267" s="2">
        <v>0.03</v>
      </c>
      <c r="W267" s="2">
        <v>0.03</v>
      </c>
      <c r="X267" s="2">
        <v>0.03</v>
      </c>
      <c r="Y267" s="2">
        <v>0.03</v>
      </c>
      <c r="Z267" s="2">
        <v>0.05</v>
      </c>
      <c r="AA267" s="2">
        <v>0.05</v>
      </c>
      <c r="AB267" s="2">
        <v>0.05</v>
      </c>
      <c r="AC267" s="2">
        <v>0.05</v>
      </c>
      <c r="AD267" s="2">
        <v>0.05</v>
      </c>
      <c r="AE267" s="2">
        <v>-1</v>
      </c>
      <c r="AF267">
        <f t="shared" si="22"/>
        <v>1</v>
      </c>
      <c r="AG267">
        <f t="shared" si="23"/>
        <v>1</v>
      </c>
      <c r="AH267">
        <f t="shared" si="24"/>
        <v>1</v>
      </c>
      <c r="AI267">
        <f t="shared" si="25"/>
        <v>1</v>
      </c>
      <c r="AJ267">
        <f t="shared" si="26"/>
        <v>1</v>
      </c>
      <c r="AK267">
        <f t="shared" si="27"/>
        <v>1</v>
      </c>
      <c r="AL267">
        <f t="shared" si="28"/>
        <v>1</v>
      </c>
      <c r="AM267">
        <f t="shared" si="29"/>
        <v>1</v>
      </c>
      <c r="AN267">
        <f t="shared" si="30"/>
        <v>1</v>
      </c>
      <c r="AO267">
        <f t="shared" si="31"/>
        <v>1</v>
      </c>
      <c r="AP267">
        <f t="shared" si="32"/>
        <v>-1</v>
      </c>
      <c r="AQ267">
        <v>0</v>
      </c>
      <c r="AR267" t="s">
        <v>2</v>
      </c>
      <c r="AS267">
        <v>-1</v>
      </c>
      <c r="AT267">
        <v>-1</v>
      </c>
      <c r="AU267">
        <v>-1</v>
      </c>
      <c r="AV267">
        <v>-1</v>
      </c>
      <c r="AW267">
        <v>-1</v>
      </c>
      <c r="AX267">
        <v>-1</v>
      </c>
      <c r="AY267">
        <v>-1</v>
      </c>
      <c r="AZ267">
        <v>-1</v>
      </c>
      <c r="BA267">
        <v>-1</v>
      </c>
      <c r="BB267">
        <v>0</v>
      </c>
      <c r="BC267" t="s">
        <v>2</v>
      </c>
      <c r="BD267">
        <v>-1</v>
      </c>
      <c r="BE267">
        <v>-1</v>
      </c>
      <c r="BF267">
        <v>-1</v>
      </c>
      <c r="BG267">
        <v>-1</v>
      </c>
      <c r="BH267">
        <v>-1</v>
      </c>
      <c r="BI267">
        <v>-1</v>
      </c>
      <c r="BJ267">
        <v>-1</v>
      </c>
      <c r="BK267">
        <v>-1</v>
      </c>
      <c r="BL267">
        <v>-1</v>
      </c>
      <c r="BM267">
        <v>-1</v>
      </c>
      <c r="BN267">
        <v>-1</v>
      </c>
      <c r="BO267">
        <v>-1</v>
      </c>
    </row>
    <row r="268" spans="1:67" x14ac:dyDescent="0.25">
      <c r="A268">
        <v>265</v>
      </c>
      <c r="B268">
        <v>50007</v>
      </c>
      <c r="C268" t="str">
        <f>VLOOKUP(B268,[1]resources!$A$2:$D$300,3,FALSE)</f>
        <v>!!SHAKE_VANILLA_BLAST</v>
      </c>
      <c r="D268">
        <v>17</v>
      </c>
      <c r="E268" t="str">
        <f>VLOOKUP(D268,[1]bonus_paytable!$A$2:$D$300,3,FALSE)</f>
        <v>bottomite_pink_female_average_2</v>
      </c>
      <c r="F268">
        <v>-1</v>
      </c>
      <c r="G268">
        <v>-1</v>
      </c>
      <c r="H268">
        <v>1</v>
      </c>
      <c r="I268" t="s">
        <v>1</v>
      </c>
      <c r="J268">
        <v>60018</v>
      </c>
      <c r="K268">
        <v>80001</v>
      </c>
      <c r="L268">
        <v>70010</v>
      </c>
      <c r="M268">
        <v>60017</v>
      </c>
      <c r="N268">
        <v>60004</v>
      </c>
      <c r="O268">
        <v>14</v>
      </c>
      <c r="P268">
        <v>30010</v>
      </c>
      <c r="Q268">
        <v>40000</v>
      </c>
      <c r="R268">
        <v>70001</v>
      </c>
      <c r="S268">
        <v>50003</v>
      </c>
      <c r="T268">
        <v>-1</v>
      </c>
      <c r="U268" s="2">
        <v>0.01</v>
      </c>
      <c r="V268" s="2">
        <v>0.03</v>
      </c>
      <c r="W268" s="2">
        <v>0.03</v>
      </c>
      <c r="X268" s="2">
        <v>0.03</v>
      </c>
      <c r="Y268" s="2">
        <v>0.03</v>
      </c>
      <c r="Z268" s="2">
        <v>0.05</v>
      </c>
      <c r="AA268" s="2">
        <v>0.05</v>
      </c>
      <c r="AB268" s="2">
        <v>0.05</v>
      </c>
      <c r="AC268" s="2">
        <v>0.05</v>
      </c>
      <c r="AD268" s="2">
        <v>0.05</v>
      </c>
      <c r="AE268" s="2">
        <v>-1</v>
      </c>
      <c r="AF268">
        <f t="shared" si="22"/>
        <v>1</v>
      </c>
      <c r="AG268">
        <f t="shared" si="23"/>
        <v>1</v>
      </c>
      <c r="AH268">
        <f t="shared" si="24"/>
        <v>1</v>
      </c>
      <c r="AI268">
        <f t="shared" si="25"/>
        <v>1</v>
      </c>
      <c r="AJ268">
        <f t="shared" si="26"/>
        <v>1</v>
      </c>
      <c r="AK268">
        <f t="shared" si="27"/>
        <v>1</v>
      </c>
      <c r="AL268">
        <f t="shared" si="28"/>
        <v>1</v>
      </c>
      <c r="AM268">
        <f t="shared" si="29"/>
        <v>1</v>
      </c>
      <c r="AN268">
        <f t="shared" si="30"/>
        <v>1</v>
      </c>
      <c r="AO268">
        <f t="shared" si="31"/>
        <v>1</v>
      </c>
      <c r="AP268">
        <f t="shared" si="32"/>
        <v>-1</v>
      </c>
      <c r="AQ268">
        <v>0</v>
      </c>
      <c r="AR268" t="s">
        <v>2</v>
      </c>
      <c r="AS268">
        <v>-1</v>
      </c>
      <c r="AT268">
        <v>-1</v>
      </c>
      <c r="AU268">
        <v>-1</v>
      </c>
      <c r="AV268">
        <v>-1</v>
      </c>
      <c r="AW268">
        <v>-1</v>
      </c>
      <c r="AX268">
        <v>-1</v>
      </c>
      <c r="AY268">
        <v>-1</v>
      </c>
      <c r="AZ268">
        <v>-1</v>
      </c>
      <c r="BA268">
        <v>-1</v>
      </c>
      <c r="BB268">
        <v>0</v>
      </c>
      <c r="BC268" t="s">
        <v>2</v>
      </c>
      <c r="BD268">
        <v>-1</v>
      </c>
      <c r="BE268">
        <v>-1</v>
      </c>
      <c r="BF268">
        <v>-1</v>
      </c>
      <c r="BG268">
        <v>-1</v>
      </c>
      <c r="BH268">
        <v>-1</v>
      </c>
      <c r="BI268">
        <v>-1</v>
      </c>
      <c r="BJ268">
        <v>-1</v>
      </c>
      <c r="BK268">
        <v>-1</v>
      </c>
      <c r="BL268">
        <v>-1</v>
      </c>
      <c r="BM268">
        <v>-1</v>
      </c>
      <c r="BN268">
        <v>-1</v>
      </c>
      <c r="BO268">
        <v>-1</v>
      </c>
    </row>
    <row r="269" spans="1:67" x14ac:dyDescent="0.25">
      <c r="A269">
        <v>266</v>
      </c>
      <c r="B269">
        <v>60017</v>
      </c>
      <c r="C269" t="str">
        <f>VLOOKUP(B269,[1]resources!$A$2:$D$300,3,FALSE)</f>
        <v>!!BOUQUET_FLOWERCORAL_CUPCORALTREE</v>
      </c>
      <c r="D269">
        <v>17</v>
      </c>
      <c r="E269" t="str">
        <f>VLOOKUP(D269,[1]bonus_paytable!$A$2:$D$300,3,FALSE)</f>
        <v>bottomite_pink_female_average_2</v>
      </c>
      <c r="F269">
        <v>-1</v>
      </c>
      <c r="G269">
        <v>-1</v>
      </c>
      <c r="H269">
        <v>1</v>
      </c>
      <c r="I269" t="s">
        <v>1</v>
      </c>
      <c r="J269">
        <v>60018</v>
      </c>
      <c r="K269">
        <v>80001</v>
      </c>
      <c r="L269">
        <v>70010</v>
      </c>
      <c r="M269">
        <v>60017</v>
      </c>
      <c r="N269">
        <v>60004</v>
      </c>
      <c r="O269">
        <v>14</v>
      </c>
      <c r="P269">
        <v>30010</v>
      </c>
      <c r="Q269">
        <v>40000</v>
      </c>
      <c r="R269">
        <v>70001</v>
      </c>
      <c r="S269">
        <v>50003</v>
      </c>
      <c r="T269">
        <v>-1</v>
      </c>
      <c r="U269" s="2">
        <v>0.01</v>
      </c>
      <c r="V269" s="2">
        <v>0.03</v>
      </c>
      <c r="W269" s="2">
        <v>0.03</v>
      </c>
      <c r="X269" s="2">
        <v>0.03</v>
      </c>
      <c r="Y269" s="2">
        <v>0.03</v>
      </c>
      <c r="Z269" s="2">
        <v>0.05</v>
      </c>
      <c r="AA269" s="2">
        <v>0.05</v>
      </c>
      <c r="AB269" s="2">
        <v>0.05</v>
      </c>
      <c r="AC269" s="2">
        <v>0.05</v>
      </c>
      <c r="AD269" s="2">
        <v>0.05</v>
      </c>
      <c r="AE269" s="2">
        <v>-1</v>
      </c>
      <c r="AF269">
        <f t="shared" si="22"/>
        <v>1</v>
      </c>
      <c r="AG269">
        <f t="shared" si="23"/>
        <v>1</v>
      </c>
      <c r="AH269">
        <f t="shared" si="24"/>
        <v>1</v>
      </c>
      <c r="AI269">
        <f t="shared" si="25"/>
        <v>1</v>
      </c>
      <c r="AJ269">
        <f t="shared" si="26"/>
        <v>1</v>
      </c>
      <c r="AK269">
        <f t="shared" si="27"/>
        <v>1</v>
      </c>
      <c r="AL269">
        <f t="shared" si="28"/>
        <v>1</v>
      </c>
      <c r="AM269">
        <f t="shared" si="29"/>
        <v>1</v>
      </c>
      <c r="AN269">
        <f t="shared" si="30"/>
        <v>1</v>
      </c>
      <c r="AO269">
        <f t="shared" si="31"/>
        <v>1</v>
      </c>
      <c r="AP269">
        <f t="shared" si="32"/>
        <v>-1</v>
      </c>
      <c r="AQ269">
        <v>0</v>
      </c>
      <c r="AR269" t="s">
        <v>2</v>
      </c>
      <c r="AS269">
        <v>-1</v>
      </c>
      <c r="AT269">
        <v>-1</v>
      </c>
      <c r="AU269">
        <v>-1</v>
      </c>
      <c r="AV269">
        <v>-1</v>
      </c>
      <c r="AW269">
        <v>-1</v>
      </c>
      <c r="AX269">
        <v>-1</v>
      </c>
      <c r="AY269">
        <v>-1</v>
      </c>
      <c r="AZ269">
        <v>-1</v>
      </c>
      <c r="BA269">
        <v>-1</v>
      </c>
      <c r="BB269">
        <v>0</v>
      </c>
      <c r="BC269" t="s">
        <v>2</v>
      </c>
      <c r="BD269">
        <v>-1</v>
      </c>
      <c r="BE269">
        <v>-1</v>
      </c>
      <c r="BF269">
        <v>-1</v>
      </c>
      <c r="BG269">
        <v>-1</v>
      </c>
      <c r="BH269">
        <v>-1</v>
      </c>
      <c r="BI269">
        <v>-1</v>
      </c>
      <c r="BJ269">
        <v>-1</v>
      </c>
      <c r="BK269">
        <v>-1</v>
      </c>
      <c r="BL269">
        <v>-1</v>
      </c>
      <c r="BM269">
        <v>-1</v>
      </c>
      <c r="BN269">
        <v>-1</v>
      </c>
      <c r="BO269">
        <v>-1</v>
      </c>
    </row>
    <row r="270" spans="1:67" x14ac:dyDescent="0.25">
      <c r="A270">
        <v>267</v>
      </c>
      <c r="B270">
        <v>70006</v>
      </c>
      <c r="C270" t="str">
        <f>VLOOKUP(B270,[1]resources!$A$2:$D$300,3,FALSE)</f>
        <v>!!PERFUME_FISHERMANSFLOWERS</v>
      </c>
      <c r="D270">
        <v>17</v>
      </c>
      <c r="E270" t="str">
        <f>VLOOKUP(D270,[1]bonus_paytable!$A$2:$D$300,3,FALSE)</f>
        <v>bottomite_pink_female_average_2</v>
      </c>
      <c r="F270">
        <v>-1</v>
      </c>
      <c r="G270">
        <v>-1</v>
      </c>
      <c r="H270">
        <v>1</v>
      </c>
      <c r="I270" t="s">
        <v>1</v>
      </c>
      <c r="J270">
        <v>60018</v>
      </c>
      <c r="K270">
        <v>80001</v>
      </c>
      <c r="L270">
        <v>70010</v>
      </c>
      <c r="M270">
        <v>60017</v>
      </c>
      <c r="N270">
        <v>60004</v>
      </c>
      <c r="O270">
        <v>14</v>
      </c>
      <c r="P270">
        <v>30010</v>
      </c>
      <c r="Q270">
        <v>40000</v>
      </c>
      <c r="R270">
        <v>70001</v>
      </c>
      <c r="S270">
        <v>50003</v>
      </c>
      <c r="T270">
        <v>-1</v>
      </c>
      <c r="U270" s="2">
        <v>0.01</v>
      </c>
      <c r="V270" s="2">
        <v>0.03</v>
      </c>
      <c r="W270" s="2">
        <v>0.03</v>
      </c>
      <c r="X270" s="2">
        <v>0.03</v>
      </c>
      <c r="Y270" s="2">
        <v>0.03</v>
      </c>
      <c r="Z270" s="2">
        <v>0.05</v>
      </c>
      <c r="AA270" s="2">
        <v>0.05</v>
      </c>
      <c r="AB270" s="2">
        <v>0.05</v>
      </c>
      <c r="AC270" s="2">
        <v>0.05</v>
      </c>
      <c r="AD270" s="2">
        <v>0.05</v>
      </c>
      <c r="AE270" s="2">
        <v>-1</v>
      </c>
      <c r="AF270">
        <f t="shared" si="22"/>
        <v>1</v>
      </c>
      <c r="AG270">
        <f t="shared" si="23"/>
        <v>1</v>
      </c>
      <c r="AH270">
        <f t="shared" si="24"/>
        <v>1</v>
      </c>
      <c r="AI270">
        <f t="shared" si="25"/>
        <v>1</v>
      </c>
      <c r="AJ270">
        <f t="shared" si="26"/>
        <v>1</v>
      </c>
      <c r="AK270">
        <f t="shared" si="27"/>
        <v>1</v>
      </c>
      <c r="AL270">
        <f t="shared" si="28"/>
        <v>1</v>
      </c>
      <c r="AM270">
        <f t="shared" si="29"/>
        <v>1</v>
      </c>
      <c r="AN270">
        <f t="shared" si="30"/>
        <v>1</v>
      </c>
      <c r="AO270">
        <f t="shared" si="31"/>
        <v>1</v>
      </c>
      <c r="AP270">
        <f t="shared" si="32"/>
        <v>-1</v>
      </c>
      <c r="AQ270">
        <v>0</v>
      </c>
      <c r="AR270" t="s">
        <v>2</v>
      </c>
      <c r="AS270">
        <v>-1</v>
      </c>
      <c r="AT270">
        <v>-1</v>
      </c>
      <c r="AU270">
        <v>-1</v>
      </c>
      <c r="AV270">
        <v>-1</v>
      </c>
      <c r="AW270">
        <v>-1</v>
      </c>
      <c r="AX270">
        <v>-1</v>
      </c>
      <c r="AY270">
        <v>-1</v>
      </c>
      <c r="AZ270">
        <v>-1</v>
      </c>
      <c r="BA270">
        <v>-1</v>
      </c>
      <c r="BB270">
        <v>0</v>
      </c>
      <c r="BC270" t="s">
        <v>2</v>
      </c>
      <c r="BD270">
        <v>-1</v>
      </c>
      <c r="BE270">
        <v>-1</v>
      </c>
      <c r="BF270">
        <v>-1</v>
      </c>
      <c r="BG270">
        <v>-1</v>
      </c>
      <c r="BH270">
        <v>-1</v>
      </c>
      <c r="BI270">
        <v>-1</v>
      </c>
      <c r="BJ270">
        <v>-1</v>
      </c>
      <c r="BK270">
        <v>-1</v>
      </c>
      <c r="BL270">
        <v>-1</v>
      </c>
      <c r="BM270">
        <v>-1</v>
      </c>
      <c r="BN270">
        <v>-1</v>
      </c>
      <c r="BO270">
        <v>-1</v>
      </c>
    </row>
    <row r="271" spans="1:67" x14ac:dyDescent="0.25">
      <c r="A271">
        <v>268</v>
      </c>
      <c r="B271">
        <v>80008</v>
      </c>
      <c r="C271" t="str">
        <f>VLOOKUP(B271,[1]resources!$A$2:$D$300,3,FALSE)</f>
        <v>!!FOOD_BAKED_LIFESABEACHPEACHCOBBLER</v>
      </c>
      <c r="D271">
        <v>17</v>
      </c>
      <c r="E271" t="str">
        <f>VLOOKUP(D271,[1]bonus_paytable!$A$2:$D$300,3,FALSE)</f>
        <v>bottomite_pink_female_average_2</v>
      </c>
      <c r="F271">
        <v>-1</v>
      </c>
      <c r="G271">
        <v>-1</v>
      </c>
      <c r="H271">
        <v>1</v>
      </c>
      <c r="I271" t="s">
        <v>1</v>
      </c>
      <c r="J271">
        <v>60018</v>
      </c>
      <c r="K271">
        <v>80001</v>
      </c>
      <c r="L271">
        <v>70010</v>
      </c>
      <c r="M271">
        <v>60017</v>
      </c>
      <c r="N271">
        <v>60004</v>
      </c>
      <c r="O271">
        <v>14</v>
      </c>
      <c r="P271">
        <v>30010</v>
      </c>
      <c r="Q271">
        <v>40000</v>
      </c>
      <c r="R271">
        <v>70001</v>
      </c>
      <c r="S271">
        <v>50003</v>
      </c>
      <c r="T271">
        <v>-1</v>
      </c>
      <c r="U271" s="2">
        <v>0.01</v>
      </c>
      <c r="V271" s="2">
        <v>0.03</v>
      </c>
      <c r="W271" s="2">
        <v>0.03</v>
      </c>
      <c r="X271" s="2">
        <v>0.03</v>
      </c>
      <c r="Y271" s="2">
        <v>0.03</v>
      </c>
      <c r="Z271" s="2">
        <v>0.05</v>
      </c>
      <c r="AA271" s="2">
        <v>0.05</v>
      </c>
      <c r="AB271" s="2">
        <v>0.05</v>
      </c>
      <c r="AC271" s="2">
        <v>0.05</v>
      </c>
      <c r="AD271" s="2">
        <v>0.05</v>
      </c>
      <c r="AE271" s="2">
        <v>-1</v>
      </c>
      <c r="AF271">
        <f t="shared" si="22"/>
        <v>1</v>
      </c>
      <c r="AG271">
        <f t="shared" si="23"/>
        <v>1</v>
      </c>
      <c r="AH271">
        <f t="shared" si="24"/>
        <v>1</v>
      </c>
      <c r="AI271">
        <f t="shared" si="25"/>
        <v>1</v>
      </c>
      <c r="AJ271">
        <f t="shared" si="26"/>
        <v>1</v>
      </c>
      <c r="AK271">
        <f t="shared" si="27"/>
        <v>1</v>
      </c>
      <c r="AL271">
        <f t="shared" si="28"/>
        <v>1</v>
      </c>
      <c r="AM271">
        <f t="shared" si="29"/>
        <v>1</v>
      </c>
      <c r="AN271">
        <f t="shared" si="30"/>
        <v>1</v>
      </c>
      <c r="AO271">
        <f t="shared" si="31"/>
        <v>1</v>
      </c>
      <c r="AP271">
        <f t="shared" si="32"/>
        <v>-1</v>
      </c>
      <c r="AQ271">
        <v>0</v>
      </c>
      <c r="AR271" t="s">
        <v>2</v>
      </c>
      <c r="AS271">
        <v>-1</v>
      </c>
      <c r="AT271">
        <v>-1</v>
      </c>
      <c r="AU271">
        <v>-1</v>
      </c>
      <c r="AV271">
        <v>-1</v>
      </c>
      <c r="AW271">
        <v>-1</v>
      </c>
      <c r="AX271">
        <v>-1</v>
      </c>
      <c r="AY271">
        <v>-1</v>
      </c>
      <c r="AZ271">
        <v>-1</v>
      </c>
      <c r="BA271">
        <v>-1</v>
      </c>
      <c r="BB271">
        <v>0</v>
      </c>
      <c r="BC271" t="s">
        <v>2</v>
      </c>
      <c r="BD271">
        <v>-1</v>
      </c>
      <c r="BE271">
        <v>-1</v>
      </c>
      <c r="BF271">
        <v>-1</v>
      </c>
      <c r="BG271">
        <v>-1</v>
      </c>
      <c r="BH271">
        <v>-1</v>
      </c>
      <c r="BI271">
        <v>-1</v>
      </c>
      <c r="BJ271">
        <v>-1</v>
      </c>
      <c r="BK271">
        <v>-1</v>
      </c>
      <c r="BL271">
        <v>-1</v>
      </c>
      <c r="BM271">
        <v>-1</v>
      </c>
      <c r="BN271">
        <v>-1</v>
      </c>
      <c r="BO271">
        <v>-1</v>
      </c>
    </row>
    <row r="272" spans="1:67" x14ac:dyDescent="0.25">
      <c r="A272">
        <v>269</v>
      </c>
      <c r="B272">
        <v>1</v>
      </c>
      <c r="C272" t="str">
        <f>VLOOKUP(B272,[1]resources!$A$2:$D$300,3,FALSE)</f>
        <v>!!FOOD_KRABBYPATTY</v>
      </c>
      <c r="D272">
        <v>18</v>
      </c>
      <c r="E272" t="str">
        <f>VLOOKUP(D272,[1]bonus_paytable!$A$2:$D$300,3,FALSE)</f>
        <v>bottomite_orange_male_anchovy_2</v>
      </c>
      <c r="F272">
        <v>-1</v>
      </c>
      <c r="G272">
        <v>-1</v>
      </c>
      <c r="H272">
        <v>1</v>
      </c>
      <c r="I272" t="s">
        <v>1</v>
      </c>
      <c r="J272">
        <v>50002</v>
      </c>
      <c r="K272">
        <v>80001</v>
      </c>
      <c r="L272">
        <v>40002</v>
      </c>
      <c r="M272">
        <v>50006</v>
      </c>
      <c r="N272">
        <v>60004</v>
      </c>
      <c r="O272">
        <v>40</v>
      </c>
      <c r="P272">
        <v>30011</v>
      </c>
      <c r="Q272">
        <v>40007</v>
      </c>
      <c r="R272">
        <v>70002</v>
      </c>
      <c r="S272">
        <v>50003</v>
      </c>
      <c r="T272">
        <v>-1</v>
      </c>
      <c r="U272" s="2">
        <v>0.01</v>
      </c>
      <c r="V272" s="2">
        <v>0.03</v>
      </c>
      <c r="W272" s="2">
        <v>0.03</v>
      </c>
      <c r="X272" s="2">
        <v>0.03</v>
      </c>
      <c r="Y272" s="2">
        <v>0.03</v>
      </c>
      <c r="Z272" s="2">
        <v>0.05</v>
      </c>
      <c r="AA272" s="2">
        <v>0.05</v>
      </c>
      <c r="AB272" s="2">
        <v>0.05</v>
      </c>
      <c r="AC272" s="2">
        <v>0.05</v>
      </c>
      <c r="AD272" s="2">
        <v>0.05</v>
      </c>
      <c r="AE272" s="2">
        <v>-1</v>
      </c>
      <c r="AF272">
        <f t="shared" si="22"/>
        <v>1</v>
      </c>
      <c r="AG272">
        <f t="shared" si="23"/>
        <v>1</v>
      </c>
      <c r="AH272">
        <f t="shared" si="24"/>
        <v>1</v>
      </c>
      <c r="AI272">
        <f t="shared" si="25"/>
        <v>1</v>
      </c>
      <c r="AJ272">
        <f t="shared" si="26"/>
        <v>1</v>
      </c>
      <c r="AK272">
        <f t="shared" si="27"/>
        <v>1</v>
      </c>
      <c r="AL272">
        <f t="shared" si="28"/>
        <v>1</v>
      </c>
      <c r="AM272">
        <f t="shared" si="29"/>
        <v>1</v>
      </c>
      <c r="AN272">
        <f t="shared" si="30"/>
        <v>1</v>
      </c>
      <c r="AO272">
        <f t="shared" si="31"/>
        <v>1</v>
      </c>
      <c r="AP272">
        <f t="shared" si="32"/>
        <v>-1</v>
      </c>
      <c r="AQ272">
        <v>0</v>
      </c>
      <c r="AR272" t="s">
        <v>2</v>
      </c>
      <c r="AS272">
        <v>-1</v>
      </c>
      <c r="AT272">
        <v>-1</v>
      </c>
      <c r="AU272">
        <v>-1</v>
      </c>
      <c r="AV272">
        <v>-1</v>
      </c>
      <c r="AW272">
        <v>-1</v>
      </c>
      <c r="AX272">
        <v>-1</v>
      </c>
      <c r="AY272">
        <v>-1</v>
      </c>
      <c r="AZ272">
        <v>-1</v>
      </c>
      <c r="BA272">
        <v>-1</v>
      </c>
      <c r="BB272">
        <v>0</v>
      </c>
      <c r="BC272" t="s">
        <v>2</v>
      </c>
      <c r="BD272">
        <v>-1</v>
      </c>
      <c r="BE272">
        <v>-1</v>
      </c>
      <c r="BF272">
        <v>-1</v>
      </c>
      <c r="BG272">
        <v>-1</v>
      </c>
      <c r="BH272">
        <v>-1</v>
      </c>
      <c r="BI272">
        <v>-1</v>
      </c>
      <c r="BJ272">
        <v>-1</v>
      </c>
      <c r="BK272">
        <v>-1</v>
      </c>
      <c r="BL272">
        <v>-1</v>
      </c>
      <c r="BM272">
        <v>-1</v>
      </c>
      <c r="BN272">
        <v>-1</v>
      </c>
      <c r="BO272">
        <v>-1</v>
      </c>
    </row>
    <row r="273" spans="1:67" x14ac:dyDescent="0.25">
      <c r="A273">
        <v>270</v>
      </c>
      <c r="B273">
        <v>18</v>
      </c>
      <c r="C273" t="str">
        <f>VLOOKUP(B273,[1]resources!$A$2:$D$300,3,FALSE)</f>
        <v>!!FOOD_KELPFRIES</v>
      </c>
      <c r="D273">
        <v>18</v>
      </c>
      <c r="E273" t="str">
        <f>VLOOKUP(D273,[1]bonus_paytable!$A$2:$D$300,3,FALSE)</f>
        <v>bottomite_orange_male_anchovy_2</v>
      </c>
      <c r="F273">
        <v>-1</v>
      </c>
      <c r="G273">
        <v>-1</v>
      </c>
      <c r="H273">
        <v>1</v>
      </c>
      <c r="I273" t="s">
        <v>1</v>
      </c>
      <c r="J273">
        <v>50002</v>
      </c>
      <c r="K273">
        <v>80001</v>
      </c>
      <c r="L273">
        <v>40002</v>
      </c>
      <c r="M273">
        <v>50006</v>
      </c>
      <c r="N273">
        <v>60004</v>
      </c>
      <c r="O273">
        <v>40</v>
      </c>
      <c r="P273">
        <v>30011</v>
      </c>
      <c r="Q273">
        <v>40007</v>
      </c>
      <c r="R273">
        <v>70002</v>
      </c>
      <c r="S273">
        <v>50003</v>
      </c>
      <c r="T273">
        <v>-1</v>
      </c>
      <c r="U273" s="2">
        <v>0.01</v>
      </c>
      <c r="V273" s="2">
        <v>0.03</v>
      </c>
      <c r="W273" s="2">
        <v>0.03</v>
      </c>
      <c r="X273" s="2">
        <v>0.03</v>
      </c>
      <c r="Y273" s="2">
        <v>0.03</v>
      </c>
      <c r="Z273" s="2">
        <v>0.05</v>
      </c>
      <c r="AA273" s="2">
        <v>0.05</v>
      </c>
      <c r="AB273" s="2">
        <v>0.05</v>
      </c>
      <c r="AC273" s="2">
        <v>0.05</v>
      </c>
      <c r="AD273" s="2">
        <v>0.05</v>
      </c>
      <c r="AE273" s="2">
        <v>-1</v>
      </c>
      <c r="AF273">
        <f t="shared" si="22"/>
        <v>1</v>
      </c>
      <c r="AG273">
        <f t="shared" si="23"/>
        <v>1</v>
      </c>
      <c r="AH273">
        <f t="shared" si="24"/>
        <v>1</v>
      </c>
      <c r="AI273">
        <f t="shared" si="25"/>
        <v>1</v>
      </c>
      <c r="AJ273">
        <f t="shared" si="26"/>
        <v>1</v>
      </c>
      <c r="AK273">
        <f t="shared" si="27"/>
        <v>1</v>
      </c>
      <c r="AL273">
        <f t="shared" si="28"/>
        <v>1</v>
      </c>
      <c r="AM273">
        <f t="shared" si="29"/>
        <v>1</v>
      </c>
      <c r="AN273">
        <f t="shared" si="30"/>
        <v>1</v>
      </c>
      <c r="AO273">
        <f t="shared" si="31"/>
        <v>1</v>
      </c>
      <c r="AP273">
        <f t="shared" si="32"/>
        <v>-1</v>
      </c>
      <c r="AQ273">
        <v>0</v>
      </c>
      <c r="AR273" t="s">
        <v>2</v>
      </c>
      <c r="AS273">
        <v>-1</v>
      </c>
      <c r="AT273">
        <v>-1</v>
      </c>
      <c r="AU273">
        <v>-1</v>
      </c>
      <c r="AV273">
        <v>-1</v>
      </c>
      <c r="AW273">
        <v>-1</v>
      </c>
      <c r="AX273">
        <v>-1</v>
      </c>
      <c r="AY273">
        <v>-1</v>
      </c>
      <c r="AZ273">
        <v>-1</v>
      </c>
      <c r="BA273">
        <v>-1</v>
      </c>
      <c r="BB273">
        <v>0</v>
      </c>
      <c r="BC273" t="s">
        <v>2</v>
      </c>
      <c r="BD273">
        <v>-1</v>
      </c>
      <c r="BE273">
        <v>-1</v>
      </c>
      <c r="BF273">
        <v>-1</v>
      </c>
      <c r="BG273">
        <v>-1</v>
      </c>
      <c r="BH273">
        <v>-1</v>
      </c>
      <c r="BI273">
        <v>-1</v>
      </c>
      <c r="BJ273">
        <v>-1</v>
      </c>
      <c r="BK273">
        <v>-1</v>
      </c>
      <c r="BL273">
        <v>-1</v>
      </c>
      <c r="BM273">
        <v>-1</v>
      </c>
      <c r="BN273">
        <v>-1</v>
      </c>
      <c r="BO273">
        <v>-1</v>
      </c>
    </row>
    <row r="274" spans="1:67" x14ac:dyDescent="0.25">
      <c r="A274">
        <v>271</v>
      </c>
      <c r="B274">
        <v>22</v>
      </c>
      <c r="C274" t="str">
        <f>VLOOKUP(B274,[1]resources!$A$2:$D$300,3,FALSE)</f>
        <v>!!FOOD_SEAWEEDSALAD</v>
      </c>
      <c r="D274">
        <v>18</v>
      </c>
      <c r="E274" t="str">
        <f>VLOOKUP(D274,[1]bonus_paytable!$A$2:$D$300,3,FALSE)</f>
        <v>bottomite_orange_male_anchovy_2</v>
      </c>
      <c r="F274">
        <v>-1</v>
      </c>
      <c r="G274">
        <v>-1</v>
      </c>
      <c r="H274">
        <v>1</v>
      </c>
      <c r="I274" t="s">
        <v>1</v>
      </c>
      <c r="J274">
        <v>50002</v>
      </c>
      <c r="K274">
        <v>80001</v>
      </c>
      <c r="L274">
        <v>40002</v>
      </c>
      <c r="M274">
        <v>50006</v>
      </c>
      <c r="N274">
        <v>60004</v>
      </c>
      <c r="O274">
        <v>40</v>
      </c>
      <c r="P274">
        <v>30011</v>
      </c>
      <c r="Q274">
        <v>40007</v>
      </c>
      <c r="R274">
        <v>70002</v>
      </c>
      <c r="S274">
        <v>50003</v>
      </c>
      <c r="T274">
        <v>-1</v>
      </c>
      <c r="U274" s="2">
        <v>0.01</v>
      </c>
      <c r="V274" s="2">
        <v>0.03</v>
      </c>
      <c r="W274" s="2">
        <v>0.03</v>
      </c>
      <c r="X274" s="2">
        <v>0.03</v>
      </c>
      <c r="Y274" s="2">
        <v>0.03</v>
      </c>
      <c r="Z274" s="2">
        <v>0.05</v>
      </c>
      <c r="AA274" s="2">
        <v>0.05</v>
      </c>
      <c r="AB274" s="2">
        <v>0.05</v>
      </c>
      <c r="AC274" s="2">
        <v>0.05</v>
      </c>
      <c r="AD274" s="2">
        <v>0.05</v>
      </c>
      <c r="AE274" s="2">
        <v>-1</v>
      </c>
      <c r="AF274">
        <f t="shared" si="22"/>
        <v>1</v>
      </c>
      <c r="AG274">
        <f t="shared" si="23"/>
        <v>1</v>
      </c>
      <c r="AH274">
        <f t="shared" si="24"/>
        <v>1</v>
      </c>
      <c r="AI274">
        <f t="shared" si="25"/>
        <v>1</v>
      </c>
      <c r="AJ274">
        <f t="shared" si="26"/>
        <v>1</v>
      </c>
      <c r="AK274">
        <f t="shared" si="27"/>
        <v>1</v>
      </c>
      <c r="AL274">
        <f t="shared" si="28"/>
        <v>1</v>
      </c>
      <c r="AM274">
        <f t="shared" si="29"/>
        <v>1</v>
      </c>
      <c r="AN274">
        <f t="shared" si="30"/>
        <v>1</v>
      </c>
      <c r="AO274">
        <f t="shared" si="31"/>
        <v>1</v>
      </c>
      <c r="AP274">
        <f t="shared" si="32"/>
        <v>-1</v>
      </c>
      <c r="AQ274">
        <v>0</v>
      </c>
      <c r="AR274" t="s">
        <v>2</v>
      </c>
      <c r="AS274">
        <v>-1</v>
      </c>
      <c r="AT274">
        <v>-1</v>
      </c>
      <c r="AU274">
        <v>-1</v>
      </c>
      <c r="AV274">
        <v>-1</v>
      </c>
      <c r="AW274">
        <v>-1</v>
      </c>
      <c r="AX274">
        <v>-1</v>
      </c>
      <c r="AY274">
        <v>-1</v>
      </c>
      <c r="AZ274">
        <v>-1</v>
      </c>
      <c r="BA274">
        <v>-1</v>
      </c>
      <c r="BB274">
        <v>0</v>
      </c>
      <c r="BC274" t="s">
        <v>2</v>
      </c>
      <c r="BD274">
        <v>-1</v>
      </c>
      <c r="BE274">
        <v>-1</v>
      </c>
      <c r="BF274">
        <v>-1</v>
      </c>
      <c r="BG274">
        <v>-1</v>
      </c>
      <c r="BH274">
        <v>-1</v>
      </c>
      <c r="BI274">
        <v>-1</v>
      </c>
      <c r="BJ274">
        <v>-1</v>
      </c>
      <c r="BK274">
        <v>-1</v>
      </c>
      <c r="BL274">
        <v>-1</v>
      </c>
      <c r="BM274">
        <v>-1</v>
      </c>
      <c r="BN274">
        <v>-1</v>
      </c>
      <c r="BO274">
        <v>-1</v>
      </c>
    </row>
    <row r="275" spans="1:67" x14ac:dyDescent="0.25">
      <c r="A275">
        <v>272</v>
      </c>
      <c r="B275">
        <v>20003</v>
      </c>
      <c r="C275" t="str">
        <f>VLOOKUP(B275,[1]resources!$A$2:$D$300,3,FALSE)</f>
        <v>!!JUICE_ORANGE</v>
      </c>
      <c r="D275">
        <v>18</v>
      </c>
      <c r="E275" t="str">
        <f>VLOOKUP(D275,[1]bonus_paytable!$A$2:$D$300,3,FALSE)</f>
        <v>bottomite_orange_male_anchovy_2</v>
      </c>
      <c r="F275">
        <v>-1</v>
      </c>
      <c r="G275">
        <v>-1</v>
      </c>
      <c r="H275">
        <v>1</v>
      </c>
      <c r="I275" t="s">
        <v>1</v>
      </c>
      <c r="J275">
        <v>50002</v>
      </c>
      <c r="K275">
        <v>80001</v>
      </c>
      <c r="L275">
        <v>40002</v>
      </c>
      <c r="M275">
        <v>50006</v>
      </c>
      <c r="N275">
        <v>60004</v>
      </c>
      <c r="O275">
        <v>40</v>
      </c>
      <c r="P275">
        <v>30011</v>
      </c>
      <c r="Q275">
        <v>40007</v>
      </c>
      <c r="R275">
        <v>70002</v>
      </c>
      <c r="S275">
        <v>50003</v>
      </c>
      <c r="T275">
        <v>-1</v>
      </c>
      <c r="U275" s="2">
        <v>0.01</v>
      </c>
      <c r="V275" s="2">
        <v>0.03</v>
      </c>
      <c r="W275" s="2">
        <v>0.03</v>
      </c>
      <c r="X275" s="2">
        <v>0.03</v>
      </c>
      <c r="Y275" s="2">
        <v>0.03</v>
      </c>
      <c r="Z275" s="2">
        <v>0.05</v>
      </c>
      <c r="AA275" s="2">
        <v>0.05</v>
      </c>
      <c r="AB275" s="2">
        <v>0.05</v>
      </c>
      <c r="AC275" s="2">
        <v>0.05</v>
      </c>
      <c r="AD275" s="2">
        <v>0.05</v>
      </c>
      <c r="AE275" s="2">
        <v>-1</v>
      </c>
      <c r="AF275">
        <f t="shared" si="22"/>
        <v>1</v>
      </c>
      <c r="AG275">
        <f t="shared" si="23"/>
        <v>1</v>
      </c>
      <c r="AH275">
        <f t="shared" si="24"/>
        <v>1</v>
      </c>
      <c r="AI275">
        <f t="shared" si="25"/>
        <v>1</v>
      </c>
      <c r="AJ275">
        <f t="shared" si="26"/>
        <v>1</v>
      </c>
      <c r="AK275">
        <f t="shared" si="27"/>
        <v>1</v>
      </c>
      <c r="AL275">
        <f t="shared" si="28"/>
        <v>1</v>
      </c>
      <c r="AM275">
        <f t="shared" si="29"/>
        <v>1</v>
      </c>
      <c r="AN275">
        <f t="shared" si="30"/>
        <v>1</v>
      </c>
      <c r="AO275">
        <f t="shared" si="31"/>
        <v>1</v>
      </c>
      <c r="AP275">
        <f t="shared" si="32"/>
        <v>-1</v>
      </c>
      <c r="AQ275">
        <v>0</v>
      </c>
      <c r="AR275" t="s">
        <v>2</v>
      </c>
      <c r="AS275">
        <v>-1</v>
      </c>
      <c r="AT275">
        <v>-1</v>
      </c>
      <c r="AU275">
        <v>-1</v>
      </c>
      <c r="AV275">
        <v>-1</v>
      </c>
      <c r="AW275">
        <v>-1</v>
      </c>
      <c r="AX275">
        <v>-1</v>
      </c>
      <c r="AY275">
        <v>-1</v>
      </c>
      <c r="AZ275">
        <v>-1</v>
      </c>
      <c r="BA275">
        <v>-1</v>
      </c>
      <c r="BB275">
        <v>0</v>
      </c>
      <c r="BC275" t="s">
        <v>2</v>
      </c>
      <c r="BD275">
        <v>-1</v>
      </c>
      <c r="BE275">
        <v>-1</v>
      </c>
      <c r="BF275">
        <v>-1</v>
      </c>
      <c r="BG275">
        <v>-1</v>
      </c>
      <c r="BH275">
        <v>-1</v>
      </c>
      <c r="BI275">
        <v>-1</v>
      </c>
      <c r="BJ275">
        <v>-1</v>
      </c>
      <c r="BK275">
        <v>-1</v>
      </c>
      <c r="BL275">
        <v>-1</v>
      </c>
      <c r="BM275">
        <v>-1</v>
      </c>
      <c r="BN275">
        <v>-1</v>
      </c>
      <c r="BO275">
        <v>-1</v>
      </c>
    </row>
    <row r="276" spans="1:67" x14ac:dyDescent="0.25">
      <c r="A276">
        <v>273</v>
      </c>
      <c r="B276">
        <v>30008</v>
      </c>
      <c r="C276" t="str">
        <f>VLOOKUP(B276,[1]resources!$A$2:$D$300,3,FALSE)</f>
        <v>!!SMOOTHIE_ORANGE_NUT</v>
      </c>
      <c r="D276">
        <v>18</v>
      </c>
      <c r="E276" t="str">
        <f>VLOOKUP(D276,[1]bonus_paytable!$A$2:$D$300,3,FALSE)</f>
        <v>bottomite_orange_male_anchovy_2</v>
      </c>
      <c r="F276">
        <v>-1</v>
      </c>
      <c r="G276">
        <v>-1</v>
      </c>
      <c r="H276">
        <v>1</v>
      </c>
      <c r="I276" t="s">
        <v>1</v>
      </c>
      <c r="J276">
        <v>50002</v>
      </c>
      <c r="K276">
        <v>80001</v>
      </c>
      <c r="L276">
        <v>40002</v>
      </c>
      <c r="M276">
        <v>50006</v>
      </c>
      <c r="N276">
        <v>60004</v>
      </c>
      <c r="O276">
        <v>40</v>
      </c>
      <c r="P276">
        <v>30011</v>
      </c>
      <c r="Q276">
        <v>40007</v>
      </c>
      <c r="R276">
        <v>70002</v>
      </c>
      <c r="S276">
        <v>50003</v>
      </c>
      <c r="T276">
        <v>-1</v>
      </c>
      <c r="U276" s="2">
        <v>0.01</v>
      </c>
      <c r="V276" s="2">
        <v>0.03</v>
      </c>
      <c r="W276" s="2">
        <v>0.03</v>
      </c>
      <c r="X276" s="2">
        <v>0.03</v>
      </c>
      <c r="Y276" s="2">
        <v>0.03</v>
      </c>
      <c r="Z276" s="2">
        <v>0.05</v>
      </c>
      <c r="AA276" s="2">
        <v>0.05</v>
      </c>
      <c r="AB276" s="2">
        <v>0.05</v>
      </c>
      <c r="AC276" s="2">
        <v>0.05</v>
      </c>
      <c r="AD276" s="2">
        <v>0.05</v>
      </c>
      <c r="AE276" s="2">
        <v>-1</v>
      </c>
      <c r="AF276">
        <f t="shared" si="22"/>
        <v>1</v>
      </c>
      <c r="AG276">
        <f t="shared" si="23"/>
        <v>1</v>
      </c>
      <c r="AH276">
        <f t="shared" si="24"/>
        <v>1</v>
      </c>
      <c r="AI276">
        <f t="shared" si="25"/>
        <v>1</v>
      </c>
      <c r="AJ276">
        <f t="shared" si="26"/>
        <v>1</v>
      </c>
      <c r="AK276">
        <f t="shared" si="27"/>
        <v>1</v>
      </c>
      <c r="AL276">
        <f t="shared" si="28"/>
        <v>1</v>
      </c>
      <c r="AM276">
        <f t="shared" si="29"/>
        <v>1</v>
      </c>
      <c r="AN276">
        <f t="shared" si="30"/>
        <v>1</v>
      </c>
      <c r="AO276">
        <f t="shared" si="31"/>
        <v>1</v>
      </c>
      <c r="AP276">
        <f t="shared" si="32"/>
        <v>-1</v>
      </c>
      <c r="AQ276">
        <v>0</v>
      </c>
      <c r="AR276" t="s">
        <v>2</v>
      </c>
      <c r="AS276">
        <v>-1</v>
      </c>
      <c r="AT276">
        <v>-1</v>
      </c>
      <c r="AU276">
        <v>-1</v>
      </c>
      <c r="AV276">
        <v>-1</v>
      </c>
      <c r="AW276">
        <v>-1</v>
      </c>
      <c r="AX276">
        <v>-1</v>
      </c>
      <c r="AY276">
        <v>-1</v>
      </c>
      <c r="AZ276">
        <v>-1</v>
      </c>
      <c r="BA276">
        <v>-1</v>
      </c>
      <c r="BB276">
        <v>0</v>
      </c>
      <c r="BC276" t="s">
        <v>2</v>
      </c>
      <c r="BD276">
        <v>-1</v>
      </c>
      <c r="BE276">
        <v>-1</v>
      </c>
      <c r="BF276">
        <v>-1</v>
      </c>
      <c r="BG276">
        <v>-1</v>
      </c>
      <c r="BH276">
        <v>-1</v>
      </c>
      <c r="BI276">
        <v>-1</v>
      </c>
      <c r="BJ276">
        <v>-1</v>
      </c>
      <c r="BK276">
        <v>-1</v>
      </c>
      <c r="BL276">
        <v>-1</v>
      </c>
      <c r="BM276">
        <v>-1</v>
      </c>
      <c r="BN276">
        <v>-1</v>
      </c>
      <c r="BO276">
        <v>-1</v>
      </c>
    </row>
    <row r="277" spans="1:67" x14ac:dyDescent="0.25">
      <c r="A277">
        <v>274</v>
      </c>
      <c r="B277">
        <v>40003</v>
      </c>
      <c r="C277" t="str">
        <f>VLOOKUP(B277,[1]resources!$A$2:$D$300,3,FALSE)</f>
        <v>!!ICECREAM_CARAMEL</v>
      </c>
      <c r="D277">
        <v>18</v>
      </c>
      <c r="E277" t="str">
        <f>VLOOKUP(D277,[1]bonus_paytable!$A$2:$D$300,3,FALSE)</f>
        <v>bottomite_orange_male_anchovy_2</v>
      </c>
      <c r="F277">
        <v>-1</v>
      </c>
      <c r="G277">
        <v>-1</v>
      </c>
      <c r="H277">
        <v>1</v>
      </c>
      <c r="I277" t="s">
        <v>1</v>
      </c>
      <c r="J277">
        <v>50002</v>
      </c>
      <c r="K277">
        <v>80001</v>
      </c>
      <c r="L277">
        <v>40002</v>
      </c>
      <c r="M277">
        <v>50006</v>
      </c>
      <c r="N277">
        <v>60004</v>
      </c>
      <c r="O277">
        <v>40</v>
      </c>
      <c r="P277">
        <v>30011</v>
      </c>
      <c r="Q277">
        <v>40007</v>
      </c>
      <c r="R277">
        <v>70002</v>
      </c>
      <c r="S277">
        <v>50003</v>
      </c>
      <c r="T277">
        <v>-1</v>
      </c>
      <c r="U277" s="2">
        <v>0.01</v>
      </c>
      <c r="V277" s="2">
        <v>0.03</v>
      </c>
      <c r="W277" s="2">
        <v>0.03</v>
      </c>
      <c r="X277" s="2">
        <v>0.03</v>
      </c>
      <c r="Y277" s="2">
        <v>0.03</v>
      </c>
      <c r="Z277" s="2">
        <v>0.05</v>
      </c>
      <c r="AA277" s="2">
        <v>0.05</v>
      </c>
      <c r="AB277" s="2">
        <v>0.05</v>
      </c>
      <c r="AC277" s="2">
        <v>0.05</v>
      </c>
      <c r="AD277" s="2">
        <v>0.05</v>
      </c>
      <c r="AE277" s="2">
        <v>-1</v>
      </c>
      <c r="AF277">
        <f t="shared" si="22"/>
        <v>1</v>
      </c>
      <c r="AG277">
        <f t="shared" si="23"/>
        <v>1</v>
      </c>
      <c r="AH277">
        <f t="shared" si="24"/>
        <v>1</v>
      </c>
      <c r="AI277">
        <f t="shared" si="25"/>
        <v>1</v>
      </c>
      <c r="AJ277">
        <f t="shared" si="26"/>
        <v>1</v>
      </c>
      <c r="AK277">
        <f t="shared" si="27"/>
        <v>1</v>
      </c>
      <c r="AL277">
        <f t="shared" si="28"/>
        <v>1</v>
      </c>
      <c r="AM277">
        <f t="shared" si="29"/>
        <v>1</v>
      </c>
      <c r="AN277">
        <f t="shared" si="30"/>
        <v>1</v>
      </c>
      <c r="AO277">
        <f t="shared" si="31"/>
        <v>1</v>
      </c>
      <c r="AP277">
        <f t="shared" si="32"/>
        <v>-1</v>
      </c>
      <c r="AQ277">
        <v>0</v>
      </c>
      <c r="AR277" t="s">
        <v>2</v>
      </c>
      <c r="AS277">
        <v>-1</v>
      </c>
      <c r="AT277">
        <v>-1</v>
      </c>
      <c r="AU277">
        <v>-1</v>
      </c>
      <c r="AV277">
        <v>-1</v>
      </c>
      <c r="AW277">
        <v>-1</v>
      </c>
      <c r="AX277">
        <v>-1</v>
      </c>
      <c r="AY277">
        <v>-1</v>
      </c>
      <c r="AZ277">
        <v>-1</v>
      </c>
      <c r="BA277">
        <v>-1</v>
      </c>
      <c r="BB277">
        <v>0</v>
      </c>
      <c r="BC277" t="s">
        <v>2</v>
      </c>
      <c r="BD277">
        <v>-1</v>
      </c>
      <c r="BE277">
        <v>-1</v>
      </c>
      <c r="BF277">
        <v>-1</v>
      </c>
      <c r="BG277">
        <v>-1</v>
      </c>
      <c r="BH277">
        <v>-1</v>
      </c>
      <c r="BI277">
        <v>-1</v>
      </c>
      <c r="BJ277">
        <v>-1</v>
      </c>
      <c r="BK277">
        <v>-1</v>
      </c>
      <c r="BL277">
        <v>-1</v>
      </c>
      <c r="BM277">
        <v>-1</v>
      </c>
      <c r="BN277">
        <v>-1</v>
      </c>
      <c r="BO277">
        <v>-1</v>
      </c>
    </row>
    <row r="278" spans="1:67" x14ac:dyDescent="0.25">
      <c r="A278">
        <v>275</v>
      </c>
      <c r="B278">
        <v>50005</v>
      </c>
      <c r="C278" t="str">
        <f>VLOOKUP(B278,[1]resources!$A$2:$D$300,3,FALSE)</f>
        <v>!!SHAKE_STRAWBERRY_RIPTIDE</v>
      </c>
      <c r="D278">
        <v>18</v>
      </c>
      <c r="E278" t="str">
        <f>VLOOKUP(D278,[1]bonus_paytable!$A$2:$D$300,3,FALSE)</f>
        <v>bottomite_orange_male_anchovy_2</v>
      </c>
      <c r="F278">
        <v>-1</v>
      </c>
      <c r="G278">
        <v>-1</v>
      </c>
      <c r="H278">
        <v>1</v>
      </c>
      <c r="I278" t="s">
        <v>1</v>
      </c>
      <c r="J278">
        <v>50002</v>
      </c>
      <c r="K278">
        <v>80001</v>
      </c>
      <c r="L278">
        <v>40002</v>
      </c>
      <c r="M278">
        <v>50006</v>
      </c>
      <c r="N278">
        <v>60004</v>
      </c>
      <c r="O278">
        <v>40</v>
      </c>
      <c r="P278">
        <v>30011</v>
      </c>
      <c r="Q278">
        <v>40007</v>
      </c>
      <c r="R278">
        <v>70002</v>
      </c>
      <c r="S278">
        <v>50003</v>
      </c>
      <c r="T278">
        <v>-1</v>
      </c>
      <c r="U278" s="2">
        <v>0.01</v>
      </c>
      <c r="V278" s="2">
        <v>0.03</v>
      </c>
      <c r="W278" s="2">
        <v>0.03</v>
      </c>
      <c r="X278" s="2">
        <v>0.03</v>
      </c>
      <c r="Y278" s="2">
        <v>0.03</v>
      </c>
      <c r="Z278" s="2">
        <v>0.05</v>
      </c>
      <c r="AA278" s="2">
        <v>0.05</v>
      </c>
      <c r="AB278" s="2">
        <v>0.05</v>
      </c>
      <c r="AC278" s="2">
        <v>0.05</v>
      </c>
      <c r="AD278" s="2">
        <v>0.05</v>
      </c>
      <c r="AE278" s="2">
        <v>-1</v>
      </c>
      <c r="AF278">
        <f t="shared" si="22"/>
        <v>1</v>
      </c>
      <c r="AG278">
        <f t="shared" si="23"/>
        <v>1</v>
      </c>
      <c r="AH278">
        <f t="shared" si="24"/>
        <v>1</v>
      </c>
      <c r="AI278">
        <f t="shared" si="25"/>
        <v>1</v>
      </c>
      <c r="AJ278">
        <f t="shared" si="26"/>
        <v>1</v>
      </c>
      <c r="AK278">
        <f t="shared" si="27"/>
        <v>1</v>
      </c>
      <c r="AL278">
        <f t="shared" si="28"/>
        <v>1</v>
      </c>
      <c r="AM278">
        <f t="shared" si="29"/>
        <v>1</v>
      </c>
      <c r="AN278">
        <f t="shared" si="30"/>
        <v>1</v>
      </c>
      <c r="AO278">
        <f t="shared" si="31"/>
        <v>1</v>
      </c>
      <c r="AP278">
        <f t="shared" si="32"/>
        <v>-1</v>
      </c>
      <c r="AQ278">
        <v>0</v>
      </c>
      <c r="AR278" t="s">
        <v>2</v>
      </c>
      <c r="AS278">
        <v>-1</v>
      </c>
      <c r="AT278">
        <v>-1</v>
      </c>
      <c r="AU278">
        <v>-1</v>
      </c>
      <c r="AV278">
        <v>-1</v>
      </c>
      <c r="AW278">
        <v>-1</v>
      </c>
      <c r="AX278">
        <v>-1</v>
      </c>
      <c r="AY278">
        <v>-1</v>
      </c>
      <c r="AZ278">
        <v>-1</v>
      </c>
      <c r="BA278">
        <v>-1</v>
      </c>
      <c r="BB278">
        <v>0</v>
      </c>
      <c r="BC278" t="s">
        <v>2</v>
      </c>
      <c r="BD278">
        <v>-1</v>
      </c>
      <c r="BE278">
        <v>-1</v>
      </c>
      <c r="BF278">
        <v>-1</v>
      </c>
      <c r="BG278">
        <v>-1</v>
      </c>
      <c r="BH278">
        <v>-1</v>
      </c>
      <c r="BI278">
        <v>-1</v>
      </c>
      <c r="BJ278">
        <v>-1</v>
      </c>
      <c r="BK278">
        <v>-1</v>
      </c>
      <c r="BL278">
        <v>-1</v>
      </c>
      <c r="BM278">
        <v>-1</v>
      </c>
      <c r="BN278">
        <v>-1</v>
      </c>
      <c r="BO278">
        <v>-1</v>
      </c>
    </row>
    <row r="279" spans="1:67" x14ac:dyDescent="0.25">
      <c r="A279">
        <v>276</v>
      </c>
      <c r="B279">
        <v>60014</v>
      </c>
      <c r="C279" t="str">
        <f>VLOOKUP(B279,[1]resources!$A$2:$D$300,3,FALSE)</f>
        <v>!!BOUQUET_FLOWERCORAL_FRIENDLYFLOWER</v>
      </c>
      <c r="D279">
        <v>18</v>
      </c>
      <c r="E279" t="str">
        <f>VLOOKUP(D279,[1]bonus_paytable!$A$2:$D$300,3,FALSE)</f>
        <v>bottomite_orange_male_anchovy_2</v>
      </c>
      <c r="F279">
        <v>-1</v>
      </c>
      <c r="G279">
        <v>-1</v>
      </c>
      <c r="H279">
        <v>1</v>
      </c>
      <c r="I279" t="s">
        <v>1</v>
      </c>
      <c r="J279">
        <v>50002</v>
      </c>
      <c r="K279">
        <v>80001</v>
      </c>
      <c r="L279">
        <v>40002</v>
      </c>
      <c r="M279">
        <v>50006</v>
      </c>
      <c r="N279">
        <v>60004</v>
      </c>
      <c r="O279">
        <v>40</v>
      </c>
      <c r="P279">
        <v>30011</v>
      </c>
      <c r="Q279">
        <v>40007</v>
      </c>
      <c r="R279">
        <v>70002</v>
      </c>
      <c r="S279">
        <v>50003</v>
      </c>
      <c r="T279">
        <v>-1</v>
      </c>
      <c r="U279" s="2">
        <v>0.01</v>
      </c>
      <c r="V279" s="2">
        <v>0.03</v>
      </c>
      <c r="W279" s="2">
        <v>0.03</v>
      </c>
      <c r="X279" s="2">
        <v>0.03</v>
      </c>
      <c r="Y279" s="2">
        <v>0.03</v>
      </c>
      <c r="Z279" s="2">
        <v>0.05</v>
      </c>
      <c r="AA279" s="2">
        <v>0.05</v>
      </c>
      <c r="AB279" s="2">
        <v>0.05</v>
      </c>
      <c r="AC279" s="2">
        <v>0.05</v>
      </c>
      <c r="AD279" s="2">
        <v>0.05</v>
      </c>
      <c r="AE279" s="2">
        <v>-1</v>
      </c>
      <c r="AF279">
        <f t="shared" si="22"/>
        <v>1</v>
      </c>
      <c r="AG279">
        <f t="shared" si="23"/>
        <v>1</v>
      </c>
      <c r="AH279">
        <f t="shared" si="24"/>
        <v>1</v>
      </c>
      <c r="AI279">
        <f t="shared" si="25"/>
        <v>1</v>
      </c>
      <c r="AJ279">
        <f t="shared" si="26"/>
        <v>1</v>
      </c>
      <c r="AK279">
        <f t="shared" si="27"/>
        <v>1</v>
      </c>
      <c r="AL279">
        <f t="shared" si="28"/>
        <v>1</v>
      </c>
      <c r="AM279">
        <f t="shared" si="29"/>
        <v>1</v>
      </c>
      <c r="AN279">
        <f t="shared" si="30"/>
        <v>1</v>
      </c>
      <c r="AO279">
        <f t="shared" si="31"/>
        <v>1</v>
      </c>
      <c r="AP279">
        <f t="shared" si="32"/>
        <v>-1</v>
      </c>
      <c r="AQ279">
        <v>0</v>
      </c>
      <c r="AR279" t="s">
        <v>2</v>
      </c>
      <c r="AS279">
        <v>-1</v>
      </c>
      <c r="AT279">
        <v>-1</v>
      </c>
      <c r="AU279">
        <v>-1</v>
      </c>
      <c r="AV279">
        <v>-1</v>
      </c>
      <c r="AW279">
        <v>-1</v>
      </c>
      <c r="AX279">
        <v>-1</v>
      </c>
      <c r="AY279">
        <v>-1</v>
      </c>
      <c r="AZ279">
        <v>-1</v>
      </c>
      <c r="BA279">
        <v>-1</v>
      </c>
      <c r="BB279">
        <v>0</v>
      </c>
      <c r="BC279" t="s">
        <v>2</v>
      </c>
      <c r="BD279">
        <v>-1</v>
      </c>
      <c r="BE279">
        <v>-1</v>
      </c>
      <c r="BF279">
        <v>-1</v>
      </c>
      <c r="BG279">
        <v>-1</v>
      </c>
      <c r="BH279">
        <v>-1</v>
      </c>
      <c r="BI279">
        <v>-1</v>
      </c>
      <c r="BJ279">
        <v>-1</v>
      </c>
      <c r="BK279">
        <v>-1</v>
      </c>
      <c r="BL279">
        <v>-1</v>
      </c>
      <c r="BM279">
        <v>-1</v>
      </c>
      <c r="BN279">
        <v>-1</v>
      </c>
      <c r="BO279">
        <v>-1</v>
      </c>
    </row>
    <row r="280" spans="1:67" x14ac:dyDescent="0.25">
      <c r="A280">
        <v>277</v>
      </c>
      <c r="B280">
        <v>70009</v>
      </c>
      <c r="C280" t="str">
        <f>VLOOKUP(B280,[1]resources!$A$2:$D$300,3,FALSE)</f>
        <v>!!PERFUME_SEASHANTY</v>
      </c>
      <c r="D280">
        <v>18</v>
      </c>
      <c r="E280" t="str">
        <f>VLOOKUP(D280,[1]bonus_paytable!$A$2:$D$300,3,FALSE)</f>
        <v>bottomite_orange_male_anchovy_2</v>
      </c>
      <c r="F280">
        <v>-1</v>
      </c>
      <c r="G280">
        <v>-1</v>
      </c>
      <c r="H280">
        <v>1</v>
      </c>
      <c r="I280" t="s">
        <v>1</v>
      </c>
      <c r="J280">
        <v>50002</v>
      </c>
      <c r="K280">
        <v>80001</v>
      </c>
      <c r="L280">
        <v>40002</v>
      </c>
      <c r="M280">
        <v>50006</v>
      </c>
      <c r="N280">
        <v>60004</v>
      </c>
      <c r="O280">
        <v>40</v>
      </c>
      <c r="P280">
        <v>30011</v>
      </c>
      <c r="Q280">
        <v>40007</v>
      </c>
      <c r="R280">
        <v>70002</v>
      </c>
      <c r="S280">
        <v>50003</v>
      </c>
      <c r="T280">
        <v>-1</v>
      </c>
      <c r="U280" s="2">
        <v>0.01</v>
      </c>
      <c r="V280" s="2">
        <v>0.03</v>
      </c>
      <c r="W280" s="2">
        <v>0.03</v>
      </c>
      <c r="X280" s="2">
        <v>0.03</v>
      </c>
      <c r="Y280" s="2">
        <v>0.03</v>
      </c>
      <c r="Z280" s="2">
        <v>0.05</v>
      </c>
      <c r="AA280" s="2">
        <v>0.05</v>
      </c>
      <c r="AB280" s="2">
        <v>0.05</v>
      </c>
      <c r="AC280" s="2">
        <v>0.05</v>
      </c>
      <c r="AD280" s="2">
        <v>0.05</v>
      </c>
      <c r="AE280" s="2">
        <v>-1</v>
      </c>
      <c r="AF280">
        <f t="shared" si="22"/>
        <v>1</v>
      </c>
      <c r="AG280">
        <f t="shared" si="23"/>
        <v>1</v>
      </c>
      <c r="AH280">
        <f t="shared" si="24"/>
        <v>1</v>
      </c>
      <c r="AI280">
        <f t="shared" si="25"/>
        <v>1</v>
      </c>
      <c r="AJ280">
        <f t="shared" si="26"/>
        <v>1</v>
      </c>
      <c r="AK280">
        <f t="shared" si="27"/>
        <v>1</v>
      </c>
      <c r="AL280">
        <f t="shared" si="28"/>
        <v>1</v>
      </c>
      <c r="AM280">
        <f t="shared" si="29"/>
        <v>1</v>
      </c>
      <c r="AN280">
        <f t="shared" si="30"/>
        <v>1</v>
      </c>
      <c r="AO280">
        <f t="shared" si="31"/>
        <v>1</v>
      </c>
      <c r="AP280">
        <f t="shared" si="32"/>
        <v>-1</v>
      </c>
      <c r="AQ280">
        <v>0</v>
      </c>
      <c r="AR280" t="s">
        <v>2</v>
      </c>
      <c r="AS280">
        <v>-1</v>
      </c>
      <c r="AT280">
        <v>-1</v>
      </c>
      <c r="AU280">
        <v>-1</v>
      </c>
      <c r="AV280">
        <v>-1</v>
      </c>
      <c r="AW280">
        <v>-1</v>
      </c>
      <c r="AX280">
        <v>-1</v>
      </c>
      <c r="AY280">
        <v>-1</v>
      </c>
      <c r="AZ280">
        <v>-1</v>
      </c>
      <c r="BA280">
        <v>-1</v>
      </c>
      <c r="BB280">
        <v>0</v>
      </c>
      <c r="BC280" t="s">
        <v>2</v>
      </c>
      <c r="BD280">
        <v>-1</v>
      </c>
      <c r="BE280">
        <v>-1</v>
      </c>
      <c r="BF280">
        <v>-1</v>
      </c>
      <c r="BG280">
        <v>-1</v>
      </c>
      <c r="BH280">
        <v>-1</v>
      </c>
      <c r="BI280">
        <v>-1</v>
      </c>
      <c r="BJ280">
        <v>-1</v>
      </c>
      <c r="BK280">
        <v>-1</v>
      </c>
      <c r="BL280">
        <v>-1</v>
      </c>
      <c r="BM280">
        <v>-1</v>
      </c>
      <c r="BN280">
        <v>-1</v>
      </c>
      <c r="BO280">
        <v>-1</v>
      </c>
    </row>
    <row r="281" spans="1:67" x14ac:dyDescent="0.25">
      <c r="A281">
        <v>278</v>
      </c>
      <c r="B281">
        <v>80009</v>
      </c>
      <c r="C281" t="str">
        <f>VLOOKUP(B281,[1]resources!$A$2:$D$300,3,FALSE)</f>
        <v>!!FOOD_BAKED_MAROONEDMACAROONS</v>
      </c>
      <c r="D281">
        <v>18</v>
      </c>
      <c r="E281" t="str">
        <f>VLOOKUP(D281,[1]bonus_paytable!$A$2:$D$300,3,FALSE)</f>
        <v>bottomite_orange_male_anchovy_2</v>
      </c>
      <c r="F281">
        <v>-1</v>
      </c>
      <c r="G281">
        <v>-1</v>
      </c>
      <c r="H281">
        <v>1</v>
      </c>
      <c r="I281" t="s">
        <v>1</v>
      </c>
      <c r="J281">
        <v>50002</v>
      </c>
      <c r="K281">
        <v>80001</v>
      </c>
      <c r="L281">
        <v>40002</v>
      </c>
      <c r="M281">
        <v>50006</v>
      </c>
      <c r="N281">
        <v>60004</v>
      </c>
      <c r="O281">
        <v>40</v>
      </c>
      <c r="P281">
        <v>30011</v>
      </c>
      <c r="Q281">
        <v>40007</v>
      </c>
      <c r="R281">
        <v>70002</v>
      </c>
      <c r="S281">
        <v>50003</v>
      </c>
      <c r="T281">
        <v>-1</v>
      </c>
      <c r="U281" s="2">
        <v>0.01</v>
      </c>
      <c r="V281" s="2">
        <v>0.03</v>
      </c>
      <c r="W281" s="2">
        <v>0.03</v>
      </c>
      <c r="X281" s="2">
        <v>0.03</v>
      </c>
      <c r="Y281" s="2">
        <v>0.03</v>
      </c>
      <c r="Z281" s="2">
        <v>0.05</v>
      </c>
      <c r="AA281" s="2">
        <v>0.05</v>
      </c>
      <c r="AB281" s="2">
        <v>0.05</v>
      </c>
      <c r="AC281" s="2">
        <v>0.05</v>
      </c>
      <c r="AD281" s="2">
        <v>0.05</v>
      </c>
      <c r="AE281" s="2">
        <v>-1</v>
      </c>
      <c r="AF281">
        <f t="shared" si="22"/>
        <v>1</v>
      </c>
      <c r="AG281">
        <f t="shared" si="23"/>
        <v>1</v>
      </c>
      <c r="AH281">
        <f t="shared" si="24"/>
        <v>1</v>
      </c>
      <c r="AI281">
        <f t="shared" si="25"/>
        <v>1</v>
      </c>
      <c r="AJ281">
        <f t="shared" si="26"/>
        <v>1</v>
      </c>
      <c r="AK281">
        <f t="shared" si="27"/>
        <v>1</v>
      </c>
      <c r="AL281">
        <f t="shared" si="28"/>
        <v>1</v>
      </c>
      <c r="AM281">
        <f t="shared" si="29"/>
        <v>1</v>
      </c>
      <c r="AN281">
        <f t="shared" si="30"/>
        <v>1</v>
      </c>
      <c r="AO281">
        <f t="shared" si="31"/>
        <v>1</v>
      </c>
      <c r="AP281">
        <f t="shared" si="32"/>
        <v>-1</v>
      </c>
      <c r="AQ281">
        <v>0</v>
      </c>
      <c r="AR281" t="s">
        <v>2</v>
      </c>
      <c r="AS281">
        <v>-1</v>
      </c>
      <c r="AT281">
        <v>-1</v>
      </c>
      <c r="AU281">
        <v>-1</v>
      </c>
      <c r="AV281">
        <v>-1</v>
      </c>
      <c r="AW281">
        <v>-1</v>
      </c>
      <c r="AX281">
        <v>-1</v>
      </c>
      <c r="AY281">
        <v>-1</v>
      </c>
      <c r="AZ281">
        <v>-1</v>
      </c>
      <c r="BA281">
        <v>-1</v>
      </c>
      <c r="BB281">
        <v>0</v>
      </c>
      <c r="BC281" t="s">
        <v>2</v>
      </c>
      <c r="BD281">
        <v>-1</v>
      </c>
      <c r="BE281">
        <v>-1</v>
      </c>
      <c r="BF281">
        <v>-1</v>
      </c>
      <c r="BG281">
        <v>-1</v>
      </c>
      <c r="BH281">
        <v>-1</v>
      </c>
      <c r="BI281">
        <v>-1</v>
      </c>
      <c r="BJ281">
        <v>-1</v>
      </c>
      <c r="BK281">
        <v>-1</v>
      </c>
      <c r="BL281">
        <v>-1</v>
      </c>
      <c r="BM281">
        <v>-1</v>
      </c>
      <c r="BN281">
        <v>-1</v>
      </c>
      <c r="BO281">
        <v>-1</v>
      </c>
    </row>
    <row r="282" spans="1:67" x14ac:dyDescent="0.25">
      <c r="A282">
        <v>279</v>
      </c>
      <c r="B282">
        <v>1</v>
      </c>
      <c r="C282" t="str">
        <f>VLOOKUP(B282,[1]resources!$A$2:$D$300,3,FALSE)</f>
        <v>!!FOOD_KRABBYPATTY</v>
      </c>
      <c r="D282">
        <v>19</v>
      </c>
      <c r="E282" t="str">
        <f>VLOOKUP(D282,[1]bonus_paytable!$A$2:$D$300,3,FALSE)</f>
        <v>barnacleboy</v>
      </c>
      <c r="F282">
        <v>-1</v>
      </c>
      <c r="G282">
        <v>-1</v>
      </c>
      <c r="H282">
        <v>1</v>
      </c>
      <c r="I282" t="s">
        <v>1</v>
      </c>
      <c r="J282">
        <v>70007</v>
      </c>
      <c r="K282">
        <v>80005</v>
      </c>
      <c r="L282">
        <v>70008</v>
      </c>
      <c r="M282">
        <v>50001</v>
      </c>
      <c r="N282">
        <v>60003</v>
      </c>
      <c r="O282">
        <v>40</v>
      </c>
      <c r="P282">
        <v>30011</v>
      </c>
      <c r="Q282">
        <v>40007</v>
      </c>
      <c r="R282">
        <v>70002</v>
      </c>
      <c r="S282">
        <v>50003</v>
      </c>
      <c r="T282">
        <v>-1</v>
      </c>
      <c r="U282" s="2">
        <v>0.01</v>
      </c>
      <c r="V282" s="2">
        <v>0.03</v>
      </c>
      <c r="W282" s="2">
        <v>0.03</v>
      </c>
      <c r="X282" s="2">
        <v>0.03</v>
      </c>
      <c r="Y282" s="2">
        <v>0.03</v>
      </c>
      <c r="Z282" s="2">
        <v>0.05</v>
      </c>
      <c r="AA282" s="2">
        <v>0.05</v>
      </c>
      <c r="AB282" s="2">
        <v>0.05</v>
      </c>
      <c r="AC282" s="2">
        <v>0.05</v>
      </c>
      <c r="AD282" s="2">
        <v>0.05</v>
      </c>
      <c r="AE282" s="2">
        <v>-1</v>
      </c>
      <c r="AF282">
        <f t="shared" si="22"/>
        <v>1</v>
      </c>
      <c r="AG282">
        <f t="shared" si="23"/>
        <v>1</v>
      </c>
      <c r="AH282">
        <f t="shared" si="24"/>
        <v>1</v>
      </c>
      <c r="AI282">
        <f t="shared" si="25"/>
        <v>1</v>
      </c>
      <c r="AJ282">
        <f t="shared" si="26"/>
        <v>1</v>
      </c>
      <c r="AK282">
        <f t="shared" si="27"/>
        <v>1</v>
      </c>
      <c r="AL282">
        <f t="shared" si="28"/>
        <v>1</v>
      </c>
      <c r="AM282">
        <f t="shared" si="29"/>
        <v>1</v>
      </c>
      <c r="AN282">
        <f t="shared" si="30"/>
        <v>1</v>
      </c>
      <c r="AO282">
        <f t="shared" si="31"/>
        <v>1</v>
      </c>
      <c r="AP282">
        <f t="shared" si="32"/>
        <v>-1</v>
      </c>
      <c r="AQ282">
        <v>0</v>
      </c>
      <c r="AR282" t="s">
        <v>2</v>
      </c>
      <c r="AS282">
        <v>-1</v>
      </c>
      <c r="AT282">
        <v>-1</v>
      </c>
      <c r="AU282">
        <v>-1</v>
      </c>
      <c r="AV282">
        <v>-1</v>
      </c>
      <c r="AW282">
        <v>-1</v>
      </c>
      <c r="AX282">
        <v>-1</v>
      </c>
      <c r="AY282">
        <v>-1</v>
      </c>
      <c r="AZ282">
        <v>-1</v>
      </c>
      <c r="BA282">
        <v>-1</v>
      </c>
      <c r="BB282">
        <v>0</v>
      </c>
      <c r="BC282" t="s">
        <v>2</v>
      </c>
      <c r="BD282">
        <v>-1</v>
      </c>
      <c r="BE282">
        <v>-1</v>
      </c>
      <c r="BF282">
        <v>-1</v>
      </c>
      <c r="BG282">
        <v>-1</v>
      </c>
      <c r="BH282">
        <v>-1</v>
      </c>
      <c r="BI282">
        <v>-1</v>
      </c>
      <c r="BJ282">
        <v>-1</v>
      </c>
      <c r="BK282">
        <v>-1</v>
      </c>
      <c r="BL282">
        <v>-1</v>
      </c>
      <c r="BM282">
        <v>-1</v>
      </c>
      <c r="BN282">
        <v>-1</v>
      </c>
      <c r="BO282">
        <v>-1</v>
      </c>
    </row>
    <row r="283" spans="1:67" x14ac:dyDescent="0.25">
      <c r="A283">
        <v>280</v>
      </c>
      <c r="B283">
        <v>19</v>
      </c>
      <c r="C283" t="str">
        <f>VLOOKUP(B283,[1]resources!$A$2:$D$300,3,FALSE)</f>
        <v>!!FOOD_KELPCAKE</v>
      </c>
      <c r="D283">
        <v>19</v>
      </c>
      <c r="E283" t="str">
        <f>VLOOKUP(D283,[1]bonus_paytable!$A$2:$D$300,3,FALSE)</f>
        <v>barnacleboy</v>
      </c>
      <c r="F283">
        <v>-1</v>
      </c>
      <c r="G283">
        <v>-1</v>
      </c>
      <c r="H283">
        <v>1</v>
      </c>
      <c r="I283" t="s">
        <v>1</v>
      </c>
      <c r="J283">
        <v>70007</v>
      </c>
      <c r="K283">
        <v>80005</v>
      </c>
      <c r="L283">
        <v>70008</v>
      </c>
      <c r="M283">
        <v>50001</v>
      </c>
      <c r="N283">
        <v>60003</v>
      </c>
      <c r="O283">
        <v>40</v>
      </c>
      <c r="P283">
        <v>30011</v>
      </c>
      <c r="Q283">
        <v>40007</v>
      </c>
      <c r="R283">
        <v>70002</v>
      </c>
      <c r="S283">
        <v>50003</v>
      </c>
      <c r="T283">
        <v>-1</v>
      </c>
      <c r="U283" s="2">
        <v>0.01</v>
      </c>
      <c r="V283" s="2">
        <v>0.03</v>
      </c>
      <c r="W283" s="2">
        <v>0.03</v>
      </c>
      <c r="X283" s="2">
        <v>0.03</v>
      </c>
      <c r="Y283" s="2">
        <v>0.03</v>
      </c>
      <c r="Z283" s="2">
        <v>0.05</v>
      </c>
      <c r="AA283" s="2">
        <v>0.05</v>
      </c>
      <c r="AB283" s="2">
        <v>0.05</v>
      </c>
      <c r="AC283" s="2">
        <v>0.05</v>
      </c>
      <c r="AD283" s="2">
        <v>0.05</v>
      </c>
      <c r="AE283" s="2">
        <v>-1</v>
      </c>
      <c r="AF283">
        <f t="shared" si="22"/>
        <v>1</v>
      </c>
      <c r="AG283">
        <f t="shared" si="23"/>
        <v>1</v>
      </c>
      <c r="AH283">
        <f t="shared" si="24"/>
        <v>1</v>
      </c>
      <c r="AI283">
        <f t="shared" si="25"/>
        <v>1</v>
      </c>
      <c r="AJ283">
        <f t="shared" si="26"/>
        <v>1</v>
      </c>
      <c r="AK283">
        <f t="shared" si="27"/>
        <v>1</v>
      </c>
      <c r="AL283">
        <f t="shared" si="28"/>
        <v>1</v>
      </c>
      <c r="AM283">
        <f t="shared" si="29"/>
        <v>1</v>
      </c>
      <c r="AN283">
        <f t="shared" si="30"/>
        <v>1</v>
      </c>
      <c r="AO283">
        <f t="shared" si="31"/>
        <v>1</v>
      </c>
      <c r="AP283">
        <f t="shared" si="32"/>
        <v>-1</v>
      </c>
      <c r="AQ283">
        <v>0</v>
      </c>
      <c r="AR283" t="s">
        <v>2</v>
      </c>
      <c r="AS283">
        <v>-1</v>
      </c>
      <c r="AT283">
        <v>-1</v>
      </c>
      <c r="AU283">
        <v>-1</v>
      </c>
      <c r="AV283">
        <v>-1</v>
      </c>
      <c r="AW283">
        <v>-1</v>
      </c>
      <c r="AX283">
        <v>-1</v>
      </c>
      <c r="AY283">
        <v>-1</v>
      </c>
      <c r="AZ283">
        <v>-1</v>
      </c>
      <c r="BA283">
        <v>-1</v>
      </c>
      <c r="BB283">
        <v>0</v>
      </c>
      <c r="BC283" t="s">
        <v>2</v>
      </c>
      <c r="BD283">
        <v>-1</v>
      </c>
      <c r="BE283">
        <v>-1</v>
      </c>
      <c r="BF283">
        <v>-1</v>
      </c>
      <c r="BG283">
        <v>-1</v>
      </c>
      <c r="BH283">
        <v>-1</v>
      </c>
      <c r="BI283">
        <v>-1</v>
      </c>
      <c r="BJ283">
        <v>-1</v>
      </c>
      <c r="BK283">
        <v>-1</v>
      </c>
      <c r="BL283">
        <v>-1</v>
      </c>
      <c r="BM283">
        <v>-1</v>
      </c>
      <c r="BN283">
        <v>-1</v>
      </c>
      <c r="BO283">
        <v>-1</v>
      </c>
    </row>
    <row r="284" spans="1:67" x14ac:dyDescent="0.25">
      <c r="A284">
        <v>281</v>
      </c>
      <c r="B284">
        <v>99</v>
      </c>
      <c r="C284" t="str">
        <f>VLOOKUP(B284,[1]resources!$A$2:$D$300,3,FALSE)</f>
        <v>!!FOOD_PIPSQUEAKPATTY</v>
      </c>
      <c r="D284">
        <v>19</v>
      </c>
      <c r="E284" t="str">
        <f>VLOOKUP(D284,[1]bonus_paytable!$A$2:$D$300,3,FALSE)</f>
        <v>barnacleboy</v>
      </c>
      <c r="F284">
        <v>-1</v>
      </c>
      <c r="G284">
        <v>-1</v>
      </c>
      <c r="H284">
        <v>1</v>
      </c>
      <c r="I284" t="s">
        <v>1</v>
      </c>
      <c r="J284">
        <v>70007</v>
      </c>
      <c r="K284">
        <v>80005</v>
      </c>
      <c r="L284">
        <v>70008</v>
      </c>
      <c r="M284">
        <v>50001</v>
      </c>
      <c r="N284">
        <v>60003</v>
      </c>
      <c r="O284">
        <v>40</v>
      </c>
      <c r="P284">
        <v>30011</v>
      </c>
      <c r="Q284">
        <v>40007</v>
      </c>
      <c r="R284">
        <v>70002</v>
      </c>
      <c r="S284">
        <v>50003</v>
      </c>
      <c r="T284">
        <v>-1</v>
      </c>
      <c r="U284" s="2">
        <v>0.01</v>
      </c>
      <c r="V284" s="2">
        <v>0.03</v>
      </c>
      <c r="W284" s="2">
        <v>0.03</v>
      </c>
      <c r="X284" s="2">
        <v>0.03</v>
      </c>
      <c r="Y284" s="2">
        <v>0.03</v>
      </c>
      <c r="Z284" s="2">
        <v>0.05</v>
      </c>
      <c r="AA284" s="2">
        <v>0.05</v>
      </c>
      <c r="AB284" s="2">
        <v>0.05</v>
      </c>
      <c r="AC284" s="2">
        <v>0.05</v>
      </c>
      <c r="AD284" s="2">
        <v>0.05</v>
      </c>
      <c r="AE284" s="2">
        <v>-1</v>
      </c>
      <c r="AF284">
        <f t="shared" si="22"/>
        <v>1</v>
      </c>
      <c r="AG284">
        <f t="shared" si="23"/>
        <v>1</v>
      </c>
      <c r="AH284">
        <f t="shared" si="24"/>
        <v>1</v>
      </c>
      <c r="AI284">
        <f t="shared" si="25"/>
        <v>1</v>
      </c>
      <c r="AJ284">
        <f t="shared" si="26"/>
        <v>1</v>
      </c>
      <c r="AK284">
        <f t="shared" si="27"/>
        <v>1</v>
      </c>
      <c r="AL284">
        <f t="shared" si="28"/>
        <v>1</v>
      </c>
      <c r="AM284">
        <f t="shared" si="29"/>
        <v>1</v>
      </c>
      <c r="AN284">
        <f t="shared" si="30"/>
        <v>1</v>
      </c>
      <c r="AO284">
        <f t="shared" si="31"/>
        <v>1</v>
      </c>
      <c r="AP284">
        <f t="shared" si="32"/>
        <v>-1</v>
      </c>
      <c r="AQ284">
        <v>0</v>
      </c>
      <c r="AR284" t="s">
        <v>2</v>
      </c>
      <c r="AS284">
        <v>-1</v>
      </c>
      <c r="AT284">
        <v>-1</v>
      </c>
      <c r="AU284">
        <v>-1</v>
      </c>
      <c r="AV284">
        <v>-1</v>
      </c>
      <c r="AW284">
        <v>-1</v>
      </c>
      <c r="AX284">
        <v>-1</v>
      </c>
      <c r="AY284">
        <v>-1</v>
      </c>
      <c r="AZ284">
        <v>-1</v>
      </c>
      <c r="BA284">
        <v>-1</v>
      </c>
      <c r="BB284">
        <v>0</v>
      </c>
      <c r="BC284" t="s">
        <v>2</v>
      </c>
      <c r="BD284">
        <v>-1</v>
      </c>
      <c r="BE284">
        <v>-1</v>
      </c>
      <c r="BF284">
        <v>-1</v>
      </c>
      <c r="BG284">
        <v>-1</v>
      </c>
      <c r="BH284">
        <v>-1</v>
      </c>
      <c r="BI284">
        <v>-1</v>
      </c>
      <c r="BJ284">
        <v>-1</v>
      </c>
      <c r="BK284">
        <v>-1</v>
      </c>
      <c r="BL284">
        <v>-1</v>
      </c>
      <c r="BM284">
        <v>-1</v>
      </c>
      <c r="BN284">
        <v>-1</v>
      </c>
      <c r="BO284">
        <v>-1</v>
      </c>
    </row>
    <row r="285" spans="1:67" x14ac:dyDescent="0.25">
      <c r="A285">
        <v>282</v>
      </c>
      <c r="B285">
        <v>20002</v>
      </c>
      <c r="C285" t="str">
        <f>VLOOKUP(B285,[1]resources!$A$2:$D$300,3,FALSE)</f>
        <v>!!JUICE_LIMEADE</v>
      </c>
      <c r="D285">
        <v>19</v>
      </c>
      <c r="E285" t="str">
        <f>VLOOKUP(D285,[1]bonus_paytable!$A$2:$D$300,3,FALSE)</f>
        <v>barnacleboy</v>
      </c>
      <c r="F285">
        <v>-1</v>
      </c>
      <c r="G285">
        <v>-1</v>
      </c>
      <c r="H285">
        <v>1</v>
      </c>
      <c r="I285" t="s">
        <v>1</v>
      </c>
      <c r="J285">
        <v>70007</v>
      </c>
      <c r="K285">
        <v>80005</v>
      </c>
      <c r="L285">
        <v>70008</v>
      </c>
      <c r="M285">
        <v>50001</v>
      </c>
      <c r="N285">
        <v>60003</v>
      </c>
      <c r="O285">
        <v>40</v>
      </c>
      <c r="P285">
        <v>30011</v>
      </c>
      <c r="Q285">
        <v>40007</v>
      </c>
      <c r="R285">
        <v>70002</v>
      </c>
      <c r="S285">
        <v>50003</v>
      </c>
      <c r="T285">
        <v>-1</v>
      </c>
      <c r="U285" s="2">
        <v>0.01</v>
      </c>
      <c r="V285" s="2">
        <v>0.03</v>
      </c>
      <c r="W285" s="2">
        <v>0.03</v>
      </c>
      <c r="X285" s="2">
        <v>0.03</v>
      </c>
      <c r="Y285" s="2">
        <v>0.03</v>
      </c>
      <c r="Z285" s="2">
        <v>0.05</v>
      </c>
      <c r="AA285" s="2">
        <v>0.05</v>
      </c>
      <c r="AB285" s="2">
        <v>0.05</v>
      </c>
      <c r="AC285" s="2">
        <v>0.05</v>
      </c>
      <c r="AD285" s="2">
        <v>0.05</v>
      </c>
      <c r="AE285" s="2">
        <v>-1</v>
      </c>
      <c r="AF285">
        <f t="shared" si="22"/>
        <v>1</v>
      </c>
      <c r="AG285">
        <f t="shared" si="23"/>
        <v>1</v>
      </c>
      <c r="AH285">
        <f t="shared" si="24"/>
        <v>1</v>
      </c>
      <c r="AI285">
        <f t="shared" si="25"/>
        <v>1</v>
      </c>
      <c r="AJ285">
        <f t="shared" si="26"/>
        <v>1</v>
      </c>
      <c r="AK285">
        <f t="shared" si="27"/>
        <v>1</v>
      </c>
      <c r="AL285">
        <f t="shared" si="28"/>
        <v>1</v>
      </c>
      <c r="AM285">
        <f t="shared" si="29"/>
        <v>1</v>
      </c>
      <c r="AN285">
        <f t="shared" si="30"/>
        <v>1</v>
      </c>
      <c r="AO285">
        <f t="shared" si="31"/>
        <v>1</v>
      </c>
      <c r="AP285">
        <f t="shared" si="32"/>
        <v>-1</v>
      </c>
      <c r="AQ285">
        <v>0</v>
      </c>
      <c r="AR285" t="s">
        <v>2</v>
      </c>
      <c r="AS285">
        <v>-1</v>
      </c>
      <c r="AT285">
        <v>-1</v>
      </c>
      <c r="AU285">
        <v>-1</v>
      </c>
      <c r="AV285">
        <v>-1</v>
      </c>
      <c r="AW285">
        <v>-1</v>
      </c>
      <c r="AX285">
        <v>-1</v>
      </c>
      <c r="AY285">
        <v>-1</v>
      </c>
      <c r="AZ285">
        <v>-1</v>
      </c>
      <c r="BA285">
        <v>-1</v>
      </c>
      <c r="BB285">
        <v>0</v>
      </c>
      <c r="BC285" t="s">
        <v>2</v>
      </c>
      <c r="BD285">
        <v>-1</v>
      </c>
      <c r="BE285">
        <v>-1</v>
      </c>
      <c r="BF285">
        <v>-1</v>
      </c>
      <c r="BG285">
        <v>-1</v>
      </c>
      <c r="BH285">
        <v>-1</v>
      </c>
      <c r="BI285">
        <v>-1</v>
      </c>
      <c r="BJ285">
        <v>-1</v>
      </c>
      <c r="BK285">
        <v>-1</v>
      </c>
      <c r="BL285">
        <v>-1</v>
      </c>
      <c r="BM285">
        <v>-1</v>
      </c>
      <c r="BN285">
        <v>-1</v>
      </c>
      <c r="BO285">
        <v>-1</v>
      </c>
    </row>
    <row r="286" spans="1:67" x14ac:dyDescent="0.25">
      <c r="A286">
        <v>283</v>
      </c>
      <c r="B286">
        <v>30004</v>
      </c>
      <c r="C286" t="str">
        <f>VLOOKUP(B286,[1]resources!$A$2:$D$300,3,FALSE)</f>
        <v>!!SMOOTHIE_CITRUS_SLURVEY</v>
      </c>
      <c r="D286">
        <v>19</v>
      </c>
      <c r="E286" t="str">
        <f>VLOOKUP(D286,[1]bonus_paytable!$A$2:$D$300,3,FALSE)</f>
        <v>barnacleboy</v>
      </c>
      <c r="F286">
        <v>-1</v>
      </c>
      <c r="G286">
        <v>-1</v>
      </c>
      <c r="H286">
        <v>1</v>
      </c>
      <c r="I286" t="s">
        <v>1</v>
      </c>
      <c r="J286">
        <v>70007</v>
      </c>
      <c r="K286">
        <v>80005</v>
      </c>
      <c r="L286">
        <v>70008</v>
      </c>
      <c r="M286">
        <v>50001</v>
      </c>
      <c r="N286">
        <v>60003</v>
      </c>
      <c r="O286">
        <v>40</v>
      </c>
      <c r="P286">
        <v>30011</v>
      </c>
      <c r="Q286">
        <v>40007</v>
      </c>
      <c r="R286">
        <v>70002</v>
      </c>
      <c r="S286">
        <v>50003</v>
      </c>
      <c r="T286">
        <v>-1</v>
      </c>
      <c r="U286" s="2">
        <v>0.01</v>
      </c>
      <c r="V286" s="2">
        <v>0.03</v>
      </c>
      <c r="W286" s="2">
        <v>0.03</v>
      </c>
      <c r="X286" s="2">
        <v>0.03</v>
      </c>
      <c r="Y286" s="2">
        <v>0.03</v>
      </c>
      <c r="Z286" s="2">
        <v>0.05</v>
      </c>
      <c r="AA286" s="2">
        <v>0.05</v>
      </c>
      <c r="AB286" s="2">
        <v>0.05</v>
      </c>
      <c r="AC286" s="2">
        <v>0.05</v>
      </c>
      <c r="AD286" s="2">
        <v>0.05</v>
      </c>
      <c r="AE286" s="2">
        <v>-1</v>
      </c>
      <c r="AF286">
        <f t="shared" si="22"/>
        <v>1</v>
      </c>
      <c r="AG286">
        <f t="shared" si="23"/>
        <v>1</v>
      </c>
      <c r="AH286">
        <f t="shared" si="24"/>
        <v>1</v>
      </c>
      <c r="AI286">
        <f t="shared" si="25"/>
        <v>1</v>
      </c>
      <c r="AJ286">
        <f t="shared" si="26"/>
        <v>1</v>
      </c>
      <c r="AK286">
        <f t="shared" si="27"/>
        <v>1</v>
      </c>
      <c r="AL286">
        <f t="shared" si="28"/>
        <v>1</v>
      </c>
      <c r="AM286">
        <f t="shared" si="29"/>
        <v>1</v>
      </c>
      <c r="AN286">
        <f t="shared" si="30"/>
        <v>1</v>
      </c>
      <c r="AO286">
        <f t="shared" si="31"/>
        <v>1</v>
      </c>
      <c r="AP286">
        <f t="shared" si="32"/>
        <v>-1</v>
      </c>
      <c r="AQ286">
        <v>0</v>
      </c>
      <c r="AR286" t="s">
        <v>2</v>
      </c>
      <c r="AS286">
        <v>-1</v>
      </c>
      <c r="AT286">
        <v>-1</v>
      </c>
      <c r="AU286">
        <v>-1</v>
      </c>
      <c r="AV286">
        <v>-1</v>
      </c>
      <c r="AW286">
        <v>-1</v>
      </c>
      <c r="AX286">
        <v>-1</v>
      </c>
      <c r="AY286">
        <v>-1</v>
      </c>
      <c r="AZ286">
        <v>-1</v>
      </c>
      <c r="BA286">
        <v>-1</v>
      </c>
      <c r="BB286">
        <v>0</v>
      </c>
      <c r="BC286" t="s">
        <v>2</v>
      </c>
      <c r="BD286">
        <v>-1</v>
      </c>
      <c r="BE286">
        <v>-1</v>
      </c>
      <c r="BF286">
        <v>-1</v>
      </c>
      <c r="BG286">
        <v>-1</v>
      </c>
      <c r="BH286">
        <v>-1</v>
      </c>
      <c r="BI286">
        <v>-1</v>
      </c>
      <c r="BJ286">
        <v>-1</v>
      </c>
      <c r="BK286">
        <v>-1</v>
      </c>
      <c r="BL286">
        <v>-1</v>
      </c>
      <c r="BM286">
        <v>-1</v>
      </c>
      <c r="BN286">
        <v>-1</v>
      </c>
      <c r="BO286">
        <v>-1</v>
      </c>
    </row>
    <row r="287" spans="1:67" x14ac:dyDescent="0.25">
      <c r="A287">
        <v>284</v>
      </c>
      <c r="B287">
        <v>40002</v>
      </c>
      <c r="C287" t="str">
        <f>VLOOKUP(B287,[1]resources!$A$2:$D$300,3,FALSE)</f>
        <v>!!ICECREAM_BERRY_SCOOPS</v>
      </c>
      <c r="D287">
        <v>19</v>
      </c>
      <c r="E287" t="str">
        <f>VLOOKUP(D287,[1]bonus_paytable!$A$2:$D$300,3,FALSE)</f>
        <v>barnacleboy</v>
      </c>
      <c r="F287">
        <v>-1</v>
      </c>
      <c r="G287">
        <v>-1</v>
      </c>
      <c r="H287">
        <v>1</v>
      </c>
      <c r="I287" t="s">
        <v>1</v>
      </c>
      <c r="J287">
        <v>70007</v>
      </c>
      <c r="K287">
        <v>80005</v>
      </c>
      <c r="L287">
        <v>70008</v>
      </c>
      <c r="M287">
        <v>50001</v>
      </c>
      <c r="N287">
        <v>60003</v>
      </c>
      <c r="O287">
        <v>40</v>
      </c>
      <c r="P287">
        <v>30011</v>
      </c>
      <c r="Q287">
        <v>40007</v>
      </c>
      <c r="R287">
        <v>70002</v>
      </c>
      <c r="S287">
        <v>50003</v>
      </c>
      <c r="T287">
        <v>-1</v>
      </c>
      <c r="U287" s="2">
        <v>0.01</v>
      </c>
      <c r="V287" s="2">
        <v>0.03</v>
      </c>
      <c r="W287" s="2">
        <v>0.03</v>
      </c>
      <c r="X287" s="2">
        <v>0.03</v>
      </c>
      <c r="Y287" s="2">
        <v>0.03</v>
      </c>
      <c r="Z287" s="2">
        <v>0.05</v>
      </c>
      <c r="AA287" s="2">
        <v>0.05</v>
      </c>
      <c r="AB287" s="2">
        <v>0.05</v>
      </c>
      <c r="AC287" s="2">
        <v>0.05</v>
      </c>
      <c r="AD287" s="2">
        <v>0.05</v>
      </c>
      <c r="AE287" s="2">
        <v>-1</v>
      </c>
      <c r="AF287">
        <f t="shared" si="22"/>
        <v>1</v>
      </c>
      <c r="AG287">
        <f t="shared" si="23"/>
        <v>1</v>
      </c>
      <c r="AH287">
        <f t="shared" si="24"/>
        <v>1</v>
      </c>
      <c r="AI287">
        <f t="shared" si="25"/>
        <v>1</v>
      </c>
      <c r="AJ287">
        <f t="shared" si="26"/>
        <v>1</v>
      </c>
      <c r="AK287">
        <f t="shared" si="27"/>
        <v>1</v>
      </c>
      <c r="AL287">
        <f t="shared" si="28"/>
        <v>1</v>
      </c>
      <c r="AM287">
        <f t="shared" si="29"/>
        <v>1</v>
      </c>
      <c r="AN287">
        <f t="shared" si="30"/>
        <v>1</v>
      </c>
      <c r="AO287">
        <f t="shared" si="31"/>
        <v>1</v>
      </c>
      <c r="AP287">
        <f t="shared" si="32"/>
        <v>-1</v>
      </c>
      <c r="AQ287">
        <v>0</v>
      </c>
      <c r="AR287" t="s">
        <v>2</v>
      </c>
      <c r="AS287">
        <v>-1</v>
      </c>
      <c r="AT287">
        <v>-1</v>
      </c>
      <c r="AU287">
        <v>-1</v>
      </c>
      <c r="AV287">
        <v>-1</v>
      </c>
      <c r="AW287">
        <v>-1</v>
      </c>
      <c r="AX287">
        <v>-1</v>
      </c>
      <c r="AY287">
        <v>-1</v>
      </c>
      <c r="AZ287">
        <v>-1</v>
      </c>
      <c r="BA287">
        <v>-1</v>
      </c>
      <c r="BB287">
        <v>0</v>
      </c>
      <c r="BC287" t="s">
        <v>2</v>
      </c>
      <c r="BD287">
        <v>-1</v>
      </c>
      <c r="BE287">
        <v>-1</v>
      </c>
      <c r="BF287">
        <v>-1</v>
      </c>
      <c r="BG287">
        <v>-1</v>
      </c>
      <c r="BH287">
        <v>-1</v>
      </c>
      <c r="BI287">
        <v>-1</v>
      </c>
      <c r="BJ287">
        <v>-1</v>
      </c>
      <c r="BK287">
        <v>-1</v>
      </c>
      <c r="BL287">
        <v>-1</v>
      </c>
      <c r="BM287">
        <v>-1</v>
      </c>
      <c r="BN287">
        <v>-1</v>
      </c>
      <c r="BO287">
        <v>-1</v>
      </c>
    </row>
    <row r="288" spans="1:67" x14ac:dyDescent="0.25">
      <c r="A288">
        <v>285</v>
      </c>
      <c r="B288">
        <v>50001</v>
      </c>
      <c r="C288" t="str">
        <f>VLOOKUP(B288,[1]resources!$A$2:$D$300,3,FALSE)</f>
        <v>!!SHAKE_BERRY_BLISS</v>
      </c>
      <c r="D288">
        <v>19</v>
      </c>
      <c r="E288" t="str">
        <f>VLOOKUP(D288,[1]bonus_paytable!$A$2:$D$300,3,FALSE)</f>
        <v>barnacleboy</v>
      </c>
      <c r="F288">
        <v>-1</v>
      </c>
      <c r="G288">
        <v>-1</v>
      </c>
      <c r="H288">
        <v>1</v>
      </c>
      <c r="I288" t="s">
        <v>1</v>
      </c>
      <c r="J288">
        <v>70007</v>
      </c>
      <c r="K288">
        <v>80005</v>
      </c>
      <c r="L288">
        <v>70008</v>
      </c>
      <c r="M288">
        <v>50001</v>
      </c>
      <c r="N288">
        <v>60003</v>
      </c>
      <c r="O288">
        <v>40</v>
      </c>
      <c r="P288">
        <v>30011</v>
      </c>
      <c r="Q288">
        <v>40007</v>
      </c>
      <c r="R288">
        <v>70002</v>
      </c>
      <c r="S288">
        <v>50003</v>
      </c>
      <c r="T288">
        <v>-1</v>
      </c>
      <c r="U288" s="2">
        <v>0.01</v>
      </c>
      <c r="V288" s="2">
        <v>0.03</v>
      </c>
      <c r="W288" s="2">
        <v>0.03</v>
      </c>
      <c r="X288" s="2">
        <v>0.03</v>
      </c>
      <c r="Y288" s="2">
        <v>0.03</v>
      </c>
      <c r="Z288" s="2">
        <v>0.05</v>
      </c>
      <c r="AA288" s="2">
        <v>0.05</v>
      </c>
      <c r="AB288" s="2">
        <v>0.05</v>
      </c>
      <c r="AC288" s="2">
        <v>0.05</v>
      </c>
      <c r="AD288" s="2">
        <v>0.05</v>
      </c>
      <c r="AE288" s="2">
        <v>-1</v>
      </c>
      <c r="AF288">
        <f t="shared" si="22"/>
        <v>1</v>
      </c>
      <c r="AG288">
        <f t="shared" si="23"/>
        <v>1</v>
      </c>
      <c r="AH288">
        <f t="shared" si="24"/>
        <v>1</v>
      </c>
      <c r="AI288">
        <f t="shared" si="25"/>
        <v>1</v>
      </c>
      <c r="AJ288">
        <f t="shared" si="26"/>
        <v>1</v>
      </c>
      <c r="AK288">
        <f t="shared" si="27"/>
        <v>1</v>
      </c>
      <c r="AL288">
        <f t="shared" si="28"/>
        <v>1</v>
      </c>
      <c r="AM288">
        <f t="shared" si="29"/>
        <v>1</v>
      </c>
      <c r="AN288">
        <f t="shared" si="30"/>
        <v>1</v>
      </c>
      <c r="AO288">
        <f t="shared" si="31"/>
        <v>1</v>
      </c>
      <c r="AP288">
        <f t="shared" si="32"/>
        <v>-1</v>
      </c>
      <c r="AQ288">
        <v>0</v>
      </c>
      <c r="AR288" t="s">
        <v>2</v>
      </c>
      <c r="AS288">
        <v>-1</v>
      </c>
      <c r="AT288">
        <v>-1</v>
      </c>
      <c r="AU288">
        <v>-1</v>
      </c>
      <c r="AV288">
        <v>-1</v>
      </c>
      <c r="AW288">
        <v>-1</v>
      </c>
      <c r="AX288">
        <v>-1</v>
      </c>
      <c r="AY288">
        <v>-1</v>
      </c>
      <c r="AZ288">
        <v>-1</v>
      </c>
      <c r="BA288">
        <v>-1</v>
      </c>
      <c r="BB288">
        <v>0</v>
      </c>
      <c r="BC288" t="s">
        <v>2</v>
      </c>
      <c r="BD288">
        <v>-1</v>
      </c>
      <c r="BE288">
        <v>-1</v>
      </c>
      <c r="BF288">
        <v>-1</v>
      </c>
      <c r="BG288">
        <v>-1</v>
      </c>
      <c r="BH288">
        <v>-1</v>
      </c>
      <c r="BI288">
        <v>-1</v>
      </c>
      <c r="BJ288">
        <v>-1</v>
      </c>
      <c r="BK288">
        <v>-1</v>
      </c>
      <c r="BL288">
        <v>-1</v>
      </c>
      <c r="BM288">
        <v>-1</v>
      </c>
      <c r="BN288">
        <v>-1</v>
      </c>
      <c r="BO288">
        <v>-1</v>
      </c>
    </row>
    <row r="289" spans="1:67" x14ac:dyDescent="0.25">
      <c r="A289">
        <v>286</v>
      </c>
      <c r="B289">
        <v>60016</v>
      </c>
      <c r="C289" t="str">
        <f>VLOOKUP(B289,[1]resources!$A$2:$D$300,3,FALSE)</f>
        <v>!!BOUQUET_FLOWERCORAL_BUNCHOBRANCHES</v>
      </c>
      <c r="D289">
        <v>19</v>
      </c>
      <c r="E289" t="str">
        <f>VLOOKUP(D289,[1]bonus_paytable!$A$2:$D$300,3,FALSE)</f>
        <v>barnacleboy</v>
      </c>
      <c r="F289">
        <v>-1</v>
      </c>
      <c r="G289">
        <v>-1</v>
      </c>
      <c r="H289">
        <v>1</v>
      </c>
      <c r="I289" t="s">
        <v>1</v>
      </c>
      <c r="J289">
        <v>70007</v>
      </c>
      <c r="K289">
        <v>80005</v>
      </c>
      <c r="L289">
        <v>70008</v>
      </c>
      <c r="M289">
        <v>50001</v>
      </c>
      <c r="N289">
        <v>60003</v>
      </c>
      <c r="O289">
        <v>40</v>
      </c>
      <c r="P289">
        <v>30011</v>
      </c>
      <c r="Q289">
        <v>40007</v>
      </c>
      <c r="R289">
        <v>70002</v>
      </c>
      <c r="S289">
        <v>50003</v>
      </c>
      <c r="T289">
        <v>-1</v>
      </c>
      <c r="U289" s="2">
        <v>0.01</v>
      </c>
      <c r="V289" s="2">
        <v>0.03</v>
      </c>
      <c r="W289" s="2">
        <v>0.03</v>
      </c>
      <c r="X289" s="2">
        <v>0.03</v>
      </c>
      <c r="Y289" s="2">
        <v>0.03</v>
      </c>
      <c r="Z289" s="2">
        <v>0.05</v>
      </c>
      <c r="AA289" s="2">
        <v>0.05</v>
      </c>
      <c r="AB289" s="2">
        <v>0.05</v>
      </c>
      <c r="AC289" s="2">
        <v>0.05</v>
      </c>
      <c r="AD289" s="2">
        <v>0.05</v>
      </c>
      <c r="AE289" s="2">
        <v>-1</v>
      </c>
      <c r="AF289">
        <f t="shared" si="22"/>
        <v>1</v>
      </c>
      <c r="AG289">
        <f t="shared" si="23"/>
        <v>1</v>
      </c>
      <c r="AH289">
        <f t="shared" si="24"/>
        <v>1</v>
      </c>
      <c r="AI289">
        <f t="shared" si="25"/>
        <v>1</v>
      </c>
      <c r="AJ289">
        <f t="shared" si="26"/>
        <v>1</v>
      </c>
      <c r="AK289">
        <f t="shared" si="27"/>
        <v>1</v>
      </c>
      <c r="AL289">
        <f t="shared" si="28"/>
        <v>1</v>
      </c>
      <c r="AM289">
        <f t="shared" si="29"/>
        <v>1</v>
      </c>
      <c r="AN289">
        <f t="shared" si="30"/>
        <v>1</v>
      </c>
      <c r="AO289">
        <f t="shared" si="31"/>
        <v>1</v>
      </c>
      <c r="AP289">
        <f t="shared" si="32"/>
        <v>-1</v>
      </c>
      <c r="AQ289">
        <v>0</v>
      </c>
      <c r="AR289" t="s">
        <v>2</v>
      </c>
      <c r="AS289">
        <v>-1</v>
      </c>
      <c r="AT289">
        <v>-1</v>
      </c>
      <c r="AU289">
        <v>-1</v>
      </c>
      <c r="AV289">
        <v>-1</v>
      </c>
      <c r="AW289">
        <v>-1</v>
      </c>
      <c r="AX289">
        <v>-1</v>
      </c>
      <c r="AY289">
        <v>-1</v>
      </c>
      <c r="AZ289">
        <v>-1</v>
      </c>
      <c r="BA289">
        <v>-1</v>
      </c>
      <c r="BB289">
        <v>0</v>
      </c>
      <c r="BC289" t="s">
        <v>2</v>
      </c>
      <c r="BD289">
        <v>-1</v>
      </c>
      <c r="BE289">
        <v>-1</v>
      </c>
      <c r="BF289">
        <v>-1</v>
      </c>
      <c r="BG289">
        <v>-1</v>
      </c>
      <c r="BH289">
        <v>-1</v>
      </c>
      <c r="BI289">
        <v>-1</v>
      </c>
      <c r="BJ289">
        <v>-1</v>
      </c>
      <c r="BK289">
        <v>-1</v>
      </c>
      <c r="BL289">
        <v>-1</v>
      </c>
      <c r="BM289">
        <v>-1</v>
      </c>
      <c r="BN289">
        <v>-1</v>
      </c>
      <c r="BO289">
        <v>-1</v>
      </c>
    </row>
    <row r="290" spans="1:67" x14ac:dyDescent="0.25">
      <c r="A290">
        <v>287</v>
      </c>
      <c r="B290">
        <v>70008</v>
      </c>
      <c r="C290" t="str">
        <f>VLOOKUP(B290,[1]resources!$A$2:$D$300,3,FALSE)</f>
        <v>!!PERFUME_SCENTOSAILOR</v>
      </c>
      <c r="D290">
        <v>19</v>
      </c>
      <c r="E290" t="str">
        <f>VLOOKUP(D290,[1]bonus_paytable!$A$2:$D$300,3,FALSE)</f>
        <v>barnacleboy</v>
      </c>
      <c r="F290">
        <v>-1</v>
      </c>
      <c r="G290">
        <v>-1</v>
      </c>
      <c r="H290">
        <v>1</v>
      </c>
      <c r="I290" t="s">
        <v>1</v>
      </c>
      <c r="J290">
        <v>70007</v>
      </c>
      <c r="K290">
        <v>80005</v>
      </c>
      <c r="L290">
        <v>70008</v>
      </c>
      <c r="M290">
        <v>50001</v>
      </c>
      <c r="N290">
        <v>60003</v>
      </c>
      <c r="O290">
        <v>40</v>
      </c>
      <c r="P290">
        <v>30011</v>
      </c>
      <c r="Q290">
        <v>40007</v>
      </c>
      <c r="R290">
        <v>70002</v>
      </c>
      <c r="S290">
        <v>50003</v>
      </c>
      <c r="T290">
        <v>-1</v>
      </c>
      <c r="U290" s="2">
        <v>0.01</v>
      </c>
      <c r="V290" s="2">
        <v>0.03</v>
      </c>
      <c r="W290" s="2">
        <v>0.03</v>
      </c>
      <c r="X290" s="2">
        <v>0.03</v>
      </c>
      <c r="Y290" s="2">
        <v>0.03</v>
      </c>
      <c r="Z290" s="2">
        <v>0.05</v>
      </c>
      <c r="AA290" s="2">
        <v>0.05</v>
      </c>
      <c r="AB290" s="2">
        <v>0.05</v>
      </c>
      <c r="AC290" s="2">
        <v>0.05</v>
      </c>
      <c r="AD290" s="2">
        <v>0.05</v>
      </c>
      <c r="AE290" s="2">
        <v>-1</v>
      </c>
      <c r="AF290">
        <f t="shared" si="22"/>
        <v>1</v>
      </c>
      <c r="AG290">
        <f t="shared" si="23"/>
        <v>1</v>
      </c>
      <c r="AH290">
        <f t="shared" si="24"/>
        <v>1</v>
      </c>
      <c r="AI290">
        <f t="shared" si="25"/>
        <v>1</v>
      </c>
      <c r="AJ290">
        <f t="shared" si="26"/>
        <v>1</v>
      </c>
      <c r="AK290">
        <f t="shared" si="27"/>
        <v>1</v>
      </c>
      <c r="AL290">
        <f t="shared" si="28"/>
        <v>1</v>
      </c>
      <c r="AM290">
        <f t="shared" si="29"/>
        <v>1</v>
      </c>
      <c r="AN290">
        <f t="shared" si="30"/>
        <v>1</v>
      </c>
      <c r="AO290">
        <f t="shared" si="31"/>
        <v>1</v>
      </c>
      <c r="AP290">
        <f t="shared" si="32"/>
        <v>-1</v>
      </c>
      <c r="AQ290">
        <v>0</v>
      </c>
      <c r="AR290" t="s">
        <v>2</v>
      </c>
      <c r="AS290">
        <v>-1</v>
      </c>
      <c r="AT290">
        <v>-1</v>
      </c>
      <c r="AU290">
        <v>-1</v>
      </c>
      <c r="AV290">
        <v>-1</v>
      </c>
      <c r="AW290">
        <v>-1</v>
      </c>
      <c r="AX290">
        <v>-1</v>
      </c>
      <c r="AY290">
        <v>-1</v>
      </c>
      <c r="AZ290">
        <v>-1</v>
      </c>
      <c r="BA290">
        <v>-1</v>
      </c>
      <c r="BB290">
        <v>0</v>
      </c>
      <c r="BC290" t="s">
        <v>2</v>
      </c>
      <c r="BD290">
        <v>-1</v>
      </c>
      <c r="BE290">
        <v>-1</v>
      </c>
      <c r="BF290">
        <v>-1</v>
      </c>
      <c r="BG290">
        <v>-1</v>
      </c>
      <c r="BH290">
        <v>-1</v>
      </c>
      <c r="BI290">
        <v>-1</v>
      </c>
      <c r="BJ290">
        <v>-1</v>
      </c>
      <c r="BK290">
        <v>-1</v>
      </c>
      <c r="BL290">
        <v>-1</v>
      </c>
      <c r="BM290">
        <v>-1</v>
      </c>
      <c r="BN290">
        <v>-1</v>
      </c>
      <c r="BO290">
        <v>-1</v>
      </c>
    </row>
    <row r="291" spans="1:67" x14ac:dyDescent="0.25">
      <c r="A291">
        <v>288</v>
      </c>
      <c r="B291">
        <v>80005</v>
      </c>
      <c r="C291" t="str">
        <f>VLOOKUP(B291,[1]resources!$A$2:$D$300,3,FALSE)</f>
        <v>!!FOOD_BAKED_EVERYVILLAINISLEMONBAR</v>
      </c>
      <c r="D291">
        <v>19</v>
      </c>
      <c r="E291" t="str">
        <f>VLOOKUP(D291,[1]bonus_paytable!$A$2:$D$300,3,FALSE)</f>
        <v>barnacleboy</v>
      </c>
      <c r="F291">
        <v>-1</v>
      </c>
      <c r="G291">
        <v>-1</v>
      </c>
      <c r="H291">
        <v>1</v>
      </c>
      <c r="I291" t="s">
        <v>1</v>
      </c>
      <c r="J291">
        <v>70007</v>
      </c>
      <c r="K291">
        <v>80005</v>
      </c>
      <c r="L291">
        <v>70008</v>
      </c>
      <c r="M291">
        <v>50001</v>
      </c>
      <c r="N291">
        <v>60003</v>
      </c>
      <c r="O291">
        <v>40</v>
      </c>
      <c r="P291">
        <v>30011</v>
      </c>
      <c r="Q291">
        <v>40007</v>
      </c>
      <c r="R291">
        <v>70002</v>
      </c>
      <c r="S291">
        <v>50003</v>
      </c>
      <c r="T291">
        <v>-1</v>
      </c>
      <c r="U291" s="2">
        <v>0.01</v>
      </c>
      <c r="V291" s="2">
        <v>0.03</v>
      </c>
      <c r="W291" s="2">
        <v>0.03</v>
      </c>
      <c r="X291" s="2">
        <v>0.03</v>
      </c>
      <c r="Y291" s="2">
        <v>0.03</v>
      </c>
      <c r="Z291" s="2">
        <v>0.05</v>
      </c>
      <c r="AA291" s="2">
        <v>0.05</v>
      </c>
      <c r="AB291" s="2">
        <v>0.05</v>
      </c>
      <c r="AC291" s="2">
        <v>0.05</v>
      </c>
      <c r="AD291" s="2">
        <v>0.05</v>
      </c>
      <c r="AE291" s="2">
        <v>-1</v>
      </c>
      <c r="AF291">
        <f t="shared" si="22"/>
        <v>1</v>
      </c>
      <c r="AG291">
        <f t="shared" si="23"/>
        <v>1</v>
      </c>
      <c r="AH291">
        <f t="shared" si="24"/>
        <v>1</v>
      </c>
      <c r="AI291">
        <f t="shared" si="25"/>
        <v>1</v>
      </c>
      <c r="AJ291">
        <f t="shared" si="26"/>
        <v>1</v>
      </c>
      <c r="AK291">
        <f t="shared" si="27"/>
        <v>1</v>
      </c>
      <c r="AL291">
        <f t="shared" si="28"/>
        <v>1</v>
      </c>
      <c r="AM291">
        <f t="shared" si="29"/>
        <v>1</v>
      </c>
      <c r="AN291">
        <f t="shared" si="30"/>
        <v>1</v>
      </c>
      <c r="AO291">
        <f t="shared" si="31"/>
        <v>1</v>
      </c>
      <c r="AP291">
        <f t="shared" si="32"/>
        <v>-1</v>
      </c>
      <c r="AQ291">
        <v>0</v>
      </c>
      <c r="AR291" t="s">
        <v>2</v>
      </c>
      <c r="AS291">
        <v>-1</v>
      </c>
      <c r="AT291">
        <v>-1</v>
      </c>
      <c r="AU291">
        <v>-1</v>
      </c>
      <c r="AV291">
        <v>-1</v>
      </c>
      <c r="AW291">
        <v>-1</v>
      </c>
      <c r="AX291">
        <v>-1</v>
      </c>
      <c r="AY291">
        <v>-1</v>
      </c>
      <c r="AZ291">
        <v>-1</v>
      </c>
      <c r="BA291">
        <v>-1</v>
      </c>
      <c r="BB291">
        <v>0</v>
      </c>
      <c r="BC291" t="s">
        <v>2</v>
      </c>
      <c r="BD291">
        <v>-1</v>
      </c>
      <c r="BE291">
        <v>-1</v>
      </c>
      <c r="BF291">
        <v>-1</v>
      </c>
      <c r="BG291">
        <v>-1</v>
      </c>
      <c r="BH291">
        <v>-1</v>
      </c>
      <c r="BI291">
        <v>-1</v>
      </c>
      <c r="BJ291">
        <v>-1</v>
      </c>
      <c r="BK291">
        <v>-1</v>
      </c>
      <c r="BL291">
        <v>-1</v>
      </c>
      <c r="BM291">
        <v>-1</v>
      </c>
      <c r="BN291">
        <v>-1</v>
      </c>
      <c r="BO291">
        <v>-1</v>
      </c>
    </row>
    <row r="292" spans="1:67" x14ac:dyDescent="0.25">
      <c r="A292">
        <v>289</v>
      </c>
      <c r="B292">
        <v>22</v>
      </c>
      <c r="C292" t="str">
        <f>VLOOKUP(B292,[1]resources!$A$2:$D$300,3,FALSE)</f>
        <v>!!FOOD_SEAWEEDSALAD</v>
      </c>
      <c r="D292">
        <v>20</v>
      </c>
      <c r="E292" t="str">
        <f>VLOOKUP(D292,[1]bonus_paytable!$A$2:$D$300,3,FALSE)</f>
        <v>kevinseacucumber</v>
      </c>
      <c r="F292">
        <v>-1</v>
      </c>
      <c r="G292">
        <v>-1</v>
      </c>
      <c r="H292">
        <v>1</v>
      </c>
      <c r="I292" t="s">
        <v>1</v>
      </c>
      <c r="J292">
        <v>70007</v>
      </c>
      <c r="K292">
        <v>80009</v>
      </c>
      <c r="L292">
        <v>70008</v>
      </c>
      <c r="M292">
        <v>40008</v>
      </c>
      <c r="N292">
        <v>60003</v>
      </c>
      <c r="O292">
        <v>40007</v>
      </c>
      <c r="P292">
        <v>80003</v>
      </c>
      <c r="Q292">
        <v>-1</v>
      </c>
      <c r="R292">
        <v>-1</v>
      </c>
      <c r="S292">
        <v>-1</v>
      </c>
      <c r="T292">
        <v>-1</v>
      </c>
      <c r="U292" s="2">
        <v>0.01</v>
      </c>
      <c r="V292" s="2">
        <v>0.03</v>
      </c>
      <c r="W292" s="2">
        <v>0.03</v>
      </c>
      <c r="X292" s="2">
        <v>0.03</v>
      </c>
      <c r="Y292" s="2">
        <v>0.03</v>
      </c>
      <c r="Z292" s="2">
        <v>0.05</v>
      </c>
      <c r="AA292" s="2">
        <v>0.05</v>
      </c>
      <c r="AB292" s="2">
        <v>-1</v>
      </c>
      <c r="AC292" s="2">
        <v>-1</v>
      </c>
      <c r="AD292" s="2">
        <v>-1</v>
      </c>
      <c r="AE292" s="2">
        <v>-1</v>
      </c>
      <c r="AF292">
        <f t="shared" si="22"/>
        <v>1</v>
      </c>
      <c r="AG292">
        <f t="shared" si="23"/>
        <v>1</v>
      </c>
      <c r="AH292">
        <f t="shared" si="24"/>
        <v>1</v>
      </c>
      <c r="AI292">
        <f t="shared" si="25"/>
        <v>1</v>
      </c>
      <c r="AJ292">
        <f t="shared" si="26"/>
        <v>1</v>
      </c>
      <c r="AK292">
        <f t="shared" si="27"/>
        <v>1</v>
      </c>
      <c r="AL292">
        <f t="shared" si="28"/>
        <v>1</v>
      </c>
      <c r="AM292">
        <f t="shared" si="29"/>
        <v>-1</v>
      </c>
      <c r="AN292">
        <f t="shared" si="30"/>
        <v>-1</v>
      </c>
      <c r="AO292">
        <f t="shared" si="31"/>
        <v>-1</v>
      </c>
      <c r="AP292">
        <f t="shared" si="32"/>
        <v>-1</v>
      </c>
      <c r="AQ292">
        <v>0</v>
      </c>
      <c r="AR292" t="s">
        <v>2</v>
      </c>
      <c r="AS292">
        <v>-1</v>
      </c>
      <c r="AT292">
        <v>-1</v>
      </c>
      <c r="AU292">
        <v>-1</v>
      </c>
      <c r="AV292">
        <v>-1</v>
      </c>
      <c r="AW292">
        <v>-1</v>
      </c>
      <c r="AX292">
        <v>-1</v>
      </c>
      <c r="AY292">
        <v>-1</v>
      </c>
      <c r="AZ292">
        <v>-1</v>
      </c>
      <c r="BA292">
        <v>-1</v>
      </c>
      <c r="BB292">
        <v>0</v>
      </c>
      <c r="BC292" t="s">
        <v>2</v>
      </c>
      <c r="BD292">
        <v>-1</v>
      </c>
      <c r="BE292">
        <v>-1</v>
      </c>
      <c r="BF292">
        <v>-1</v>
      </c>
      <c r="BG292">
        <v>-1</v>
      </c>
      <c r="BH292">
        <v>-1</v>
      </c>
      <c r="BI292">
        <v>-1</v>
      </c>
      <c r="BJ292">
        <v>-1</v>
      </c>
      <c r="BK292">
        <v>-1</v>
      </c>
      <c r="BL292">
        <v>-1</v>
      </c>
      <c r="BM292">
        <v>-1</v>
      </c>
      <c r="BN292">
        <v>-1</v>
      </c>
      <c r="BO292">
        <v>-1</v>
      </c>
    </row>
    <row r="293" spans="1:67" x14ac:dyDescent="0.25">
      <c r="A293">
        <v>290</v>
      </c>
      <c r="B293">
        <v>40</v>
      </c>
      <c r="C293" t="str">
        <f>VLOOKUP(B293,[1]resources!$A$2:$D$300,3,FALSE)</f>
        <v>!!FOOD_VEGGIEPATTY</v>
      </c>
      <c r="D293">
        <v>20</v>
      </c>
      <c r="E293" t="str">
        <f>VLOOKUP(D293,[1]bonus_paytable!$A$2:$D$300,3,FALSE)</f>
        <v>kevinseacucumber</v>
      </c>
      <c r="F293">
        <v>-1</v>
      </c>
      <c r="G293">
        <v>-1</v>
      </c>
      <c r="H293">
        <v>1</v>
      </c>
      <c r="I293" t="s">
        <v>1</v>
      </c>
      <c r="J293">
        <v>70007</v>
      </c>
      <c r="K293">
        <v>80009</v>
      </c>
      <c r="L293">
        <v>70008</v>
      </c>
      <c r="M293">
        <v>40008</v>
      </c>
      <c r="N293">
        <v>60003</v>
      </c>
      <c r="O293">
        <v>40007</v>
      </c>
      <c r="P293">
        <v>80003</v>
      </c>
      <c r="Q293">
        <v>-1</v>
      </c>
      <c r="R293">
        <v>-1</v>
      </c>
      <c r="S293">
        <v>-1</v>
      </c>
      <c r="T293">
        <v>-1</v>
      </c>
      <c r="U293" s="2">
        <v>0.01</v>
      </c>
      <c r="V293" s="2">
        <v>0.03</v>
      </c>
      <c r="W293" s="2">
        <v>0.03</v>
      </c>
      <c r="X293" s="2">
        <v>0.03</v>
      </c>
      <c r="Y293" s="2">
        <v>0.03</v>
      </c>
      <c r="Z293" s="2">
        <v>0.05</v>
      </c>
      <c r="AA293" s="2">
        <v>0.05</v>
      </c>
      <c r="AB293" s="2">
        <v>-1</v>
      </c>
      <c r="AC293" s="2">
        <v>-1</v>
      </c>
      <c r="AD293" s="2">
        <v>-1</v>
      </c>
      <c r="AE293" s="2">
        <v>-1</v>
      </c>
      <c r="AF293">
        <f t="shared" si="22"/>
        <v>1</v>
      </c>
      <c r="AG293">
        <f t="shared" si="23"/>
        <v>1</v>
      </c>
      <c r="AH293">
        <f t="shared" si="24"/>
        <v>1</v>
      </c>
      <c r="AI293">
        <f t="shared" si="25"/>
        <v>1</v>
      </c>
      <c r="AJ293">
        <f t="shared" si="26"/>
        <v>1</v>
      </c>
      <c r="AK293">
        <f t="shared" si="27"/>
        <v>1</v>
      </c>
      <c r="AL293">
        <f t="shared" si="28"/>
        <v>1</v>
      </c>
      <c r="AM293">
        <f t="shared" si="29"/>
        <v>-1</v>
      </c>
      <c r="AN293">
        <f t="shared" si="30"/>
        <v>-1</v>
      </c>
      <c r="AO293">
        <f t="shared" si="31"/>
        <v>-1</v>
      </c>
      <c r="AP293">
        <f t="shared" si="32"/>
        <v>-1</v>
      </c>
      <c r="AQ293">
        <v>0</v>
      </c>
      <c r="AR293" t="s">
        <v>2</v>
      </c>
      <c r="AS293">
        <v>-1</v>
      </c>
      <c r="AT293">
        <v>-1</v>
      </c>
      <c r="AU293">
        <v>-1</v>
      </c>
      <c r="AV293">
        <v>-1</v>
      </c>
      <c r="AW293">
        <v>-1</v>
      </c>
      <c r="AX293">
        <v>-1</v>
      </c>
      <c r="AY293">
        <v>-1</v>
      </c>
      <c r="AZ293">
        <v>-1</v>
      </c>
      <c r="BA293">
        <v>-1</v>
      </c>
      <c r="BB293">
        <v>0</v>
      </c>
      <c r="BC293" t="s">
        <v>2</v>
      </c>
      <c r="BD293">
        <v>-1</v>
      </c>
      <c r="BE293">
        <v>-1</v>
      </c>
      <c r="BF293">
        <v>-1</v>
      </c>
      <c r="BG293">
        <v>-1</v>
      </c>
      <c r="BH293">
        <v>-1</v>
      </c>
      <c r="BI293">
        <v>-1</v>
      </c>
      <c r="BJ293">
        <v>-1</v>
      </c>
      <c r="BK293">
        <v>-1</v>
      </c>
      <c r="BL293">
        <v>-1</v>
      </c>
      <c r="BM293">
        <v>-1</v>
      </c>
      <c r="BN293">
        <v>-1</v>
      </c>
      <c r="BO293">
        <v>-1</v>
      </c>
    </row>
    <row r="294" spans="1:67" x14ac:dyDescent="0.25">
      <c r="A294">
        <v>291</v>
      </c>
      <c r="B294">
        <v>23</v>
      </c>
      <c r="C294" t="str">
        <f>VLOOKUP(B294,[1]resources!$A$2:$D$300,3,FALSE)</f>
        <v>!!FOOD_KELPKLT</v>
      </c>
      <c r="D294">
        <v>20</v>
      </c>
      <c r="E294" t="str">
        <f>VLOOKUP(D294,[1]bonus_paytable!$A$2:$D$300,3,FALSE)</f>
        <v>kevinseacucumber</v>
      </c>
      <c r="F294">
        <v>-1</v>
      </c>
      <c r="G294">
        <v>-1</v>
      </c>
      <c r="H294">
        <v>1</v>
      </c>
      <c r="I294" t="s">
        <v>1</v>
      </c>
      <c r="J294">
        <v>70007</v>
      </c>
      <c r="K294">
        <v>80009</v>
      </c>
      <c r="L294">
        <v>70008</v>
      </c>
      <c r="M294">
        <v>40008</v>
      </c>
      <c r="N294">
        <v>60003</v>
      </c>
      <c r="O294">
        <v>40007</v>
      </c>
      <c r="P294">
        <v>80003</v>
      </c>
      <c r="Q294">
        <v>-1</v>
      </c>
      <c r="R294">
        <v>-1</v>
      </c>
      <c r="S294">
        <v>-1</v>
      </c>
      <c r="T294">
        <v>-1</v>
      </c>
      <c r="U294" s="2">
        <v>0.01</v>
      </c>
      <c r="V294" s="2">
        <v>0.03</v>
      </c>
      <c r="W294" s="2">
        <v>0.03</v>
      </c>
      <c r="X294" s="2">
        <v>0.03</v>
      </c>
      <c r="Y294" s="2">
        <v>0.03</v>
      </c>
      <c r="Z294" s="2">
        <v>0.05</v>
      </c>
      <c r="AA294" s="2">
        <v>0.05</v>
      </c>
      <c r="AB294" s="2">
        <v>-1</v>
      </c>
      <c r="AC294" s="2">
        <v>-1</v>
      </c>
      <c r="AD294" s="2">
        <v>-1</v>
      </c>
      <c r="AE294" s="2">
        <v>-1</v>
      </c>
      <c r="AF294">
        <f t="shared" si="22"/>
        <v>1</v>
      </c>
      <c r="AG294">
        <f t="shared" si="23"/>
        <v>1</v>
      </c>
      <c r="AH294">
        <f t="shared" si="24"/>
        <v>1</v>
      </c>
      <c r="AI294">
        <f t="shared" si="25"/>
        <v>1</v>
      </c>
      <c r="AJ294">
        <f t="shared" si="26"/>
        <v>1</v>
      </c>
      <c r="AK294">
        <f t="shared" si="27"/>
        <v>1</v>
      </c>
      <c r="AL294">
        <f t="shared" si="28"/>
        <v>1</v>
      </c>
      <c r="AM294">
        <f t="shared" si="29"/>
        <v>-1</v>
      </c>
      <c r="AN294">
        <f t="shared" si="30"/>
        <v>-1</v>
      </c>
      <c r="AO294">
        <f t="shared" si="31"/>
        <v>-1</v>
      </c>
      <c r="AP294">
        <f t="shared" si="32"/>
        <v>-1</v>
      </c>
      <c r="AQ294">
        <v>0</v>
      </c>
      <c r="AR294" t="s">
        <v>2</v>
      </c>
      <c r="AS294">
        <v>-1</v>
      </c>
      <c r="AT294">
        <v>-1</v>
      </c>
      <c r="AU294">
        <v>-1</v>
      </c>
      <c r="AV294">
        <v>-1</v>
      </c>
      <c r="AW294">
        <v>-1</v>
      </c>
      <c r="AX294">
        <v>-1</v>
      </c>
      <c r="AY294">
        <v>-1</v>
      </c>
      <c r="AZ294">
        <v>-1</v>
      </c>
      <c r="BA294">
        <v>-1</v>
      </c>
      <c r="BB294">
        <v>0</v>
      </c>
      <c r="BC294" t="s">
        <v>2</v>
      </c>
      <c r="BD294">
        <v>-1</v>
      </c>
      <c r="BE294">
        <v>-1</v>
      </c>
      <c r="BF294">
        <v>-1</v>
      </c>
      <c r="BG294">
        <v>-1</v>
      </c>
      <c r="BH294">
        <v>-1</v>
      </c>
      <c r="BI294">
        <v>-1</v>
      </c>
      <c r="BJ294">
        <v>-1</v>
      </c>
      <c r="BK294">
        <v>-1</v>
      </c>
      <c r="BL294">
        <v>-1</v>
      </c>
      <c r="BM294">
        <v>-1</v>
      </c>
      <c r="BN294">
        <v>-1</v>
      </c>
      <c r="BO294">
        <v>-1</v>
      </c>
    </row>
    <row r="295" spans="1:67" x14ac:dyDescent="0.25">
      <c r="A295">
        <v>292</v>
      </c>
      <c r="B295">
        <v>20004</v>
      </c>
      <c r="C295" t="str">
        <f>VLOOKUP(B295,[1]resources!$A$2:$D$300,3,FALSE)</f>
        <v>!!JUICE_PEACHNECTAR</v>
      </c>
      <c r="D295">
        <v>20</v>
      </c>
      <c r="E295" t="str">
        <f>VLOOKUP(D295,[1]bonus_paytable!$A$2:$D$300,3,FALSE)</f>
        <v>kevinseacucumber</v>
      </c>
      <c r="F295">
        <v>-1</v>
      </c>
      <c r="G295">
        <v>-1</v>
      </c>
      <c r="H295">
        <v>1</v>
      </c>
      <c r="I295" t="s">
        <v>1</v>
      </c>
      <c r="J295">
        <v>70007</v>
      </c>
      <c r="K295">
        <v>80009</v>
      </c>
      <c r="L295">
        <v>70008</v>
      </c>
      <c r="M295">
        <v>40008</v>
      </c>
      <c r="N295">
        <v>60003</v>
      </c>
      <c r="O295">
        <v>40007</v>
      </c>
      <c r="P295">
        <v>80003</v>
      </c>
      <c r="Q295">
        <v>-1</v>
      </c>
      <c r="R295">
        <v>-1</v>
      </c>
      <c r="S295">
        <v>-1</v>
      </c>
      <c r="T295">
        <v>-1</v>
      </c>
      <c r="U295" s="2">
        <v>0.01</v>
      </c>
      <c r="V295" s="2">
        <v>0.03</v>
      </c>
      <c r="W295" s="2">
        <v>0.03</v>
      </c>
      <c r="X295" s="2">
        <v>0.03</v>
      </c>
      <c r="Y295" s="2">
        <v>0.03</v>
      </c>
      <c r="Z295" s="2">
        <v>0.05</v>
      </c>
      <c r="AA295" s="2">
        <v>0.05</v>
      </c>
      <c r="AB295" s="2">
        <v>-1</v>
      </c>
      <c r="AC295" s="2">
        <v>-1</v>
      </c>
      <c r="AD295" s="2">
        <v>-1</v>
      </c>
      <c r="AE295" s="2">
        <v>-1</v>
      </c>
      <c r="AF295">
        <f t="shared" si="22"/>
        <v>1</v>
      </c>
      <c r="AG295">
        <f t="shared" si="23"/>
        <v>1</v>
      </c>
      <c r="AH295">
        <f t="shared" si="24"/>
        <v>1</v>
      </c>
      <c r="AI295">
        <f t="shared" si="25"/>
        <v>1</v>
      </c>
      <c r="AJ295">
        <f t="shared" si="26"/>
        <v>1</v>
      </c>
      <c r="AK295">
        <f t="shared" si="27"/>
        <v>1</v>
      </c>
      <c r="AL295">
        <f t="shared" si="28"/>
        <v>1</v>
      </c>
      <c r="AM295">
        <f t="shared" si="29"/>
        <v>-1</v>
      </c>
      <c r="AN295">
        <f t="shared" si="30"/>
        <v>-1</v>
      </c>
      <c r="AO295">
        <f t="shared" si="31"/>
        <v>-1</v>
      </c>
      <c r="AP295">
        <f t="shared" si="32"/>
        <v>-1</v>
      </c>
      <c r="AQ295">
        <v>0</v>
      </c>
      <c r="AR295" t="s">
        <v>2</v>
      </c>
      <c r="AS295">
        <v>-1</v>
      </c>
      <c r="AT295">
        <v>-1</v>
      </c>
      <c r="AU295">
        <v>-1</v>
      </c>
      <c r="AV295">
        <v>-1</v>
      </c>
      <c r="AW295">
        <v>-1</v>
      </c>
      <c r="AX295">
        <v>-1</v>
      </c>
      <c r="AY295">
        <v>-1</v>
      </c>
      <c r="AZ295">
        <v>-1</v>
      </c>
      <c r="BA295">
        <v>-1</v>
      </c>
      <c r="BB295">
        <v>0</v>
      </c>
      <c r="BC295" t="s">
        <v>2</v>
      </c>
      <c r="BD295">
        <v>-1</v>
      </c>
      <c r="BE295">
        <v>-1</v>
      </c>
      <c r="BF295">
        <v>-1</v>
      </c>
      <c r="BG295">
        <v>-1</v>
      </c>
      <c r="BH295">
        <v>-1</v>
      </c>
      <c r="BI295">
        <v>-1</v>
      </c>
      <c r="BJ295">
        <v>-1</v>
      </c>
      <c r="BK295">
        <v>-1</v>
      </c>
      <c r="BL295">
        <v>-1</v>
      </c>
      <c r="BM295">
        <v>-1</v>
      </c>
      <c r="BN295">
        <v>-1</v>
      </c>
      <c r="BO295">
        <v>-1</v>
      </c>
    </row>
    <row r="296" spans="1:67" x14ac:dyDescent="0.25">
      <c r="A296">
        <v>293</v>
      </c>
      <c r="B296">
        <v>30000</v>
      </c>
      <c r="C296" t="str">
        <f>VLOOKUP(B296,[1]resources!$A$2:$D$300,3,FALSE)</f>
        <v>!!SMOOTHIE_BANANA_BREAKER</v>
      </c>
      <c r="D296">
        <v>20</v>
      </c>
      <c r="E296" t="str">
        <f>VLOOKUP(D296,[1]bonus_paytable!$A$2:$D$300,3,FALSE)</f>
        <v>kevinseacucumber</v>
      </c>
      <c r="F296">
        <v>-1</v>
      </c>
      <c r="G296">
        <v>-1</v>
      </c>
      <c r="H296">
        <v>1</v>
      </c>
      <c r="I296" t="s">
        <v>1</v>
      </c>
      <c r="J296">
        <v>70007</v>
      </c>
      <c r="K296">
        <v>80009</v>
      </c>
      <c r="L296">
        <v>70008</v>
      </c>
      <c r="M296">
        <v>40008</v>
      </c>
      <c r="N296">
        <v>60003</v>
      </c>
      <c r="O296">
        <v>40007</v>
      </c>
      <c r="P296">
        <v>80003</v>
      </c>
      <c r="Q296">
        <v>-1</v>
      </c>
      <c r="R296">
        <v>-1</v>
      </c>
      <c r="S296">
        <v>-1</v>
      </c>
      <c r="T296">
        <v>-1</v>
      </c>
      <c r="U296" s="2">
        <v>0.01</v>
      </c>
      <c r="V296" s="2">
        <v>0.03</v>
      </c>
      <c r="W296" s="2">
        <v>0.03</v>
      </c>
      <c r="X296" s="2">
        <v>0.03</v>
      </c>
      <c r="Y296" s="2">
        <v>0.03</v>
      </c>
      <c r="Z296" s="2">
        <v>0.05</v>
      </c>
      <c r="AA296" s="2">
        <v>0.05</v>
      </c>
      <c r="AB296" s="2">
        <v>-1</v>
      </c>
      <c r="AC296" s="2">
        <v>-1</v>
      </c>
      <c r="AD296" s="2">
        <v>-1</v>
      </c>
      <c r="AE296" s="2">
        <v>-1</v>
      </c>
      <c r="AF296">
        <f t="shared" si="22"/>
        <v>1</v>
      </c>
      <c r="AG296">
        <f t="shared" si="23"/>
        <v>1</v>
      </c>
      <c r="AH296">
        <f t="shared" si="24"/>
        <v>1</v>
      </c>
      <c r="AI296">
        <f t="shared" si="25"/>
        <v>1</v>
      </c>
      <c r="AJ296">
        <f t="shared" si="26"/>
        <v>1</v>
      </c>
      <c r="AK296">
        <f t="shared" si="27"/>
        <v>1</v>
      </c>
      <c r="AL296">
        <f t="shared" si="28"/>
        <v>1</v>
      </c>
      <c r="AM296">
        <f t="shared" si="29"/>
        <v>-1</v>
      </c>
      <c r="AN296">
        <f t="shared" si="30"/>
        <v>-1</v>
      </c>
      <c r="AO296">
        <f t="shared" si="31"/>
        <v>-1</v>
      </c>
      <c r="AP296">
        <f t="shared" si="32"/>
        <v>-1</v>
      </c>
      <c r="AQ296">
        <v>0</v>
      </c>
      <c r="AR296" t="s">
        <v>2</v>
      </c>
      <c r="AS296">
        <v>-1</v>
      </c>
      <c r="AT296">
        <v>-1</v>
      </c>
      <c r="AU296">
        <v>-1</v>
      </c>
      <c r="AV296">
        <v>-1</v>
      </c>
      <c r="AW296">
        <v>-1</v>
      </c>
      <c r="AX296">
        <v>-1</v>
      </c>
      <c r="AY296">
        <v>-1</v>
      </c>
      <c r="AZ296">
        <v>-1</v>
      </c>
      <c r="BA296">
        <v>-1</v>
      </c>
      <c r="BB296">
        <v>0</v>
      </c>
      <c r="BC296" t="s">
        <v>2</v>
      </c>
      <c r="BD296">
        <v>-1</v>
      </c>
      <c r="BE296">
        <v>-1</v>
      </c>
      <c r="BF296">
        <v>-1</v>
      </c>
      <c r="BG296">
        <v>-1</v>
      </c>
      <c r="BH296">
        <v>-1</v>
      </c>
      <c r="BI296">
        <v>-1</v>
      </c>
      <c r="BJ296">
        <v>-1</v>
      </c>
      <c r="BK296">
        <v>-1</v>
      </c>
      <c r="BL296">
        <v>-1</v>
      </c>
      <c r="BM296">
        <v>-1</v>
      </c>
      <c r="BN296">
        <v>-1</v>
      </c>
      <c r="BO296">
        <v>-1</v>
      </c>
    </row>
    <row r="297" spans="1:67" x14ac:dyDescent="0.25">
      <c r="A297">
        <v>294</v>
      </c>
      <c r="B297">
        <v>40005</v>
      </c>
      <c r="C297" t="str">
        <f>VLOOKUP(B297,[1]resources!$A$2:$D$300,3,FALSE)</f>
        <v>!!ICECREAM_LEMON_GELATO</v>
      </c>
      <c r="D297">
        <v>20</v>
      </c>
      <c r="E297" t="str">
        <f>VLOOKUP(D297,[1]bonus_paytable!$A$2:$D$300,3,FALSE)</f>
        <v>kevinseacucumber</v>
      </c>
      <c r="F297">
        <v>-1</v>
      </c>
      <c r="G297">
        <v>-1</v>
      </c>
      <c r="H297">
        <v>1</v>
      </c>
      <c r="I297" t="s">
        <v>1</v>
      </c>
      <c r="J297">
        <v>70007</v>
      </c>
      <c r="K297">
        <v>80009</v>
      </c>
      <c r="L297">
        <v>70008</v>
      </c>
      <c r="M297">
        <v>40008</v>
      </c>
      <c r="N297">
        <v>60003</v>
      </c>
      <c r="O297">
        <v>40007</v>
      </c>
      <c r="P297">
        <v>80003</v>
      </c>
      <c r="Q297">
        <v>-1</v>
      </c>
      <c r="R297">
        <v>-1</v>
      </c>
      <c r="S297">
        <v>-1</v>
      </c>
      <c r="T297">
        <v>-1</v>
      </c>
      <c r="U297" s="2">
        <v>0.01</v>
      </c>
      <c r="V297" s="2">
        <v>0.03</v>
      </c>
      <c r="W297" s="2">
        <v>0.03</v>
      </c>
      <c r="X297" s="2">
        <v>0.03</v>
      </c>
      <c r="Y297" s="2">
        <v>0.03</v>
      </c>
      <c r="Z297" s="2">
        <v>0.05</v>
      </c>
      <c r="AA297" s="2">
        <v>0.05</v>
      </c>
      <c r="AB297" s="2">
        <v>-1</v>
      </c>
      <c r="AC297" s="2">
        <v>-1</v>
      </c>
      <c r="AD297" s="2">
        <v>-1</v>
      </c>
      <c r="AE297" s="2">
        <v>-1</v>
      </c>
      <c r="AF297">
        <f t="shared" si="22"/>
        <v>1</v>
      </c>
      <c r="AG297">
        <f t="shared" si="23"/>
        <v>1</v>
      </c>
      <c r="AH297">
        <f t="shared" si="24"/>
        <v>1</v>
      </c>
      <c r="AI297">
        <f t="shared" si="25"/>
        <v>1</v>
      </c>
      <c r="AJ297">
        <f t="shared" si="26"/>
        <v>1</v>
      </c>
      <c r="AK297">
        <f t="shared" si="27"/>
        <v>1</v>
      </c>
      <c r="AL297">
        <f t="shared" si="28"/>
        <v>1</v>
      </c>
      <c r="AM297">
        <f t="shared" si="29"/>
        <v>-1</v>
      </c>
      <c r="AN297">
        <f t="shared" si="30"/>
        <v>-1</v>
      </c>
      <c r="AO297">
        <f t="shared" si="31"/>
        <v>-1</v>
      </c>
      <c r="AP297">
        <f t="shared" si="32"/>
        <v>-1</v>
      </c>
      <c r="AQ297">
        <v>0</v>
      </c>
      <c r="AR297" t="s">
        <v>2</v>
      </c>
      <c r="AS297">
        <v>-1</v>
      </c>
      <c r="AT297">
        <v>-1</v>
      </c>
      <c r="AU297">
        <v>-1</v>
      </c>
      <c r="AV297">
        <v>-1</v>
      </c>
      <c r="AW297">
        <v>-1</v>
      </c>
      <c r="AX297">
        <v>-1</v>
      </c>
      <c r="AY297">
        <v>-1</v>
      </c>
      <c r="AZ297">
        <v>-1</v>
      </c>
      <c r="BA297">
        <v>-1</v>
      </c>
      <c r="BB297">
        <v>0</v>
      </c>
      <c r="BC297" t="s">
        <v>2</v>
      </c>
      <c r="BD297">
        <v>-1</v>
      </c>
      <c r="BE297">
        <v>-1</v>
      </c>
      <c r="BF297">
        <v>-1</v>
      </c>
      <c r="BG297">
        <v>-1</v>
      </c>
      <c r="BH297">
        <v>-1</v>
      </c>
      <c r="BI297">
        <v>-1</v>
      </c>
      <c r="BJ297">
        <v>-1</v>
      </c>
      <c r="BK297">
        <v>-1</v>
      </c>
      <c r="BL297">
        <v>-1</v>
      </c>
      <c r="BM297">
        <v>-1</v>
      </c>
      <c r="BN297">
        <v>-1</v>
      </c>
      <c r="BO297">
        <v>-1</v>
      </c>
    </row>
    <row r="298" spans="1:67" x14ac:dyDescent="0.25">
      <c r="A298">
        <v>295</v>
      </c>
      <c r="B298">
        <v>50006</v>
      </c>
      <c r="C298" t="str">
        <f>VLOOKUP(B298,[1]resources!$A$2:$D$300,3,FALSE)</f>
        <v>!!SHAKE_TARTBERRY_TWIST</v>
      </c>
      <c r="D298">
        <v>20</v>
      </c>
      <c r="E298" t="str">
        <f>VLOOKUP(D298,[1]bonus_paytable!$A$2:$D$300,3,FALSE)</f>
        <v>kevinseacucumber</v>
      </c>
      <c r="F298">
        <v>-1</v>
      </c>
      <c r="G298">
        <v>-1</v>
      </c>
      <c r="H298">
        <v>1</v>
      </c>
      <c r="I298" t="s">
        <v>1</v>
      </c>
      <c r="J298">
        <v>70007</v>
      </c>
      <c r="K298">
        <v>80009</v>
      </c>
      <c r="L298">
        <v>70008</v>
      </c>
      <c r="M298">
        <v>40008</v>
      </c>
      <c r="N298">
        <v>60003</v>
      </c>
      <c r="O298">
        <v>40007</v>
      </c>
      <c r="P298">
        <v>80003</v>
      </c>
      <c r="Q298">
        <v>-1</v>
      </c>
      <c r="R298">
        <v>-1</v>
      </c>
      <c r="S298">
        <v>-1</v>
      </c>
      <c r="T298">
        <v>-1</v>
      </c>
      <c r="U298" s="2">
        <v>0.01</v>
      </c>
      <c r="V298" s="2">
        <v>0.03</v>
      </c>
      <c r="W298" s="2">
        <v>0.03</v>
      </c>
      <c r="X298" s="2">
        <v>0.03</v>
      </c>
      <c r="Y298" s="2">
        <v>0.03</v>
      </c>
      <c r="Z298" s="2">
        <v>0.05</v>
      </c>
      <c r="AA298" s="2">
        <v>0.05</v>
      </c>
      <c r="AB298" s="2">
        <v>-1</v>
      </c>
      <c r="AC298" s="2">
        <v>-1</v>
      </c>
      <c r="AD298" s="2">
        <v>-1</v>
      </c>
      <c r="AE298" s="2">
        <v>-1</v>
      </c>
      <c r="AF298">
        <f t="shared" si="22"/>
        <v>1</v>
      </c>
      <c r="AG298">
        <f t="shared" si="23"/>
        <v>1</v>
      </c>
      <c r="AH298">
        <f t="shared" si="24"/>
        <v>1</v>
      </c>
      <c r="AI298">
        <f t="shared" si="25"/>
        <v>1</v>
      </c>
      <c r="AJ298">
        <f t="shared" si="26"/>
        <v>1</v>
      </c>
      <c r="AK298">
        <f t="shared" si="27"/>
        <v>1</v>
      </c>
      <c r="AL298">
        <f t="shared" si="28"/>
        <v>1</v>
      </c>
      <c r="AM298">
        <f t="shared" si="29"/>
        <v>-1</v>
      </c>
      <c r="AN298">
        <f t="shared" si="30"/>
        <v>-1</v>
      </c>
      <c r="AO298">
        <f t="shared" si="31"/>
        <v>-1</v>
      </c>
      <c r="AP298">
        <f t="shared" si="32"/>
        <v>-1</v>
      </c>
      <c r="AQ298">
        <v>0</v>
      </c>
      <c r="AR298" t="s">
        <v>2</v>
      </c>
      <c r="AS298">
        <v>-1</v>
      </c>
      <c r="AT298">
        <v>-1</v>
      </c>
      <c r="AU298">
        <v>-1</v>
      </c>
      <c r="AV298">
        <v>-1</v>
      </c>
      <c r="AW298">
        <v>-1</v>
      </c>
      <c r="AX298">
        <v>-1</v>
      </c>
      <c r="AY298">
        <v>-1</v>
      </c>
      <c r="AZ298">
        <v>-1</v>
      </c>
      <c r="BA298">
        <v>-1</v>
      </c>
      <c r="BB298">
        <v>0</v>
      </c>
      <c r="BC298" t="s">
        <v>2</v>
      </c>
      <c r="BD298">
        <v>-1</v>
      </c>
      <c r="BE298">
        <v>-1</v>
      </c>
      <c r="BF298">
        <v>-1</v>
      </c>
      <c r="BG298">
        <v>-1</v>
      </c>
      <c r="BH298">
        <v>-1</v>
      </c>
      <c r="BI298">
        <v>-1</v>
      </c>
      <c r="BJ298">
        <v>-1</v>
      </c>
      <c r="BK298">
        <v>-1</v>
      </c>
      <c r="BL298">
        <v>-1</v>
      </c>
      <c r="BM298">
        <v>-1</v>
      </c>
      <c r="BN298">
        <v>-1</v>
      </c>
      <c r="BO298">
        <v>-1</v>
      </c>
    </row>
    <row r="299" spans="1:67" x14ac:dyDescent="0.25">
      <c r="A299">
        <v>296</v>
      </c>
      <c r="B299">
        <v>60015</v>
      </c>
      <c r="C299" t="str">
        <f>VLOOKUP(B299,[1]resources!$A$2:$D$300,3,FALSE)</f>
        <v>!!BOUQUET_FLOWERCORAL_CUPN2FLOWERS</v>
      </c>
      <c r="D299">
        <v>20</v>
      </c>
      <c r="E299" t="str">
        <f>VLOOKUP(D299,[1]bonus_paytable!$A$2:$D$300,3,FALSE)</f>
        <v>kevinseacucumber</v>
      </c>
      <c r="F299">
        <v>-1</v>
      </c>
      <c r="G299">
        <v>-1</v>
      </c>
      <c r="H299">
        <v>1</v>
      </c>
      <c r="I299" t="s">
        <v>1</v>
      </c>
      <c r="J299">
        <v>70007</v>
      </c>
      <c r="K299">
        <v>80009</v>
      </c>
      <c r="L299">
        <v>70008</v>
      </c>
      <c r="M299">
        <v>40008</v>
      </c>
      <c r="N299">
        <v>60003</v>
      </c>
      <c r="O299">
        <v>40007</v>
      </c>
      <c r="P299">
        <v>80003</v>
      </c>
      <c r="Q299">
        <v>-1</v>
      </c>
      <c r="R299">
        <v>-1</v>
      </c>
      <c r="S299">
        <v>-1</v>
      </c>
      <c r="T299">
        <v>-1</v>
      </c>
      <c r="U299" s="2">
        <v>0.01</v>
      </c>
      <c r="V299" s="2">
        <v>0.03</v>
      </c>
      <c r="W299" s="2">
        <v>0.03</v>
      </c>
      <c r="X299" s="2">
        <v>0.03</v>
      </c>
      <c r="Y299" s="2">
        <v>0.03</v>
      </c>
      <c r="Z299" s="2">
        <v>0.05</v>
      </c>
      <c r="AA299" s="2">
        <v>0.05</v>
      </c>
      <c r="AB299" s="2">
        <v>-1</v>
      </c>
      <c r="AC299" s="2">
        <v>-1</v>
      </c>
      <c r="AD299" s="2">
        <v>-1</v>
      </c>
      <c r="AE299" s="2">
        <v>-1</v>
      </c>
      <c r="AF299">
        <f t="shared" ref="AF299:AF321" si="33">IF(J299&gt;-1,1,-1)</f>
        <v>1</v>
      </c>
      <c r="AG299">
        <f t="shared" ref="AG299:AG321" si="34">IF(K299&gt;-1,1,-1)</f>
        <v>1</v>
      </c>
      <c r="AH299">
        <f t="shared" ref="AH299:AH321" si="35">IF(L299&gt;-1,1,-1)</f>
        <v>1</v>
      </c>
      <c r="AI299">
        <f t="shared" ref="AI299:AI321" si="36">IF(M299&gt;-1,1,-1)</f>
        <v>1</v>
      </c>
      <c r="AJ299">
        <f t="shared" ref="AJ299:AJ321" si="37">IF(N299&gt;-1,1,-1)</f>
        <v>1</v>
      </c>
      <c r="AK299">
        <f t="shared" ref="AK299:AK321" si="38">IF(O299&gt;-1,1,-1)</f>
        <v>1</v>
      </c>
      <c r="AL299">
        <f t="shared" ref="AL299:AL321" si="39">IF(P299&gt;-1,1,-1)</f>
        <v>1</v>
      </c>
      <c r="AM299">
        <f t="shared" ref="AM299:AM321" si="40">IF(Q299&gt;-1,1,-1)</f>
        <v>-1</v>
      </c>
      <c r="AN299">
        <f t="shared" ref="AN299:AN321" si="41">IF(R299&gt;-1,1,-1)</f>
        <v>-1</v>
      </c>
      <c r="AO299">
        <f t="shared" ref="AO299:AO321" si="42">IF(S299&gt;-1,1,-1)</f>
        <v>-1</v>
      </c>
      <c r="AP299">
        <f t="shared" ref="AP299:AP321" si="43">IF(T299&gt;-1,1,-1)</f>
        <v>-1</v>
      </c>
      <c r="AQ299">
        <v>0</v>
      </c>
      <c r="AR299" t="s">
        <v>2</v>
      </c>
      <c r="AS299">
        <v>-1</v>
      </c>
      <c r="AT299">
        <v>-1</v>
      </c>
      <c r="AU299">
        <v>-1</v>
      </c>
      <c r="AV299">
        <v>-1</v>
      </c>
      <c r="AW299">
        <v>-1</v>
      </c>
      <c r="AX299">
        <v>-1</v>
      </c>
      <c r="AY299">
        <v>-1</v>
      </c>
      <c r="AZ299">
        <v>-1</v>
      </c>
      <c r="BA299">
        <v>-1</v>
      </c>
      <c r="BB299">
        <v>0</v>
      </c>
      <c r="BC299" t="s">
        <v>2</v>
      </c>
      <c r="BD299">
        <v>-1</v>
      </c>
      <c r="BE299">
        <v>-1</v>
      </c>
      <c r="BF299">
        <v>-1</v>
      </c>
      <c r="BG299">
        <v>-1</v>
      </c>
      <c r="BH299">
        <v>-1</v>
      </c>
      <c r="BI299">
        <v>-1</v>
      </c>
      <c r="BJ299">
        <v>-1</v>
      </c>
      <c r="BK299">
        <v>-1</v>
      </c>
      <c r="BL299">
        <v>-1</v>
      </c>
      <c r="BM299">
        <v>-1</v>
      </c>
      <c r="BN299">
        <v>-1</v>
      </c>
      <c r="BO299">
        <v>-1</v>
      </c>
    </row>
    <row r="300" spans="1:67" x14ac:dyDescent="0.25">
      <c r="A300">
        <v>297</v>
      </c>
      <c r="B300">
        <v>70002</v>
      </c>
      <c r="C300" t="str">
        <f>VLOOKUP(B300,[1]resources!$A$2:$D$300,3,FALSE)</f>
        <v>!!PERFUME_CAPSIZEFORHIM</v>
      </c>
      <c r="D300">
        <v>20</v>
      </c>
      <c r="E300" t="str">
        <f>VLOOKUP(D300,[1]bonus_paytable!$A$2:$D$300,3,FALSE)</f>
        <v>kevinseacucumber</v>
      </c>
      <c r="F300">
        <v>-1</v>
      </c>
      <c r="G300">
        <v>-1</v>
      </c>
      <c r="H300">
        <v>1</v>
      </c>
      <c r="I300" t="s">
        <v>1</v>
      </c>
      <c r="J300">
        <v>70007</v>
      </c>
      <c r="K300">
        <v>80009</v>
      </c>
      <c r="L300">
        <v>70008</v>
      </c>
      <c r="M300">
        <v>40008</v>
      </c>
      <c r="N300">
        <v>60003</v>
      </c>
      <c r="O300">
        <v>40007</v>
      </c>
      <c r="P300">
        <v>80003</v>
      </c>
      <c r="Q300">
        <v>-1</v>
      </c>
      <c r="R300">
        <v>-1</v>
      </c>
      <c r="S300">
        <v>-1</v>
      </c>
      <c r="T300">
        <v>-1</v>
      </c>
      <c r="U300" s="2">
        <v>0.01</v>
      </c>
      <c r="V300" s="2">
        <v>0.03</v>
      </c>
      <c r="W300" s="2">
        <v>0.03</v>
      </c>
      <c r="X300" s="2">
        <v>0.03</v>
      </c>
      <c r="Y300" s="2">
        <v>0.03</v>
      </c>
      <c r="Z300" s="2">
        <v>0.05</v>
      </c>
      <c r="AA300" s="2">
        <v>0.05</v>
      </c>
      <c r="AB300" s="2">
        <v>-1</v>
      </c>
      <c r="AC300" s="2">
        <v>-1</v>
      </c>
      <c r="AD300" s="2">
        <v>-1</v>
      </c>
      <c r="AE300" s="2">
        <v>-1</v>
      </c>
      <c r="AF300">
        <f t="shared" si="33"/>
        <v>1</v>
      </c>
      <c r="AG300">
        <f t="shared" si="34"/>
        <v>1</v>
      </c>
      <c r="AH300">
        <f t="shared" si="35"/>
        <v>1</v>
      </c>
      <c r="AI300">
        <f t="shared" si="36"/>
        <v>1</v>
      </c>
      <c r="AJ300">
        <f t="shared" si="37"/>
        <v>1</v>
      </c>
      <c r="AK300">
        <f t="shared" si="38"/>
        <v>1</v>
      </c>
      <c r="AL300">
        <f t="shared" si="39"/>
        <v>1</v>
      </c>
      <c r="AM300">
        <f t="shared" si="40"/>
        <v>-1</v>
      </c>
      <c r="AN300">
        <f t="shared" si="41"/>
        <v>-1</v>
      </c>
      <c r="AO300">
        <f t="shared" si="42"/>
        <v>-1</v>
      </c>
      <c r="AP300">
        <f t="shared" si="43"/>
        <v>-1</v>
      </c>
      <c r="AQ300">
        <v>0</v>
      </c>
      <c r="AR300" t="s">
        <v>2</v>
      </c>
      <c r="AS300">
        <v>-1</v>
      </c>
      <c r="AT300">
        <v>-1</v>
      </c>
      <c r="AU300">
        <v>-1</v>
      </c>
      <c r="AV300">
        <v>-1</v>
      </c>
      <c r="AW300">
        <v>-1</v>
      </c>
      <c r="AX300">
        <v>-1</v>
      </c>
      <c r="AY300">
        <v>-1</v>
      </c>
      <c r="AZ300">
        <v>-1</v>
      </c>
      <c r="BA300">
        <v>-1</v>
      </c>
      <c r="BB300">
        <v>0</v>
      </c>
      <c r="BC300" t="s">
        <v>2</v>
      </c>
      <c r="BD300">
        <v>-1</v>
      </c>
      <c r="BE300">
        <v>-1</v>
      </c>
      <c r="BF300">
        <v>-1</v>
      </c>
      <c r="BG300">
        <v>-1</v>
      </c>
      <c r="BH300">
        <v>-1</v>
      </c>
      <c r="BI300">
        <v>-1</v>
      </c>
      <c r="BJ300">
        <v>-1</v>
      </c>
      <c r="BK300">
        <v>-1</v>
      </c>
      <c r="BL300">
        <v>-1</v>
      </c>
      <c r="BM300">
        <v>-1</v>
      </c>
      <c r="BN300">
        <v>-1</v>
      </c>
      <c r="BO300">
        <v>-1</v>
      </c>
    </row>
    <row r="301" spans="1:67" x14ac:dyDescent="0.25">
      <c r="A301">
        <v>298</v>
      </c>
      <c r="B301">
        <v>80013</v>
      </c>
      <c r="C301" t="str">
        <f>VLOOKUP(B301,[1]resources!$A$2:$D$300,3,FALSE)</f>
        <v>!!FOOD_BAKED_SEALIMEPIE</v>
      </c>
      <c r="D301">
        <v>20</v>
      </c>
      <c r="E301" t="str">
        <f>VLOOKUP(D301,[1]bonus_paytable!$A$2:$D$300,3,FALSE)</f>
        <v>kevinseacucumber</v>
      </c>
      <c r="F301">
        <v>-1</v>
      </c>
      <c r="G301">
        <v>-1</v>
      </c>
      <c r="H301">
        <v>1</v>
      </c>
      <c r="I301" t="s">
        <v>1</v>
      </c>
      <c r="J301">
        <v>70007</v>
      </c>
      <c r="K301">
        <v>80009</v>
      </c>
      <c r="L301">
        <v>70008</v>
      </c>
      <c r="M301">
        <v>40008</v>
      </c>
      <c r="N301">
        <v>60003</v>
      </c>
      <c r="O301">
        <v>40007</v>
      </c>
      <c r="P301">
        <v>80003</v>
      </c>
      <c r="Q301">
        <v>-1</v>
      </c>
      <c r="R301">
        <v>-1</v>
      </c>
      <c r="S301">
        <v>-1</v>
      </c>
      <c r="T301">
        <v>-1</v>
      </c>
      <c r="U301" s="2">
        <v>0.01</v>
      </c>
      <c r="V301" s="2">
        <v>0.03</v>
      </c>
      <c r="W301" s="2">
        <v>0.03</v>
      </c>
      <c r="X301" s="2">
        <v>0.03</v>
      </c>
      <c r="Y301" s="2">
        <v>0.03</v>
      </c>
      <c r="Z301" s="2">
        <v>0.05</v>
      </c>
      <c r="AA301" s="2">
        <v>0.05</v>
      </c>
      <c r="AB301" s="2">
        <v>-1</v>
      </c>
      <c r="AC301" s="2">
        <v>-1</v>
      </c>
      <c r="AD301" s="2">
        <v>-1</v>
      </c>
      <c r="AE301" s="2">
        <v>-1</v>
      </c>
      <c r="AF301">
        <f t="shared" si="33"/>
        <v>1</v>
      </c>
      <c r="AG301">
        <f t="shared" si="34"/>
        <v>1</v>
      </c>
      <c r="AH301">
        <f t="shared" si="35"/>
        <v>1</v>
      </c>
      <c r="AI301">
        <f t="shared" si="36"/>
        <v>1</v>
      </c>
      <c r="AJ301">
        <f t="shared" si="37"/>
        <v>1</v>
      </c>
      <c r="AK301">
        <f t="shared" si="38"/>
        <v>1</v>
      </c>
      <c r="AL301">
        <f t="shared" si="39"/>
        <v>1</v>
      </c>
      <c r="AM301">
        <f t="shared" si="40"/>
        <v>-1</v>
      </c>
      <c r="AN301">
        <f t="shared" si="41"/>
        <v>-1</v>
      </c>
      <c r="AO301">
        <f t="shared" si="42"/>
        <v>-1</v>
      </c>
      <c r="AP301">
        <f t="shared" si="43"/>
        <v>-1</v>
      </c>
      <c r="AQ301">
        <v>0</v>
      </c>
      <c r="AR301" t="s">
        <v>2</v>
      </c>
      <c r="AS301">
        <v>-1</v>
      </c>
      <c r="AT301">
        <v>-1</v>
      </c>
      <c r="AU301">
        <v>-1</v>
      </c>
      <c r="AV301">
        <v>-1</v>
      </c>
      <c r="AW301">
        <v>-1</v>
      </c>
      <c r="AX301">
        <v>-1</v>
      </c>
      <c r="AY301">
        <v>-1</v>
      </c>
      <c r="AZ301">
        <v>-1</v>
      </c>
      <c r="BA301">
        <v>-1</v>
      </c>
      <c r="BB301">
        <v>0</v>
      </c>
      <c r="BC301" t="s">
        <v>2</v>
      </c>
      <c r="BD301">
        <v>-1</v>
      </c>
      <c r="BE301">
        <v>-1</v>
      </c>
      <c r="BF301">
        <v>-1</v>
      </c>
      <c r="BG301">
        <v>-1</v>
      </c>
      <c r="BH301">
        <v>-1</v>
      </c>
      <c r="BI301">
        <v>-1</v>
      </c>
      <c r="BJ301">
        <v>-1</v>
      </c>
      <c r="BK301">
        <v>-1</v>
      </c>
      <c r="BL301">
        <v>-1</v>
      </c>
      <c r="BM301">
        <v>-1</v>
      </c>
      <c r="BN301">
        <v>-1</v>
      </c>
      <c r="BO301">
        <v>-1</v>
      </c>
    </row>
    <row r="302" spans="1:67" x14ac:dyDescent="0.25">
      <c r="A302">
        <v>299</v>
      </c>
      <c r="B302">
        <v>32</v>
      </c>
      <c r="C302" t="str">
        <f>VLOOKUP(B302,[1]resources!$A$2:$D$300,3,FALSE)</f>
        <v>!!FOOD_JELLYPATTY</v>
      </c>
      <c r="D302">
        <v>21</v>
      </c>
      <c r="E302" t="str">
        <f>VLOOKUP(D302,[1]bonus_paytable!$A$2:$D$300,3,FALSE)</f>
        <v>kingneptune</v>
      </c>
      <c r="F302">
        <v>-1</v>
      </c>
      <c r="G302">
        <v>-1</v>
      </c>
      <c r="H302">
        <v>1</v>
      </c>
      <c r="I302" t="s">
        <v>1</v>
      </c>
      <c r="J302">
        <v>80008</v>
      </c>
      <c r="K302">
        <v>80009</v>
      </c>
      <c r="L302">
        <v>70008</v>
      </c>
      <c r="M302">
        <v>60003</v>
      </c>
      <c r="N302">
        <v>70002</v>
      </c>
      <c r="O302">
        <v>80003</v>
      </c>
      <c r="P302">
        <v>-1</v>
      </c>
      <c r="Q302">
        <v>-1</v>
      </c>
      <c r="R302">
        <v>-1</v>
      </c>
      <c r="S302">
        <v>-1</v>
      </c>
      <c r="T302">
        <v>-1</v>
      </c>
      <c r="U302" s="2">
        <v>0.01</v>
      </c>
      <c r="V302" s="2">
        <v>0.03</v>
      </c>
      <c r="W302" s="2">
        <v>0.03</v>
      </c>
      <c r="X302" s="2">
        <v>0.03</v>
      </c>
      <c r="Y302" s="2">
        <v>0.05</v>
      </c>
      <c r="Z302" s="2">
        <v>0.05</v>
      </c>
      <c r="AA302" s="2">
        <v>-1</v>
      </c>
      <c r="AB302" s="2">
        <v>-1</v>
      </c>
      <c r="AC302" s="2">
        <v>-1</v>
      </c>
      <c r="AD302" s="2">
        <v>-1</v>
      </c>
      <c r="AE302" s="2">
        <v>-1</v>
      </c>
      <c r="AF302">
        <f t="shared" si="33"/>
        <v>1</v>
      </c>
      <c r="AG302">
        <f t="shared" si="34"/>
        <v>1</v>
      </c>
      <c r="AH302">
        <f t="shared" si="35"/>
        <v>1</v>
      </c>
      <c r="AI302">
        <f t="shared" si="36"/>
        <v>1</v>
      </c>
      <c r="AJ302">
        <f t="shared" si="37"/>
        <v>1</v>
      </c>
      <c r="AK302">
        <f t="shared" si="38"/>
        <v>1</v>
      </c>
      <c r="AL302">
        <f t="shared" si="39"/>
        <v>-1</v>
      </c>
      <c r="AM302">
        <f t="shared" si="40"/>
        <v>-1</v>
      </c>
      <c r="AN302">
        <f t="shared" si="41"/>
        <v>-1</v>
      </c>
      <c r="AO302">
        <f t="shared" si="42"/>
        <v>-1</v>
      </c>
      <c r="AP302">
        <f t="shared" si="43"/>
        <v>-1</v>
      </c>
      <c r="AQ302">
        <v>0</v>
      </c>
      <c r="AR302" t="s">
        <v>2</v>
      </c>
      <c r="AS302">
        <v>-1</v>
      </c>
      <c r="AT302">
        <v>-1</v>
      </c>
      <c r="AU302">
        <v>-1</v>
      </c>
      <c r="AV302">
        <v>-1</v>
      </c>
      <c r="AW302">
        <v>-1</v>
      </c>
      <c r="AX302">
        <v>-1</v>
      </c>
      <c r="AY302">
        <v>-1</v>
      </c>
      <c r="AZ302">
        <v>-1</v>
      </c>
      <c r="BA302">
        <v>-1</v>
      </c>
      <c r="BB302">
        <v>0</v>
      </c>
      <c r="BC302" t="s">
        <v>2</v>
      </c>
      <c r="BD302">
        <v>-1</v>
      </c>
      <c r="BE302">
        <v>-1</v>
      </c>
      <c r="BF302">
        <v>-1</v>
      </c>
      <c r="BG302">
        <v>-1</v>
      </c>
      <c r="BH302">
        <v>-1</v>
      </c>
      <c r="BI302">
        <v>-1</v>
      </c>
      <c r="BJ302">
        <v>-1</v>
      </c>
      <c r="BK302">
        <v>-1</v>
      </c>
      <c r="BL302">
        <v>-1</v>
      </c>
      <c r="BM302">
        <v>-1</v>
      </c>
      <c r="BN302">
        <v>-1</v>
      </c>
      <c r="BO302">
        <v>-1</v>
      </c>
    </row>
    <row r="303" spans="1:67" x14ac:dyDescent="0.25">
      <c r="A303">
        <v>300</v>
      </c>
      <c r="B303">
        <v>96</v>
      </c>
      <c r="C303" t="str">
        <f>VLOOKUP(B303,[1]resources!$A$2:$D$300,3,FALSE)</f>
        <v>!!FOOD_JELLIEDTOAST</v>
      </c>
      <c r="D303">
        <v>21</v>
      </c>
      <c r="E303" t="str">
        <f>VLOOKUP(D303,[1]bonus_paytable!$A$2:$D$300,3,FALSE)</f>
        <v>kingneptune</v>
      </c>
      <c r="F303">
        <v>-1</v>
      </c>
      <c r="G303">
        <v>-1</v>
      </c>
      <c r="H303">
        <v>1</v>
      </c>
      <c r="I303" t="s">
        <v>1</v>
      </c>
      <c r="J303">
        <v>80008</v>
      </c>
      <c r="K303">
        <v>80009</v>
      </c>
      <c r="L303">
        <v>70008</v>
      </c>
      <c r="M303">
        <v>60003</v>
      </c>
      <c r="N303">
        <v>70002</v>
      </c>
      <c r="O303">
        <v>80003</v>
      </c>
      <c r="P303">
        <v>-1</v>
      </c>
      <c r="Q303">
        <v>-1</v>
      </c>
      <c r="R303">
        <v>-1</v>
      </c>
      <c r="S303">
        <v>-1</v>
      </c>
      <c r="T303">
        <v>-1</v>
      </c>
      <c r="U303" s="2">
        <v>0.01</v>
      </c>
      <c r="V303" s="2">
        <v>0.03</v>
      </c>
      <c r="W303" s="2">
        <v>0.03</v>
      </c>
      <c r="X303" s="2">
        <v>0.03</v>
      </c>
      <c r="Y303" s="2">
        <v>0.05</v>
      </c>
      <c r="Z303" s="2">
        <v>0.05</v>
      </c>
      <c r="AA303" s="2">
        <v>-1</v>
      </c>
      <c r="AB303" s="2">
        <v>-1</v>
      </c>
      <c r="AC303" s="2">
        <v>-1</v>
      </c>
      <c r="AD303" s="2">
        <v>-1</v>
      </c>
      <c r="AE303" s="2">
        <v>-1</v>
      </c>
      <c r="AF303">
        <f t="shared" si="33"/>
        <v>1</v>
      </c>
      <c r="AG303">
        <f t="shared" si="34"/>
        <v>1</v>
      </c>
      <c r="AH303">
        <f t="shared" si="35"/>
        <v>1</v>
      </c>
      <c r="AI303">
        <f t="shared" si="36"/>
        <v>1</v>
      </c>
      <c r="AJ303">
        <f t="shared" si="37"/>
        <v>1</v>
      </c>
      <c r="AK303">
        <f t="shared" si="38"/>
        <v>1</v>
      </c>
      <c r="AL303">
        <f t="shared" si="39"/>
        <v>-1</v>
      </c>
      <c r="AM303">
        <f t="shared" si="40"/>
        <v>-1</v>
      </c>
      <c r="AN303">
        <f t="shared" si="41"/>
        <v>-1</v>
      </c>
      <c r="AO303">
        <f t="shared" si="42"/>
        <v>-1</v>
      </c>
      <c r="AP303">
        <f t="shared" si="43"/>
        <v>-1</v>
      </c>
      <c r="AQ303">
        <v>0</v>
      </c>
      <c r="AR303" t="s">
        <v>2</v>
      </c>
      <c r="AS303">
        <v>-1</v>
      </c>
      <c r="AT303">
        <v>-1</v>
      </c>
      <c r="AU303">
        <v>-1</v>
      </c>
      <c r="AV303">
        <v>-1</v>
      </c>
      <c r="AW303">
        <v>-1</v>
      </c>
      <c r="AX303">
        <v>-1</v>
      </c>
      <c r="AY303">
        <v>-1</v>
      </c>
      <c r="AZ303">
        <v>-1</v>
      </c>
      <c r="BA303">
        <v>-1</v>
      </c>
      <c r="BB303">
        <v>0</v>
      </c>
      <c r="BC303" t="s">
        <v>2</v>
      </c>
      <c r="BD303">
        <v>-1</v>
      </c>
      <c r="BE303">
        <v>-1</v>
      </c>
      <c r="BF303">
        <v>-1</v>
      </c>
      <c r="BG303">
        <v>-1</v>
      </c>
      <c r="BH303">
        <v>-1</v>
      </c>
      <c r="BI303">
        <v>-1</v>
      </c>
      <c r="BJ303">
        <v>-1</v>
      </c>
      <c r="BK303">
        <v>-1</v>
      </c>
      <c r="BL303">
        <v>-1</v>
      </c>
      <c r="BM303">
        <v>-1</v>
      </c>
      <c r="BN303">
        <v>-1</v>
      </c>
      <c r="BO303">
        <v>-1</v>
      </c>
    </row>
    <row r="304" spans="1:67" x14ac:dyDescent="0.25">
      <c r="A304">
        <v>301</v>
      </c>
      <c r="B304">
        <v>1</v>
      </c>
      <c r="C304" t="str">
        <f>VLOOKUP(B304,[1]resources!$A$2:$D$300,3,FALSE)</f>
        <v>!!FOOD_KRABBYPATTY</v>
      </c>
      <c r="D304">
        <v>21</v>
      </c>
      <c r="E304" t="str">
        <f>VLOOKUP(D304,[1]bonus_paytable!$A$2:$D$300,3,FALSE)</f>
        <v>kingneptune</v>
      </c>
      <c r="F304">
        <v>-1</v>
      </c>
      <c r="G304">
        <v>-1</v>
      </c>
      <c r="H304">
        <v>1</v>
      </c>
      <c r="I304" t="s">
        <v>1</v>
      </c>
      <c r="J304">
        <v>80008</v>
      </c>
      <c r="K304">
        <v>80009</v>
      </c>
      <c r="L304">
        <v>70008</v>
      </c>
      <c r="M304">
        <v>60003</v>
      </c>
      <c r="N304">
        <v>70002</v>
      </c>
      <c r="O304">
        <v>80003</v>
      </c>
      <c r="P304">
        <v>-1</v>
      </c>
      <c r="Q304">
        <v>-1</v>
      </c>
      <c r="R304">
        <v>-1</v>
      </c>
      <c r="S304">
        <v>-1</v>
      </c>
      <c r="T304">
        <v>-1</v>
      </c>
      <c r="U304" s="2">
        <v>0.01</v>
      </c>
      <c r="V304" s="2">
        <v>0.03</v>
      </c>
      <c r="W304" s="2">
        <v>0.03</v>
      </c>
      <c r="X304" s="2">
        <v>0.03</v>
      </c>
      <c r="Y304" s="2">
        <v>0.05</v>
      </c>
      <c r="Z304" s="2">
        <v>0.05</v>
      </c>
      <c r="AA304" s="2">
        <v>-1</v>
      </c>
      <c r="AB304" s="2">
        <v>-1</v>
      </c>
      <c r="AC304" s="2">
        <v>-1</v>
      </c>
      <c r="AD304" s="2">
        <v>-1</v>
      </c>
      <c r="AE304" s="2">
        <v>-1</v>
      </c>
      <c r="AF304">
        <f t="shared" si="33"/>
        <v>1</v>
      </c>
      <c r="AG304">
        <f t="shared" si="34"/>
        <v>1</v>
      </c>
      <c r="AH304">
        <f t="shared" si="35"/>
        <v>1</v>
      </c>
      <c r="AI304">
        <f t="shared" si="36"/>
        <v>1</v>
      </c>
      <c r="AJ304">
        <f t="shared" si="37"/>
        <v>1</v>
      </c>
      <c r="AK304">
        <f t="shared" si="38"/>
        <v>1</v>
      </c>
      <c r="AL304">
        <f t="shared" si="39"/>
        <v>-1</v>
      </c>
      <c r="AM304">
        <f t="shared" si="40"/>
        <v>-1</v>
      </c>
      <c r="AN304">
        <f t="shared" si="41"/>
        <v>-1</v>
      </c>
      <c r="AO304">
        <f t="shared" si="42"/>
        <v>-1</v>
      </c>
      <c r="AP304">
        <f t="shared" si="43"/>
        <v>-1</v>
      </c>
      <c r="AQ304">
        <v>0</v>
      </c>
      <c r="AR304" t="s">
        <v>2</v>
      </c>
      <c r="AS304">
        <v>-1</v>
      </c>
      <c r="AT304">
        <v>-1</v>
      </c>
      <c r="AU304">
        <v>-1</v>
      </c>
      <c r="AV304">
        <v>-1</v>
      </c>
      <c r="AW304">
        <v>-1</v>
      </c>
      <c r="AX304">
        <v>-1</v>
      </c>
      <c r="AY304">
        <v>-1</v>
      </c>
      <c r="AZ304">
        <v>-1</v>
      </c>
      <c r="BA304">
        <v>-1</v>
      </c>
      <c r="BB304">
        <v>0</v>
      </c>
      <c r="BC304" t="s">
        <v>2</v>
      </c>
      <c r="BD304">
        <v>-1</v>
      </c>
      <c r="BE304">
        <v>-1</v>
      </c>
      <c r="BF304">
        <v>-1</v>
      </c>
      <c r="BG304">
        <v>-1</v>
      </c>
      <c r="BH304">
        <v>-1</v>
      </c>
      <c r="BI304">
        <v>-1</v>
      </c>
      <c r="BJ304">
        <v>-1</v>
      </c>
      <c r="BK304">
        <v>-1</v>
      </c>
      <c r="BL304">
        <v>-1</v>
      </c>
      <c r="BM304">
        <v>-1</v>
      </c>
      <c r="BN304">
        <v>-1</v>
      </c>
      <c r="BO304">
        <v>-1</v>
      </c>
    </row>
    <row r="305" spans="1:67" x14ac:dyDescent="0.25">
      <c r="A305">
        <v>302</v>
      </c>
      <c r="B305">
        <v>20000</v>
      </c>
      <c r="C305" t="str">
        <f>VLOOKUP(B305,[1]resources!$A$2:$D$300,3,FALSE)</f>
        <v>!!JUICE_APPLE</v>
      </c>
      <c r="D305">
        <v>21</v>
      </c>
      <c r="E305" t="str">
        <f>VLOOKUP(D305,[1]bonus_paytable!$A$2:$D$300,3,FALSE)</f>
        <v>kingneptune</v>
      </c>
      <c r="F305">
        <v>-1</v>
      </c>
      <c r="G305">
        <v>-1</v>
      </c>
      <c r="H305">
        <v>1</v>
      </c>
      <c r="I305" t="s">
        <v>1</v>
      </c>
      <c r="J305">
        <v>80008</v>
      </c>
      <c r="K305">
        <v>80009</v>
      </c>
      <c r="L305">
        <v>70008</v>
      </c>
      <c r="M305">
        <v>60003</v>
      </c>
      <c r="N305">
        <v>70002</v>
      </c>
      <c r="O305">
        <v>80003</v>
      </c>
      <c r="P305">
        <v>-1</v>
      </c>
      <c r="Q305">
        <v>-1</v>
      </c>
      <c r="R305">
        <v>-1</v>
      </c>
      <c r="S305">
        <v>-1</v>
      </c>
      <c r="T305">
        <v>-1</v>
      </c>
      <c r="U305" s="2">
        <v>0.01</v>
      </c>
      <c r="V305" s="2">
        <v>0.03</v>
      </c>
      <c r="W305" s="2">
        <v>0.03</v>
      </c>
      <c r="X305" s="2">
        <v>0.03</v>
      </c>
      <c r="Y305" s="2">
        <v>0.05</v>
      </c>
      <c r="Z305" s="2">
        <v>0.05</v>
      </c>
      <c r="AA305" s="2">
        <v>-1</v>
      </c>
      <c r="AB305" s="2">
        <v>-1</v>
      </c>
      <c r="AC305" s="2">
        <v>-1</v>
      </c>
      <c r="AD305" s="2">
        <v>-1</v>
      </c>
      <c r="AE305" s="2">
        <v>-1</v>
      </c>
      <c r="AF305">
        <f t="shared" si="33"/>
        <v>1</v>
      </c>
      <c r="AG305">
        <f t="shared" si="34"/>
        <v>1</v>
      </c>
      <c r="AH305">
        <f t="shared" si="35"/>
        <v>1</v>
      </c>
      <c r="AI305">
        <f t="shared" si="36"/>
        <v>1</v>
      </c>
      <c r="AJ305">
        <f t="shared" si="37"/>
        <v>1</v>
      </c>
      <c r="AK305">
        <f t="shared" si="38"/>
        <v>1</v>
      </c>
      <c r="AL305">
        <f t="shared" si="39"/>
        <v>-1</v>
      </c>
      <c r="AM305">
        <f t="shared" si="40"/>
        <v>-1</v>
      </c>
      <c r="AN305">
        <f t="shared" si="41"/>
        <v>-1</v>
      </c>
      <c r="AO305">
        <f t="shared" si="42"/>
        <v>-1</v>
      </c>
      <c r="AP305">
        <f t="shared" si="43"/>
        <v>-1</v>
      </c>
      <c r="AQ305">
        <v>0</v>
      </c>
      <c r="AR305" t="s">
        <v>2</v>
      </c>
      <c r="AS305">
        <v>-1</v>
      </c>
      <c r="AT305">
        <v>-1</v>
      </c>
      <c r="AU305">
        <v>-1</v>
      </c>
      <c r="AV305">
        <v>-1</v>
      </c>
      <c r="AW305">
        <v>-1</v>
      </c>
      <c r="AX305">
        <v>-1</v>
      </c>
      <c r="AY305">
        <v>-1</v>
      </c>
      <c r="AZ305">
        <v>-1</v>
      </c>
      <c r="BA305">
        <v>-1</v>
      </c>
      <c r="BB305">
        <v>0</v>
      </c>
      <c r="BC305" t="s">
        <v>2</v>
      </c>
      <c r="BD305">
        <v>-1</v>
      </c>
      <c r="BE305">
        <v>-1</v>
      </c>
      <c r="BF305">
        <v>-1</v>
      </c>
      <c r="BG305">
        <v>-1</v>
      </c>
      <c r="BH305">
        <v>-1</v>
      </c>
      <c r="BI305">
        <v>-1</v>
      </c>
      <c r="BJ305">
        <v>-1</v>
      </c>
      <c r="BK305">
        <v>-1</v>
      </c>
      <c r="BL305">
        <v>-1</v>
      </c>
      <c r="BM305">
        <v>-1</v>
      </c>
      <c r="BN305">
        <v>-1</v>
      </c>
      <c r="BO305">
        <v>-1</v>
      </c>
    </row>
    <row r="306" spans="1:67" x14ac:dyDescent="0.25">
      <c r="A306">
        <v>303</v>
      </c>
      <c r="B306">
        <v>30006</v>
      </c>
      <c r="C306" t="str">
        <f>VLOOKUP(B306,[1]resources!$A$2:$D$300,3,FALSE)</f>
        <v>!!SMOOTHIE_LIQUID_COBBLER</v>
      </c>
      <c r="D306">
        <v>21</v>
      </c>
      <c r="E306" t="str">
        <f>VLOOKUP(D306,[1]bonus_paytable!$A$2:$D$300,3,FALSE)</f>
        <v>kingneptune</v>
      </c>
      <c r="F306">
        <v>-1</v>
      </c>
      <c r="G306">
        <v>-1</v>
      </c>
      <c r="H306">
        <v>1</v>
      </c>
      <c r="I306" t="s">
        <v>1</v>
      </c>
      <c r="J306">
        <v>80008</v>
      </c>
      <c r="K306">
        <v>80009</v>
      </c>
      <c r="L306">
        <v>70008</v>
      </c>
      <c r="M306">
        <v>60003</v>
      </c>
      <c r="N306">
        <v>70002</v>
      </c>
      <c r="O306">
        <v>80003</v>
      </c>
      <c r="P306">
        <v>-1</v>
      </c>
      <c r="Q306">
        <v>-1</v>
      </c>
      <c r="R306">
        <v>-1</v>
      </c>
      <c r="S306">
        <v>-1</v>
      </c>
      <c r="T306">
        <v>-1</v>
      </c>
      <c r="U306" s="2">
        <v>0.01</v>
      </c>
      <c r="V306" s="2">
        <v>0.03</v>
      </c>
      <c r="W306" s="2">
        <v>0.03</v>
      </c>
      <c r="X306" s="2">
        <v>0.03</v>
      </c>
      <c r="Y306" s="2">
        <v>0.05</v>
      </c>
      <c r="Z306" s="2">
        <v>0.05</v>
      </c>
      <c r="AA306" s="2">
        <v>-1</v>
      </c>
      <c r="AB306" s="2">
        <v>-1</v>
      </c>
      <c r="AC306" s="2">
        <v>-1</v>
      </c>
      <c r="AD306" s="2">
        <v>-1</v>
      </c>
      <c r="AE306" s="2">
        <v>-1</v>
      </c>
      <c r="AF306">
        <f t="shared" si="33"/>
        <v>1</v>
      </c>
      <c r="AG306">
        <f t="shared" si="34"/>
        <v>1</v>
      </c>
      <c r="AH306">
        <f t="shared" si="35"/>
        <v>1</v>
      </c>
      <c r="AI306">
        <f t="shared" si="36"/>
        <v>1</v>
      </c>
      <c r="AJ306">
        <f t="shared" si="37"/>
        <v>1</v>
      </c>
      <c r="AK306">
        <f t="shared" si="38"/>
        <v>1</v>
      </c>
      <c r="AL306">
        <f t="shared" si="39"/>
        <v>-1</v>
      </c>
      <c r="AM306">
        <f t="shared" si="40"/>
        <v>-1</v>
      </c>
      <c r="AN306">
        <f t="shared" si="41"/>
        <v>-1</v>
      </c>
      <c r="AO306">
        <f t="shared" si="42"/>
        <v>-1</v>
      </c>
      <c r="AP306">
        <f t="shared" si="43"/>
        <v>-1</v>
      </c>
      <c r="AQ306">
        <v>0</v>
      </c>
      <c r="AR306" t="s">
        <v>2</v>
      </c>
      <c r="AS306">
        <v>-1</v>
      </c>
      <c r="AT306">
        <v>-1</v>
      </c>
      <c r="AU306">
        <v>-1</v>
      </c>
      <c r="AV306">
        <v>-1</v>
      </c>
      <c r="AW306">
        <v>-1</v>
      </c>
      <c r="AX306">
        <v>-1</v>
      </c>
      <c r="AY306">
        <v>-1</v>
      </c>
      <c r="AZ306">
        <v>-1</v>
      </c>
      <c r="BA306">
        <v>-1</v>
      </c>
      <c r="BB306">
        <v>0</v>
      </c>
      <c r="BC306" t="s">
        <v>2</v>
      </c>
      <c r="BD306">
        <v>-1</v>
      </c>
      <c r="BE306">
        <v>-1</v>
      </c>
      <c r="BF306">
        <v>-1</v>
      </c>
      <c r="BG306">
        <v>-1</v>
      </c>
      <c r="BH306">
        <v>-1</v>
      </c>
      <c r="BI306">
        <v>-1</v>
      </c>
      <c r="BJ306">
        <v>-1</v>
      </c>
      <c r="BK306">
        <v>-1</v>
      </c>
      <c r="BL306">
        <v>-1</v>
      </c>
      <c r="BM306">
        <v>-1</v>
      </c>
      <c r="BN306">
        <v>-1</v>
      </c>
      <c r="BO306">
        <v>-1</v>
      </c>
    </row>
    <row r="307" spans="1:67" x14ac:dyDescent="0.25">
      <c r="A307">
        <v>304</v>
      </c>
      <c r="B307">
        <v>40001</v>
      </c>
      <c r="C307" t="str">
        <f>VLOOKUP(B307,[1]resources!$A$2:$D$300,3,FALSE)</f>
        <v>!!ICECREAM_BANANA_SPLIT</v>
      </c>
      <c r="D307">
        <v>21</v>
      </c>
      <c r="E307" t="str">
        <f>VLOOKUP(D307,[1]bonus_paytable!$A$2:$D$300,3,FALSE)</f>
        <v>kingneptune</v>
      </c>
      <c r="F307">
        <v>-1</v>
      </c>
      <c r="G307">
        <v>-1</v>
      </c>
      <c r="H307">
        <v>1</v>
      </c>
      <c r="I307" t="s">
        <v>1</v>
      </c>
      <c r="J307">
        <v>80008</v>
      </c>
      <c r="K307">
        <v>80009</v>
      </c>
      <c r="L307">
        <v>70008</v>
      </c>
      <c r="M307">
        <v>60003</v>
      </c>
      <c r="N307">
        <v>70002</v>
      </c>
      <c r="O307">
        <v>80003</v>
      </c>
      <c r="P307">
        <v>-1</v>
      </c>
      <c r="Q307">
        <v>-1</v>
      </c>
      <c r="R307">
        <v>-1</v>
      </c>
      <c r="S307">
        <v>-1</v>
      </c>
      <c r="T307">
        <v>-1</v>
      </c>
      <c r="U307" s="2">
        <v>0.01</v>
      </c>
      <c r="V307" s="2">
        <v>0.03</v>
      </c>
      <c r="W307" s="2">
        <v>0.03</v>
      </c>
      <c r="X307" s="2">
        <v>0.03</v>
      </c>
      <c r="Y307" s="2">
        <v>0.05</v>
      </c>
      <c r="Z307" s="2">
        <v>0.05</v>
      </c>
      <c r="AA307" s="2">
        <v>-1</v>
      </c>
      <c r="AB307" s="2">
        <v>-1</v>
      </c>
      <c r="AC307" s="2">
        <v>-1</v>
      </c>
      <c r="AD307" s="2">
        <v>-1</v>
      </c>
      <c r="AE307" s="2">
        <v>-1</v>
      </c>
      <c r="AF307">
        <f t="shared" si="33"/>
        <v>1</v>
      </c>
      <c r="AG307">
        <f t="shared" si="34"/>
        <v>1</v>
      </c>
      <c r="AH307">
        <f t="shared" si="35"/>
        <v>1</v>
      </c>
      <c r="AI307">
        <f t="shared" si="36"/>
        <v>1</v>
      </c>
      <c r="AJ307">
        <f t="shared" si="37"/>
        <v>1</v>
      </c>
      <c r="AK307">
        <f t="shared" si="38"/>
        <v>1</v>
      </c>
      <c r="AL307">
        <f t="shared" si="39"/>
        <v>-1</v>
      </c>
      <c r="AM307">
        <f t="shared" si="40"/>
        <v>-1</v>
      </c>
      <c r="AN307">
        <f t="shared" si="41"/>
        <v>-1</v>
      </c>
      <c r="AO307">
        <f t="shared" si="42"/>
        <v>-1</v>
      </c>
      <c r="AP307">
        <f t="shared" si="43"/>
        <v>-1</v>
      </c>
      <c r="AQ307">
        <v>0</v>
      </c>
      <c r="AR307" t="s">
        <v>2</v>
      </c>
      <c r="AS307">
        <v>-1</v>
      </c>
      <c r="AT307">
        <v>-1</v>
      </c>
      <c r="AU307">
        <v>-1</v>
      </c>
      <c r="AV307">
        <v>-1</v>
      </c>
      <c r="AW307">
        <v>-1</v>
      </c>
      <c r="AX307">
        <v>-1</v>
      </c>
      <c r="AY307">
        <v>-1</v>
      </c>
      <c r="AZ307">
        <v>-1</v>
      </c>
      <c r="BA307">
        <v>-1</v>
      </c>
      <c r="BB307">
        <v>0</v>
      </c>
      <c r="BC307" t="s">
        <v>2</v>
      </c>
      <c r="BD307">
        <v>-1</v>
      </c>
      <c r="BE307">
        <v>-1</v>
      </c>
      <c r="BF307">
        <v>-1</v>
      </c>
      <c r="BG307">
        <v>-1</v>
      </c>
      <c r="BH307">
        <v>-1</v>
      </c>
      <c r="BI307">
        <v>-1</v>
      </c>
      <c r="BJ307">
        <v>-1</v>
      </c>
      <c r="BK307">
        <v>-1</v>
      </c>
      <c r="BL307">
        <v>-1</v>
      </c>
      <c r="BM307">
        <v>-1</v>
      </c>
      <c r="BN307">
        <v>-1</v>
      </c>
      <c r="BO307">
        <v>-1</v>
      </c>
    </row>
    <row r="308" spans="1:67" x14ac:dyDescent="0.25">
      <c r="A308">
        <v>305</v>
      </c>
      <c r="B308">
        <v>50004</v>
      </c>
      <c r="C308" t="str">
        <f>VLOOKUP(B308,[1]resources!$A$2:$D$300,3,FALSE)</f>
        <v>!!SHAKE_SALTY_BANANA</v>
      </c>
      <c r="D308">
        <v>21</v>
      </c>
      <c r="E308" t="str">
        <f>VLOOKUP(D308,[1]bonus_paytable!$A$2:$D$300,3,FALSE)</f>
        <v>kingneptune</v>
      </c>
      <c r="F308">
        <v>-1</v>
      </c>
      <c r="G308">
        <v>-1</v>
      </c>
      <c r="H308">
        <v>1</v>
      </c>
      <c r="I308" t="s">
        <v>1</v>
      </c>
      <c r="J308">
        <v>80008</v>
      </c>
      <c r="K308">
        <v>80009</v>
      </c>
      <c r="L308">
        <v>70008</v>
      </c>
      <c r="M308">
        <v>60003</v>
      </c>
      <c r="N308">
        <v>70002</v>
      </c>
      <c r="O308">
        <v>80003</v>
      </c>
      <c r="P308">
        <v>-1</v>
      </c>
      <c r="Q308">
        <v>-1</v>
      </c>
      <c r="R308">
        <v>-1</v>
      </c>
      <c r="S308">
        <v>-1</v>
      </c>
      <c r="T308">
        <v>-1</v>
      </c>
      <c r="U308" s="2">
        <v>0.01</v>
      </c>
      <c r="V308" s="2">
        <v>0.03</v>
      </c>
      <c r="W308" s="2">
        <v>0.03</v>
      </c>
      <c r="X308" s="2">
        <v>0.03</v>
      </c>
      <c r="Y308" s="2">
        <v>0.05</v>
      </c>
      <c r="Z308" s="2">
        <v>0.05</v>
      </c>
      <c r="AA308" s="2">
        <v>-1</v>
      </c>
      <c r="AB308" s="2">
        <v>-1</v>
      </c>
      <c r="AC308" s="2">
        <v>-1</v>
      </c>
      <c r="AD308" s="2">
        <v>-1</v>
      </c>
      <c r="AE308" s="2">
        <v>-1</v>
      </c>
      <c r="AF308">
        <f t="shared" si="33"/>
        <v>1</v>
      </c>
      <c r="AG308">
        <f t="shared" si="34"/>
        <v>1</v>
      </c>
      <c r="AH308">
        <f t="shared" si="35"/>
        <v>1</v>
      </c>
      <c r="AI308">
        <f t="shared" si="36"/>
        <v>1</v>
      </c>
      <c r="AJ308">
        <f t="shared" si="37"/>
        <v>1</v>
      </c>
      <c r="AK308">
        <f t="shared" si="38"/>
        <v>1</v>
      </c>
      <c r="AL308">
        <f t="shared" si="39"/>
        <v>-1</v>
      </c>
      <c r="AM308">
        <f t="shared" si="40"/>
        <v>-1</v>
      </c>
      <c r="AN308">
        <f t="shared" si="41"/>
        <v>-1</v>
      </c>
      <c r="AO308">
        <f t="shared" si="42"/>
        <v>-1</v>
      </c>
      <c r="AP308">
        <f t="shared" si="43"/>
        <v>-1</v>
      </c>
      <c r="AQ308">
        <v>0</v>
      </c>
      <c r="AR308" t="s">
        <v>2</v>
      </c>
      <c r="AS308">
        <v>-1</v>
      </c>
      <c r="AT308">
        <v>-1</v>
      </c>
      <c r="AU308">
        <v>-1</v>
      </c>
      <c r="AV308">
        <v>-1</v>
      </c>
      <c r="AW308">
        <v>-1</v>
      </c>
      <c r="AX308">
        <v>-1</v>
      </c>
      <c r="AY308">
        <v>-1</v>
      </c>
      <c r="AZ308">
        <v>-1</v>
      </c>
      <c r="BA308">
        <v>-1</v>
      </c>
      <c r="BB308">
        <v>0</v>
      </c>
      <c r="BC308" t="s">
        <v>2</v>
      </c>
      <c r="BD308">
        <v>-1</v>
      </c>
      <c r="BE308">
        <v>-1</v>
      </c>
      <c r="BF308">
        <v>-1</v>
      </c>
      <c r="BG308">
        <v>-1</v>
      </c>
      <c r="BH308">
        <v>-1</v>
      </c>
      <c r="BI308">
        <v>-1</v>
      </c>
      <c r="BJ308">
        <v>-1</v>
      </c>
      <c r="BK308">
        <v>-1</v>
      </c>
      <c r="BL308">
        <v>-1</v>
      </c>
      <c r="BM308">
        <v>-1</v>
      </c>
      <c r="BN308">
        <v>-1</v>
      </c>
      <c r="BO308">
        <v>-1</v>
      </c>
    </row>
    <row r="309" spans="1:67" x14ac:dyDescent="0.25">
      <c r="A309">
        <v>306</v>
      </c>
      <c r="B309">
        <v>60018</v>
      </c>
      <c r="C309" t="str">
        <f>VLOOKUP(B309,[1]resources!$A$2:$D$300,3,FALSE)</f>
        <v>!!BOUQUET_FLOWERCORAL_CORALPARADISE</v>
      </c>
      <c r="D309">
        <v>21</v>
      </c>
      <c r="E309" t="str">
        <f>VLOOKUP(D309,[1]bonus_paytable!$A$2:$D$300,3,FALSE)</f>
        <v>kingneptune</v>
      </c>
      <c r="F309">
        <v>-1</v>
      </c>
      <c r="G309">
        <v>-1</v>
      </c>
      <c r="H309">
        <v>1</v>
      </c>
      <c r="I309" t="s">
        <v>1</v>
      </c>
      <c r="J309">
        <v>80008</v>
      </c>
      <c r="K309">
        <v>80009</v>
      </c>
      <c r="L309">
        <v>70008</v>
      </c>
      <c r="M309">
        <v>60003</v>
      </c>
      <c r="N309">
        <v>70002</v>
      </c>
      <c r="O309">
        <v>80003</v>
      </c>
      <c r="P309">
        <v>-1</v>
      </c>
      <c r="Q309">
        <v>-1</v>
      </c>
      <c r="R309">
        <v>-1</v>
      </c>
      <c r="S309">
        <v>-1</v>
      </c>
      <c r="T309">
        <v>-1</v>
      </c>
      <c r="U309" s="2">
        <v>0.01</v>
      </c>
      <c r="V309" s="2">
        <v>0.03</v>
      </c>
      <c r="W309" s="2">
        <v>0.03</v>
      </c>
      <c r="X309" s="2">
        <v>0.03</v>
      </c>
      <c r="Y309" s="2">
        <v>0.05</v>
      </c>
      <c r="Z309" s="2">
        <v>0.05</v>
      </c>
      <c r="AA309" s="2">
        <v>-1</v>
      </c>
      <c r="AB309" s="2">
        <v>-1</v>
      </c>
      <c r="AC309" s="2">
        <v>-1</v>
      </c>
      <c r="AD309" s="2">
        <v>-1</v>
      </c>
      <c r="AE309" s="2">
        <v>-1</v>
      </c>
      <c r="AF309">
        <f t="shared" si="33"/>
        <v>1</v>
      </c>
      <c r="AG309">
        <f t="shared" si="34"/>
        <v>1</v>
      </c>
      <c r="AH309">
        <f t="shared" si="35"/>
        <v>1</v>
      </c>
      <c r="AI309">
        <f t="shared" si="36"/>
        <v>1</v>
      </c>
      <c r="AJ309">
        <f t="shared" si="37"/>
        <v>1</v>
      </c>
      <c r="AK309">
        <f t="shared" si="38"/>
        <v>1</v>
      </c>
      <c r="AL309">
        <f t="shared" si="39"/>
        <v>-1</v>
      </c>
      <c r="AM309">
        <f t="shared" si="40"/>
        <v>-1</v>
      </c>
      <c r="AN309">
        <f t="shared" si="41"/>
        <v>-1</v>
      </c>
      <c r="AO309">
        <f t="shared" si="42"/>
        <v>-1</v>
      </c>
      <c r="AP309">
        <f t="shared" si="43"/>
        <v>-1</v>
      </c>
      <c r="AQ309">
        <v>0</v>
      </c>
      <c r="AR309" t="s">
        <v>2</v>
      </c>
      <c r="AS309">
        <v>-1</v>
      </c>
      <c r="AT309">
        <v>-1</v>
      </c>
      <c r="AU309">
        <v>-1</v>
      </c>
      <c r="AV309">
        <v>-1</v>
      </c>
      <c r="AW309">
        <v>-1</v>
      </c>
      <c r="AX309">
        <v>-1</v>
      </c>
      <c r="AY309">
        <v>-1</v>
      </c>
      <c r="AZ309">
        <v>-1</v>
      </c>
      <c r="BA309">
        <v>-1</v>
      </c>
      <c r="BB309">
        <v>0</v>
      </c>
      <c r="BC309" t="s">
        <v>2</v>
      </c>
      <c r="BD309">
        <v>-1</v>
      </c>
      <c r="BE309">
        <v>-1</v>
      </c>
      <c r="BF309">
        <v>-1</v>
      </c>
      <c r="BG309">
        <v>-1</v>
      </c>
      <c r="BH309">
        <v>-1</v>
      </c>
      <c r="BI309">
        <v>-1</v>
      </c>
      <c r="BJ309">
        <v>-1</v>
      </c>
      <c r="BK309">
        <v>-1</v>
      </c>
      <c r="BL309">
        <v>-1</v>
      </c>
      <c r="BM309">
        <v>-1</v>
      </c>
      <c r="BN309">
        <v>-1</v>
      </c>
      <c r="BO309">
        <v>-1</v>
      </c>
    </row>
    <row r="310" spans="1:67" x14ac:dyDescent="0.25">
      <c r="A310">
        <v>307</v>
      </c>
      <c r="B310">
        <v>70009</v>
      </c>
      <c r="C310" t="str">
        <f>VLOOKUP(B310,[1]resources!$A$2:$D$300,3,FALSE)</f>
        <v>!!PERFUME_SEASHANTY</v>
      </c>
      <c r="D310">
        <v>21</v>
      </c>
      <c r="E310" t="str">
        <f>VLOOKUP(D310,[1]bonus_paytable!$A$2:$D$300,3,FALSE)</f>
        <v>kingneptune</v>
      </c>
      <c r="F310">
        <v>-1</v>
      </c>
      <c r="G310">
        <v>-1</v>
      </c>
      <c r="H310">
        <v>1</v>
      </c>
      <c r="I310" t="s">
        <v>1</v>
      </c>
      <c r="J310">
        <v>80008</v>
      </c>
      <c r="K310">
        <v>80009</v>
      </c>
      <c r="L310">
        <v>70008</v>
      </c>
      <c r="M310">
        <v>60003</v>
      </c>
      <c r="N310">
        <v>70002</v>
      </c>
      <c r="O310">
        <v>80003</v>
      </c>
      <c r="P310">
        <v>-1</v>
      </c>
      <c r="Q310">
        <v>-1</v>
      </c>
      <c r="R310">
        <v>-1</v>
      </c>
      <c r="S310">
        <v>-1</v>
      </c>
      <c r="T310">
        <v>-1</v>
      </c>
      <c r="U310" s="2">
        <v>0.01</v>
      </c>
      <c r="V310" s="2">
        <v>0.03</v>
      </c>
      <c r="W310" s="2">
        <v>0.03</v>
      </c>
      <c r="X310" s="2">
        <v>0.03</v>
      </c>
      <c r="Y310" s="2">
        <v>0.05</v>
      </c>
      <c r="Z310" s="2">
        <v>0.05</v>
      </c>
      <c r="AA310" s="2">
        <v>-1</v>
      </c>
      <c r="AB310" s="2">
        <v>-1</v>
      </c>
      <c r="AC310" s="2">
        <v>-1</v>
      </c>
      <c r="AD310" s="2">
        <v>-1</v>
      </c>
      <c r="AE310" s="2">
        <v>-1</v>
      </c>
      <c r="AF310">
        <f t="shared" si="33"/>
        <v>1</v>
      </c>
      <c r="AG310">
        <f t="shared" si="34"/>
        <v>1</v>
      </c>
      <c r="AH310">
        <f t="shared" si="35"/>
        <v>1</v>
      </c>
      <c r="AI310">
        <f t="shared" si="36"/>
        <v>1</v>
      </c>
      <c r="AJ310">
        <f t="shared" si="37"/>
        <v>1</v>
      </c>
      <c r="AK310">
        <f t="shared" si="38"/>
        <v>1</v>
      </c>
      <c r="AL310">
        <f t="shared" si="39"/>
        <v>-1</v>
      </c>
      <c r="AM310">
        <f t="shared" si="40"/>
        <v>-1</v>
      </c>
      <c r="AN310">
        <f t="shared" si="41"/>
        <v>-1</v>
      </c>
      <c r="AO310">
        <f t="shared" si="42"/>
        <v>-1</v>
      </c>
      <c r="AP310">
        <f t="shared" si="43"/>
        <v>-1</v>
      </c>
      <c r="AQ310">
        <v>0</v>
      </c>
      <c r="AR310" t="s">
        <v>2</v>
      </c>
      <c r="AS310">
        <v>-1</v>
      </c>
      <c r="AT310">
        <v>-1</v>
      </c>
      <c r="AU310">
        <v>-1</v>
      </c>
      <c r="AV310">
        <v>-1</v>
      </c>
      <c r="AW310">
        <v>-1</v>
      </c>
      <c r="AX310">
        <v>-1</v>
      </c>
      <c r="AY310">
        <v>-1</v>
      </c>
      <c r="AZ310">
        <v>-1</v>
      </c>
      <c r="BA310">
        <v>-1</v>
      </c>
      <c r="BB310">
        <v>0</v>
      </c>
      <c r="BC310" t="s">
        <v>2</v>
      </c>
      <c r="BD310">
        <v>-1</v>
      </c>
      <c r="BE310">
        <v>-1</v>
      </c>
      <c r="BF310">
        <v>-1</v>
      </c>
      <c r="BG310">
        <v>-1</v>
      </c>
      <c r="BH310">
        <v>-1</v>
      </c>
      <c r="BI310">
        <v>-1</v>
      </c>
      <c r="BJ310">
        <v>-1</v>
      </c>
      <c r="BK310">
        <v>-1</v>
      </c>
      <c r="BL310">
        <v>-1</v>
      </c>
      <c r="BM310">
        <v>-1</v>
      </c>
      <c r="BN310">
        <v>-1</v>
      </c>
      <c r="BO310">
        <v>-1</v>
      </c>
    </row>
    <row r="311" spans="1:67" x14ac:dyDescent="0.25">
      <c r="A311">
        <v>308</v>
      </c>
      <c r="B311">
        <v>80006</v>
      </c>
      <c r="C311" t="str">
        <f>VLOOKUP(B311,[1]resources!$A$2:$D$300,3,FALSE)</f>
        <v>!!FOOD_BAKED_FERRYCHERRYCHEESECAKE</v>
      </c>
      <c r="D311">
        <v>21</v>
      </c>
      <c r="E311" t="str">
        <f>VLOOKUP(D311,[1]bonus_paytable!$A$2:$D$300,3,FALSE)</f>
        <v>kingneptune</v>
      </c>
      <c r="F311">
        <v>-1</v>
      </c>
      <c r="G311">
        <v>-1</v>
      </c>
      <c r="H311">
        <v>1</v>
      </c>
      <c r="I311" t="s">
        <v>1</v>
      </c>
      <c r="J311">
        <v>80008</v>
      </c>
      <c r="K311">
        <v>80009</v>
      </c>
      <c r="L311">
        <v>70008</v>
      </c>
      <c r="M311">
        <v>60003</v>
      </c>
      <c r="N311">
        <v>70002</v>
      </c>
      <c r="O311">
        <v>80003</v>
      </c>
      <c r="P311">
        <v>-1</v>
      </c>
      <c r="Q311">
        <v>-1</v>
      </c>
      <c r="R311">
        <v>-1</v>
      </c>
      <c r="S311">
        <v>-1</v>
      </c>
      <c r="T311">
        <v>-1</v>
      </c>
      <c r="U311" s="2">
        <v>0.01</v>
      </c>
      <c r="V311" s="2">
        <v>0.03</v>
      </c>
      <c r="W311" s="2">
        <v>0.03</v>
      </c>
      <c r="X311" s="2">
        <v>0.03</v>
      </c>
      <c r="Y311" s="2">
        <v>0.05</v>
      </c>
      <c r="Z311" s="2">
        <v>0.05</v>
      </c>
      <c r="AA311" s="2">
        <v>-1</v>
      </c>
      <c r="AB311" s="2">
        <v>-1</v>
      </c>
      <c r="AC311" s="2">
        <v>-1</v>
      </c>
      <c r="AD311" s="2">
        <v>-1</v>
      </c>
      <c r="AE311" s="2">
        <v>-1</v>
      </c>
      <c r="AF311">
        <f t="shared" si="33"/>
        <v>1</v>
      </c>
      <c r="AG311">
        <f t="shared" si="34"/>
        <v>1</v>
      </c>
      <c r="AH311">
        <f t="shared" si="35"/>
        <v>1</v>
      </c>
      <c r="AI311">
        <f t="shared" si="36"/>
        <v>1</v>
      </c>
      <c r="AJ311">
        <f t="shared" si="37"/>
        <v>1</v>
      </c>
      <c r="AK311">
        <f t="shared" si="38"/>
        <v>1</v>
      </c>
      <c r="AL311">
        <f t="shared" si="39"/>
        <v>-1</v>
      </c>
      <c r="AM311">
        <f t="shared" si="40"/>
        <v>-1</v>
      </c>
      <c r="AN311">
        <f t="shared" si="41"/>
        <v>-1</v>
      </c>
      <c r="AO311">
        <f t="shared" si="42"/>
        <v>-1</v>
      </c>
      <c r="AP311">
        <f t="shared" si="43"/>
        <v>-1</v>
      </c>
      <c r="AQ311">
        <v>0</v>
      </c>
      <c r="AR311" t="s">
        <v>2</v>
      </c>
      <c r="AS311">
        <v>-1</v>
      </c>
      <c r="AT311">
        <v>-1</v>
      </c>
      <c r="AU311">
        <v>-1</v>
      </c>
      <c r="AV311">
        <v>-1</v>
      </c>
      <c r="AW311">
        <v>-1</v>
      </c>
      <c r="AX311">
        <v>-1</v>
      </c>
      <c r="AY311">
        <v>-1</v>
      </c>
      <c r="AZ311">
        <v>-1</v>
      </c>
      <c r="BA311">
        <v>-1</v>
      </c>
      <c r="BB311">
        <v>0</v>
      </c>
      <c r="BC311" t="s">
        <v>2</v>
      </c>
      <c r="BD311">
        <v>-1</v>
      </c>
      <c r="BE311">
        <v>-1</v>
      </c>
      <c r="BF311">
        <v>-1</v>
      </c>
      <c r="BG311">
        <v>-1</v>
      </c>
      <c r="BH311">
        <v>-1</v>
      </c>
      <c r="BI311">
        <v>-1</v>
      </c>
      <c r="BJ311">
        <v>-1</v>
      </c>
      <c r="BK311">
        <v>-1</v>
      </c>
      <c r="BL311">
        <v>-1</v>
      </c>
      <c r="BM311">
        <v>-1</v>
      </c>
      <c r="BN311">
        <v>-1</v>
      </c>
      <c r="BO311">
        <v>-1</v>
      </c>
    </row>
    <row r="312" spans="1:67" x14ac:dyDescent="0.25">
      <c r="A312">
        <v>309</v>
      </c>
      <c r="B312">
        <v>32</v>
      </c>
      <c r="C312" t="str">
        <f>VLOOKUP(B312,[1]resources!$A$2:$D$300,3,FALSE)</f>
        <v>!!FOOD_JELLYPATTY</v>
      </c>
      <c r="D312">
        <v>22</v>
      </c>
      <c r="E312" t="str">
        <f>VLOOKUP(D312,[1]bonus_paytable!$A$2:$D$300,3,FALSE)</f>
        <v>larrythelobster</v>
      </c>
      <c r="F312">
        <v>-1</v>
      </c>
      <c r="G312">
        <v>-1</v>
      </c>
      <c r="H312">
        <v>1</v>
      </c>
      <c r="I312" t="s">
        <v>1</v>
      </c>
      <c r="J312">
        <v>30005</v>
      </c>
      <c r="K312">
        <v>80006</v>
      </c>
      <c r="L312">
        <v>22</v>
      </c>
      <c r="M312">
        <v>2000</v>
      </c>
      <c r="N312">
        <v>99</v>
      </c>
      <c r="O312">
        <v>20000</v>
      </c>
      <c r="P312">
        <v>60016</v>
      </c>
      <c r="Q312">
        <v>50006</v>
      </c>
      <c r="R312">
        <v>80007</v>
      </c>
      <c r="S312">
        <v>-1</v>
      </c>
      <c r="T312">
        <v>-1</v>
      </c>
      <c r="U312" s="2">
        <v>0.01</v>
      </c>
      <c r="V312" s="2">
        <v>0.03</v>
      </c>
      <c r="W312" s="2">
        <v>0.03</v>
      </c>
      <c r="X312" s="2">
        <v>0.03</v>
      </c>
      <c r="Y312" s="2">
        <v>0.05</v>
      </c>
      <c r="Z312" s="2">
        <v>0.05</v>
      </c>
      <c r="AA312" s="2">
        <v>0.05</v>
      </c>
      <c r="AB312" s="2">
        <v>0.05</v>
      </c>
      <c r="AC312" s="2">
        <v>0.05</v>
      </c>
      <c r="AD312" s="2">
        <v>-1</v>
      </c>
      <c r="AE312" s="2">
        <v>-1</v>
      </c>
      <c r="AF312">
        <f t="shared" si="33"/>
        <v>1</v>
      </c>
      <c r="AG312">
        <f t="shared" si="34"/>
        <v>1</v>
      </c>
      <c r="AH312">
        <f t="shared" si="35"/>
        <v>1</v>
      </c>
      <c r="AI312">
        <f t="shared" si="36"/>
        <v>1</v>
      </c>
      <c r="AJ312">
        <f t="shared" si="37"/>
        <v>1</v>
      </c>
      <c r="AK312">
        <f t="shared" si="38"/>
        <v>1</v>
      </c>
      <c r="AL312">
        <f t="shared" si="39"/>
        <v>1</v>
      </c>
      <c r="AM312">
        <f t="shared" si="40"/>
        <v>1</v>
      </c>
      <c r="AN312">
        <f t="shared" si="41"/>
        <v>1</v>
      </c>
      <c r="AO312">
        <f t="shared" si="42"/>
        <v>-1</v>
      </c>
      <c r="AP312">
        <f t="shared" si="43"/>
        <v>-1</v>
      </c>
      <c r="AQ312">
        <v>0</v>
      </c>
      <c r="AR312" t="s">
        <v>2</v>
      </c>
      <c r="AS312">
        <v>-1</v>
      </c>
      <c r="AT312">
        <v>-1</v>
      </c>
      <c r="AU312">
        <v>-1</v>
      </c>
      <c r="AV312">
        <v>-1</v>
      </c>
      <c r="AW312">
        <v>-1</v>
      </c>
      <c r="AX312">
        <v>-1</v>
      </c>
      <c r="AY312">
        <v>-1</v>
      </c>
      <c r="AZ312">
        <v>-1</v>
      </c>
      <c r="BA312">
        <v>-1</v>
      </c>
      <c r="BB312">
        <v>0</v>
      </c>
      <c r="BC312" t="s">
        <v>2</v>
      </c>
      <c r="BD312">
        <v>-1</v>
      </c>
      <c r="BE312">
        <v>-1</v>
      </c>
      <c r="BF312">
        <v>-1</v>
      </c>
      <c r="BG312">
        <v>-1</v>
      </c>
      <c r="BH312">
        <v>-1</v>
      </c>
      <c r="BI312">
        <v>-1</v>
      </c>
      <c r="BJ312">
        <v>-1</v>
      </c>
      <c r="BK312">
        <v>-1</v>
      </c>
      <c r="BL312">
        <v>-1</v>
      </c>
      <c r="BM312">
        <v>-1</v>
      </c>
      <c r="BN312">
        <v>-1</v>
      </c>
      <c r="BO312">
        <v>-1</v>
      </c>
    </row>
    <row r="313" spans="1:67" x14ac:dyDescent="0.25">
      <c r="A313">
        <v>310</v>
      </c>
      <c r="B313">
        <v>96</v>
      </c>
      <c r="C313" t="str">
        <f>VLOOKUP(B313,[1]resources!$A$2:$D$300,3,FALSE)</f>
        <v>!!FOOD_JELLIEDTOAST</v>
      </c>
      <c r="D313">
        <v>22</v>
      </c>
      <c r="E313" t="str">
        <f>VLOOKUP(D313,[1]bonus_paytable!$A$2:$D$300,3,FALSE)</f>
        <v>larrythelobster</v>
      </c>
      <c r="F313">
        <v>-1</v>
      </c>
      <c r="G313">
        <v>-1</v>
      </c>
      <c r="H313">
        <v>1</v>
      </c>
      <c r="I313" t="s">
        <v>1</v>
      </c>
      <c r="J313">
        <v>30005</v>
      </c>
      <c r="K313">
        <v>80006</v>
      </c>
      <c r="L313">
        <v>22</v>
      </c>
      <c r="M313">
        <v>2000</v>
      </c>
      <c r="N313">
        <v>99</v>
      </c>
      <c r="O313">
        <v>20000</v>
      </c>
      <c r="P313">
        <v>60016</v>
      </c>
      <c r="Q313">
        <v>50006</v>
      </c>
      <c r="R313">
        <v>80007</v>
      </c>
      <c r="S313">
        <v>-1</v>
      </c>
      <c r="T313">
        <v>-1</v>
      </c>
      <c r="U313" s="2">
        <v>0.01</v>
      </c>
      <c r="V313" s="2">
        <v>0.03</v>
      </c>
      <c r="W313" s="2">
        <v>0.03</v>
      </c>
      <c r="X313" s="2">
        <v>0.03</v>
      </c>
      <c r="Y313" s="2">
        <v>0.05</v>
      </c>
      <c r="Z313" s="2">
        <v>0.05</v>
      </c>
      <c r="AA313" s="2">
        <v>0.05</v>
      </c>
      <c r="AB313" s="2">
        <v>0.05</v>
      </c>
      <c r="AC313" s="2">
        <v>0.05</v>
      </c>
      <c r="AD313" s="2">
        <v>-1</v>
      </c>
      <c r="AE313" s="2">
        <v>-1</v>
      </c>
      <c r="AF313">
        <f t="shared" si="33"/>
        <v>1</v>
      </c>
      <c r="AG313">
        <f t="shared" si="34"/>
        <v>1</v>
      </c>
      <c r="AH313">
        <f t="shared" si="35"/>
        <v>1</v>
      </c>
      <c r="AI313">
        <f t="shared" si="36"/>
        <v>1</v>
      </c>
      <c r="AJ313">
        <f t="shared" si="37"/>
        <v>1</v>
      </c>
      <c r="AK313">
        <f t="shared" si="38"/>
        <v>1</v>
      </c>
      <c r="AL313">
        <f t="shared" si="39"/>
        <v>1</v>
      </c>
      <c r="AM313">
        <f t="shared" si="40"/>
        <v>1</v>
      </c>
      <c r="AN313">
        <f t="shared" si="41"/>
        <v>1</v>
      </c>
      <c r="AO313">
        <f t="shared" si="42"/>
        <v>-1</v>
      </c>
      <c r="AP313">
        <f t="shared" si="43"/>
        <v>-1</v>
      </c>
      <c r="AQ313">
        <v>0</v>
      </c>
      <c r="AR313" t="s">
        <v>2</v>
      </c>
      <c r="AS313">
        <v>-1</v>
      </c>
      <c r="AT313">
        <v>-1</v>
      </c>
      <c r="AU313">
        <v>-1</v>
      </c>
      <c r="AV313">
        <v>-1</v>
      </c>
      <c r="AW313">
        <v>-1</v>
      </c>
      <c r="AX313">
        <v>-1</v>
      </c>
      <c r="AY313">
        <v>-1</v>
      </c>
      <c r="AZ313">
        <v>-1</v>
      </c>
      <c r="BA313">
        <v>-1</v>
      </c>
      <c r="BB313">
        <v>0</v>
      </c>
      <c r="BC313" t="s">
        <v>2</v>
      </c>
      <c r="BD313">
        <v>-1</v>
      </c>
      <c r="BE313">
        <v>-1</v>
      </c>
      <c r="BF313">
        <v>-1</v>
      </c>
      <c r="BG313">
        <v>-1</v>
      </c>
      <c r="BH313">
        <v>-1</v>
      </c>
      <c r="BI313">
        <v>-1</v>
      </c>
      <c r="BJ313">
        <v>-1</v>
      </c>
      <c r="BK313">
        <v>-1</v>
      </c>
      <c r="BL313">
        <v>-1</v>
      </c>
      <c r="BM313">
        <v>-1</v>
      </c>
      <c r="BN313">
        <v>-1</v>
      </c>
      <c r="BO313">
        <v>-1</v>
      </c>
    </row>
    <row r="314" spans="1:67" x14ac:dyDescent="0.25">
      <c r="A314">
        <v>311</v>
      </c>
      <c r="B314">
        <v>46</v>
      </c>
      <c r="C314" t="str">
        <f>VLOOKUP(B314,[1]resources!$A$2:$D$300,3,FALSE)</f>
        <v>!!FOOD_SALAD</v>
      </c>
      <c r="D314">
        <v>22</v>
      </c>
      <c r="E314" t="str">
        <f>VLOOKUP(D314,[1]bonus_paytable!$A$2:$D$300,3,FALSE)</f>
        <v>larrythelobster</v>
      </c>
      <c r="F314">
        <v>-1</v>
      </c>
      <c r="G314">
        <v>-1</v>
      </c>
      <c r="H314">
        <v>1</v>
      </c>
      <c r="I314" t="s">
        <v>1</v>
      </c>
      <c r="J314">
        <v>30005</v>
      </c>
      <c r="K314">
        <v>80006</v>
      </c>
      <c r="L314">
        <v>22</v>
      </c>
      <c r="M314">
        <v>2000</v>
      </c>
      <c r="N314">
        <v>99</v>
      </c>
      <c r="O314">
        <v>20000</v>
      </c>
      <c r="P314">
        <v>60016</v>
      </c>
      <c r="Q314">
        <v>50006</v>
      </c>
      <c r="R314">
        <v>80007</v>
      </c>
      <c r="S314">
        <v>-1</v>
      </c>
      <c r="T314">
        <v>-1</v>
      </c>
      <c r="U314" s="2">
        <v>0.01</v>
      </c>
      <c r="V314" s="2">
        <v>0.03</v>
      </c>
      <c r="W314" s="2">
        <v>0.03</v>
      </c>
      <c r="X314" s="2">
        <v>0.03</v>
      </c>
      <c r="Y314" s="2">
        <v>0.05</v>
      </c>
      <c r="Z314" s="2">
        <v>0.05</v>
      </c>
      <c r="AA314" s="2">
        <v>0.05</v>
      </c>
      <c r="AB314" s="2">
        <v>0.05</v>
      </c>
      <c r="AC314" s="2">
        <v>0.05</v>
      </c>
      <c r="AD314" s="2">
        <v>-1</v>
      </c>
      <c r="AE314" s="2">
        <v>-1</v>
      </c>
      <c r="AF314">
        <f t="shared" si="33"/>
        <v>1</v>
      </c>
      <c r="AG314">
        <f t="shared" si="34"/>
        <v>1</v>
      </c>
      <c r="AH314">
        <f t="shared" si="35"/>
        <v>1</v>
      </c>
      <c r="AI314">
        <f t="shared" si="36"/>
        <v>1</v>
      </c>
      <c r="AJ314">
        <f t="shared" si="37"/>
        <v>1</v>
      </c>
      <c r="AK314">
        <f t="shared" si="38"/>
        <v>1</v>
      </c>
      <c r="AL314">
        <f t="shared" si="39"/>
        <v>1</v>
      </c>
      <c r="AM314">
        <f t="shared" si="40"/>
        <v>1</v>
      </c>
      <c r="AN314">
        <f t="shared" si="41"/>
        <v>1</v>
      </c>
      <c r="AO314">
        <f t="shared" si="42"/>
        <v>-1</v>
      </c>
      <c r="AP314">
        <f t="shared" si="43"/>
        <v>-1</v>
      </c>
      <c r="AQ314">
        <v>0</v>
      </c>
      <c r="AR314" t="s">
        <v>2</v>
      </c>
      <c r="AS314">
        <v>-1</v>
      </c>
      <c r="AT314">
        <v>-1</v>
      </c>
      <c r="AU314">
        <v>-1</v>
      </c>
      <c r="AV314">
        <v>-1</v>
      </c>
      <c r="AW314">
        <v>-1</v>
      </c>
      <c r="AX314">
        <v>-1</v>
      </c>
      <c r="AY314">
        <v>-1</v>
      </c>
      <c r="AZ314">
        <v>-1</v>
      </c>
      <c r="BA314">
        <v>-1</v>
      </c>
      <c r="BB314">
        <v>0</v>
      </c>
      <c r="BC314" t="s">
        <v>2</v>
      </c>
      <c r="BD314">
        <v>-1</v>
      </c>
      <c r="BE314">
        <v>-1</v>
      </c>
      <c r="BF314">
        <v>-1</v>
      </c>
      <c r="BG314">
        <v>-1</v>
      </c>
      <c r="BH314">
        <v>-1</v>
      </c>
      <c r="BI314">
        <v>-1</v>
      </c>
      <c r="BJ314">
        <v>-1</v>
      </c>
      <c r="BK314">
        <v>-1</v>
      </c>
      <c r="BL314">
        <v>-1</v>
      </c>
      <c r="BM314">
        <v>-1</v>
      </c>
      <c r="BN314">
        <v>-1</v>
      </c>
      <c r="BO314">
        <v>-1</v>
      </c>
    </row>
    <row r="315" spans="1:67" x14ac:dyDescent="0.25">
      <c r="A315">
        <v>312</v>
      </c>
      <c r="B315">
        <v>31</v>
      </c>
      <c r="C315" t="str">
        <f>VLOOKUP(B315,[1]resources!$A$2:$D$300,3,FALSE)</f>
        <v>!!FOOD_CAESAR_SALAD</v>
      </c>
      <c r="D315">
        <v>22</v>
      </c>
      <c r="E315" t="str">
        <f>VLOOKUP(D315,[1]bonus_paytable!$A$2:$D$300,3,FALSE)</f>
        <v>larrythelobster</v>
      </c>
      <c r="F315">
        <v>-1</v>
      </c>
      <c r="G315">
        <v>-1</v>
      </c>
      <c r="H315">
        <v>1</v>
      </c>
      <c r="I315" t="s">
        <v>1</v>
      </c>
      <c r="J315">
        <v>30005</v>
      </c>
      <c r="K315">
        <v>80006</v>
      </c>
      <c r="L315">
        <v>22</v>
      </c>
      <c r="M315">
        <v>2000</v>
      </c>
      <c r="N315">
        <v>99</v>
      </c>
      <c r="O315">
        <v>20000</v>
      </c>
      <c r="P315">
        <v>60016</v>
      </c>
      <c r="Q315">
        <v>50006</v>
      </c>
      <c r="R315">
        <v>80007</v>
      </c>
      <c r="S315">
        <v>-1</v>
      </c>
      <c r="T315">
        <v>-1</v>
      </c>
      <c r="U315" s="2">
        <v>0.01</v>
      </c>
      <c r="V315" s="2">
        <v>0.03</v>
      </c>
      <c r="W315" s="2">
        <v>0.03</v>
      </c>
      <c r="X315" s="2">
        <v>0.03</v>
      </c>
      <c r="Y315" s="2">
        <v>0.05</v>
      </c>
      <c r="Z315" s="2">
        <v>0.05</v>
      </c>
      <c r="AA315" s="2">
        <v>0.05</v>
      </c>
      <c r="AB315" s="2">
        <v>0.05</v>
      </c>
      <c r="AC315" s="2">
        <v>0.05</v>
      </c>
      <c r="AD315" s="2">
        <v>-1</v>
      </c>
      <c r="AE315" s="2">
        <v>-1</v>
      </c>
      <c r="AF315">
        <f t="shared" si="33"/>
        <v>1</v>
      </c>
      <c r="AG315">
        <f t="shared" si="34"/>
        <v>1</v>
      </c>
      <c r="AH315">
        <f t="shared" si="35"/>
        <v>1</v>
      </c>
      <c r="AI315">
        <f t="shared" si="36"/>
        <v>1</v>
      </c>
      <c r="AJ315">
        <f t="shared" si="37"/>
        <v>1</v>
      </c>
      <c r="AK315">
        <f t="shared" si="38"/>
        <v>1</v>
      </c>
      <c r="AL315">
        <f t="shared" si="39"/>
        <v>1</v>
      </c>
      <c r="AM315">
        <f t="shared" si="40"/>
        <v>1</v>
      </c>
      <c r="AN315">
        <f t="shared" si="41"/>
        <v>1</v>
      </c>
      <c r="AO315">
        <f t="shared" si="42"/>
        <v>-1</v>
      </c>
      <c r="AP315">
        <f t="shared" si="43"/>
        <v>-1</v>
      </c>
      <c r="AQ315">
        <v>0</v>
      </c>
      <c r="AR315" t="s">
        <v>2</v>
      </c>
      <c r="AS315">
        <v>-1</v>
      </c>
      <c r="AT315">
        <v>-1</v>
      </c>
      <c r="AU315">
        <v>-1</v>
      </c>
      <c r="AV315">
        <v>-1</v>
      </c>
      <c r="AW315">
        <v>-1</v>
      </c>
      <c r="AX315">
        <v>-1</v>
      </c>
      <c r="AY315">
        <v>-1</v>
      </c>
      <c r="AZ315">
        <v>-1</v>
      </c>
      <c r="BA315">
        <v>-1</v>
      </c>
      <c r="BB315">
        <v>0</v>
      </c>
      <c r="BC315" t="s">
        <v>2</v>
      </c>
      <c r="BD315">
        <v>-1</v>
      </c>
      <c r="BE315">
        <v>-1</v>
      </c>
      <c r="BF315">
        <v>-1</v>
      </c>
      <c r="BG315">
        <v>-1</v>
      </c>
      <c r="BH315">
        <v>-1</v>
      </c>
      <c r="BI315">
        <v>-1</v>
      </c>
      <c r="BJ315">
        <v>-1</v>
      </c>
      <c r="BK315">
        <v>-1</v>
      </c>
      <c r="BL315">
        <v>-1</v>
      </c>
      <c r="BM315">
        <v>-1</v>
      </c>
      <c r="BN315">
        <v>-1</v>
      </c>
      <c r="BO315">
        <v>-1</v>
      </c>
    </row>
    <row r="316" spans="1:67" x14ac:dyDescent="0.25">
      <c r="A316">
        <v>313</v>
      </c>
      <c r="B316">
        <v>40</v>
      </c>
      <c r="C316" t="str">
        <f>VLOOKUP(B316,[1]resources!$A$2:$D$300,3,FALSE)</f>
        <v>!!FOOD_VEGGIEPATTY</v>
      </c>
      <c r="D316">
        <v>22</v>
      </c>
      <c r="E316" t="str">
        <f>VLOOKUP(D316,[1]bonus_paytable!$A$2:$D$300,3,FALSE)</f>
        <v>larrythelobster</v>
      </c>
      <c r="F316">
        <v>-1</v>
      </c>
      <c r="G316">
        <v>-1</v>
      </c>
      <c r="H316">
        <v>1</v>
      </c>
      <c r="I316" t="s">
        <v>1</v>
      </c>
      <c r="J316">
        <v>30005</v>
      </c>
      <c r="K316">
        <v>80006</v>
      </c>
      <c r="L316">
        <v>22</v>
      </c>
      <c r="M316">
        <v>2000</v>
      </c>
      <c r="N316">
        <v>99</v>
      </c>
      <c r="O316">
        <v>20000</v>
      </c>
      <c r="P316">
        <v>60016</v>
      </c>
      <c r="Q316">
        <v>50006</v>
      </c>
      <c r="R316">
        <v>80007</v>
      </c>
      <c r="S316">
        <v>-1</v>
      </c>
      <c r="T316">
        <v>-1</v>
      </c>
      <c r="U316" s="2">
        <v>0.01</v>
      </c>
      <c r="V316" s="2">
        <v>0.03</v>
      </c>
      <c r="W316" s="2">
        <v>0.03</v>
      </c>
      <c r="X316" s="2">
        <v>0.03</v>
      </c>
      <c r="Y316" s="2">
        <v>0.05</v>
      </c>
      <c r="Z316" s="2">
        <v>0.05</v>
      </c>
      <c r="AA316" s="2">
        <v>0.05</v>
      </c>
      <c r="AB316" s="2">
        <v>0.05</v>
      </c>
      <c r="AC316" s="2">
        <v>0.05</v>
      </c>
      <c r="AD316" s="2">
        <v>-1</v>
      </c>
      <c r="AE316" s="2">
        <v>-1</v>
      </c>
      <c r="AF316">
        <f t="shared" si="33"/>
        <v>1</v>
      </c>
      <c r="AG316">
        <f t="shared" si="34"/>
        <v>1</v>
      </c>
      <c r="AH316">
        <f t="shared" si="35"/>
        <v>1</v>
      </c>
      <c r="AI316">
        <f t="shared" si="36"/>
        <v>1</v>
      </c>
      <c r="AJ316">
        <f t="shared" si="37"/>
        <v>1</v>
      </c>
      <c r="AK316">
        <f t="shared" si="38"/>
        <v>1</v>
      </c>
      <c r="AL316">
        <f t="shared" si="39"/>
        <v>1</v>
      </c>
      <c r="AM316">
        <f t="shared" si="40"/>
        <v>1</v>
      </c>
      <c r="AN316">
        <f t="shared" si="41"/>
        <v>1</v>
      </c>
      <c r="AO316">
        <f t="shared" si="42"/>
        <v>-1</v>
      </c>
      <c r="AP316">
        <f t="shared" si="43"/>
        <v>-1</v>
      </c>
      <c r="AQ316">
        <v>0</v>
      </c>
      <c r="AR316" t="s">
        <v>2</v>
      </c>
      <c r="AS316">
        <v>-1</v>
      </c>
      <c r="AT316">
        <v>-1</v>
      </c>
      <c r="AU316">
        <v>-1</v>
      </c>
      <c r="AV316">
        <v>-1</v>
      </c>
      <c r="AW316">
        <v>-1</v>
      </c>
      <c r="AX316">
        <v>-1</v>
      </c>
      <c r="AY316">
        <v>-1</v>
      </c>
      <c r="AZ316">
        <v>-1</v>
      </c>
      <c r="BA316">
        <v>-1</v>
      </c>
      <c r="BB316">
        <v>0</v>
      </c>
      <c r="BC316" t="s">
        <v>2</v>
      </c>
      <c r="BD316">
        <v>-1</v>
      </c>
      <c r="BE316">
        <v>-1</v>
      </c>
      <c r="BF316">
        <v>-1</v>
      </c>
      <c r="BG316">
        <v>-1</v>
      </c>
      <c r="BH316">
        <v>-1</v>
      </c>
      <c r="BI316">
        <v>-1</v>
      </c>
      <c r="BJ316">
        <v>-1</v>
      </c>
      <c r="BK316">
        <v>-1</v>
      </c>
      <c r="BL316">
        <v>-1</v>
      </c>
      <c r="BM316">
        <v>-1</v>
      </c>
      <c r="BN316">
        <v>-1</v>
      </c>
      <c r="BO316">
        <v>-1</v>
      </c>
    </row>
    <row r="317" spans="1:67" x14ac:dyDescent="0.25">
      <c r="A317">
        <v>314</v>
      </c>
      <c r="B317">
        <v>22</v>
      </c>
      <c r="C317" t="str">
        <f>VLOOKUP(B317,[1]resources!$A$2:$D$300,3,FALSE)</f>
        <v>!!FOOD_SEAWEEDSALAD</v>
      </c>
      <c r="D317">
        <v>22</v>
      </c>
      <c r="E317" t="str">
        <f>VLOOKUP(D317,[1]bonus_paytable!$A$2:$D$300,3,FALSE)</f>
        <v>larrythelobster</v>
      </c>
      <c r="F317">
        <v>-1</v>
      </c>
      <c r="G317">
        <v>-1</v>
      </c>
      <c r="H317">
        <v>1</v>
      </c>
      <c r="I317" t="s">
        <v>1</v>
      </c>
      <c r="J317">
        <v>30005</v>
      </c>
      <c r="K317">
        <v>80006</v>
      </c>
      <c r="L317">
        <v>22</v>
      </c>
      <c r="M317">
        <v>2000</v>
      </c>
      <c r="N317">
        <v>99</v>
      </c>
      <c r="O317">
        <v>20000</v>
      </c>
      <c r="P317">
        <v>60016</v>
      </c>
      <c r="Q317">
        <v>50006</v>
      </c>
      <c r="R317">
        <v>80007</v>
      </c>
      <c r="S317">
        <v>-1</v>
      </c>
      <c r="T317">
        <v>-1</v>
      </c>
      <c r="U317" s="2">
        <v>0.01</v>
      </c>
      <c r="V317" s="2">
        <v>0.03</v>
      </c>
      <c r="W317" s="2">
        <v>0.03</v>
      </c>
      <c r="X317" s="2">
        <v>0.03</v>
      </c>
      <c r="Y317" s="2">
        <v>0.05</v>
      </c>
      <c r="Z317" s="2">
        <v>0.05</v>
      </c>
      <c r="AA317" s="2">
        <v>0.05</v>
      </c>
      <c r="AB317" s="2">
        <v>0.05</v>
      </c>
      <c r="AC317" s="2">
        <v>0.05</v>
      </c>
      <c r="AD317" s="2">
        <v>-1</v>
      </c>
      <c r="AE317" s="2">
        <v>-1</v>
      </c>
      <c r="AF317">
        <f t="shared" si="33"/>
        <v>1</v>
      </c>
      <c r="AG317">
        <f t="shared" si="34"/>
        <v>1</v>
      </c>
      <c r="AH317">
        <f t="shared" si="35"/>
        <v>1</v>
      </c>
      <c r="AI317">
        <f t="shared" si="36"/>
        <v>1</v>
      </c>
      <c r="AJ317">
        <f t="shared" si="37"/>
        <v>1</v>
      </c>
      <c r="AK317">
        <f t="shared" si="38"/>
        <v>1</v>
      </c>
      <c r="AL317">
        <f t="shared" si="39"/>
        <v>1</v>
      </c>
      <c r="AM317">
        <f t="shared" si="40"/>
        <v>1</v>
      </c>
      <c r="AN317">
        <f t="shared" si="41"/>
        <v>1</v>
      </c>
      <c r="AO317">
        <f t="shared" si="42"/>
        <v>-1</v>
      </c>
      <c r="AP317">
        <f t="shared" si="43"/>
        <v>-1</v>
      </c>
      <c r="AQ317">
        <v>0</v>
      </c>
      <c r="AR317" t="s">
        <v>2</v>
      </c>
      <c r="AS317">
        <v>-1</v>
      </c>
      <c r="AT317">
        <v>-1</v>
      </c>
      <c r="AU317">
        <v>-1</v>
      </c>
      <c r="AV317">
        <v>-1</v>
      </c>
      <c r="AW317">
        <v>-1</v>
      </c>
      <c r="AX317">
        <v>-1</v>
      </c>
      <c r="AY317">
        <v>-1</v>
      </c>
      <c r="AZ317">
        <v>-1</v>
      </c>
      <c r="BA317">
        <v>-1</v>
      </c>
      <c r="BB317">
        <v>0</v>
      </c>
      <c r="BC317" t="s">
        <v>2</v>
      </c>
      <c r="BD317">
        <v>-1</v>
      </c>
      <c r="BE317">
        <v>-1</v>
      </c>
      <c r="BF317">
        <v>-1</v>
      </c>
      <c r="BG317">
        <v>-1</v>
      </c>
      <c r="BH317">
        <v>-1</v>
      </c>
      <c r="BI317">
        <v>-1</v>
      </c>
      <c r="BJ317">
        <v>-1</v>
      </c>
      <c r="BK317">
        <v>-1</v>
      </c>
      <c r="BL317">
        <v>-1</v>
      </c>
      <c r="BM317">
        <v>-1</v>
      </c>
      <c r="BN317">
        <v>-1</v>
      </c>
      <c r="BO317">
        <v>-1</v>
      </c>
    </row>
    <row r="318" spans="1:67" x14ac:dyDescent="0.25">
      <c r="A318">
        <v>315</v>
      </c>
      <c r="B318">
        <v>20003</v>
      </c>
      <c r="C318" t="str">
        <f>VLOOKUP(B318,[1]resources!$A$2:$D$300,3,FALSE)</f>
        <v>!!JUICE_ORANGE</v>
      </c>
      <c r="D318">
        <v>22</v>
      </c>
      <c r="E318" t="str">
        <f>VLOOKUP(D318,[1]bonus_paytable!$A$2:$D$300,3,FALSE)</f>
        <v>larrythelobster</v>
      </c>
      <c r="F318">
        <v>-1</v>
      </c>
      <c r="G318">
        <v>-1</v>
      </c>
      <c r="H318">
        <v>1</v>
      </c>
      <c r="I318" t="s">
        <v>1</v>
      </c>
      <c r="J318">
        <v>30005</v>
      </c>
      <c r="K318">
        <v>80006</v>
      </c>
      <c r="L318">
        <v>22</v>
      </c>
      <c r="M318">
        <v>2000</v>
      </c>
      <c r="N318">
        <v>99</v>
      </c>
      <c r="O318">
        <v>20000</v>
      </c>
      <c r="P318">
        <v>60016</v>
      </c>
      <c r="Q318">
        <v>50006</v>
      </c>
      <c r="R318">
        <v>80007</v>
      </c>
      <c r="S318">
        <v>-1</v>
      </c>
      <c r="T318">
        <v>-1</v>
      </c>
      <c r="U318" s="2">
        <v>0.01</v>
      </c>
      <c r="V318" s="2">
        <v>0.03</v>
      </c>
      <c r="W318" s="2">
        <v>0.03</v>
      </c>
      <c r="X318" s="2">
        <v>0.03</v>
      </c>
      <c r="Y318" s="2">
        <v>0.05</v>
      </c>
      <c r="Z318" s="2">
        <v>0.05</v>
      </c>
      <c r="AA318" s="2">
        <v>0.05</v>
      </c>
      <c r="AB318" s="2">
        <v>0.05</v>
      </c>
      <c r="AC318" s="2">
        <v>0.05</v>
      </c>
      <c r="AD318" s="2">
        <v>-1</v>
      </c>
      <c r="AE318" s="2">
        <v>-1</v>
      </c>
      <c r="AF318">
        <f t="shared" si="33"/>
        <v>1</v>
      </c>
      <c r="AG318">
        <f t="shared" si="34"/>
        <v>1</v>
      </c>
      <c r="AH318">
        <f t="shared" si="35"/>
        <v>1</v>
      </c>
      <c r="AI318">
        <f t="shared" si="36"/>
        <v>1</v>
      </c>
      <c r="AJ318">
        <f t="shared" si="37"/>
        <v>1</v>
      </c>
      <c r="AK318">
        <f t="shared" si="38"/>
        <v>1</v>
      </c>
      <c r="AL318">
        <f t="shared" si="39"/>
        <v>1</v>
      </c>
      <c r="AM318">
        <f t="shared" si="40"/>
        <v>1</v>
      </c>
      <c r="AN318">
        <f t="shared" si="41"/>
        <v>1</v>
      </c>
      <c r="AO318">
        <f t="shared" si="42"/>
        <v>-1</v>
      </c>
      <c r="AP318">
        <f t="shared" si="43"/>
        <v>-1</v>
      </c>
      <c r="AQ318">
        <v>0</v>
      </c>
      <c r="AR318" t="s">
        <v>2</v>
      </c>
      <c r="AS318">
        <v>-1</v>
      </c>
      <c r="AT318">
        <v>-1</v>
      </c>
      <c r="AU318">
        <v>-1</v>
      </c>
      <c r="AV318">
        <v>-1</v>
      </c>
      <c r="AW318">
        <v>-1</v>
      </c>
      <c r="AX318">
        <v>-1</v>
      </c>
      <c r="AY318">
        <v>-1</v>
      </c>
      <c r="AZ318">
        <v>-1</v>
      </c>
      <c r="BA318">
        <v>-1</v>
      </c>
      <c r="BB318">
        <v>0</v>
      </c>
      <c r="BC318" t="s">
        <v>2</v>
      </c>
      <c r="BD318">
        <v>-1</v>
      </c>
      <c r="BE318">
        <v>-1</v>
      </c>
      <c r="BF318">
        <v>-1</v>
      </c>
      <c r="BG318">
        <v>-1</v>
      </c>
      <c r="BH318">
        <v>-1</v>
      </c>
      <c r="BI318">
        <v>-1</v>
      </c>
      <c r="BJ318">
        <v>-1</v>
      </c>
      <c r="BK318">
        <v>-1</v>
      </c>
      <c r="BL318">
        <v>-1</v>
      </c>
      <c r="BM318">
        <v>-1</v>
      </c>
      <c r="BN318">
        <v>-1</v>
      </c>
      <c r="BO318">
        <v>-1</v>
      </c>
    </row>
    <row r="319" spans="1:67" x14ac:dyDescent="0.25">
      <c r="A319">
        <v>316</v>
      </c>
      <c r="B319">
        <v>30000</v>
      </c>
      <c r="C319" t="str">
        <f>VLOOKUP(B319,[1]resources!$A$2:$D$300,3,FALSE)</f>
        <v>!!SMOOTHIE_BANANA_BREAKER</v>
      </c>
      <c r="D319">
        <v>22</v>
      </c>
      <c r="E319" t="str">
        <f>VLOOKUP(D319,[1]bonus_paytable!$A$2:$D$300,3,FALSE)</f>
        <v>larrythelobster</v>
      </c>
      <c r="F319">
        <v>-1</v>
      </c>
      <c r="G319">
        <v>-1</v>
      </c>
      <c r="H319">
        <v>1</v>
      </c>
      <c r="I319" t="s">
        <v>1</v>
      </c>
      <c r="J319">
        <v>30005</v>
      </c>
      <c r="K319">
        <v>80006</v>
      </c>
      <c r="L319">
        <v>22</v>
      </c>
      <c r="M319">
        <v>2000</v>
      </c>
      <c r="N319">
        <v>99</v>
      </c>
      <c r="O319">
        <v>20000</v>
      </c>
      <c r="P319">
        <v>60016</v>
      </c>
      <c r="Q319">
        <v>50006</v>
      </c>
      <c r="R319">
        <v>80007</v>
      </c>
      <c r="S319">
        <v>-1</v>
      </c>
      <c r="T319">
        <v>-1</v>
      </c>
      <c r="U319" s="2">
        <v>0.01</v>
      </c>
      <c r="V319" s="2">
        <v>0.03</v>
      </c>
      <c r="W319" s="2">
        <v>0.03</v>
      </c>
      <c r="X319" s="2">
        <v>0.03</v>
      </c>
      <c r="Y319" s="2">
        <v>0.05</v>
      </c>
      <c r="Z319" s="2">
        <v>0.05</v>
      </c>
      <c r="AA319" s="2">
        <v>0.05</v>
      </c>
      <c r="AB319" s="2">
        <v>0.05</v>
      </c>
      <c r="AC319" s="2">
        <v>0.05</v>
      </c>
      <c r="AD319" s="2">
        <v>-1</v>
      </c>
      <c r="AE319" s="2">
        <v>-1</v>
      </c>
      <c r="AF319">
        <f t="shared" si="33"/>
        <v>1</v>
      </c>
      <c r="AG319">
        <f t="shared" si="34"/>
        <v>1</v>
      </c>
      <c r="AH319">
        <f t="shared" si="35"/>
        <v>1</v>
      </c>
      <c r="AI319">
        <f t="shared" si="36"/>
        <v>1</v>
      </c>
      <c r="AJ319">
        <f t="shared" si="37"/>
        <v>1</v>
      </c>
      <c r="AK319">
        <f t="shared" si="38"/>
        <v>1</v>
      </c>
      <c r="AL319">
        <f t="shared" si="39"/>
        <v>1</v>
      </c>
      <c r="AM319">
        <f t="shared" si="40"/>
        <v>1</v>
      </c>
      <c r="AN319">
        <f t="shared" si="41"/>
        <v>1</v>
      </c>
      <c r="AO319">
        <f t="shared" si="42"/>
        <v>-1</v>
      </c>
      <c r="AP319">
        <f t="shared" si="43"/>
        <v>-1</v>
      </c>
      <c r="AQ319">
        <v>0</v>
      </c>
      <c r="AR319" t="s">
        <v>2</v>
      </c>
      <c r="AS319">
        <v>-1</v>
      </c>
      <c r="AT319">
        <v>-1</v>
      </c>
      <c r="AU319">
        <v>-1</v>
      </c>
      <c r="AV319">
        <v>-1</v>
      </c>
      <c r="AW319">
        <v>-1</v>
      </c>
      <c r="AX319">
        <v>-1</v>
      </c>
      <c r="AY319">
        <v>-1</v>
      </c>
      <c r="AZ319">
        <v>-1</v>
      </c>
      <c r="BA319">
        <v>-1</v>
      </c>
      <c r="BB319">
        <v>0</v>
      </c>
      <c r="BC319" t="s">
        <v>2</v>
      </c>
      <c r="BD319">
        <v>-1</v>
      </c>
      <c r="BE319">
        <v>-1</v>
      </c>
      <c r="BF319">
        <v>-1</v>
      </c>
      <c r="BG319">
        <v>-1</v>
      </c>
      <c r="BH319">
        <v>-1</v>
      </c>
      <c r="BI319">
        <v>-1</v>
      </c>
      <c r="BJ319">
        <v>-1</v>
      </c>
      <c r="BK319">
        <v>-1</v>
      </c>
      <c r="BL319">
        <v>-1</v>
      </c>
      <c r="BM319">
        <v>-1</v>
      </c>
      <c r="BN319">
        <v>-1</v>
      </c>
      <c r="BO319">
        <v>-1</v>
      </c>
    </row>
    <row r="320" spans="1:67" x14ac:dyDescent="0.25">
      <c r="A320">
        <v>317</v>
      </c>
      <c r="B320">
        <v>30005</v>
      </c>
      <c r="C320" t="str">
        <f>VLOOKUP(B320,[1]resources!$A$2:$D$300,3,FALSE)</f>
        <v>!!SMOOTHIE_HANG_8</v>
      </c>
      <c r="D320">
        <v>22</v>
      </c>
      <c r="E320" t="str">
        <f>VLOOKUP(D320,[1]bonus_paytable!$A$2:$D$300,3,FALSE)</f>
        <v>larrythelobster</v>
      </c>
      <c r="F320">
        <v>-1</v>
      </c>
      <c r="G320">
        <v>-1</v>
      </c>
      <c r="H320">
        <v>1</v>
      </c>
      <c r="I320" t="s">
        <v>1</v>
      </c>
      <c r="J320">
        <v>30005</v>
      </c>
      <c r="K320">
        <v>80006</v>
      </c>
      <c r="L320">
        <v>22</v>
      </c>
      <c r="M320">
        <v>2000</v>
      </c>
      <c r="N320">
        <v>99</v>
      </c>
      <c r="O320">
        <v>20000</v>
      </c>
      <c r="P320">
        <v>60016</v>
      </c>
      <c r="Q320">
        <v>50006</v>
      </c>
      <c r="R320">
        <v>80007</v>
      </c>
      <c r="S320">
        <v>-1</v>
      </c>
      <c r="T320">
        <v>-1</v>
      </c>
      <c r="U320" s="2">
        <v>0.01</v>
      </c>
      <c r="V320" s="2">
        <v>0.03</v>
      </c>
      <c r="W320" s="2">
        <v>0.03</v>
      </c>
      <c r="X320" s="2">
        <v>0.03</v>
      </c>
      <c r="Y320" s="2">
        <v>0.05</v>
      </c>
      <c r="Z320" s="2">
        <v>0.05</v>
      </c>
      <c r="AA320" s="2">
        <v>0.05</v>
      </c>
      <c r="AB320" s="2">
        <v>0.05</v>
      </c>
      <c r="AC320" s="2">
        <v>0.05</v>
      </c>
      <c r="AD320" s="2">
        <v>-1</v>
      </c>
      <c r="AE320" s="2">
        <v>-1</v>
      </c>
      <c r="AF320">
        <f t="shared" si="33"/>
        <v>1</v>
      </c>
      <c r="AG320">
        <f t="shared" si="34"/>
        <v>1</v>
      </c>
      <c r="AH320">
        <f t="shared" si="35"/>
        <v>1</v>
      </c>
      <c r="AI320">
        <f t="shared" si="36"/>
        <v>1</v>
      </c>
      <c r="AJ320">
        <f t="shared" si="37"/>
        <v>1</v>
      </c>
      <c r="AK320">
        <f t="shared" si="38"/>
        <v>1</v>
      </c>
      <c r="AL320">
        <f t="shared" si="39"/>
        <v>1</v>
      </c>
      <c r="AM320">
        <f t="shared" si="40"/>
        <v>1</v>
      </c>
      <c r="AN320">
        <f t="shared" si="41"/>
        <v>1</v>
      </c>
      <c r="AO320">
        <f t="shared" si="42"/>
        <v>-1</v>
      </c>
      <c r="AP320">
        <f t="shared" si="43"/>
        <v>-1</v>
      </c>
      <c r="AQ320">
        <v>0</v>
      </c>
      <c r="AR320" t="s">
        <v>2</v>
      </c>
      <c r="AS320">
        <v>-1</v>
      </c>
      <c r="AT320">
        <v>-1</v>
      </c>
      <c r="AU320">
        <v>-1</v>
      </c>
      <c r="AV320">
        <v>-1</v>
      </c>
      <c r="AW320">
        <v>-1</v>
      </c>
      <c r="AX320">
        <v>-1</v>
      </c>
      <c r="AY320">
        <v>-1</v>
      </c>
      <c r="AZ320">
        <v>-1</v>
      </c>
      <c r="BA320">
        <v>-1</v>
      </c>
      <c r="BB320">
        <v>0</v>
      </c>
      <c r="BC320" t="s">
        <v>2</v>
      </c>
      <c r="BD320">
        <v>-1</v>
      </c>
      <c r="BE320">
        <v>-1</v>
      </c>
      <c r="BF320">
        <v>-1</v>
      </c>
      <c r="BG320">
        <v>-1</v>
      </c>
      <c r="BH320">
        <v>-1</v>
      </c>
      <c r="BI320">
        <v>-1</v>
      </c>
      <c r="BJ320">
        <v>-1</v>
      </c>
      <c r="BK320">
        <v>-1</v>
      </c>
      <c r="BL320">
        <v>-1</v>
      </c>
      <c r="BM320">
        <v>-1</v>
      </c>
      <c r="BN320">
        <v>-1</v>
      </c>
      <c r="BO320">
        <v>-1</v>
      </c>
    </row>
    <row r="321" spans="1:67" x14ac:dyDescent="0.25">
      <c r="A321">
        <v>318</v>
      </c>
      <c r="B321">
        <v>80000</v>
      </c>
      <c r="C321" t="str">
        <f>VLOOKUP(B321,[1]resources!$A$2:$D$300,3,FALSE)</f>
        <v>!!FOOD_BAKED_BANANABANANABREAD</v>
      </c>
      <c r="D321">
        <v>22</v>
      </c>
      <c r="E321" t="str">
        <f>VLOOKUP(D321,[1]bonus_paytable!$A$2:$D$300,3,FALSE)</f>
        <v>larrythelobster</v>
      </c>
      <c r="F321">
        <v>-1</v>
      </c>
      <c r="G321">
        <v>-1</v>
      </c>
      <c r="H321">
        <v>1</v>
      </c>
      <c r="I321" t="s">
        <v>1</v>
      </c>
      <c r="J321">
        <v>30005</v>
      </c>
      <c r="K321">
        <v>80006</v>
      </c>
      <c r="L321">
        <v>22</v>
      </c>
      <c r="M321">
        <v>2000</v>
      </c>
      <c r="N321">
        <v>99</v>
      </c>
      <c r="O321">
        <v>20000</v>
      </c>
      <c r="P321">
        <v>60016</v>
      </c>
      <c r="Q321">
        <v>50006</v>
      </c>
      <c r="R321">
        <v>80007</v>
      </c>
      <c r="S321">
        <v>-1</v>
      </c>
      <c r="T321">
        <v>-1</v>
      </c>
      <c r="U321" s="2">
        <v>0.01</v>
      </c>
      <c r="V321" s="2">
        <v>0.03</v>
      </c>
      <c r="W321" s="2">
        <v>0.03</v>
      </c>
      <c r="X321" s="2">
        <v>0.03</v>
      </c>
      <c r="Y321" s="2">
        <v>0.05</v>
      </c>
      <c r="Z321" s="2">
        <v>0.05</v>
      </c>
      <c r="AA321" s="2">
        <v>0.05</v>
      </c>
      <c r="AB321" s="2">
        <v>0.05</v>
      </c>
      <c r="AC321" s="2">
        <v>0.05</v>
      </c>
      <c r="AD321" s="2">
        <v>-1</v>
      </c>
      <c r="AE321" s="2">
        <v>-1</v>
      </c>
      <c r="AF321">
        <f t="shared" si="33"/>
        <v>1</v>
      </c>
      <c r="AG321">
        <f t="shared" si="34"/>
        <v>1</v>
      </c>
      <c r="AH321">
        <f t="shared" si="35"/>
        <v>1</v>
      </c>
      <c r="AI321">
        <f t="shared" si="36"/>
        <v>1</v>
      </c>
      <c r="AJ321">
        <f t="shared" si="37"/>
        <v>1</v>
      </c>
      <c r="AK321">
        <f t="shared" si="38"/>
        <v>1</v>
      </c>
      <c r="AL321">
        <f t="shared" si="39"/>
        <v>1</v>
      </c>
      <c r="AM321">
        <f t="shared" si="40"/>
        <v>1</v>
      </c>
      <c r="AN321">
        <f t="shared" si="41"/>
        <v>1</v>
      </c>
      <c r="AO321">
        <f t="shared" si="42"/>
        <v>-1</v>
      </c>
      <c r="AP321">
        <f t="shared" si="43"/>
        <v>-1</v>
      </c>
      <c r="AQ321">
        <v>0</v>
      </c>
      <c r="AR321" t="s">
        <v>2</v>
      </c>
      <c r="AS321">
        <v>-1</v>
      </c>
      <c r="AT321">
        <v>-1</v>
      </c>
      <c r="AU321">
        <v>-1</v>
      </c>
      <c r="AV321">
        <v>-1</v>
      </c>
      <c r="AW321">
        <v>-1</v>
      </c>
      <c r="AX321">
        <v>-1</v>
      </c>
      <c r="AY321">
        <v>-1</v>
      </c>
      <c r="AZ321">
        <v>-1</v>
      </c>
      <c r="BA321">
        <v>-1</v>
      </c>
      <c r="BB321">
        <v>0</v>
      </c>
      <c r="BC321" t="s">
        <v>2</v>
      </c>
      <c r="BD321">
        <v>-1</v>
      </c>
      <c r="BE321">
        <v>-1</v>
      </c>
      <c r="BF321">
        <v>-1</v>
      </c>
      <c r="BG321">
        <v>-1</v>
      </c>
      <c r="BH321">
        <v>-1</v>
      </c>
      <c r="BI321">
        <v>-1</v>
      </c>
      <c r="BJ321">
        <v>-1</v>
      </c>
      <c r="BK321">
        <v>-1</v>
      </c>
      <c r="BL321">
        <v>-1</v>
      </c>
      <c r="BM321">
        <v>-1</v>
      </c>
      <c r="BN321">
        <v>-1</v>
      </c>
      <c r="BO321">
        <v>-1</v>
      </c>
    </row>
    <row r="322" spans="1:67" x14ac:dyDescent="0.25">
      <c r="A322">
        <v>319</v>
      </c>
      <c r="B322">
        <v>70002</v>
      </c>
      <c r="C322" t="str">
        <f>VLOOKUP(B322,[1]resources!$A$2:$D$300,3,FALSE)</f>
        <v>!!PERFUME_CAPSIZEFORHIM</v>
      </c>
      <c r="D322">
        <v>22</v>
      </c>
      <c r="E322" t="str">
        <f>VLOOKUP(D322,[1]bonus_paytable!$A$2:$D$300,3,FALSE)</f>
        <v>larrythelobster</v>
      </c>
      <c r="F322">
        <v>-1</v>
      </c>
      <c r="G322">
        <v>-1</v>
      </c>
      <c r="H322">
        <v>1</v>
      </c>
      <c r="I322" t="s">
        <v>1</v>
      </c>
      <c r="J322">
        <v>30005</v>
      </c>
      <c r="K322">
        <v>80006</v>
      </c>
      <c r="L322">
        <v>22</v>
      </c>
      <c r="M322">
        <v>2000</v>
      </c>
      <c r="N322">
        <v>99</v>
      </c>
      <c r="O322">
        <v>20000</v>
      </c>
      <c r="P322">
        <v>60016</v>
      </c>
      <c r="Q322">
        <v>50006</v>
      </c>
      <c r="R322">
        <v>80007</v>
      </c>
      <c r="S322">
        <v>-1</v>
      </c>
      <c r="T322">
        <v>-1</v>
      </c>
      <c r="U322" s="2">
        <v>0.01</v>
      </c>
      <c r="V322" s="2">
        <v>0.03</v>
      </c>
      <c r="W322" s="2">
        <v>0.03</v>
      </c>
      <c r="X322" s="2">
        <v>0.03</v>
      </c>
      <c r="Y322" s="2">
        <v>0.05</v>
      </c>
      <c r="Z322" s="2">
        <v>0.05</v>
      </c>
      <c r="AA322" s="2">
        <v>0.05</v>
      </c>
      <c r="AB322" s="2">
        <v>0.05</v>
      </c>
      <c r="AC322" s="2">
        <v>0.05</v>
      </c>
      <c r="AD322" s="2">
        <v>-1</v>
      </c>
      <c r="AE322" s="2">
        <v>-1</v>
      </c>
      <c r="AF322">
        <f>IF(J322&gt;-1,1,-1)</f>
        <v>1</v>
      </c>
      <c r="AG322">
        <f t="shared" ref="AG322:AP322" si="44">IF(K322&gt;-1,1,-1)</f>
        <v>1</v>
      </c>
      <c r="AH322">
        <f t="shared" si="44"/>
        <v>1</v>
      </c>
      <c r="AI322">
        <f t="shared" si="44"/>
        <v>1</v>
      </c>
      <c r="AJ322">
        <f t="shared" si="44"/>
        <v>1</v>
      </c>
      <c r="AK322">
        <f t="shared" si="44"/>
        <v>1</v>
      </c>
      <c r="AL322">
        <f t="shared" si="44"/>
        <v>1</v>
      </c>
      <c r="AM322">
        <f t="shared" si="44"/>
        <v>1</v>
      </c>
      <c r="AN322">
        <f t="shared" si="44"/>
        <v>1</v>
      </c>
      <c r="AO322">
        <f t="shared" si="44"/>
        <v>-1</v>
      </c>
      <c r="AP322">
        <f t="shared" si="44"/>
        <v>-1</v>
      </c>
      <c r="AQ322">
        <v>0</v>
      </c>
      <c r="AR322" t="s">
        <v>2</v>
      </c>
      <c r="AS322">
        <v>-1</v>
      </c>
      <c r="AT322">
        <v>-1</v>
      </c>
      <c r="AU322">
        <v>-1</v>
      </c>
      <c r="AV322">
        <v>-1</v>
      </c>
      <c r="AW322">
        <v>-1</v>
      </c>
      <c r="AX322">
        <v>-1</v>
      </c>
      <c r="AY322">
        <v>-1</v>
      </c>
      <c r="AZ322">
        <v>-1</v>
      </c>
      <c r="BA322">
        <v>-1</v>
      </c>
      <c r="BB322">
        <v>0</v>
      </c>
      <c r="BC322" t="s">
        <v>2</v>
      </c>
      <c r="BD322">
        <v>-1</v>
      </c>
      <c r="BE322">
        <v>-1</v>
      </c>
      <c r="BF322">
        <v>-1</v>
      </c>
      <c r="BG322">
        <v>-1</v>
      </c>
      <c r="BH322">
        <v>-1</v>
      </c>
      <c r="BI322">
        <v>-1</v>
      </c>
      <c r="BJ322">
        <v>-1</v>
      </c>
      <c r="BK322">
        <v>-1</v>
      </c>
      <c r="BL322">
        <v>-1</v>
      </c>
      <c r="BM322">
        <v>-1</v>
      </c>
      <c r="BN322">
        <v>-1</v>
      </c>
      <c r="BO322">
        <v>-1</v>
      </c>
    </row>
    <row r="323" spans="1:67" x14ac:dyDescent="0.25">
      <c r="A323">
        <v>320</v>
      </c>
      <c r="B323">
        <v>1</v>
      </c>
      <c r="C323" t="str">
        <f>VLOOKUP(B323,[1]resources!$A$2:$D$300,3,FALSE)</f>
        <v>!!FOOD_KRABBYPATTY</v>
      </c>
      <c r="D323">
        <v>23</v>
      </c>
      <c r="E323" t="str">
        <f>VLOOKUP(D323,[1]bonus_paytable!$A$2:$D$300,3,FALSE)</f>
        <v>manray</v>
      </c>
      <c r="F323">
        <v>-1</v>
      </c>
      <c r="G323">
        <v>-1</v>
      </c>
      <c r="H323">
        <v>1</v>
      </c>
      <c r="I323" t="s">
        <v>1</v>
      </c>
      <c r="J323">
        <v>70011</v>
      </c>
      <c r="K323">
        <v>80005</v>
      </c>
      <c r="L323">
        <v>40008</v>
      </c>
      <c r="M323">
        <v>50001</v>
      </c>
      <c r="N323">
        <v>40</v>
      </c>
      <c r="O323">
        <v>30011</v>
      </c>
      <c r="P323">
        <v>40007</v>
      </c>
      <c r="Q323">
        <v>80003</v>
      </c>
      <c r="R323">
        <v>-1</v>
      </c>
      <c r="S323">
        <v>-1</v>
      </c>
      <c r="T323">
        <v>-1</v>
      </c>
      <c r="U323" s="2">
        <v>0.01</v>
      </c>
      <c r="V323" s="2">
        <v>0.03</v>
      </c>
      <c r="W323" s="2">
        <v>0.03</v>
      </c>
      <c r="X323" s="2">
        <v>0.03</v>
      </c>
      <c r="Y323" s="2">
        <v>0.05</v>
      </c>
      <c r="Z323" s="2">
        <v>0.05</v>
      </c>
      <c r="AA323" s="2">
        <v>0.05</v>
      </c>
      <c r="AB323" s="2">
        <v>0.05</v>
      </c>
      <c r="AC323" s="2">
        <v>-1</v>
      </c>
      <c r="AD323" s="2">
        <v>-1</v>
      </c>
      <c r="AE323" s="2">
        <v>-1</v>
      </c>
      <c r="AF323">
        <f t="shared" ref="AF323:AF386" si="45">IF(J323&gt;-1,1,-1)</f>
        <v>1</v>
      </c>
      <c r="AG323">
        <f t="shared" ref="AG323:AG386" si="46">IF(K323&gt;-1,1,-1)</f>
        <v>1</v>
      </c>
      <c r="AH323">
        <f t="shared" ref="AH323:AH386" si="47">IF(L323&gt;-1,1,-1)</f>
        <v>1</v>
      </c>
      <c r="AI323">
        <f t="shared" ref="AI323:AI386" si="48">IF(M323&gt;-1,1,-1)</f>
        <v>1</v>
      </c>
      <c r="AJ323">
        <f t="shared" ref="AJ323:AJ386" si="49">IF(N323&gt;-1,1,-1)</f>
        <v>1</v>
      </c>
      <c r="AK323">
        <f t="shared" ref="AK323:AK386" si="50">IF(O323&gt;-1,1,-1)</f>
        <v>1</v>
      </c>
      <c r="AL323">
        <f t="shared" ref="AL323:AL386" si="51">IF(P323&gt;-1,1,-1)</f>
        <v>1</v>
      </c>
      <c r="AM323">
        <f t="shared" ref="AM323:AM386" si="52">IF(Q323&gt;-1,1,-1)</f>
        <v>1</v>
      </c>
      <c r="AN323">
        <f t="shared" ref="AN323:AN386" si="53">IF(R323&gt;-1,1,-1)</f>
        <v>-1</v>
      </c>
      <c r="AO323">
        <f t="shared" ref="AO323:AO386" si="54">IF(S323&gt;-1,1,-1)</f>
        <v>-1</v>
      </c>
      <c r="AP323">
        <f t="shared" ref="AP323:AP386" si="55">IF(T323&gt;-1,1,-1)</f>
        <v>-1</v>
      </c>
      <c r="AQ323">
        <v>0</v>
      </c>
      <c r="AR323" t="s">
        <v>2</v>
      </c>
      <c r="AS323">
        <v>-1</v>
      </c>
      <c r="AT323">
        <v>-1</v>
      </c>
      <c r="AU323">
        <v>-1</v>
      </c>
      <c r="AV323">
        <v>-1</v>
      </c>
      <c r="AW323">
        <v>-1</v>
      </c>
      <c r="AX323">
        <v>-1</v>
      </c>
      <c r="AY323">
        <v>-1</v>
      </c>
      <c r="AZ323">
        <v>-1</v>
      </c>
      <c r="BA323">
        <v>-1</v>
      </c>
      <c r="BB323">
        <v>0</v>
      </c>
      <c r="BC323" t="s">
        <v>2</v>
      </c>
      <c r="BD323">
        <v>-1</v>
      </c>
      <c r="BE323">
        <v>-1</v>
      </c>
      <c r="BF323">
        <v>-1</v>
      </c>
      <c r="BG323">
        <v>-1</v>
      </c>
      <c r="BH323">
        <v>-1</v>
      </c>
      <c r="BI323">
        <v>-1</v>
      </c>
      <c r="BJ323">
        <v>-1</v>
      </c>
      <c r="BK323">
        <v>-1</v>
      </c>
      <c r="BL323">
        <v>-1</v>
      </c>
      <c r="BM323">
        <v>-1</v>
      </c>
      <c r="BN323">
        <v>-1</v>
      </c>
      <c r="BO323">
        <v>-1</v>
      </c>
    </row>
    <row r="324" spans="1:67" x14ac:dyDescent="0.25">
      <c r="A324">
        <v>321</v>
      </c>
      <c r="B324">
        <v>16</v>
      </c>
      <c r="C324" t="str">
        <f>VLOOKUP(B324,[1]resources!$A$2:$D$300,3,FALSE)</f>
        <v>!!FOOD_DUTCHDOUBLE</v>
      </c>
      <c r="D324">
        <v>23</v>
      </c>
      <c r="E324" t="str">
        <f>VLOOKUP(D324,[1]bonus_paytable!$A$2:$D$300,3,FALSE)</f>
        <v>manray</v>
      </c>
      <c r="F324">
        <v>-1</v>
      </c>
      <c r="G324">
        <v>-1</v>
      </c>
      <c r="H324">
        <v>1</v>
      </c>
      <c r="I324" t="s">
        <v>1</v>
      </c>
      <c r="J324">
        <v>70011</v>
      </c>
      <c r="K324">
        <v>80005</v>
      </c>
      <c r="L324">
        <v>40008</v>
      </c>
      <c r="M324">
        <v>50001</v>
      </c>
      <c r="N324">
        <v>40</v>
      </c>
      <c r="O324">
        <v>30011</v>
      </c>
      <c r="P324">
        <v>40007</v>
      </c>
      <c r="Q324">
        <v>80003</v>
      </c>
      <c r="R324">
        <v>-1</v>
      </c>
      <c r="S324">
        <v>-1</v>
      </c>
      <c r="T324">
        <v>-1</v>
      </c>
      <c r="U324" s="2">
        <v>0.01</v>
      </c>
      <c r="V324" s="2">
        <v>0.03</v>
      </c>
      <c r="W324" s="2">
        <v>0.03</v>
      </c>
      <c r="X324" s="2">
        <v>0.03</v>
      </c>
      <c r="Y324" s="2">
        <v>0.05</v>
      </c>
      <c r="Z324" s="2">
        <v>0.05</v>
      </c>
      <c r="AA324" s="2">
        <v>0.05</v>
      </c>
      <c r="AB324" s="2">
        <v>0.05</v>
      </c>
      <c r="AC324" s="2">
        <v>-1</v>
      </c>
      <c r="AD324" s="2">
        <v>-1</v>
      </c>
      <c r="AE324" s="2">
        <v>-1</v>
      </c>
      <c r="AF324">
        <f t="shared" si="45"/>
        <v>1</v>
      </c>
      <c r="AG324">
        <f t="shared" si="46"/>
        <v>1</v>
      </c>
      <c r="AH324">
        <f t="shared" si="47"/>
        <v>1</v>
      </c>
      <c r="AI324">
        <f t="shared" si="48"/>
        <v>1</v>
      </c>
      <c r="AJ324">
        <f t="shared" si="49"/>
        <v>1</v>
      </c>
      <c r="AK324">
        <f t="shared" si="50"/>
        <v>1</v>
      </c>
      <c r="AL324">
        <f t="shared" si="51"/>
        <v>1</v>
      </c>
      <c r="AM324">
        <f t="shared" si="52"/>
        <v>1</v>
      </c>
      <c r="AN324">
        <f t="shared" si="53"/>
        <v>-1</v>
      </c>
      <c r="AO324">
        <f t="shared" si="54"/>
        <v>-1</v>
      </c>
      <c r="AP324">
        <f t="shared" si="55"/>
        <v>-1</v>
      </c>
      <c r="AQ324">
        <v>0</v>
      </c>
      <c r="AR324" t="s">
        <v>2</v>
      </c>
      <c r="AS324">
        <v>-1</v>
      </c>
      <c r="AT324">
        <v>-1</v>
      </c>
      <c r="AU324">
        <v>-1</v>
      </c>
      <c r="AV324">
        <v>-1</v>
      </c>
      <c r="AW324">
        <v>-1</v>
      </c>
      <c r="AX324">
        <v>-1</v>
      </c>
      <c r="AY324">
        <v>-1</v>
      </c>
      <c r="AZ324">
        <v>-1</v>
      </c>
      <c r="BA324">
        <v>-1</v>
      </c>
      <c r="BB324">
        <v>0</v>
      </c>
      <c r="BC324" t="s">
        <v>2</v>
      </c>
      <c r="BD324">
        <v>-1</v>
      </c>
      <c r="BE324">
        <v>-1</v>
      </c>
      <c r="BF324">
        <v>-1</v>
      </c>
      <c r="BG324">
        <v>-1</v>
      </c>
      <c r="BH324">
        <v>-1</v>
      </c>
      <c r="BI324">
        <v>-1</v>
      </c>
      <c r="BJ324">
        <v>-1</v>
      </c>
      <c r="BK324">
        <v>-1</v>
      </c>
      <c r="BL324">
        <v>-1</v>
      </c>
      <c r="BM324">
        <v>-1</v>
      </c>
      <c r="BN324">
        <v>-1</v>
      </c>
      <c r="BO324">
        <v>-1</v>
      </c>
    </row>
    <row r="325" spans="1:67" x14ac:dyDescent="0.25">
      <c r="A325">
        <v>322</v>
      </c>
      <c r="B325">
        <v>28</v>
      </c>
      <c r="C325" t="str">
        <f>VLOOKUP(B325,[1]resources!$A$2:$D$300,3,FALSE)</f>
        <v>!!FOOD_BISQUE</v>
      </c>
      <c r="D325">
        <v>23</v>
      </c>
      <c r="E325" t="str">
        <f>VLOOKUP(D325,[1]bonus_paytable!$A$2:$D$300,3,FALSE)</f>
        <v>manray</v>
      </c>
      <c r="F325">
        <v>-1</v>
      </c>
      <c r="G325">
        <v>-1</v>
      </c>
      <c r="H325">
        <v>1</v>
      </c>
      <c r="I325" t="s">
        <v>1</v>
      </c>
      <c r="J325">
        <v>70011</v>
      </c>
      <c r="K325">
        <v>80005</v>
      </c>
      <c r="L325">
        <v>40008</v>
      </c>
      <c r="M325">
        <v>50001</v>
      </c>
      <c r="N325">
        <v>40</v>
      </c>
      <c r="O325">
        <v>30011</v>
      </c>
      <c r="P325">
        <v>40007</v>
      </c>
      <c r="Q325">
        <v>80003</v>
      </c>
      <c r="R325">
        <v>-1</v>
      </c>
      <c r="S325">
        <v>-1</v>
      </c>
      <c r="T325">
        <v>-1</v>
      </c>
      <c r="U325" s="2">
        <v>0.01</v>
      </c>
      <c r="V325" s="2">
        <v>0.03</v>
      </c>
      <c r="W325" s="2">
        <v>0.03</v>
      </c>
      <c r="X325" s="2">
        <v>0.03</v>
      </c>
      <c r="Y325" s="2">
        <v>0.05</v>
      </c>
      <c r="Z325" s="2">
        <v>0.05</v>
      </c>
      <c r="AA325" s="2">
        <v>0.05</v>
      </c>
      <c r="AB325" s="2">
        <v>0.05</v>
      </c>
      <c r="AC325" s="2">
        <v>-1</v>
      </c>
      <c r="AD325" s="2">
        <v>-1</v>
      </c>
      <c r="AE325" s="2">
        <v>-1</v>
      </c>
      <c r="AF325">
        <f t="shared" si="45"/>
        <v>1</v>
      </c>
      <c r="AG325">
        <f t="shared" si="46"/>
        <v>1</v>
      </c>
      <c r="AH325">
        <f t="shared" si="47"/>
        <v>1</v>
      </c>
      <c r="AI325">
        <f t="shared" si="48"/>
        <v>1</v>
      </c>
      <c r="AJ325">
        <f t="shared" si="49"/>
        <v>1</v>
      </c>
      <c r="AK325">
        <f t="shared" si="50"/>
        <v>1</v>
      </c>
      <c r="AL325">
        <f t="shared" si="51"/>
        <v>1</v>
      </c>
      <c r="AM325">
        <f t="shared" si="52"/>
        <v>1</v>
      </c>
      <c r="AN325">
        <f t="shared" si="53"/>
        <v>-1</v>
      </c>
      <c r="AO325">
        <f t="shared" si="54"/>
        <v>-1</v>
      </c>
      <c r="AP325">
        <f t="shared" si="55"/>
        <v>-1</v>
      </c>
      <c r="AQ325">
        <v>0</v>
      </c>
      <c r="AR325" t="s">
        <v>2</v>
      </c>
      <c r="AS325">
        <v>-1</v>
      </c>
      <c r="AT325">
        <v>-1</v>
      </c>
      <c r="AU325">
        <v>-1</v>
      </c>
      <c r="AV325">
        <v>-1</v>
      </c>
      <c r="AW325">
        <v>-1</v>
      </c>
      <c r="AX325">
        <v>-1</v>
      </c>
      <c r="AY325">
        <v>-1</v>
      </c>
      <c r="AZ325">
        <v>-1</v>
      </c>
      <c r="BA325">
        <v>-1</v>
      </c>
      <c r="BB325">
        <v>0</v>
      </c>
      <c r="BC325" t="s">
        <v>2</v>
      </c>
      <c r="BD325">
        <v>-1</v>
      </c>
      <c r="BE325">
        <v>-1</v>
      </c>
      <c r="BF325">
        <v>-1</v>
      </c>
      <c r="BG325">
        <v>-1</v>
      </c>
      <c r="BH325">
        <v>-1</v>
      </c>
      <c r="BI325">
        <v>-1</v>
      </c>
      <c r="BJ325">
        <v>-1</v>
      </c>
      <c r="BK325">
        <v>-1</v>
      </c>
      <c r="BL325">
        <v>-1</v>
      </c>
      <c r="BM325">
        <v>-1</v>
      </c>
      <c r="BN325">
        <v>-1</v>
      </c>
      <c r="BO325">
        <v>-1</v>
      </c>
    </row>
    <row r="326" spans="1:67" x14ac:dyDescent="0.25">
      <c r="A326">
        <v>323</v>
      </c>
      <c r="B326">
        <v>20001</v>
      </c>
      <c r="C326" t="str">
        <f>VLOOKUP(B326,[1]resources!$A$2:$D$300,3,FALSE)</f>
        <v>!!JUICE_LEMONADE</v>
      </c>
      <c r="D326">
        <v>23</v>
      </c>
      <c r="E326" t="str">
        <f>VLOOKUP(D326,[1]bonus_paytable!$A$2:$D$300,3,FALSE)</f>
        <v>manray</v>
      </c>
      <c r="F326">
        <v>-1</v>
      </c>
      <c r="G326">
        <v>-1</v>
      </c>
      <c r="H326">
        <v>1</v>
      </c>
      <c r="I326" t="s">
        <v>1</v>
      </c>
      <c r="J326">
        <v>70011</v>
      </c>
      <c r="K326">
        <v>80005</v>
      </c>
      <c r="L326">
        <v>40008</v>
      </c>
      <c r="M326">
        <v>50001</v>
      </c>
      <c r="N326">
        <v>40</v>
      </c>
      <c r="O326">
        <v>30011</v>
      </c>
      <c r="P326">
        <v>40007</v>
      </c>
      <c r="Q326">
        <v>80003</v>
      </c>
      <c r="R326">
        <v>-1</v>
      </c>
      <c r="S326">
        <v>-1</v>
      </c>
      <c r="T326">
        <v>-1</v>
      </c>
      <c r="U326" s="2">
        <v>0.01</v>
      </c>
      <c r="V326" s="2">
        <v>0.03</v>
      </c>
      <c r="W326" s="2">
        <v>0.03</v>
      </c>
      <c r="X326" s="2">
        <v>0.03</v>
      </c>
      <c r="Y326" s="2">
        <v>0.05</v>
      </c>
      <c r="Z326" s="2">
        <v>0.05</v>
      </c>
      <c r="AA326" s="2">
        <v>0.05</v>
      </c>
      <c r="AB326" s="2">
        <v>0.05</v>
      </c>
      <c r="AC326" s="2">
        <v>-1</v>
      </c>
      <c r="AD326" s="2">
        <v>-1</v>
      </c>
      <c r="AE326" s="2">
        <v>-1</v>
      </c>
      <c r="AF326">
        <f t="shared" si="45"/>
        <v>1</v>
      </c>
      <c r="AG326">
        <f t="shared" si="46"/>
        <v>1</v>
      </c>
      <c r="AH326">
        <f t="shared" si="47"/>
        <v>1</v>
      </c>
      <c r="AI326">
        <f t="shared" si="48"/>
        <v>1</v>
      </c>
      <c r="AJ326">
        <f t="shared" si="49"/>
        <v>1</v>
      </c>
      <c r="AK326">
        <f t="shared" si="50"/>
        <v>1</v>
      </c>
      <c r="AL326">
        <f t="shared" si="51"/>
        <v>1</v>
      </c>
      <c r="AM326">
        <f t="shared" si="52"/>
        <v>1</v>
      </c>
      <c r="AN326">
        <f t="shared" si="53"/>
        <v>-1</v>
      </c>
      <c r="AO326">
        <f t="shared" si="54"/>
        <v>-1</v>
      </c>
      <c r="AP326">
        <f t="shared" si="55"/>
        <v>-1</v>
      </c>
      <c r="AQ326">
        <v>0</v>
      </c>
      <c r="AR326" t="s">
        <v>2</v>
      </c>
      <c r="AS326">
        <v>-1</v>
      </c>
      <c r="AT326">
        <v>-1</v>
      </c>
      <c r="AU326">
        <v>-1</v>
      </c>
      <c r="AV326">
        <v>-1</v>
      </c>
      <c r="AW326">
        <v>-1</v>
      </c>
      <c r="AX326">
        <v>-1</v>
      </c>
      <c r="AY326">
        <v>-1</v>
      </c>
      <c r="AZ326">
        <v>-1</v>
      </c>
      <c r="BA326">
        <v>-1</v>
      </c>
      <c r="BB326">
        <v>0</v>
      </c>
      <c r="BC326" t="s">
        <v>2</v>
      </c>
      <c r="BD326">
        <v>-1</v>
      </c>
      <c r="BE326">
        <v>-1</v>
      </c>
      <c r="BF326">
        <v>-1</v>
      </c>
      <c r="BG326">
        <v>-1</v>
      </c>
      <c r="BH326">
        <v>-1</v>
      </c>
      <c r="BI326">
        <v>-1</v>
      </c>
      <c r="BJ326">
        <v>-1</v>
      </c>
      <c r="BK326">
        <v>-1</v>
      </c>
      <c r="BL326">
        <v>-1</v>
      </c>
      <c r="BM326">
        <v>-1</v>
      </c>
      <c r="BN326">
        <v>-1</v>
      </c>
      <c r="BO326">
        <v>-1</v>
      </c>
    </row>
    <row r="327" spans="1:67" x14ac:dyDescent="0.25">
      <c r="A327">
        <v>324</v>
      </c>
      <c r="B327">
        <v>30001</v>
      </c>
      <c r="C327" t="str">
        <f>VLOOKUP(B327,[1]resources!$A$2:$D$300,3,FALSE)</f>
        <v>!!SMOOTHIE_BERRY_BLAST</v>
      </c>
      <c r="D327">
        <v>23</v>
      </c>
      <c r="E327" t="str">
        <f>VLOOKUP(D327,[1]bonus_paytable!$A$2:$D$300,3,FALSE)</f>
        <v>manray</v>
      </c>
      <c r="F327">
        <v>-1</v>
      </c>
      <c r="G327">
        <v>-1</v>
      </c>
      <c r="H327">
        <v>1</v>
      </c>
      <c r="I327" t="s">
        <v>1</v>
      </c>
      <c r="J327">
        <v>70011</v>
      </c>
      <c r="K327">
        <v>80005</v>
      </c>
      <c r="L327">
        <v>40008</v>
      </c>
      <c r="M327">
        <v>50001</v>
      </c>
      <c r="N327">
        <v>40</v>
      </c>
      <c r="O327">
        <v>30011</v>
      </c>
      <c r="P327">
        <v>40007</v>
      </c>
      <c r="Q327">
        <v>80003</v>
      </c>
      <c r="R327">
        <v>-1</v>
      </c>
      <c r="S327">
        <v>-1</v>
      </c>
      <c r="T327">
        <v>-1</v>
      </c>
      <c r="U327" s="2">
        <v>0.01</v>
      </c>
      <c r="V327" s="2">
        <v>0.03</v>
      </c>
      <c r="W327" s="2">
        <v>0.03</v>
      </c>
      <c r="X327" s="2">
        <v>0.03</v>
      </c>
      <c r="Y327" s="2">
        <v>0.05</v>
      </c>
      <c r="Z327" s="2">
        <v>0.05</v>
      </c>
      <c r="AA327" s="2">
        <v>0.05</v>
      </c>
      <c r="AB327" s="2">
        <v>0.05</v>
      </c>
      <c r="AC327" s="2">
        <v>-1</v>
      </c>
      <c r="AD327" s="2">
        <v>-1</v>
      </c>
      <c r="AE327" s="2">
        <v>-1</v>
      </c>
      <c r="AF327">
        <f t="shared" si="45"/>
        <v>1</v>
      </c>
      <c r="AG327">
        <f t="shared" si="46"/>
        <v>1</v>
      </c>
      <c r="AH327">
        <f t="shared" si="47"/>
        <v>1</v>
      </c>
      <c r="AI327">
        <f t="shared" si="48"/>
        <v>1</v>
      </c>
      <c r="AJ327">
        <f t="shared" si="49"/>
        <v>1</v>
      </c>
      <c r="AK327">
        <f t="shared" si="50"/>
        <v>1</v>
      </c>
      <c r="AL327">
        <f t="shared" si="51"/>
        <v>1</v>
      </c>
      <c r="AM327">
        <f t="shared" si="52"/>
        <v>1</v>
      </c>
      <c r="AN327">
        <f t="shared" si="53"/>
        <v>-1</v>
      </c>
      <c r="AO327">
        <f t="shared" si="54"/>
        <v>-1</v>
      </c>
      <c r="AP327">
        <f t="shared" si="55"/>
        <v>-1</v>
      </c>
      <c r="AQ327">
        <v>0</v>
      </c>
      <c r="AR327" t="s">
        <v>2</v>
      </c>
      <c r="AS327">
        <v>-1</v>
      </c>
      <c r="AT327">
        <v>-1</v>
      </c>
      <c r="AU327">
        <v>-1</v>
      </c>
      <c r="AV327">
        <v>-1</v>
      </c>
      <c r="AW327">
        <v>-1</v>
      </c>
      <c r="AX327">
        <v>-1</v>
      </c>
      <c r="AY327">
        <v>-1</v>
      </c>
      <c r="AZ327">
        <v>-1</v>
      </c>
      <c r="BA327">
        <v>-1</v>
      </c>
      <c r="BB327">
        <v>0</v>
      </c>
      <c r="BC327" t="s">
        <v>2</v>
      </c>
      <c r="BD327">
        <v>-1</v>
      </c>
      <c r="BE327">
        <v>-1</v>
      </c>
      <c r="BF327">
        <v>-1</v>
      </c>
      <c r="BG327">
        <v>-1</v>
      </c>
      <c r="BH327">
        <v>-1</v>
      </c>
      <c r="BI327">
        <v>-1</v>
      </c>
      <c r="BJ327">
        <v>-1</v>
      </c>
      <c r="BK327">
        <v>-1</v>
      </c>
      <c r="BL327">
        <v>-1</v>
      </c>
      <c r="BM327">
        <v>-1</v>
      </c>
      <c r="BN327">
        <v>-1</v>
      </c>
      <c r="BO327">
        <v>-1</v>
      </c>
    </row>
    <row r="328" spans="1:67" x14ac:dyDescent="0.25">
      <c r="A328">
        <v>325</v>
      </c>
      <c r="B328">
        <v>40004</v>
      </c>
      <c r="C328" t="str">
        <f>VLOOKUP(B328,[1]resources!$A$2:$D$300,3,FALSE)</f>
        <v>!!ICECREAM_CORAL_BITS</v>
      </c>
      <c r="D328">
        <v>23</v>
      </c>
      <c r="E328" t="str">
        <f>VLOOKUP(D328,[1]bonus_paytable!$A$2:$D$300,3,FALSE)</f>
        <v>manray</v>
      </c>
      <c r="F328">
        <v>-1</v>
      </c>
      <c r="G328">
        <v>-1</v>
      </c>
      <c r="H328">
        <v>1</v>
      </c>
      <c r="I328" t="s">
        <v>1</v>
      </c>
      <c r="J328">
        <v>70011</v>
      </c>
      <c r="K328">
        <v>80005</v>
      </c>
      <c r="L328">
        <v>40008</v>
      </c>
      <c r="M328">
        <v>50001</v>
      </c>
      <c r="N328">
        <v>40</v>
      </c>
      <c r="O328">
        <v>30011</v>
      </c>
      <c r="P328">
        <v>40007</v>
      </c>
      <c r="Q328">
        <v>80003</v>
      </c>
      <c r="R328">
        <v>-1</v>
      </c>
      <c r="S328">
        <v>-1</v>
      </c>
      <c r="T328">
        <v>-1</v>
      </c>
      <c r="U328" s="2">
        <v>0.01</v>
      </c>
      <c r="V328" s="2">
        <v>0.03</v>
      </c>
      <c r="W328" s="2">
        <v>0.03</v>
      </c>
      <c r="X328" s="2">
        <v>0.03</v>
      </c>
      <c r="Y328" s="2">
        <v>0.05</v>
      </c>
      <c r="Z328" s="2">
        <v>0.05</v>
      </c>
      <c r="AA328" s="2">
        <v>0.05</v>
      </c>
      <c r="AB328" s="2">
        <v>0.05</v>
      </c>
      <c r="AC328" s="2">
        <v>-1</v>
      </c>
      <c r="AD328" s="2">
        <v>-1</v>
      </c>
      <c r="AE328" s="2">
        <v>-1</v>
      </c>
      <c r="AF328">
        <f t="shared" si="45"/>
        <v>1</v>
      </c>
      <c r="AG328">
        <f t="shared" si="46"/>
        <v>1</v>
      </c>
      <c r="AH328">
        <f t="shared" si="47"/>
        <v>1</v>
      </c>
      <c r="AI328">
        <f t="shared" si="48"/>
        <v>1</v>
      </c>
      <c r="AJ328">
        <f t="shared" si="49"/>
        <v>1</v>
      </c>
      <c r="AK328">
        <f t="shared" si="50"/>
        <v>1</v>
      </c>
      <c r="AL328">
        <f t="shared" si="51"/>
        <v>1</v>
      </c>
      <c r="AM328">
        <f t="shared" si="52"/>
        <v>1</v>
      </c>
      <c r="AN328">
        <f t="shared" si="53"/>
        <v>-1</v>
      </c>
      <c r="AO328">
        <f t="shared" si="54"/>
        <v>-1</v>
      </c>
      <c r="AP328">
        <f t="shared" si="55"/>
        <v>-1</v>
      </c>
      <c r="AQ328">
        <v>0</v>
      </c>
      <c r="AR328" t="s">
        <v>2</v>
      </c>
      <c r="AS328">
        <v>-1</v>
      </c>
      <c r="AT328">
        <v>-1</v>
      </c>
      <c r="AU328">
        <v>-1</v>
      </c>
      <c r="AV328">
        <v>-1</v>
      </c>
      <c r="AW328">
        <v>-1</v>
      </c>
      <c r="AX328">
        <v>-1</v>
      </c>
      <c r="AY328">
        <v>-1</v>
      </c>
      <c r="AZ328">
        <v>-1</v>
      </c>
      <c r="BA328">
        <v>-1</v>
      </c>
      <c r="BB328">
        <v>0</v>
      </c>
      <c r="BC328" t="s">
        <v>2</v>
      </c>
      <c r="BD328">
        <v>-1</v>
      </c>
      <c r="BE328">
        <v>-1</v>
      </c>
      <c r="BF328">
        <v>-1</v>
      </c>
      <c r="BG328">
        <v>-1</v>
      </c>
      <c r="BH328">
        <v>-1</v>
      </c>
      <c r="BI328">
        <v>-1</v>
      </c>
      <c r="BJ328">
        <v>-1</v>
      </c>
      <c r="BK328">
        <v>-1</v>
      </c>
      <c r="BL328">
        <v>-1</v>
      </c>
      <c r="BM328">
        <v>-1</v>
      </c>
      <c r="BN328">
        <v>-1</v>
      </c>
      <c r="BO328">
        <v>-1</v>
      </c>
    </row>
    <row r="329" spans="1:67" x14ac:dyDescent="0.25">
      <c r="A329">
        <v>326</v>
      </c>
      <c r="B329">
        <v>50000</v>
      </c>
      <c r="C329" t="str">
        <f>VLOOKUP(B329,[1]resources!$A$2:$D$300,3,FALSE)</f>
        <v>!!SHAKE_BANANAS_N_BITS</v>
      </c>
      <c r="D329">
        <v>23</v>
      </c>
      <c r="E329" t="str">
        <f>VLOOKUP(D329,[1]bonus_paytable!$A$2:$D$300,3,FALSE)</f>
        <v>manray</v>
      </c>
      <c r="F329">
        <v>-1</v>
      </c>
      <c r="G329">
        <v>-1</v>
      </c>
      <c r="H329">
        <v>1</v>
      </c>
      <c r="I329" t="s">
        <v>1</v>
      </c>
      <c r="J329">
        <v>70011</v>
      </c>
      <c r="K329">
        <v>80005</v>
      </c>
      <c r="L329">
        <v>40008</v>
      </c>
      <c r="M329">
        <v>50001</v>
      </c>
      <c r="N329">
        <v>40</v>
      </c>
      <c r="O329">
        <v>30011</v>
      </c>
      <c r="P329">
        <v>40007</v>
      </c>
      <c r="Q329">
        <v>80003</v>
      </c>
      <c r="R329">
        <v>-1</v>
      </c>
      <c r="S329">
        <v>-1</v>
      </c>
      <c r="T329">
        <v>-1</v>
      </c>
      <c r="U329" s="2">
        <v>0.01</v>
      </c>
      <c r="V329" s="2">
        <v>0.03</v>
      </c>
      <c r="W329" s="2">
        <v>0.03</v>
      </c>
      <c r="X329" s="2">
        <v>0.03</v>
      </c>
      <c r="Y329" s="2">
        <v>0.05</v>
      </c>
      <c r="Z329" s="2">
        <v>0.05</v>
      </c>
      <c r="AA329" s="2">
        <v>0.05</v>
      </c>
      <c r="AB329" s="2">
        <v>0.05</v>
      </c>
      <c r="AC329" s="2">
        <v>-1</v>
      </c>
      <c r="AD329" s="2">
        <v>-1</v>
      </c>
      <c r="AE329" s="2">
        <v>-1</v>
      </c>
      <c r="AF329">
        <f t="shared" si="45"/>
        <v>1</v>
      </c>
      <c r="AG329">
        <f t="shared" si="46"/>
        <v>1</v>
      </c>
      <c r="AH329">
        <f t="shared" si="47"/>
        <v>1</v>
      </c>
      <c r="AI329">
        <f t="shared" si="48"/>
        <v>1</v>
      </c>
      <c r="AJ329">
        <f t="shared" si="49"/>
        <v>1</v>
      </c>
      <c r="AK329">
        <f t="shared" si="50"/>
        <v>1</v>
      </c>
      <c r="AL329">
        <f t="shared" si="51"/>
        <v>1</v>
      </c>
      <c r="AM329">
        <f t="shared" si="52"/>
        <v>1</v>
      </c>
      <c r="AN329">
        <f t="shared" si="53"/>
        <v>-1</v>
      </c>
      <c r="AO329">
        <f t="shared" si="54"/>
        <v>-1</v>
      </c>
      <c r="AP329">
        <f t="shared" si="55"/>
        <v>-1</v>
      </c>
      <c r="AQ329">
        <v>0</v>
      </c>
      <c r="AR329" t="s">
        <v>2</v>
      </c>
      <c r="AS329">
        <v>-1</v>
      </c>
      <c r="AT329">
        <v>-1</v>
      </c>
      <c r="AU329">
        <v>-1</v>
      </c>
      <c r="AV329">
        <v>-1</v>
      </c>
      <c r="AW329">
        <v>-1</v>
      </c>
      <c r="AX329">
        <v>-1</v>
      </c>
      <c r="AY329">
        <v>-1</v>
      </c>
      <c r="AZ329">
        <v>-1</v>
      </c>
      <c r="BA329">
        <v>-1</v>
      </c>
      <c r="BB329">
        <v>0</v>
      </c>
      <c r="BC329" t="s">
        <v>2</v>
      </c>
      <c r="BD329">
        <v>-1</v>
      </c>
      <c r="BE329">
        <v>-1</v>
      </c>
      <c r="BF329">
        <v>-1</v>
      </c>
      <c r="BG329">
        <v>-1</v>
      </c>
      <c r="BH329">
        <v>-1</v>
      </c>
      <c r="BI329">
        <v>-1</v>
      </c>
      <c r="BJ329">
        <v>-1</v>
      </c>
      <c r="BK329">
        <v>-1</v>
      </c>
      <c r="BL329">
        <v>-1</v>
      </c>
      <c r="BM329">
        <v>-1</v>
      </c>
      <c r="BN329">
        <v>-1</v>
      </c>
      <c r="BO329">
        <v>-1</v>
      </c>
    </row>
    <row r="330" spans="1:67" x14ac:dyDescent="0.25">
      <c r="A330">
        <v>327</v>
      </c>
      <c r="B330">
        <v>70007</v>
      </c>
      <c r="C330" t="str">
        <f>VLOOKUP(B330,[1]resources!$A$2:$D$300,3,FALSE)</f>
        <v>!!PERFUME_LAMPREYAWAY</v>
      </c>
      <c r="D330">
        <v>23</v>
      </c>
      <c r="E330" t="str">
        <f>VLOOKUP(D330,[1]bonus_paytable!$A$2:$D$300,3,FALSE)</f>
        <v>manray</v>
      </c>
      <c r="F330">
        <v>-1</v>
      </c>
      <c r="G330">
        <v>-1</v>
      </c>
      <c r="H330">
        <v>1</v>
      </c>
      <c r="I330" t="s">
        <v>1</v>
      </c>
      <c r="J330">
        <v>70011</v>
      </c>
      <c r="K330">
        <v>80005</v>
      </c>
      <c r="L330">
        <v>40008</v>
      </c>
      <c r="M330">
        <v>50001</v>
      </c>
      <c r="N330">
        <v>40</v>
      </c>
      <c r="O330">
        <v>30011</v>
      </c>
      <c r="P330">
        <v>40007</v>
      </c>
      <c r="Q330">
        <v>80003</v>
      </c>
      <c r="R330">
        <v>-1</v>
      </c>
      <c r="S330">
        <v>-1</v>
      </c>
      <c r="T330">
        <v>-1</v>
      </c>
      <c r="U330" s="2">
        <v>0.01</v>
      </c>
      <c r="V330" s="2">
        <v>0.03</v>
      </c>
      <c r="W330" s="2">
        <v>0.03</v>
      </c>
      <c r="X330" s="2">
        <v>0.03</v>
      </c>
      <c r="Y330" s="2">
        <v>0.05</v>
      </c>
      <c r="Z330" s="2">
        <v>0.05</v>
      </c>
      <c r="AA330" s="2">
        <v>0.05</v>
      </c>
      <c r="AB330" s="2">
        <v>0.05</v>
      </c>
      <c r="AC330" s="2">
        <v>-1</v>
      </c>
      <c r="AD330" s="2">
        <v>-1</v>
      </c>
      <c r="AE330" s="2">
        <v>-1</v>
      </c>
      <c r="AF330">
        <f t="shared" si="45"/>
        <v>1</v>
      </c>
      <c r="AG330">
        <f t="shared" si="46"/>
        <v>1</v>
      </c>
      <c r="AH330">
        <f t="shared" si="47"/>
        <v>1</v>
      </c>
      <c r="AI330">
        <f t="shared" si="48"/>
        <v>1</v>
      </c>
      <c r="AJ330">
        <f t="shared" si="49"/>
        <v>1</v>
      </c>
      <c r="AK330">
        <f t="shared" si="50"/>
        <v>1</v>
      </c>
      <c r="AL330">
        <f t="shared" si="51"/>
        <v>1</v>
      </c>
      <c r="AM330">
        <f t="shared" si="52"/>
        <v>1</v>
      </c>
      <c r="AN330">
        <f t="shared" si="53"/>
        <v>-1</v>
      </c>
      <c r="AO330">
        <f t="shared" si="54"/>
        <v>-1</v>
      </c>
      <c r="AP330">
        <f t="shared" si="55"/>
        <v>-1</v>
      </c>
      <c r="AQ330">
        <v>0</v>
      </c>
      <c r="AR330" t="s">
        <v>2</v>
      </c>
      <c r="AS330">
        <v>-1</v>
      </c>
      <c r="AT330">
        <v>-1</v>
      </c>
      <c r="AU330">
        <v>-1</v>
      </c>
      <c r="AV330">
        <v>-1</v>
      </c>
      <c r="AW330">
        <v>-1</v>
      </c>
      <c r="AX330">
        <v>-1</v>
      </c>
      <c r="AY330">
        <v>-1</v>
      </c>
      <c r="AZ330">
        <v>-1</v>
      </c>
      <c r="BA330">
        <v>-1</v>
      </c>
      <c r="BB330">
        <v>0</v>
      </c>
      <c r="BC330" t="s">
        <v>2</v>
      </c>
      <c r="BD330">
        <v>-1</v>
      </c>
      <c r="BE330">
        <v>-1</v>
      </c>
      <c r="BF330">
        <v>-1</v>
      </c>
      <c r="BG330">
        <v>-1</v>
      </c>
      <c r="BH330">
        <v>-1</v>
      </c>
      <c r="BI330">
        <v>-1</v>
      </c>
      <c r="BJ330">
        <v>-1</v>
      </c>
      <c r="BK330">
        <v>-1</v>
      </c>
      <c r="BL330">
        <v>-1</v>
      </c>
      <c r="BM330">
        <v>-1</v>
      </c>
      <c r="BN330">
        <v>-1</v>
      </c>
      <c r="BO330">
        <v>-1</v>
      </c>
    </row>
    <row r="331" spans="1:67" x14ac:dyDescent="0.25">
      <c r="A331">
        <v>328</v>
      </c>
      <c r="B331">
        <v>80010</v>
      </c>
      <c r="C331" t="str">
        <f>VLOOKUP(B331,[1]resources!$A$2:$D$300,3,FALSE)</f>
        <v>!!FOOD_BAKED_MERINGUELEMANRAY</v>
      </c>
      <c r="D331">
        <v>23</v>
      </c>
      <c r="E331" t="str">
        <f>VLOOKUP(D331,[1]bonus_paytable!$A$2:$D$300,3,FALSE)</f>
        <v>manray</v>
      </c>
      <c r="F331">
        <v>-1</v>
      </c>
      <c r="G331">
        <v>-1</v>
      </c>
      <c r="H331">
        <v>1</v>
      </c>
      <c r="I331" t="s">
        <v>1</v>
      </c>
      <c r="J331">
        <v>70011</v>
      </c>
      <c r="K331">
        <v>80005</v>
      </c>
      <c r="L331">
        <v>40008</v>
      </c>
      <c r="M331">
        <v>50001</v>
      </c>
      <c r="N331">
        <v>40</v>
      </c>
      <c r="O331">
        <v>30011</v>
      </c>
      <c r="P331">
        <v>40007</v>
      </c>
      <c r="Q331">
        <v>80003</v>
      </c>
      <c r="R331">
        <v>-1</v>
      </c>
      <c r="S331">
        <v>-1</v>
      </c>
      <c r="T331">
        <v>-1</v>
      </c>
      <c r="U331" s="2">
        <v>0.01</v>
      </c>
      <c r="V331" s="2">
        <v>0.03</v>
      </c>
      <c r="W331" s="2">
        <v>0.03</v>
      </c>
      <c r="X331" s="2">
        <v>0.03</v>
      </c>
      <c r="Y331" s="2">
        <v>0.05</v>
      </c>
      <c r="Z331" s="2">
        <v>0.05</v>
      </c>
      <c r="AA331" s="2">
        <v>0.05</v>
      </c>
      <c r="AB331" s="2">
        <v>0.05</v>
      </c>
      <c r="AC331" s="2">
        <v>-1</v>
      </c>
      <c r="AD331" s="2">
        <v>-1</v>
      </c>
      <c r="AE331" s="2">
        <v>-1</v>
      </c>
      <c r="AF331">
        <f t="shared" si="45"/>
        <v>1</v>
      </c>
      <c r="AG331">
        <f t="shared" si="46"/>
        <v>1</v>
      </c>
      <c r="AH331">
        <f t="shared" si="47"/>
        <v>1</v>
      </c>
      <c r="AI331">
        <f t="shared" si="48"/>
        <v>1</v>
      </c>
      <c r="AJ331">
        <f t="shared" si="49"/>
        <v>1</v>
      </c>
      <c r="AK331">
        <f t="shared" si="50"/>
        <v>1</v>
      </c>
      <c r="AL331">
        <f t="shared" si="51"/>
        <v>1</v>
      </c>
      <c r="AM331">
        <f t="shared" si="52"/>
        <v>1</v>
      </c>
      <c r="AN331">
        <f t="shared" si="53"/>
        <v>-1</v>
      </c>
      <c r="AO331">
        <f t="shared" si="54"/>
        <v>-1</v>
      </c>
      <c r="AP331">
        <f t="shared" si="55"/>
        <v>-1</v>
      </c>
      <c r="AQ331">
        <v>0</v>
      </c>
      <c r="AR331" t="s">
        <v>2</v>
      </c>
      <c r="AS331">
        <v>-1</v>
      </c>
      <c r="AT331">
        <v>-1</v>
      </c>
      <c r="AU331">
        <v>-1</v>
      </c>
      <c r="AV331">
        <v>-1</v>
      </c>
      <c r="AW331">
        <v>-1</v>
      </c>
      <c r="AX331">
        <v>-1</v>
      </c>
      <c r="AY331">
        <v>-1</v>
      </c>
      <c r="AZ331">
        <v>-1</v>
      </c>
      <c r="BA331">
        <v>-1</v>
      </c>
      <c r="BB331">
        <v>0</v>
      </c>
      <c r="BC331" t="s">
        <v>2</v>
      </c>
      <c r="BD331">
        <v>-1</v>
      </c>
      <c r="BE331">
        <v>-1</v>
      </c>
      <c r="BF331">
        <v>-1</v>
      </c>
      <c r="BG331">
        <v>-1</v>
      </c>
      <c r="BH331">
        <v>-1</v>
      </c>
      <c r="BI331">
        <v>-1</v>
      </c>
      <c r="BJ331">
        <v>-1</v>
      </c>
      <c r="BK331">
        <v>-1</v>
      </c>
      <c r="BL331">
        <v>-1</v>
      </c>
      <c r="BM331">
        <v>-1</v>
      </c>
      <c r="BN331">
        <v>-1</v>
      </c>
      <c r="BO331">
        <v>-1</v>
      </c>
    </row>
    <row r="332" spans="1:67" x14ac:dyDescent="0.25">
      <c r="A332">
        <v>329</v>
      </c>
      <c r="B332">
        <v>80005</v>
      </c>
      <c r="C332" t="str">
        <f>VLOOKUP(B332,[1]resources!$A$2:$D$300,3,FALSE)</f>
        <v>!!FOOD_BAKED_EVERYVILLAINISLEMONBAR</v>
      </c>
      <c r="D332">
        <v>23</v>
      </c>
      <c r="E332" t="str">
        <f>VLOOKUP(D332,[1]bonus_paytable!$A$2:$D$300,3,FALSE)</f>
        <v>manray</v>
      </c>
      <c r="F332">
        <v>-1</v>
      </c>
      <c r="G332">
        <v>-1</v>
      </c>
      <c r="H332">
        <v>1</v>
      </c>
      <c r="I332" t="s">
        <v>1</v>
      </c>
      <c r="J332">
        <v>70011</v>
      </c>
      <c r="K332">
        <v>80005</v>
      </c>
      <c r="L332">
        <v>40008</v>
      </c>
      <c r="M332">
        <v>50001</v>
      </c>
      <c r="N332">
        <v>40</v>
      </c>
      <c r="O332">
        <v>30011</v>
      </c>
      <c r="P332">
        <v>40007</v>
      </c>
      <c r="Q332">
        <v>80003</v>
      </c>
      <c r="R332">
        <v>-1</v>
      </c>
      <c r="S332">
        <v>-1</v>
      </c>
      <c r="T332">
        <v>-1</v>
      </c>
      <c r="U332" s="2">
        <v>0.01</v>
      </c>
      <c r="V332" s="2">
        <v>0.03</v>
      </c>
      <c r="W332" s="2">
        <v>0.03</v>
      </c>
      <c r="X332" s="2">
        <v>0.03</v>
      </c>
      <c r="Y332" s="2">
        <v>0.05</v>
      </c>
      <c r="Z332" s="2">
        <v>0.05</v>
      </c>
      <c r="AA332" s="2">
        <v>0.05</v>
      </c>
      <c r="AB332" s="2">
        <v>0.05</v>
      </c>
      <c r="AC332" s="2">
        <v>-1</v>
      </c>
      <c r="AD332" s="2">
        <v>-1</v>
      </c>
      <c r="AE332" s="2">
        <v>-1</v>
      </c>
      <c r="AF332">
        <f t="shared" si="45"/>
        <v>1</v>
      </c>
      <c r="AG332">
        <f t="shared" si="46"/>
        <v>1</v>
      </c>
      <c r="AH332">
        <f t="shared" si="47"/>
        <v>1</v>
      </c>
      <c r="AI332">
        <f t="shared" si="48"/>
        <v>1</v>
      </c>
      <c r="AJ332">
        <f t="shared" si="49"/>
        <v>1</v>
      </c>
      <c r="AK332">
        <f t="shared" si="50"/>
        <v>1</v>
      </c>
      <c r="AL332">
        <f t="shared" si="51"/>
        <v>1</v>
      </c>
      <c r="AM332">
        <f t="shared" si="52"/>
        <v>1</v>
      </c>
      <c r="AN332">
        <f t="shared" si="53"/>
        <v>-1</v>
      </c>
      <c r="AO332">
        <f t="shared" si="54"/>
        <v>-1</v>
      </c>
      <c r="AP332">
        <f t="shared" si="55"/>
        <v>-1</v>
      </c>
      <c r="AQ332">
        <v>0</v>
      </c>
      <c r="AR332" t="s">
        <v>2</v>
      </c>
      <c r="AS332">
        <v>-1</v>
      </c>
      <c r="AT332">
        <v>-1</v>
      </c>
      <c r="AU332">
        <v>-1</v>
      </c>
      <c r="AV332">
        <v>-1</v>
      </c>
      <c r="AW332">
        <v>-1</v>
      </c>
      <c r="AX332">
        <v>-1</v>
      </c>
      <c r="AY332">
        <v>-1</v>
      </c>
      <c r="AZ332">
        <v>-1</v>
      </c>
      <c r="BA332">
        <v>-1</v>
      </c>
      <c r="BB332">
        <v>0</v>
      </c>
      <c r="BC332" t="s">
        <v>2</v>
      </c>
      <c r="BD332">
        <v>-1</v>
      </c>
      <c r="BE332">
        <v>-1</v>
      </c>
      <c r="BF332">
        <v>-1</v>
      </c>
      <c r="BG332">
        <v>-1</v>
      </c>
      <c r="BH332">
        <v>-1</v>
      </c>
      <c r="BI332">
        <v>-1</v>
      </c>
      <c r="BJ332">
        <v>-1</v>
      </c>
      <c r="BK332">
        <v>-1</v>
      </c>
      <c r="BL332">
        <v>-1</v>
      </c>
      <c r="BM332">
        <v>-1</v>
      </c>
      <c r="BN332">
        <v>-1</v>
      </c>
      <c r="BO332">
        <v>-1</v>
      </c>
    </row>
    <row r="333" spans="1:67" x14ac:dyDescent="0.25">
      <c r="A333">
        <v>330</v>
      </c>
      <c r="B333">
        <v>32</v>
      </c>
      <c r="C333" t="str">
        <f>VLOOKUP(B333,[1]resources!$A$2:$D$300,3,FALSE)</f>
        <v>!!FOOD_JELLYPATTY</v>
      </c>
      <c r="D333">
        <v>24</v>
      </c>
      <c r="E333" t="str">
        <f>VLOOKUP(D333,[1]bonus_paytable!$A$2:$D$300,3,FALSE)</f>
        <v>mermaidman</v>
      </c>
      <c r="F333">
        <v>-1</v>
      </c>
      <c r="G333">
        <v>-1</v>
      </c>
      <c r="H333">
        <v>1</v>
      </c>
      <c r="I333" t="s">
        <v>1</v>
      </c>
      <c r="J333">
        <v>70007</v>
      </c>
      <c r="K333">
        <v>80004</v>
      </c>
      <c r="L333">
        <v>40002</v>
      </c>
      <c r="M333">
        <v>50001</v>
      </c>
      <c r="N333">
        <v>40</v>
      </c>
      <c r="O333">
        <v>30011</v>
      </c>
      <c r="P333">
        <v>40007</v>
      </c>
      <c r="Q333">
        <v>70002</v>
      </c>
      <c r="R333">
        <v>50003</v>
      </c>
      <c r="S333">
        <v>-1</v>
      </c>
      <c r="T333">
        <v>-1</v>
      </c>
      <c r="U333" s="2">
        <v>0.01</v>
      </c>
      <c r="V333" s="2">
        <v>0.03</v>
      </c>
      <c r="W333" s="2">
        <v>0.03</v>
      </c>
      <c r="X333" s="2">
        <v>0.03</v>
      </c>
      <c r="Y333" s="2">
        <v>0.05</v>
      </c>
      <c r="Z333" s="2">
        <v>0.05</v>
      </c>
      <c r="AA333" s="2">
        <v>0.05</v>
      </c>
      <c r="AB333" s="2">
        <v>0.05</v>
      </c>
      <c r="AC333" s="2">
        <v>0.05</v>
      </c>
      <c r="AD333">
        <v>-1</v>
      </c>
      <c r="AE333">
        <v>-1</v>
      </c>
      <c r="AF333">
        <f t="shared" si="45"/>
        <v>1</v>
      </c>
      <c r="AG333">
        <f t="shared" si="46"/>
        <v>1</v>
      </c>
      <c r="AH333">
        <f t="shared" si="47"/>
        <v>1</v>
      </c>
      <c r="AI333">
        <f t="shared" si="48"/>
        <v>1</v>
      </c>
      <c r="AJ333">
        <f t="shared" si="49"/>
        <v>1</v>
      </c>
      <c r="AK333">
        <f t="shared" si="50"/>
        <v>1</v>
      </c>
      <c r="AL333">
        <f t="shared" si="51"/>
        <v>1</v>
      </c>
      <c r="AM333">
        <f t="shared" si="52"/>
        <v>1</v>
      </c>
      <c r="AN333">
        <f t="shared" si="53"/>
        <v>1</v>
      </c>
      <c r="AO333">
        <f t="shared" si="54"/>
        <v>-1</v>
      </c>
      <c r="AP333">
        <f t="shared" si="55"/>
        <v>-1</v>
      </c>
      <c r="AQ333">
        <v>0</v>
      </c>
      <c r="AR333" t="s">
        <v>2</v>
      </c>
      <c r="AS333">
        <v>-1</v>
      </c>
      <c r="AT333">
        <v>-1</v>
      </c>
      <c r="AU333">
        <v>-1</v>
      </c>
      <c r="AV333">
        <v>-1</v>
      </c>
      <c r="AW333">
        <v>-1</v>
      </c>
      <c r="AX333">
        <v>-1</v>
      </c>
      <c r="AY333">
        <v>-1</v>
      </c>
      <c r="AZ333">
        <v>-1</v>
      </c>
      <c r="BA333">
        <v>-1</v>
      </c>
      <c r="BB333">
        <v>0</v>
      </c>
      <c r="BC333" t="s">
        <v>2</v>
      </c>
      <c r="BD333">
        <v>-1</v>
      </c>
      <c r="BE333">
        <v>-1</v>
      </c>
      <c r="BF333">
        <v>-1</v>
      </c>
      <c r="BG333">
        <v>-1</v>
      </c>
      <c r="BH333">
        <v>-1</v>
      </c>
      <c r="BI333">
        <v>-1</v>
      </c>
      <c r="BJ333">
        <v>-1</v>
      </c>
      <c r="BK333">
        <v>-1</v>
      </c>
      <c r="BL333">
        <v>-1</v>
      </c>
      <c r="BM333">
        <v>-1</v>
      </c>
      <c r="BN333">
        <v>-1</v>
      </c>
      <c r="BO333">
        <v>-1</v>
      </c>
    </row>
    <row r="334" spans="1:67" x14ac:dyDescent="0.25">
      <c r="A334">
        <v>331</v>
      </c>
      <c r="B334">
        <v>96</v>
      </c>
      <c r="C334" t="str">
        <f>VLOOKUP(B334,[1]resources!$A$2:$D$300,3,FALSE)</f>
        <v>!!FOOD_JELLIEDTOAST</v>
      </c>
      <c r="D334">
        <v>24</v>
      </c>
      <c r="E334" t="str">
        <f>VLOOKUP(D334,[1]bonus_paytable!$A$2:$D$300,3,FALSE)</f>
        <v>mermaidman</v>
      </c>
      <c r="F334">
        <v>-1</v>
      </c>
      <c r="G334">
        <v>-1</v>
      </c>
      <c r="H334">
        <v>1</v>
      </c>
      <c r="I334" t="s">
        <v>1</v>
      </c>
      <c r="J334">
        <v>70007</v>
      </c>
      <c r="K334">
        <v>80004</v>
      </c>
      <c r="L334">
        <v>40002</v>
      </c>
      <c r="M334">
        <v>50001</v>
      </c>
      <c r="N334">
        <v>40</v>
      </c>
      <c r="O334">
        <v>30011</v>
      </c>
      <c r="P334">
        <v>40007</v>
      </c>
      <c r="Q334">
        <v>70002</v>
      </c>
      <c r="R334">
        <v>50003</v>
      </c>
      <c r="S334">
        <v>-1</v>
      </c>
      <c r="T334">
        <v>-1</v>
      </c>
      <c r="U334" s="2">
        <v>0.01</v>
      </c>
      <c r="V334" s="2">
        <v>0.03</v>
      </c>
      <c r="W334" s="2">
        <v>0.03</v>
      </c>
      <c r="X334" s="2">
        <v>0.03</v>
      </c>
      <c r="Y334" s="2">
        <v>0.05</v>
      </c>
      <c r="Z334" s="2">
        <v>0.05</v>
      </c>
      <c r="AA334" s="2">
        <v>0.05</v>
      </c>
      <c r="AB334" s="2">
        <v>0.05</v>
      </c>
      <c r="AC334" s="2">
        <v>0.05</v>
      </c>
      <c r="AD334">
        <v>-1</v>
      </c>
      <c r="AE334">
        <v>-1</v>
      </c>
      <c r="AF334">
        <f t="shared" si="45"/>
        <v>1</v>
      </c>
      <c r="AG334">
        <f t="shared" si="46"/>
        <v>1</v>
      </c>
      <c r="AH334">
        <f t="shared" si="47"/>
        <v>1</v>
      </c>
      <c r="AI334">
        <f t="shared" si="48"/>
        <v>1</v>
      </c>
      <c r="AJ334">
        <f t="shared" si="49"/>
        <v>1</v>
      </c>
      <c r="AK334">
        <f t="shared" si="50"/>
        <v>1</v>
      </c>
      <c r="AL334">
        <f t="shared" si="51"/>
        <v>1</v>
      </c>
      <c r="AM334">
        <f t="shared" si="52"/>
        <v>1</v>
      </c>
      <c r="AN334">
        <f t="shared" si="53"/>
        <v>1</v>
      </c>
      <c r="AO334">
        <f t="shared" si="54"/>
        <v>-1</v>
      </c>
      <c r="AP334">
        <f t="shared" si="55"/>
        <v>-1</v>
      </c>
      <c r="AQ334">
        <v>0</v>
      </c>
      <c r="AR334" t="s">
        <v>2</v>
      </c>
      <c r="AS334">
        <v>-1</v>
      </c>
      <c r="AT334">
        <v>-1</v>
      </c>
      <c r="AU334">
        <v>-1</v>
      </c>
      <c r="AV334">
        <v>-1</v>
      </c>
      <c r="AW334">
        <v>-1</v>
      </c>
      <c r="AX334">
        <v>-1</v>
      </c>
      <c r="AY334">
        <v>-1</v>
      </c>
      <c r="AZ334">
        <v>-1</v>
      </c>
      <c r="BA334">
        <v>-1</v>
      </c>
      <c r="BB334">
        <v>0</v>
      </c>
      <c r="BC334" t="s">
        <v>2</v>
      </c>
      <c r="BD334">
        <v>-1</v>
      </c>
      <c r="BE334">
        <v>-1</v>
      </c>
      <c r="BF334">
        <v>-1</v>
      </c>
      <c r="BG334">
        <v>-1</v>
      </c>
      <c r="BH334">
        <v>-1</v>
      </c>
      <c r="BI334">
        <v>-1</v>
      </c>
      <c r="BJ334">
        <v>-1</v>
      </c>
      <c r="BK334">
        <v>-1</v>
      </c>
      <c r="BL334">
        <v>-1</v>
      </c>
      <c r="BM334">
        <v>-1</v>
      </c>
      <c r="BN334">
        <v>-1</v>
      </c>
      <c r="BO334">
        <v>-1</v>
      </c>
    </row>
    <row r="335" spans="1:67" x14ac:dyDescent="0.25">
      <c r="A335">
        <v>332</v>
      </c>
      <c r="B335">
        <v>23</v>
      </c>
      <c r="C335" t="str">
        <f>VLOOKUP(B335,[1]resources!$A$2:$D$300,3,FALSE)</f>
        <v>!!FOOD_KELPKLT</v>
      </c>
      <c r="D335">
        <v>24</v>
      </c>
      <c r="E335" t="str">
        <f>VLOOKUP(D335,[1]bonus_paytable!$A$2:$D$300,3,FALSE)</f>
        <v>mermaidman</v>
      </c>
      <c r="F335">
        <v>-1</v>
      </c>
      <c r="G335">
        <v>-1</v>
      </c>
      <c r="H335">
        <v>1</v>
      </c>
      <c r="I335" t="s">
        <v>1</v>
      </c>
      <c r="J335">
        <v>70007</v>
      </c>
      <c r="K335">
        <v>80004</v>
      </c>
      <c r="L335">
        <v>40002</v>
      </c>
      <c r="M335">
        <v>50001</v>
      </c>
      <c r="N335">
        <v>40</v>
      </c>
      <c r="O335">
        <v>30011</v>
      </c>
      <c r="P335">
        <v>40007</v>
      </c>
      <c r="Q335">
        <v>70002</v>
      </c>
      <c r="R335">
        <v>50003</v>
      </c>
      <c r="S335">
        <v>-1</v>
      </c>
      <c r="T335">
        <v>-1</v>
      </c>
      <c r="U335" s="2">
        <v>0.01</v>
      </c>
      <c r="V335" s="2">
        <v>0.03</v>
      </c>
      <c r="W335" s="2">
        <v>0.03</v>
      </c>
      <c r="X335" s="2">
        <v>0.03</v>
      </c>
      <c r="Y335" s="2">
        <v>0.05</v>
      </c>
      <c r="Z335" s="2">
        <v>0.05</v>
      </c>
      <c r="AA335" s="2">
        <v>0.05</v>
      </c>
      <c r="AB335" s="2">
        <v>0.05</v>
      </c>
      <c r="AC335" s="2">
        <v>0.05</v>
      </c>
      <c r="AD335">
        <v>-1</v>
      </c>
      <c r="AE335">
        <v>-1</v>
      </c>
      <c r="AF335">
        <f t="shared" si="45"/>
        <v>1</v>
      </c>
      <c r="AG335">
        <f t="shared" si="46"/>
        <v>1</v>
      </c>
      <c r="AH335">
        <f t="shared" si="47"/>
        <v>1</v>
      </c>
      <c r="AI335">
        <f t="shared" si="48"/>
        <v>1</v>
      </c>
      <c r="AJ335">
        <f t="shared" si="49"/>
        <v>1</v>
      </c>
      <c r="AK335">
        <f t="shared" si="50"/>
        <v>1</v>
      </c>
      <c r="AL335">
        <f t="shared" si="51"/>
        <v>1</v>
      </c>
      <c r="AM335">
        <f t="shared" si="52"/>
        <v>1</v>
      </c>
      <c r="AN335">
        <f t="shared" si="53"/>
        <v>1</v>
      </c>
      <c r="AO335">
        <f t="shared" si="54"/>
        <v>-1</v>
      </c>
      <c r="AP335">
        <f t="shared" si="55"/>
        <v>-1</v>
      </c>
      <c r="AQ335">
        <v>0</v>
      </c>
      <c r="AR335" t="s">
        <v>2</v>
      </c>
      <c r="AS335">
        <v>-1</v>
      </c>
      <c r="AT335">
        <v>-1</v>
      </c>
      <c r="AU335">
        <v>-1</v>
      </c>
      <c r="AV335">
        <v>-1</v>
      </c>
      <c r="AW335">
        <v>-1</v>
      </c>
      <c r="AX335">
        <v>-1</v>
      </c>
      <c r="AY335">
        <v>-1</v>
      </c>
      <c r="AZ335">
        <v>-1</v>
      </c>
      <c r="BA335">
        <v>-1</v>
      </c>
      <c r="BB335">
        <v>0</v>
      </c>
      <c r="BC335" t="s">
        <v>2</v>
      </c>
      <c r="BD335">
        <v>-1</v>
      </c>
      <c r="BE335">
        <v>-1</v>
      </c>
      <c r="BF335">
        <v>-1</v>
      </c>
      <c r="BG335">
        <v>-1</v>
      </c>
      <c r="BH335">
        <v>-1</v>
      </c>
      <c r="BI335">
        <v>-1</v>
      </c>
      <c r="BJ335">
        <v>-1</v>
      </c>
      <c r="BK335">
        <v>-1</v>
      </c>
      <c r="BL335">
        <v>-1</v>
      </c>
      <c r="BM335">
        <v>-1</v>
      </c>
      <c r="BN335">
        <v>-1</v>
      </c>
      <c r="BO335">
        <v>-1</v>
      </c>
    </row>
    <row r="336" spans="1:67" x14ac:dyDescent="0.25">
      <c r="A336">
        <v>333</v>
      </c>
      <c r="B336">
        <v>21</v>
      </c>
      <c r="C336" t="str">
        <f>VLOOKUP(B336,[1]resources!$A$2:$D$300,3,FALSE)</f>
        <v>!!FOOD_KELPDOG</v>
      </c>
      <c r="D336">
        <v>24</v>
      </c>
      <c r="E336" t="str">
        <f>VLOOKUP(D336,[1]bonus_paytable!$A$2:$D$300,3,FALSE)</f>
        <v>mermaidman</v>
      </c>
      <c r="F336">
        <v>-1</v>
      </c>
      <c r="G336">
        <v>-1</v>
      </c>
      <c r="H336">
        <v>1</v>
      </c>
      <c r="I336" t="s">
        <v>1</v>
      </c>
      <c r="J336">
        <v>70007</v>
      </c>
      <c r="K336">
        <v>80004</v>
      </c>
      <c r="L336">
        <v>40002</v>
      </c>
      <c r="M336">
        <v>50001</v>
      </c>
      <c r="N336">
        <v>40</v>
      </c>
      <c r="O336">
        <v>30011</v>
      </c>
      <c r="P336">
        <v>40007</v>
      </c>
      <c r="Q336">
        <v>70002</v>
      </c>
      <c r="R336">
        <v>50003</v>
      </c>
      <c r="S336">
        <v>-1</v>
      </c>
      <c r="T336">
        <v>-1</v>
      </c>
      <c r="U336" s="2">
        <v>0.01</v>
      </c>
      <c r="V336" s="2">
        <v>0.03</v>
      </c>
      <c r="W336" s="2">
        <v>0.03</v>
      </c>
      <c r="X336" s="2">
        <v>0.03</v>
      </c>
      <c r="Y336" s="2">
        <v>0.05</v>
      </c>
      <c r="Z336" s="2">
        <v>0.05</v>
      </c>
      <c r="AA336" s="2">
        <v>0.05</v>
      </c>
      <c r="AB336" s="2">
        <v>0.05</v>
      </c>
      <c r="AC336" s="2">
        <v>0.05</v>
      </c>
      <c r="AD336">
        <v>-1</v>
      </c>
      <c r="AE336">
        <v>-1</v>
      </c>
      <c r="AF336">
        <f t="shared" si="45"/>
        <v>1</v>
      </c>
      <c r="AG336">
        <f t="shared" si="46"/>
        <v>1</v>
      </c>
      <c r="AH336">
        <f t="shared" si="47"/>
        <v>1</v>
      </c>
      <c r="AI336">
        <f t="shared" si="48"/>
        <v>1</v>
      </c>
      <c r="AJ336">
        <f t="shared" si="49"/>
        <v>1</v>
      </c>
      <c r="AK336">
        <f t="shared" si="50"/>
        <v>1</v>
      </c>
      <c r="AL336">
        <f t="shared" si="51"/>
        <v>1</v>
      </c>
      <c r="AM336">
        <f t="shared" si="52"/>
        <v>1</v>
      </c>
      <c r="AN336">
        <f t="shared" si="53"/>
        <v>1</v>
      </c>
      <c r="AO336">
        <f t="shared" si="54"/>
        <v>-1</v>
      </c>
      <c r="AP336">
        <f t="shared" si="55"/>
        <v>-1</v>
      </c>
      <c r="AQ336">
        <v>0</v>
      </c>
      <c r="AR336" t="s">
        <v>2</v>
      </c>
      <c r="AS336">
        <v>-1</v>
      </c>
      <c r="AT336">
        <v>-1</v>
      </c>
      <c r="AU336">
        <v>-1</v>
      </c>
      <c r="AV336">
        <v>-1</v>
      </c>
      <c r="AW336">
        <v>-1</v>
      </c>
      <c r="AX336">
        <v>-1</v>
      </c>
      <c r="AY336">
        <v>-1</v>
      </c>
      <c r="AZ336">
        <v>-1</v>
      </c>
      <c r="BA336">
        <v>-1</v>
      </c>
      <c r="BB336">
        <v>0</v>
      </c>
      <c r="BC336" t="s">
        <v>2</v>
      </c>
      <c r="BD336">
        <v>-1</v>
      </c>
      <c r="BE336">
        <v>-1</v>
      </c>
      <c r="BF336">
        <v>-1</v>
      </c>
      <c r="BG336">
        <v>-1</v>
      </c>
      <c r="BH336">
        <v>-1</v>
      </c>
      <c r="BI336">
        <v>-1</v>
      </c>
      <c r="BJ336">
        <v>-1</v>
      </c>
      <c r="BK336">
        <v>-1</v>
      </c>
      <c r="BL336">
        <v>-1</v>
      </c>
      <c r="BM336">
        <v>-1</v>
      </c>
      <c r="BN336">
        <v>-1</v>
      </c>
      <c r="BO336">
        <v>-1</v>
      </c>
    </row>
    <row r="337" spans="1:67" x14ac:dyDescent="0.25">
      <c r="A337">
        <v>334</v>
      </c>
      <c r="B337">
        <v>20000</v>
      </c>
      <c r="C337" t="str">
        <f>VLOOKUP(B337,[1]resources!$A$2:$D$300,3,FALSE)</f>
        <v>!!JUICE_APPLE</v>
      </c>
      <c r="D337">
        <v>24</v>
      </c>
      <c r="E337" t="str">
        <f>VLOOKUP(D337,[1]bonus_paytable!$A$2:$D$300,3,FALSE)</f>
        <v>mermaidman</v>
      </c>
      <c r="F337">
        <v>-1</v>
      </c>
      <c r="G337">
        <v>-1</v>
      </c>
      <c r="H337">
        <v>1</v>
      </c>
      <c r="I337" t="s">
        <v>1</v>
      </c>
      <c r="J337">
        <v>70007</v>
      </c>
      <c r="K337">
        <v>80004</v>
      </c>
      <c r="L337">
        <v>40002</v>
      </c>
      <c r="M337">
        <v>50001</v>
      </c>
      <c r="N337">
        <v>40</v>
      </c>
      <c r="O337">
        <v>30011</v>
      </c>
      <c r="P337">
        <v>40007</v>
      </c>
      <c r="Q337">
        <v>70002</v>
      </c>
      <c r="R337">
        <v>50003</v>
      </c>
      <c r="S337">
        <v>-1</v>
      </c>
      <c r="T337">
        <v>-1</v>
      </c>
      <c r="U337" s="2">
        <v>0.01</v>
      </c>
      <c r="V337" s="2">
        <v>0.03</v>
      </c>
      <c r="W337" s="2">
        <v>0.03</v>
      </c>
      <c r="X337" s="2">
        <v>0.03</v>
      </c>
      <c r="Y337" s="2">
        <v>0.05</v>
      </c>
      <c r="Z337" s="2">
        <v>0.05</v>
      </c>
      <c r="AA337" s="2">
        <v>0.05</v>
      </c>
      <c r="AB337" s="2">
        <v>0.05</v>
      </c>
      <c r="AC337" s="2">
        <v>0.05</v>
      </c>
      <c r="AD337">
        <v>-1</v>
      </c>
      <c r="AE337">
        <v>-1</v>
      </c>
      <c r="AF337">
        <f t="shared" si="45"/>
        <v>1</v>
      </c>
      <c r="AG337">
        <f t="shared" si="46"/>
        <v>1</v>
      </c>
      <c r="AH337">
        <f t="shared" si="47"/>
        <v>1</v>
      </c>
      <c r="AI337">
        <f t="shared" si="48"/>
        <v>1</v>
      </c>
      <c r="AJ337">
        <f t="shared" si="49"/>
        <v>1</v>
      </c>
      <c r="AK337">
        <f t="shared" si="50"/>
        <v>1</v>
      </c>
      <c r="AL337">
        <f t="shared" si="51"/>
        <v>1</v>
      </c>
      <c r="AM337">
        <f t="shared" si="52"/>
        <v>1</v>
      </c>
      <c r="AN337">
        <f t="shared" si="53"/>
        <v>1</v>
      </c>
      <c r="AO337">
        <f t="shared" si="54"/>
        <v>-1</v>
      </c>
      <c r="AP337">
        <f t="shared" si="55"/>
        <v>-1</v>
      </c>
      <c r="AQ337">
        <v>0</v>
      </c>
      <c r="AR337" t="s">
        <v>2</v>
      </c>
      <c r="AS337">
        <v>-1</v>
      </c>
      <c r="AT337">
        <v>-1</v>
      </c>
      <c r="AU337">
        <v>-1</v>
      </c>
      <c r="AV337">
        <v>-1</v>
      </c>
      <c r="AW337">
        <v>-1</v>
      </c>
      <c r="AX337">
        <v>-1</v>
      </c>
      <c r="AY337">
        <v>-1</v>
      </c>
      <c r="AZ337">
        <v>-1</v>
      </c>
      <c r="BA337">
        <v>-1</v>
      </c>
      <c r="BB337">
        <v>0</v>
      </c>
      <c r="BC337" t="s">
        <v>2</v>
      </c>
      <c r="BD337">
        <v>-1</v>
      </c>
      <c r="BE337">
        <v>-1</v>
      </c>
      <c r="BF337">
        <v>-1</v>
      </c>
      <c r="BG337">
        <v>-1</v>
      </c>
      <c r="BH337">
        <v>-1</v>
      </c>
      <c r="BI337">
        <v>-1</v>
      </c>
      <c r="BJ337">
        <v>-1</v>
      </c>
      <c r="BK337">
        <v>-1</v>
      </c>
      <c r="BL337">
        <v>-1</v>
      </c>
      <c r="BM337">
        <v>-1</v>
      </c>
      <c r="BN337">
        <v>-1</v>
      </c>
      <c r="BO337">
        <v>-1</v>
      </c>
    </row>
    <row r="338" spans="1:67" x14ac:dyDescent="0.25">
      <c r="A338">
        <v>335</v>
      </c>
      <c r="B338">
        <v>30007</v>
      </c>
      <c r="C338" t="str">
        <f>VLOOKUP(B338,[1]resources!$A$2:$D$300,3,FALSE)</f>
        <v>!!SMOOTHIE_NANNAS_C_SERENADE</v>
      </c>
      <c r="D338">
        <v>24</v>
      </c>
      <c r="E338" t="str">
        <f>VLOOKUP(D338,[1]bonus_paytable!$A$2:$D$300,3,FALSE)</f>
        <v>mermaidman</v>
      </c>
      <c r="F338">
        <v>-1</v>
      </c>
      <c r="G338">
        <v>-1</v>
      </c>
      <c r="H338">
        <v>1</v>
      </c>
      <c r="I338" t="s">
        <v>1</v>
      </c>
      <c r="J338">
        <v>70007</v>
      </c>
      <c r="K338">
        <v>80004</v>
      </c>
      <c r="L338">
        <v>40002</v>
      </c>
      <c r="M338">
        <v>50001</v>
      </c>
      <c r="N338">
        <v>40</v>
      </c>
      <c r="O338">
        <v>30011</v>
      </c>
      <c r="P338">
        <v>40007</v>
      </c>
      <c r="Q338">
        <v>70002</v>
      </c>
      <c r="R338">
        <v>50003</v>
      </c>
      <c r="S338">
        <v>-1</v>
      </c>
      <c r="T338">
        <v>-1</v>
      </c>
      <c r="U338" s="2">
        <v>0.01</v>
      </c>
      <c r="V338" s="2">
        <v>0.03</v>
      </c>
      <c r="W338" s="2">
        <v>0.03</v>
      </c>
      <c r="X338" s="2">
        <v>0.03</v>
      </c>
      <c r="Y338" s="2">
        <v>0.05</v>
      </c>
      <c r="Z338" s="2">
        <v>0.05</v>
      </c>
      <c r="AA338" s="2">
        <v>0.05</v>
      </c>
      <c r="AB338" s="2">
        <v>0.05</v>
      </c>
      <c r="AC338" s="2">
        <v>0.05</v>
      </c>
      <c r="AD338">
        <v>-1</v>
      </c>
      <c r="AE338">
        <v>-1</v>
      </c>
      <c r="AF338">
        <f t="shared" si="45"/>
        <v>1</v>
      </c>
      <c r="AG338">
        <f t="shared" si="46"/>
        <v>1</v>
      </c>
      <c r="AH338">
        <f t="shared" si="47"/>
        <v>1</v>
      </c>
      <c r="AI338">
        <f t="shared" si="48"/>
        <v>1</v>
      </c>
      <c r="AJ338">
        <f t="shared" si="49"/>
        <v>1</v>
      </c>
      <c r="AK338">
        <f t="shared" si="50"/>
        <v>1</v>
      </c>
      <c r="AL338">
        <f t="shared" si="51"/>
        <v>1</v>
      </c>
      <c r="AM338">
        <f t="shared" si="52"/>
        <v>1</v>
      </c>
      <c r="AN338">
        <f t="shared" si="53"/>
        <v>1</v>
      </c>
      <c r="AO338">
        <f t="shared" si="54"/>
        <v>-1</v>
      </c>
      <c r="AP338">
        <f t="shared" si="55"/>
        <v>-1</v>
      </c>
      <c r="AQ338">
        <v>0</v>
      </c>
      <c r="AR338" t="s">
        <v>2</v>
      </c>
      <c r="AS338">
        <v>-1</v>
      </c>
      <c r="AT338">
        <v>-1</v>
      </c>
      <c r="AU338">
        <v>-1</v>
      </c>
      <c r="AV338">
        <v>-1</v>
      </c>
      <c r="AW338">
        <v>-1</v>
      </c>
      <c r="AX338">
        <v>-1</v>
      </c>
      <c r="AY338">
        <v>-1</v>
      </c>
      <c r="AZ338">
        <v>-1</v>
      </c>
      <c r="BA338">
        <v>-1</v>
      </c>
      <c r="BB338">
        <v>0</v>
      </c>
      <c r="BC338" t="s">
        <v>2</v>
      </c>
      <c r="BD338">
        <v>-1</v>
      </c>
      <c r="BE338">
        <v>-1</v>
      </c>
      <c r="BF338">
        <v>-1</v>
      </c>
      <c r="BG338">
        <v>-1</v>
      </c>
      <c r="BH338">
        <v>-1</v>
      </c>
      <c r="BI338">
        <v>-1</v>
      </c>
      <c r="BJ338">
        <v>-1</v>
      </c>
      <c r="BK338">
        <v>-1</v>
      </c>
      <c r="BL338">
        <v>-1</v>
      </c>
      <c r="BM338">
        <v>-1</v>
      </c>
      <c r="BN338">
        <v>-1</v>
      </c>
      <c r="BO338">
        <v>-1</v>
      </c>
    </row>
    <row r="339" spans="1:67" x14ac:dyDescent="0.25">
      <c r="A339">
        <v>336</v>
      </c>
      <c r="B339">
        <v>40006</v>
      </c>
      <c r="C339" t="str">
        <f>VLOOKUP(B339,[1]resources!$A$2:$D$300,3,FALSE)</f>
        <v>!!ICECREAM_SEASALT</v>
      </c>
      <c r="D339">
        <v>24</v>
      </c>
      <c r="E339" t="str">
        <f>VLOOKUP(D339,[1]bonus_paytable!$A$2:$D$300,3,FALSE)</f>
        <v>mermaidman</v>
      </c>
      <c r="F339">
        <v>-1</v>
      </c>
      <c r="G339">
        <v>-1</v>
      </c>
      <c r="H339">
        <v>1</v>
      </c>
      <c r="I339" t="s">
        <v>1</v>
      </c>
      <c r="J339">
        <v>70007</v>
      </c>
      <c r="K339">
        <v>80004</v>
      </c>
      <c r="L339">
        <v>40002</v>
      </c>
      <c r="M339">
        <v>50001</v>
      </c>
      <c r="N339">
        <v>40</v>
      </c>
      <c r="O339">
        <v>30011</v>
      </c>
      <c r="P339">
        <v>40007</v>
      </c>
      <c r="Q339">
        <v>70002</v>
      </c>
      <c r="R339">
        <v>50003</v>
      </c>
      <c r="S339">
        <v>-1</v>
      </c>
      <c r="T339">
        <v>-1</v>
      </c>
      <c r="U339" s="2">
        <v>0.01</v>
      </c>
      <c r="V339" s="2">
        <v>0.03</v>
      </c>
      <c r="W339" s="2">
        <v>0.03</v>
      </c>
      <c r="X339" s="2">
        <v>0.03</v>
      </c>
      <c r="Y339" s="2">
        <v>0.05</v>
      </c>
      <c r="Z339" s="2">
        <v>0.05</v>
      </c>
      <c r="AA339" s="2">
        <v>0.05</v>
      </c>
      <c r="AB339" s="2">
        <v>0.05</v>
      </c>
      <c r="AC339" s="2">
        <v>0.05</v>
      </c>
      <c r="AD339">
        <v>-1</v>
      </c>
      <c r="AE339">
        <v>-1</v>
      </c>
      <c r="AF339">
        <f t="shared" si="45"/>
        <v>1</v>
      </c>
      <c r="AG339">
        <f t="shared" si="46"/>
        <v>1</v>
      </c>
      <c r="AH339">
        <f t="shared" si="47"/>
        <v>1</v>
      </c>
      <c r="AI339">
        <f t="shared" si="48"/>
        <v>1</v>
      </c>
      <c r="AJ339">
        <f t="shared" si="49"/>
        <v>1</v>
      </c>
      <c r="AK339">
        <f t="shared" si="50"/>
        <v>1</v>
      </c>
      <c r="AL339">
        <f t="shared" si="51"/>
        <v>1</v>
      </c>
      <c r="AM339">
        <f t="shared" si="52"/>
        <v>1</v>
      </c>
      <c r="AN339">
        <f t="shared" si="53"/>
        <v>1</v>
      </c>
      <c r="AO339">
        <f t="shared" si="54"/>
        <v>-1</v>
      </c>
      <c r="AP339">
        <f t="shared" si="55"/>
        <v>-1</v>
      </c>
      <c r="AQ339">
        <v>0</v>
      </c>
      <c r="AR339" t="s">
        <v>2</v>
      </c>
      <c r="AS339">
        <v>-1</v>
      </c>
      <c r="AT339">
        <v>-1</v>
      </c>
      <c r="AU339">
        <v>-1</v>
      </c>
      <c r="AV339">
        <v>-1</v>
      </c>
      <c r="AW339">
        <v>-1</v>
      </c>
      <c r="AX339">
        <v>-1</v>
      </c>
      <c r="AY339">
        <v>-1</v>
      </c>
      <c r="AZ339">
        <v>-1</v>
      </c>
      <c r="BA339">
        <v>-1</v>
      </c>
      <c r="BB339">
        <v>0</v>
      </c>
      <c r="BC339" t="s">
        <v>2</v>
      </c>
      <c r="BD339">
        <v>-1</v>
      </c>
      <c r="BE339">
        <v>-1</v>
      </c>
      <c r="BF339">
        <v>-1</v>
      </c>
      <c r="BG339">
        <v>-1</v>
      </c>
      <c r="BH339">
        <v>-1</v>
      </c>
      <c r="BI339">
        <v>-1</v>
      </c>
      <c r="BJ339">
        <v>-1</v>
      </c>
      <c r="BK339">
        <v>-1</v>
      </c>
      <c r="BL339">
        <v>-1</v>
      </c>
      <c r="BM339">
        <v>-1</v>
      </c>
      <c r="BN339">
        <v>-1</v>
      </c>
      <c r="BO339">
        <v>-1</v>
      </c>
    </row>
    <row r="340" spans="1:67" x14ac:dyDescent="0.25">
      <c r="A340">
        <v>337</v>
      </c>
      <c r="B340">
        <v>50003</v>
      </c>
      <c r="C340" t="str">
        <f>VLOOKUP(B340,[1]resources!$A$2:$D$300,3,FALSE)</f>
        <v>!!SHAKE_FRUTIY_BREEZE</v>
      </c>
      <c r="D340">
        <v>24</v>
      </c>
      <c r="E340" t="str">
        <f>VLOOKUP(D340,[1]bonus_paytable!$A$2:$D$300,3,FALSE)</f>
        <v>mermaidman</v>
      </c>
      <c r="F340">
        <v>-1</v>
      </c>
      <c r="G340">
        <v>-1</v>
      </c>
      <c r="H340">
        <v>1</v>
      </c>
      <c r="I340" t="s">
        <v>1</v>
      </c>
      <c r="J340">
        <v>70007</v>
      </c>
      <c r="K340">
        <v>80004</v>
      </c>
      <c r="L340">
        <v>40002</v>
      </c>
      <c r="M340">
        <v>50001</v>
      </c>
      <c r="N340">
        <v>40</v>
      </c>
      <c r="O340">
        <v>30011</v>
      </c>
      <c r="P340">
        <v>40007</v>
      </c>
      <c r="Q340">
        <v>70002</v>
      </c>
      <c r="R340">
        <v>50003</v>
      </c>
      <c r="S340">
        <v>-1</v>
      </c>
      <c r="T340">
        <v>-1</v>
      </c>
      <c r="U340" s="2">
        <v>0.01</v>
      </c>
      <c r="V340" s="2">
        <v>0.03</v>
      </c>
      <c r="W340" s="2">
        <v>0.03</v>
      </c>
      <c r="X340" s="2">
        <v>0.03</v>
      </c>
      <c r="Y340" s="2">
        <v>0.05</v>
      </c>
      <c r="Z340" s="2">
        <v>0.05</v>
      </c>
      <c r="AA340" s="2">
        <v>0.05</v>
      </c>
      <c r="AB340" s="2">
        <v>0.05</v>
      </c>
      <c r="AC340" s="2">
        <v>0.05</v>
      </c>
      <c r="AD340">
        <v>-1</v>
      </c>
      <c r="AE340">
        <v>-1</v>
      </c>
      <c r="AF340">
        <f t="shared" si="45"/>
        <v>1</v>
      </c>
      <c r="AG340">
        <f t="shared" si="46"/>
        <v>1</v>
      </c>
      <c r="AH340">
        <f t="shared" si="47"/>
        <v>1</v>
      </c>
      <c r="AI340">
        <f t="shared" si="48"/>
        <v>1</v>
      </c>
      <c r="AJ340">
        <f t="shared" si="49"/>
        <v>1</v>
      </c>
      <c r="AK340">
        <f t="shared" si="50"/>
        <v>1</v>
      </c>
      <c r="AL340">
        <f t="shared" si="51"/>
        <v>1</v>
      </c>
      <c r="AM340">
        <f t="shared" si="52"/>
        <v>1</v>
      </c>
      <c r="AN340">
        <f t="shared" si="53"/>
        <v>1</v>
      </c>
      <c r="AO340">
        <f t="shared" si="54"/>
        <v>-1</v>
      </c>
      <c r="AP340">
        <f t="shared" si="55"/>
        <v>-1</v>
      </c>
      <c r="AQ340">
        <v>0</v>
      </c>
      <c r="AR340" t="s">
        <v>2</v>
      </c>
      <c r="AS340">
        <v>-1</v>
      </c>
      <c r="AT340">
        <v>-1</v>
      </c>
      <c r="AU340">
        <v>-1</v>
      </c>
      <c r="AV340">
        <v>-1</v>
      </c>
      <c r="AW340">
        <v>-1</v>
      </c>
      <c r="AX340">
        <v>-1</v>
      </c>
      <c r="AY340">
        <v>-1</v>
      </c>
      <c r="AZ340">
        <v>-1</v>
      </c>
      <c r="BA340">
        <v>-1</v>
      </c>
      <c r="BB340">
        <v>0</v>
      </c>
      <c r="BC340" t="s">
        <v>2</v>
      </c>
      <c r="BD340">
        <v>-1</v>
      </c>
      <c r="BE340">
        <v>-1</v>
      </c>
      <c r="BF340">
        <v>-1</v>
      </c>
      <c r="BG340">
        <v>-1</v>
      </c>
      <c r="BH340">
        <v>-1</v>
      </c>
      <c r="BI340">
        <v>-1</v>
      </c>
      <c r="BJ340">
        <v>-1</v>
      </c>
      <c r="BK340">
        <v>-1</v>
      </c>
      <c r="BL340">
        <v>-1</v>
      </c>
      <c r="BM340">
        <v>-1</v>
      </c>
      <c r="BN340">
        <v>-1</v>
      </c>
      <c r="BO340">
        <v>-1</v>
      </c>
    </row>
    <row r="341" spans="1:67" x14ac:dyDescent="0.25">
      <c r="A341">
        <v>338</v>
      </c>
      <c r="B341">
        <v>70008</v>
      </c>
      <c r="C341" t="str">
        <f>VLOOKUP(B341,[1]resources!$A$2:$D$300,3,FALSE)</f>
        <v>!!PERFUME_SCENTOSAILOR</v>
      </c>
      <c r="D341">
        <v>24</v>
      </c>
      <c r="E341" t="str">
        <f>VLOOKUP(D341,[1]bonus_paytable!$A$2:$D$300,3,FALSE)</f>
        <v>mermaidman</v>
      </c>
      <c r="F341">
        <v>-1</v>
      </c>
      <c r="G341">
        <v>-1</v>
      </c>
      <c r="H341">
        <v>1</v>
      </c>
      <c r="I341" t="s">
        <v>1</v>
      </c>
      <c r="J341">
        <v>70007</v>
      </c>
      <c r="K341">
        <v>80004</v>
      </c>
      <c r="L341">
        <v>40002</v>
      </c>
      <c r="M341">
        <v>50001</v>
      </c>
      <c r="N341">
        <v>40</v>
      </c>
      <c r="O341">
        <v>30011</v>
      </c>
      <c r="P341">
        <v>40007</v>
      </c>
      <c r="Q341">
        <v>70002</v>
      </c>
      <c r="R341">
        <v>50003</v>
      </c>
      <c r="S341">
        <v>-1</v>
      </c>
      <c r="T341">
        <v>-1</v>
      </c>
      <c r="U341" s="2">
        <v>0.01</v>
      </c>
      <c r="V341" s="2">
        <v>0.03</v>
      </c>
      <c r="W341" s="2">
        <v>0.03</v>
      </c>
      <c r="X341" s="2">
        <v>0.03</v>
      </c>
      <c r="Y341" s="2">
        <v>0.05</v>
      </c>
      <c r="Z341" s="2">
        <v>0.05</v>
      </c>
      <c r="AA341" s="2">
        <v>0.05</v>
      </c>
      <c r="AB341" s="2">
        <v>0.05</v>
      </c>
      <c r="AC341" s="2">
        <v>0.05</v>
      </c>
      <c r="AD341">
        <v>-1</v>
      </c>
      <c r="AE341">
        <v>-1</v>
      </c>
      <c r="AF341">
        <f t="shared" si="45"/>
        <v>1</v>
      </c>
      <c r="AG341">
        <f t="shared" si="46"/>
        <v>1</v>
      </c>
      <c r="AH341">
        <f t="shared" si="47"/>
        <v>1</v>
      </c>
      <c r="AI341">
        <f t="shared" si="48"/>
        <v>1</v>
      </c>
      <c r="AJ341">
        <f t="shared" si="49"/>
        <v>1</v>
      </c>
      <c r="AK341">
        <f t="shared" si="50"/>
        <v>1</v>
      </c>
      <c r="AL341">
        <f t="shared" si="51"/>
        <v>1</v>
      </c>
      <c r="AM341">
        <f t="shared" si="52"/>
        <v>1</v>
      </c>
      <c r="AN341">
        <f t="shared" si="53"/>
        <v>1</v>
      </c>
      <c r="AO341">
        <f t="shared" si="54"/>
        <v>-1</v>
      </c>
      <c r="AP341">
        <f t="shared" si="55"/>
        <v>-1</v>
      </c>
      <c r="AQ341">
        <v>0</v>
      </c>
      <c r="AR341" t="s">
        <v>2</v>
      </c>
      <c r="AS341">
        <v>-1</v>
      </c>
      <c r="AT341">
        <v>-1</v>
      </c>
      <c r="AU341">
        <v>-1</v>
      </c>
      <c r="AV341">
        <v>-1</v>
      </c>
      <c r="AW341">
        <v>-1</v>
      </c>
      <c r="AX341">
        <v>-1</v>
      </c>
      <c r="AY341">
        <v>-1</v>
      </c>
      <c r="AZ341">
        <v>-1</v>
      </c>
      <c r="BA341">
        <v>-1</v>
      </c>
      <c r="BB341">
        <v>0</v>
      </c>
      <c r="BC341" t="s">
        <v>2</v>
      </c>
      <c r="BD341">
        <v>-1</v>
      </c>
      <c r="BE341">
        <v>-1</v>
      </c>
      <c r="BF341">
        <v>-1</v>
      </c>
      <c r="BG341">
        <v>-1</v>
      </c>
      <c r="BH341">
        <v>-1</v>
      </c>
      <c r="BI341">
        <v>-1</v>
      </c>
      <c r="BJ341">
        <v>-1</v>
      </c>
      <c r="BK341">
        <v>-1</v>
      </c>
      <c r="BL341">
        <v>-1</v>
      </c>
      <c r="BM341">
        <v>-1</v>
      </c>
      <c r="BN341">
        <v>-1</v>
      </c>
      <c r="BO341">
        <v>-1</v>
      </c>
    </row>
    <row r="342" spans="1:67" x14ac:dyDescent="0.25">
      <c r="A342">
        <v>339</v>
      </c>
      <c r="B342">
        <v>80002</v>
      </c>
      <c r="C342" t="str">
        <f>VLOOKUP(B342,[1]resources!$A$2:$D$300,3,FALSE)</f>
        <v>!!FOOD_BAKED_COCONUTCOBBLER</v>
      </c>
      <c r="D342">
        <v>24</v>
      </c>
      <c r="E342" t="str">
        <f>VLOOKUP(D342,[1]bonus_paytable!$A$2:$D$300,3,FALSE)</f>
        <v>mermaidman</v>
      </c>
      <c r="F342">
        <v>-1</v>
      </c>
      <c r="G342">
        <v>-1</v>
      </c>
      <c r="H342">
        <v>1</v>
      </c>
      <c r="I342" t="s">
        <v>1</v>
      </c>
      <c r="J342">
        <v>70007</v>
      </c>
      <c r="K342">
        <v>80004</v>
      </c>
      <c r="L342">
        <v>40002</v>
      </c>
      <c r="M342">
        <v>50001</v>
      </c>
      <c r="N342">
        <v>40</v>
      </c>
      <c r="O342">
        <v>30011</v>
      </c>
      <c r="P342">
        <v>40007</v>
      </c>
      <c r="Q342">
        <v>70002</v>
      </c>
      <c r="R342">
        <v>50003</v>
      </c>
      <c r="S342">
        <v>-1</v>
      </c>
      <c r="T342">
        <v>-1</v>
      </c>
      <c r="U342" s="2">
        <v>0.01</v>
      </c>
      <c r="V342" s="2">
        <v>0.03</v>
      </c>
      <c r="W342" s="2">
        <v>0.03</v>
      </c>
      <c r="X342" s="2">
        <v>0.03</v>
      </c>
      <c r="Y342" s="2">
        <v>0.05</v>
      </c>
      <c r="Z342" s="2">
        <v>0.05</v>
      </c>
      <c r="AA342" s="2">
        <v>0.05</v>
      </c>
      <c r="AB342" s="2">
        <v>0.05</v>
      </c>
      <c r="AC342" s="2">
        <v>0.05</v>
      </c>
      <c r="AD342">
        <v>-1</v>
      </c>
      <c r="AE342">
        <v>-1</v>
      </c>
      <c r="AF342">
        <f t="shared" si="45"/>
        <v>1</v>
      </c>
      <c r="AG342">
        <f t="shared" si="46"/>
        <v>1</v>
      </c>
      <c r="AH342">
        <f t="shared" si="47"/>
        <v>1</v>
      </c>
      <c r="AI342">
        <f t="shared" si="48"/>
        <v>1</v>
      </c>
      <c r="AJ342">
        <f t="shared" si="49"/>
        <v>1</v>
      </c>
      <c r="AK342">
        <f t="shared" si="50"/>
        <v>1</v>
      </c>
      <c r="AL342">
        <f t="shared" si="51"/>
        <v>1</v>
      </c>
      <c r="AM342">
        <f t="shared" si="52"/>
        <v>1</v>
      </c>
      <c r="AN342">
        <f t="shared" si="53"/>
        <v>1</v>
      </c>
      <c r="AO342">
        <f t="shared" si="54"/>
        <v>-1</v>
      </c>
      <c r="AP342">
        <f t="shared" si="55"/>
        <v>-1</v>
      </c>
      <c r="AQ342">
        <v>0</v>
      </c>
      <c r="AR342" t="s">
        <v>2</v>
      </c>
      <c r="AS342">
        <v>-1</v>
      </c>
      <c r="AT342">
        <v>-1</v>
      </c>
      <c r="AU342">
        <v>-1</v>
      </c>
      <c r="AV342">
        <v>-1</v>
      </c>
      <c r="AW342">
        <v>-1</v>
      </c>
      <c r="AX342">
        <v>-1</v>
      </c>
      <c r="AY342">
        <v>-1</v>
      </c>
      <c r="AZ342">
        <v>-1</v>
      </c>
      <c r="BA342">
        <v>-1</v>
      </c>
      <c r="BB342">
        <v>0</v>
      </c>
      <c r="BC342" t="s">
        <v>2</v>
      </c>
      <c r="BD342">
        <v>-1</v>
      </c>
      <c r="BE342">
        <v>-1</v>
      </c>
      <c r="BF342">
        <v>-1</v>
      </c>
      <c r="BG342">
        <v>-1</v>
      </c>
      <c r="BH342">
        <v>-1</v>
      </c>
      <c r="BI342">
        <v>-1</v>
      </c>
      <c r="BJ342">
        <v>-1</v>
      </c>
      <c r="BK342">
        <v>-1</v>
      </c>
      <c r="BL342">
        <v>-1</v>
      </c>
      <c r="BM342">
        <v>-1</v>
      </c>
      <c r="BN342">
        <v>-1</v>
      </c>
      <c r="BO342">
        <v>-1</v>
      </c>
    </row>
    <row r="343" spans="1:67" x14ac:dyDescent="0.25">
      <c r="A343">
        <v>340</v>
      </c>
      <c r="B343">
        <v>1</v>
      </c>
      <c r="C343" t="str">
        <f>VLOOKUP(B343,[1]resources!$A$2:$D$300,3,FALSE)</f>
        <v>!!FOOD_KRABBYPATTY</v>
      </c>
      <c r="D343">
        <v>25</v>
      </c>
      <c r="E343" t="str">
        <f>VLOOKUP(D343,[1]bonus_paytable!$A$2:$D$300,3,FALSE)</f>
        <v>mrspuff</v>
      </c>
      <c r="F343">
        <v>-1</v>
      </c>
      <c r="G343">
        <v>-1</v>
      </c>
      <c r="H343">
        <v>1</v>
      </c>
      <c r="I343" t="s">
        <v>1</v>
      </c>
      <c r="J343">
        <v>80011</v>
      </c>
      <c r="K343">
        <v>70010</v>
      </c>
      <c r="L343">
        <v>70005</v>
      </c>
      <c r="M343">
        <v>60015</v>
      </c>
      <c r="N343">
        <v>99</v>
      </c>
      <c r="O343">
        <v>20000</v>
      </c>
      <c r="P343">
        <v>40003</v>
      </c>
      <c r="Q343">
        <v>70001</v>
      </c>
      <c r="R343">
        <v>80007</v>
      </c>
      <c r="S343">
        <v>60001</v>
      </c>
      <c r="T343">
        <v>-1</v>
      </c>
      <c r="U343" s="2">
        <v>0.01</v>
      </c>
      <c r="V343" s="2">
        <v>0.03</v>
      </c>
      <c r="W343" s="2">
        <v>0.03</v>
      </c>
      <c r="X343" s="2">
        <v>0.03</v>
      </c>
      <c r="Y343" s="2">
        <v>0.05</v>
      </c>
      <c r="Z343" s="2">
        <v>0.05</v>
      </c>
      <c r="AA343" s="2">
        <v>0.05</v>
      </c>
      <c r="AB343" s="2">
        <v>0.05</v>
      </c>
      <c r="AC343" s="2">
        <v>0.05</v>
      </c>
      <c r="AD343" s="2">
        <v>0.05</v>
      </c>
      <c r="AE343">
        <v>-1</v>
      </c>
      <c r="AF343">
        <f t="shared" si="45"/>
        <v>1</v>
      </c>
      <c r="AG343">
        <f t="shared" si="46"/>
        <v>1</v>
      </c>
      <c r="AH343">
        <f t="shared" si="47"/>
        <v>1</v>
      </c>
      <c r="AI343">
        <f t="shared" si="48"/>
        <v>1</v>
      </c>
      <c r="AJ343">
        <f t="shared" si="49"/>
        <v>1</v>
      </c>
      <c r="AK343">
        <f t="shared" si="50"/>
        <v>1</v>
      </c>
      <c r="AL343">
        <f t="shared" si="51"/>
        <v>1</v>
      </c>
      <c r="AM343">
        <f t="shared" si="52"/>
        <v>1</v>
      </c>
      <c r="AN343">
        <f t="shared" si="53"/>
        <v>1</v>
      </c>
      <c r="AO343">
        <f t="shared" si="54"/>
        <v>1</v>
      </c>
      <c r="AP343">
        <f t="shared" si="55"/>
        <v>-1</v>
      </c>
      <c r="AQ343">
        <v>0</v>
      </c>
      <c r="AR343" t="s">
        <v>2</v>
      </c>
      <c r="AS343">
        <v>-1</v>
      </c>
      <c r="AT343">
        <v>-1</v>
      </c>
      <c r="AU343">
        <v>-1</v>
      </c>
      <c r="AV343">
        <v>-1</v>
      </c>
      <c r="AW343">
        <v>-1</v>
      </c>
      <c r="AX343">
        <v>-1</v>
      </c>
      <c r="AY343">
        <v>-1</v>
      </c>
      <c r="AZ343">
        <v>-1</v>
      </c>
      <c r="BA343">
        <v>-1</v>
      </c>
      <c r="BB343">
        <v>0</v>
      </c>
      <c r="BC343" t="s">
        <v>2</v>
      </c>
      <c r="BD343">
        <v>-1</v>
      </c>
      <c r="BE343">
        <v>-1</v>
      </c>
      <c r="BF343">
        <v>-1</v>
      </c>
      <c r="BG343">
        <v>-1</v>
      </c>
      <c r="BH343">
        <v>-1</v>
      </c>
      <c r="BI343">
        <v>-1</v>
      </c>
      <c r="BJ343">
        <v>-1</v>
      </c>
      <c r="BK343">
        <v>-1</v>
      </c>
      <c r="BL343">
        <v>-1</v>
      </c>
      <c r="BM343">
        <v>-1</v>
      </c>
      <c r="BN343">
        <v>-1</v>
      </c>
      <c r="BO343">
        <v>-1</v>
      </c>
    </row>
    <row r="344" spans="1:67" x14ac:dyDescent="0.25">
      <c r="A344">
        <v>341</v>
      </c>
      <c r="B344">
        <v>46</v>
      </c>
      <c r="C344" t="str">
        <f>VLOOKUP(B344,[1]resources!$A$2:$D$300,3,FALSE)</f>
        <v>!!FOOD_SALAD</v>
      </c>
      <c r="D344">
        <v>25</v>
      </c>
      <c r="E344" t="str">
        <f>VLOOKUP(D344,[1]bonus_paytable!$A$2:$D$300,3,FALSE)</f>
        <v>mrspuff</v>
      </c>
      <c r="F344">
        <v>-1</v>
      </c>
      <c r="G344">
        <v>-1</v>
      </c>
      <c r="H344">
        <v>1</v>
      </c>
      <c r="I344" t="s">
        <v>1</v>
      </c>
      <c r="J344">
        <v>80011</v>
      </c>
      <c r="K344">
        <v>70010</v>
      </c>
      <c r="L344">
        <v>70005</v>
      </c>
      <c r="M344">
        <v>60015</v>
      </c>
      <c r="N344">
        <v>99</v>
      </c>
      <c r="O344">
        <v>20000</v>
      </c>
      <c r="P344">
        <v>40003</v>
      </c>
      <c r="Q344">
        <v>70001</v>
      </c>
      <c r="R344">
        <v>80007</v>
      </c>
      <c r="S344">
        <v>60001</v>
      </c>
      <c r="T344">
        <v>-1</v>
      </c>
      <c r="U344" s="2">
        <v>0.01</v>
      </c>
      <c r="V344" s="2">
        <v>0.03</v>
      </c>
      <c r="W344" s="2">
        <v>0.03</v>
      </c>
      <c r="X344" s="2">
        <v>0.03</v>
      </c>
      <c r="Y344" s="2">
        <v>0.05</v>
      </c>
      <c r="Z344" s="2">
        <v>0.05</v>
      </c>
      <c r="AA344" s="2">
        <v>0.05</v>
      </c>
      <c r="AB344" s="2">
        <v>0.05</v>
      </c>
      <c r="AC344" s="2">
        <v>0.05</v>
      </c>
      <c r="AD344" s="2">
        <v>0.05</v>
      </c>
      <c r="AE344">
        <v>-1</v>
      </c>
      <c r="AF344">
        <f t="shared" si="45"/>
        <v>1</v>
      </c>
      <c r="AG344">
        <f t="shared" si="46"/>
        <v>1</v>
      </c>
      <c r="AH344">
        <f t="shared" si="47"/>
        <v>1</v>
      </c>
      <c r="AI344">
        <f t="shared" si="48"/>
        <v>1</v>
      </c>
      <c r="AJ344">
        <f t="shared" si="49"/>
        <v>1</v>
      </c>
      <c r="AK344">
        <f t="shared" si="50"/>
        <v>1</v>
      </c>
      <c r="AL344">
        <f t="shared" si="51"/>
        <v>1</v>
      </c>
      <c r="AM344">
        <f t="shared" si="52"/>
        <v>1</v>
      </c>
      <c r="AN344">
        <f t="shared" si="53"/>
        <v>1</v>
      </c>
      <c r="AO344">
        <f t="shared" si="54"/>
        <v>1</v>
      </c>
      <c r="AP344">
        <f t="shared" si="55"/>
        <v>-1</v>
      </c>
      <c r="AQ344">
        <v>0</v>
      </c>
      <c r="AR344" t="s">
        <v>2</v>
      </c>
      <c r="AS344">
        <v>-1</v>
      </c>
      <c r="AT344">
        <v>-1</v>
      </c>
      <c r="AU344">
        <v>-1</v>
      </c>
      <c r="AV344">
        <v>-1</v>
      </c>
      <c r="AW344">
        <v>-1</v>
      </c>
      <c r="AX344">
        <v>-1</v>
      </c>
      <c r="AY344">
        <v>-1</v>
      </c>
      <c r="AZ344">
        <v>-1</v>
      </c>
      <c r="BA344">
        <v>-1</v>
      </c>
      <c r="BB344">
        <v>0</v>
      </c>
      <c r="BC344" t="s">
        <v>2</v>
      </c>
      <c r="BD344">
        <v>-1</v>
      </c>
      <c r="BE344">
        <v>-1</v>
      </c>
      <c r="BF344">
        <v>-1</v>
      </c>
      <c r="BG344">
        <v>-1</v>
      </c>
      <c r="BH344">
        <v>-1</v>
      </c>
      <c r="BI344">
        <v>-1</v>
      </c>
      <c r="BJ344">
        <v>-1</v>
      </c>
      <c r="BK344">
        <v>-1</v>
      </c>
      <c r="BL344">
        <v>-1</v>
      </c>
      <c r="BM344">
        <v>-1</v>
      </c>
      <c r="BN344">
        <v>-1</v>
      </c>
      <c r="BO344">
        <v>-1</v>
      </c>
    </row>
    <row r="345" spans="1:67" x14ac:dyDescent="0.25">
      <c r="A345">
        <v>342</v>
      </c>
      <c r="B345">
        <v>32</v>
      </c>
      <c r="C345" t="str">
        <f>VLOOKUP(B345,[1]resources!$A$2:$D$300,3,FALSE)</f>
        <v>!!FOOD_JELLYPATTY</v>
      </c>
      <c r="D345">
        <v>25</v>
      </c>
      <c r="E345" t="str">
        <f>VLOOKUP(D345,[1]bonus_paytable!$A$2:$D$300,3,FALSE)</f>
        <v>mrspuff</v>
      </c>
      <c r="F345">
        <v>-1</v>
      </c>
      <c r="G345">
        <v>-1</v>
      </c>
      <c r="H345">
        <v>1</v>
      </c>
      <c r="I345" t="s">
        <v>1</v>
      </c>
      <c r="J345">
        <v>80011</v>
      </c>
      <c r="K345">
        <v>70010</v>
      </c>
      <c r="L345">
        <v>70005</v>
      </c>
      <c r="M345">
        <v>60015</v>
      </c>
      <c r="N345">
        <v>99</v>
      </c>
      <c r="O345">
        <v>20000</v>
      </c>
      <c r="P345">
        <v>40003</v>
      </c>
      <c r="Q345">
        <v>70001</v>
      </c>
      <c r="R345">
        <v>80007</v>
      </c>
      <c r="S345">
        <v>60001</v>
      </c>
      <c r="T345">
        <v>-1</v>
      </c>
      <c r="U345" s="2">
        <v>0.01</v>
      </c>
      <c r="V345" s="2">
        <v>0.03</v>
      </c>
      <c r="W345" s="2">
        <v>0.03</v>
      </c>
      <c r="X345" s="2">
        <v>0.03</v>
      </c>
      <c r="Y345" s="2">
        <v>0.05</v>
      </c>
      <c r="Z345" s="2">
        <v>0.05</v>
      </c>
      <c r="AA345" s="2">
        <v>0.05</v>
      </c>
      <c r="AB345" s="2">
        <v>0.05</v>
      </c>
      <c r="AC345" s="2">
        <v>0.05</v>
      </c>
      <c r="AD345" s="2">
        <v>0.05</v>
      </c>
      <c r="AE345">
        <v>-1</v>
      </c>
      <c r="AF345">
        <f t="shared" si="45"/>
        <v>1</v>
      </c>
      <c r="AG345">
        <f t="shared" si="46"/>
        <v>1</v>
      </c>
      <c r="AH345">
        <f t="shared" si="47"/>
        <v>1</v>
      </c>
      <c r="AI345">
        <f t="shared" si="48"/>
        <v>1</v>
      </c>
      <c r="AJ345">
        <f t="shared" si="49"/>
        <v>1</v>
      </c>
      <c r="AK345">
        <f t="shared" si="50"/>
        <v>1</v>
      </c>
      <c r="AL345">
        <f t="shared" si="51"/>
        <v>1</v>
      </c>
      <c r="AM345">
        <f t="shared" si="52"/>
        <v>1</v>
      </c>
      <c r="AN345">
        <f t="shared" si="53"/>
        <v>1</v>
      </c>
      <c r="AO345">
        <f t="shared" si="54"/>
        <v>1</v>
      </c>
      <c r="AP345">
        <f t="shared" si="55"/>
        <v>-1</v>
      </c>
      <c r="AQ345">
        <v>0</v>
      </c>
      <c r="AR345" t="s">
        <v>2</v>
      </c>
      <c r="AS345">
        <v>-1</v>
      </c>
      <c r="AT345">
        <v>-1</v>
      </c>
      <c r="AU345">
        <v>-1</v>
      </c>
      <c r="AV345">
        <v>-1</v>
      </c>
      <c r="AW345">
        <v>-1</v>
      </c>
      <c r="AX345">
        <v>-1</v>
      </c>
      <c r="AY345">
        <v>-1</v>
      </c>
      <c r="AZ345">
        <v>-1</v>
      </c>
      <c r="BA345">
        <v>-1</v>
      </c>
      <c r="BB345">
        <v>0</v>
      </c>
      <c r="BC345" t="s">
        <v>2</v>
      </c>
      <c r="BD345">
        <v>-1</v>
      </c>
      <c r="BE345">
        <v>-1</v>
      </c>
      <c r="BF345">
        <v>-1</v>
      </c>
      <c r="BG345">
        <v>-1</v>
      </c>
      <c r="BH345">
        <v>-1</v>
      </c>
      <c r="BI345">
        <v>-1</v>
      </c>
      <c r="BJ345">
        <v>-1</v>
      </c>
      <c r="BK345">
        <v>-1</v>
      </c>
      <c r="BL345">
        <v>-1</v>
      </c>
      <c r="BM345">
        <v>-1</v>
      </c>
      <c r="BN345">
        <v>-1</v>
      </c>
      <c r="BO345">
        <v>-1</v>
      </c>
    </row>
    <row r="346" spans="1:67" x14ac:dyDescent="0.25">
      <c r="A346">
        <v>343</v>
      </c>
      <c r="B346">
        <v>96</v>
      </c>
      <c r="C346" t="str">
        <f>VLOOKUP(B346,[1]resources!$A$2:$D$300,3,FALSE)</f>
        <v>!!FOOD_JELLIEDTOAST</v>
      </c>
      <c r="D346">
        <v>25</v>
      </c>
      <c r="E346" t="str">
        <f>VLOOKUP(D346,[1]bonus_paytable!$A$2:$D$300,3,FALSE)</f>
        <v>mrspuff</v>
      </c>
      <c r="F346">
        <v>-1</v>
      </c>
      <c r="G346">
        <v>-1</v>
      </c>
      <c r="H346">
        <v>1</v>
      </c>
      <c r="I346" t="s">
        <v>1</v>
      </c>
      <c r="J346">
        <v>80011</v>
      </c>
      <c r="K346">
        <v>70010</v>
      </c>
      <c r="L346">
        <v>70005</v>
      </c>
      <c r="M346">
        <v>60015</v>
      </c>
      <c r="N346">
        <v>99</v>
      </c>
      <c r="O346">
        <v>20000</v>
      </c>
      <c r="P346">
        <v>40003</v>
      </c>
      <c r="Q346">
        <v>70001</v>
      </c>
      <c r="R346">
        <v>80007</v>
      </c>
      <c r="S346">
        <v>60001</v>
      </c>
      <c r="T346">
        <v>-1</v>
      </c>
      <c r="U346" s="2">
        <v>0.01</v>
      </c>
      <c r="V346" s="2">
        <v>0.03</v>
      </c>
      <c r="W346" s="2">
        <v>0.03</v>
      </c>
      <c r="X346" s="2">
        <v>0.03</v>
      </c>
      <c r="Y346" s="2">
        <v>0.05</v>
      </c>
      <c r="Z346" s="2">
        <v>0.05</v>
      </c>
      <c r="AA346" s="2">
        <v>0.05</v>
      </c>
      <c r="AB346" s="2">
        <v>0.05</v>
      </c>
      <c r="AC346" s="2">
        <v>0.05</v>
      </c>
      <c r="AD346" s="2">
        <v>0.05</v>
      </c>
      <c r="AE346">
        <v>-1</v>
      </c>
      <c r="AF346">
        <f t="shared" si="45"/>
        <v>1</v>
      </c>
      <c r="AG346">
        <f t="shared" si="46"/>
        <v>1</v>
      </c>
      <c r="AH346">
        <f t="shared" si="47"/>
        <v>1</v>
      </c>
      <c r="AI346">
        <f t="shared" si="48"/>
        <v>1</v>
      </c>
      <c r="AJ346">
        <f t="shared" si="49"/>
        <v>1</v>
      </c>
      <c r="AK346">
        <f t="shared" si="50"/>
        <v>1</v>
      </c>
      <c r="AL346">
        <f t="shared" si="51"/>
        <v>1</v>
      </c>
      <c r="AM346">
        <f t="shared" si="52"/>
        <v>1</v>
      </c>
      <c r="AN346">
        <f t="shared" si="53"/>
        <v>1</v>
      </c>
      <c r="AO346">
        <f t="shared" si="54"/>
        <v>1</v>
      </c>
      <c r="AP346">
        <f t="shared" si="55"/>
        <v>-1</v>
      </c>
      <c r="AQ346">
        <v>0</v>
      </c>
      <c r="AR346" t="s">
        <v>2</v>
      </c>
      <c r="AS346">
        <v>-1</v>
      </c>
      <c r="AT346">
        <v>-1</v>
      </c>
      <c r="AU346">
        <v>-1</v>
      </c>
      <c r="AV346">
        <v>-1</v>
      </c>
      <c r="AW346">
        <v>-1</v>
      </c>
      <c r="AX346">
        <v>-1</v>
      </c>
      <c r="AY346">
        <v>-1</v>
      </c>
      <c r="AZ346">
        <v>-1</v>
      </c>
      <c r="BA346">
        <v>-1</v>
      </c>
      <c r="BB346">
        <v>0</v>
      </c>
      <c r="BC346" t="s">
        <v>2</v>
      </c>
      <c r="BD346">
        <v>-1</v>
      </c>
      <c r="BE346">
        <v>-1</v>
      </c>
      <c r="BF346">
        <v>-1</v>
      </c>
      <c r="BG346">
        <v>-1</v>
      </c>
      <c r="BH346">
        <v>-1</v>
      </c>
      <c r="BI346">
        <v>-1</v>
      </c>
      <c r="BJ346">
        <v>-1</v>
      </c>
      <c r="BK346">
        <v>-1</v>
      </c>
      <c r="BL346">
        <v>-1</v>
      </c>
      <c r="BM346">
        <v>-1</v>
      </c>
      <c r="BN346">
        <v>-1</v>
      </c>
      <c r="BO346">
        <v>-1</v>
      </c>
    </row>
    <row r="347" spans="1:67" x14ac:dyDescent="0.25">
      <c r="A347">
        <v>344</v>
      </c>
      <c r="B347">
        <v>22</v>
      </c>
      <c r="C347" t="str">
        <f>VLOOKUP(B347,[1]resources!$A$2:$D$300,3,FALSE)</f>
        <v>!!FOOD_SEAWEEDSALAD</v>
      </c>
      <c r="D347">
        <v>25</v>
      </c>
      <c r="E347" t="str">
        <f>VLOOKUP(D347,[1]bonus_paytable!$A$2:$D$300,3,FALSE)</f>
        <v>mrspuff</v>
      </c>
      <c r="F347">
        <v>-1</v>
      </c>
      <c r="G347">
        <v>-1</v>
      </c>
      <c r="H347">
        <v>1</v>
      </c>
      <c r="I347" t="s">
        <v>1</v>
      </c>
      <c r="J347">
        <v>80011</v>
      </c>
      <c r="K347">
        <v>70010</v>
      </c>
      <c r="L347">
        <v>70005</v>
      </c>
      <c r="M347">
        <v>60015</v>
      </c>
      <c r="N347">
        <v>99</v>
      </c>
      <c r="O347">
        <v>20000</v>
      </c>
      <c r="P347">
        <v>40003</v>
      </c>
      <c r="Q347">
        <v>70001</v>
      </c>
      <c r="R347">
        <v>80007</v>
      </c>
      <c r="S347">
        <v>60001</v>
      </c>
      <c r="T347">
        <v>-1</v>
      </c>
      <c r="U347" s="2">
        <v>0.01</v>
      </c>
      <c r="V347" s="2">
        <v>0.03</v>
      </c>
      <c r="W347" s="2">
        <v>0.03</v>
      </c>
      <c r="X347" s="2">
        <v>0.03</v>
      </c>
      <c r="Y347" s="2">
        <v>0.05</v>
      </c>
      <c r="Z347" s="2">
        <v>0.05</v>
      </c>
      <c r="AA347" s="2">
        <v>0.05</v>
      </c>
      <c r="AB347" s="2">
        <v>0.05</v>
      </c>
      <c r="AC347" s="2">
        <v>0.05</v>
      </c>
      <c r="AD347" s="2">
        <v>0.05</v>
      </c>
      <c r="AE347">
        <v>-1</v>
      </c>
      <c r="AF347">
        <f t="shared" si="45"/>
        <v>1</v>
      </c>
      <c r="AG347">
        <f t="shared" si="46"/>
        <v>1</v>
      </c>
      <c r="AH347">
        <f t="shared" si="47"/>
        <v>1</v>
      </c>
      <c r="AI347">
        <f t="shared" si="48"/>
        <v>1</v>
      </c>
      <c r="AJ347">
        <f t="shared" si="49"/>
        <v>1</v>
      </c>
      <c r="AK347">
        <f t="shared" si="50"/>
        <v>1</v>
      </c>
      <c r="AL347">
        <f t="shared" si="51"/>
        <v>1</v>
      </c>
      <c r="AM347">
        <f t="shared" si="52"/>
        <v>1</v>
      </c>
      <c r="AN347">
        <f t="shared" si="53"/>
        <v>1</v>
      </c>
      <c r="AO347">
        <f t="shared" si="54"/>
        <v>1</v>
      </c>
      <c r="AP347">
        <f t="shared" si="55"/>
        <v>-1</v>
      </c>
      <c r="AQ347">
        <v>0</v>
      </c>
      <c r="AR347" t="s">
        <v>2</v>
      </c>
      <c r="AS347">
        <v>-1</v>
      </c>
      <c r="AT347">
        <v>-1</v>
      </c>
      <c r="AU347">
        <v>-1</v>
      </c>
      <c r="AV347">
        <v>-1</v>
      </c>
      <c r="AW347">
        <v>-1</v>
      </c>
      <c r="AX347">
        <v>-1</v>
      </c>
      <c r="AY347">
        <v>-1</v>
      </c>
      <c r="AZ347">
        <v>-1</v>
      </c>
      <c r="BA347">
        <v>-1</v>
      </c>
      <c r="BB347">
        <v>0</v>
      </c>
      <c r="BC347" t="s">
        <v>2</v>
      </c>
      <c r="BD347">
        <v>-1</v>
      </c>
      <c r="BE347">
        <v>-1</v>
      </c>
      <c r="BF347">
        <v>-1</v>
      </c>
      <c r="BG347">
        <v>-1</v>
      </c>
      <c r="BH347">
        <v>-1</v>
      </c>
      <c r="BI347">
        <v>-1</v>
      </c>
      <c r="BJ347">
        <v>-1</v>
      </c>
      <c r="BK347">
        <v>-1</v>
      </c>
      <c r="BL347">
        <v>-1</v>
      </c>
      <c r="BM347">
        <v>-1</v>
      </c>
      <c r="BN347">
        <v>-1</v>
      </c>
      <c r="BO347">
        <v>-1</v>
      </c>
    </row>
    <row r="348" spans="1:67" x14ac:dyDescent="0.25">
      <c r="A348">
        <v>345</v>
      </c>
      <c r="B348">
        <v>40</v>
      </c>
      <c r="C348" t="str">
        <f>VLOOKUP(B348,[1]resources!$A$2:$D$300,3,FALSE)</f>
        <v>!!FOOD_VEGGIEPATTY</v>
      </c>
      <c r="D348">
        <v>25</v>
      </c>
      <c r="E348" t="str">
        <f>VLOOKUP(D348,[1]bonus_paytable!$A$2:$D$300,3,FALSE)</f>
        <v>mrspuff</v>
      </c>
      <c r="F348">
        <v>-1</v>
      </c>
      <c r="G348">
        <v>-1</v>
      </c>
      <c r="H348">
        <v>1</v>
      </c>
      <c r="I348" t="s">
        <v>1</v>
      </c>
      <c r="J348">
        <v>80011</v>
      </c>
      <c r="K348">
        <v>70010</v>
      </c>
      <c r="L348">
        <v>70005</v>
      </c>
      <c r="M348">
        <v>60015</v>
      </c>
      <c r="N348">
        <v>99</v>
      </c>
      <c r="O348">
        <v>20000</v>
      </c>
      <c r="P348">
        <v>40003</v>
      </c>
      <c r="Q348">
        <v>70001</v>
      </c>
      <c r="R348">
        <v>80007</v>
      </c>
      <c r="S348">
        <v>60001</v>
      </c>
      <c r="T348">
        <v>-1</v>
      </c>
      <c r="U348" s="2">
        <v>0.01</v>
      </c>
      <c r="V348" s="2">
        <v>0.03</v>
      </c>
      <c r="W348" s="2">
        <v>0.03</v>
      </c>
      <c r="X348" s="2">
        <v>0.03</v>
      </c>
      <c r="Y348" s="2">
        <v>0.05</v>
      </c>
      <c r="Z348" s="2">
        <v>0.05</v>
      </c>
      <c r="AA348" s="2">
        <v>0.05</v>
      </c>
      <c r="AB348" s="2">
        <v>0.05</v>
      </c>
      <c r="AC348" s="2">
        <v>0.05</v>
      </c>
      <c r="AD348" s="2">
        <v>0.05</v>
      </c>
      <c r="AE348">
        <v>-1</v>
      </c>
      <c r="AF348">
        <f t="shared" si="45"/>
        <v>1</v>
      </c>
      <c r="AG348">
        <f t="shared" si="46"/>
        <v>1</v>
      </c>
      <c r="AH348">
        <f t="shared" si="47"/>
        <v>1</v>
      </c>
      <c r="AI348">
        <f t="shared" si="48"/>
        <v>1</v>
      </c>
      <c r="AJ348">
        <f t="shared" si="49"/>
        <v>1</v>
      </c>
      <c r="AK348">
        <f t="shared" si="50"/>
        <v>1</v>
      </c>
      <c r="AL348">
        <f t="shared" si="51"/>
        <v>1</v>
      </c>
      <c r="AM348">
        <f t="shared" si="52"/>
        <v>1</v>
      </c>
      <c r="AN348">
        <f t="shared" si="53"/>
        <v>1</v>
      </c>
      <c r="AO348">
        <f t="shared" si="54"/>
        <v>1</v>
      </c>
      <c r="AP348">
        <f t="shared" si="55"/>
        <v>-1</v>
      </c>
      <c r="AQ348">
        <v>0</v>
      </c>
      <c r="AR348" t="s">
        <v>2</v>
      </c>
      <c r="AS348">
        <v>-1</v>
      </c>
      <c r="AT348">
        <v>-1</v>
      </c>
      <c r="AU348">
        <v>-1</v>
      </c>
      <c r="AV348">
        <v>-1</v>
      </c>
      <c r="AW348">
        <v>-1</v>
      </c>
      <c r="AX348">
        <v>-1</v>
      </c>
      <c r="AY348">
        <v>-1</v>
      </c>
      <c r="AZ348">
        <v>-1</v>
      </c>
      <c r="BA348">
        <v>-1</v>
      </c>
      <c r="BB348">
        <v>0</v>
      </c>
      <c r="BC348" t="s">
        <v>2</v>
      </c>
      <c r="BD348">
        <v>-1</v>
      </c>
      <c r="BE348">
        <v>-1</v>
      </c>
      <c r="BF348">
        <v>-1</v>
      </c>
      <c r="BG348">
        <v>-1</v>
      </c>
      <c r="BH348">
        <v>-1</v>
      </c>
      <c r="BI348">
        <v>-1</v>
      </c>
      <c r="BJ348">
        <v>-1</v>
      </c>
      <c r="BK348">
        <v>-1</v>
      </c>
      <c r="BL348">
        <v>-1</v>
      </c>
      <c r="BM348">
        <v>-1</v>
      </c>
      <c r="BN348">
        <v>-1</v>
      </c>
      <c r="BO348">
        <v>-1</v>
      </c>
    </row>
    <row r="349" spans="1:67" x14ac:dyDescent="0.25">
      <c r="A349">
        <v>346</v>
      </c>
      <c r="B349">
        <v>20004</v>
      </c>
      <c r="C349" t="str">
        <f>VLOOKUP(B349,[1]resources!$A$2:$D$300,3,FALSE)</f>
        <v>!!JUICE_PEACHNECTAR</v>
      </c>
      <c r="D349">
        <v>25</v>
      </c>
      <c r="E349" t="str">
        <f>VLOOKUP(D349,[1]bonus_paytable!$A$2:$D$300,3,FALSE)</f>
        <v>mrspuff</v>
      </c>
      <c r="F349">
        <v>-1</v>
      </c>
      <c r="G349">
        <v>-1</v>
      </c>
      <c r="H349">
        <v>1</v>
      </c>
      <c r="I349" t="s">
        <v>1</v>
      </c>
      <c r="J349">
        <v>80011</v>
      </c>
      <c r="K349">
        <v>70010</v>
      </c>
      <c r="L349">
        <v>70005</v>
      </c>
      <c r="M349">
        <v>60015</v>
      </c>
      <c r="N349">
        <v>99</v>
      </c>
      <c r="O349">
        <v>20000</v>
      </c>
      <c r="P349">
        <v>40003</v>
      </c>
      <c r="Q349">
        <v>70001</v>
      </c>
      <c r="R349">
        <v>80007</v>
      </c>
      <c r="S349">
        <v>60001</v>
      </c>
      <c r="T349">
        <v>-1</v>
      </c>
      <c r="U349" s="2">
        <v>0.01</v>
      </c>
      <c r="V349" s="2">
        <v>0.03</v>
      </c>
      <c r="W349" s="2">
        <v>0.03</v>
      </c>
      <c r="X349" s="2">
        <v>0.03</v>
      </c>
      <c r="Y349" s="2">
        <v>0.05</v>
      </c>
      <c r="Z349" s="2">
        <v>0.05</v>
      </c>
      <c r="AA349" s="2">
        <v>0.05</v>
      </c>
      <c r="AB349" s="2">
        <v>0.05</v>
      </c>
      <c r="AC349" s="2">
        <v>0.05</v>
      </c>
      <c r="AD349" s="2">
        <v>0.05</v>
      </c>
      <c r="AE349">
        <v>-1</v>
      </c>
      <c r="AF349">
        <f t="shared" si="45"/>
        <v>1</v>
      </c>
      <c r="AG349">
        <f t="shared" si="46"/>
        <v>1</v>
      </c>
      <c r="AH349">
        <f t="shared" si="47"/>
        <v>1</v>
      </c>
      <c r="AI349">
        <f t="shared" si="48"/>
        <v>1</v>
      </c>
      <c r="AJ349">
        <f t="shared" si="49"/>
        <v>1</v>
      </c>
      <c r="AK349">
        <f t="shared" si="50"/>
        <v>1</v>
      </c>
      <c r="AL349">
        <f t="shared" si="51"/>
        <v>1</v>
      </c>
      <c r="AM349">
        <f t="shared" si="52"/>
        <v>1</v>
      </c>
      <c r="AN349">
        <f t="shared" si="53"/>
        <v>1</v>
      </c>
      <c r="AO349">
        <f t="shared" si="54"/>
        <v>1</v>
      </c>
      <c r="AP349">
        <f t="shared" si="55"/>
        <v>-1</v>
      </c>
      <c r="AQ349">
        <v>0</v>
      </c>
      <c r="AR349" t="s">
        <v>2</v>
      </c>
      <c r="AS349">
        <v>-1</v>
      </c>
      <c r="AT349">
        <v>-1</v>
      </c>
      <c r="AU349">
        <v>-1</v>
      </c>
      <c r="AV349">
        <v>-1</v>
      </c>
      <c r="AW349">
        <v>-1</v>
      </c>
      <c r="AX349">
        <v>-1</v>
      </c>
      <c r="AY349">
        <v>-1</v>
      </c>
      <c r="AZ349">
        <v>-1</v>
      </c>
      <c r="BA349">
        <v>-1</v>
      </c>
      <c r="BB349">
        <v>0</v>
      </c>
      <c r="BC349" t="s">
        <v>2</v>
      </c>
      <c r="BD349">
        <v>-1</v>
      </c>
      <c r="BE349">
        <v>-1</v>
      </c>
      <c r="BF349">
        <v>-1</v>
      </c>
      <c r="BG349">
        <v>-1</v>
      </c>
      <c r="BH349">
        <v>-1</v>
      </c>
      <c r="BI349">
        <v>-1</v>
      </c>
      <c r="BJ349">
        <v>-1</v>
      </c>
      <c r="BK349">
        <v>-1</v>
      </c>
      <c r="BL349">
        <v>-1</v>
      </c>
      <c r="BM349">
        <v>-1</v>
      </c>
      <c r="BN349">
        <v>-1</v>
      </c>
      <c r="BO349">
        <v>-1</v>
      </c>
    </row>
    <row r="350" spans="1:67" x14ac:dyDescent="0.25">
      <c r="A350">
        <v>347</v>
      </c>
      <c r="B350">
        <v>30001</v>
      </c>
      <c r="C350" t="str">
        <f>VLOOKUP(B350,[1]resources!$A$2:$D$300,3,FALSE)</f>
        <v>!!SMOOTHIE_BERRY_BLAST</v>
      </c>
      <c r="D350">
        <v>25</v>
      </c>
      <c r="E350" t="str">
        <f>VLOOKUP(D350,[1]bonus_paytable!$A$2:$D$300,3,FALSE)</f>
        <v>mrspuff</v>
      </c>
      <c r="F350">
        <v>-1</v>
      </c>
      <c r="G350">
        <v>-1</v>
      </c>
      <c r="H350">
        <v>1</v>
      </c>
      <c r="I350" t="s">
        <v>1</v>
      </c>
      <c r="J350">
        <v>80011</v>
      </c>
      <c r="K350">
        <v>70010</v>
      </c>
      <c r="L350">
        <v>70005</v>
      </c>
      <c r="M350">
        <v>60015</v>
      </c>
      <c r="N350">
        <v>99</v>
      </c>
      <c r="O350">
        <v>20000</v>
      </c>
      <c r="P350">
        <v>40003</v>
      </c>
      <c r="Q350">
        <v>70001</v>
      </c>
      <c r="R350">
        <v>80007</v>
      </c>
      <c r="S350">
        <v>60001</v>
      </c>
      <c r="T350">
        <v>-1</v>
      </c>
      <c r="U350" s="2">
        <v>0.01</v>
      </c>
      <c r="V350" s="2">
        <v>0.03</v>
      </c>
      <c r="W350" s="2">
        <v>0.03</v>
      </c>
      <c r="X350" s="2">
        <v>0.03</v>
      </c>
      <c r="Y350" s="2">
        <v>0.05</v>
      </c>
      <c r="Z350" s="2">
        <v>0.05</v>
      </c>
      <c r="AA350" s="2">
        <v>0.05</v>
      </c>
      <c r="AB350" s="2">
        <v>0.05</v>
      </c>
      <c r="AC350" s="2">
        <v>0.05</v>
      </c>
      <c r="AD350" s="2">
        <v>0.05</v>
      </c>
      <c r="AE350">
        <v>-1</v>
      </c>
      <c r="AF350">
        <f t="shared" si="45"/>
        <v>1</v>
      </c>
      <c r="AG350">
        <f t="shared" si="46"/>
        <v>1</v>
      </c>
      <c r="AH350">
        <f t="shared" si="47"/>
        <v>1</v>
      </c>
      <c r="AI350">
        <f t="shared" si="48"/>
        <v>1</v>
      </c>
      <c r="AJ350">
        <f t="shared" si="49"/>
        <v>1</v>
      </c>
      <c r="AK350">
        <f t="shared" si="50"/>
        <v>1</v>
      </c>
      <c r="AL350">
        <f t="shared" si="51"/>
        <v>1</v>
      </c>
      <c r="AM350">
        <f t="shared" si="52"/>
        <v>1</v>
      </c>
      <c r="AN350">
        <f t="shared" si="53"/>
        <v>1</v>
      </c>
      <c r="AO350">
        <f t="shared" si="54"/>
        <v>1</v>
      </c>
      <c r="AP350">
        <f t="shared" si="55"/>
        <v>-1</v>
      </c>
      <c r="AQ350">
        <v>0</v>
      </c>
      <c r="AR350" t="s">
        <v>2</v>
      </c>
      <c r="AS350">
        <v>-1</v>
      </c>
      <c r="AT350">
        <v>-1</v>
      </c>
      <c r="AU350">
        <v>-1</v>
      </c>
      <c r="AV350">
        <v>-1</v>
      </c>
      <c r="AW350">
        <v>-1</v>
      </c>
      <c r="AX350">
        <v>-1</v>
      </c>
      <c r="AY350">
        <v>-1</v>
      </c>
      <c r="AZ350">
        <v>-1</v>
      </c>
      <c r="BA350">
        <v>-1</v>
      </c>
      <c r="BB350">
        <v>0</v>
      </c>
      <c r="BC350" t="s">
        <v>2</v>
      </c>
      <c r="BD350">
        <v>-1</v>
      </c>
      <c r="BE350">
        <v>-1</v>
      </c>
      <c r="BF350">
        <v>-1</v>
      </c>
      <c r="BG350">
        <v>-1</v>
      </c>
      <c r="BH350">
        <v>-1</v>
      </c>
      <c r="BI350">
        <v>-1</v>
      </c>
      <c r="BJ350">
        <v>-1</v>
      </c>
      <c r="BK350">
        <v>-1</v>
      </c>
      <c r="BL350">
        <v>-1</v>
      </c>
      <c r="BM350">
        <v>-1</v>
      </c>
      <c r="BN350">
        <v>-1</v>
      </c>
      <c r="BO350">
        <v>-1</v>
      </c>
    </row>
    <row r="351" spans="1:67" x14ac:dyDescent="0.25">
      <c r="A351">
        <v>348</v>
      </c>
      <c r="B351">
        <v>50003</v>
      </c>
      <c r="C351" t="str">
        <f>VLOOKUP(B351,[1]resources!$A$2:$D$300,3,FALSE)</f>
        <v>!!SHAKE_FRUTIY_BREEZE</v>
      </c>
      <c r="D351">
        <v>25</v>
      </c>
      <c r="E351" t="str">
        <f>VLOOKUP(D351,[1]bonus_paytable!$A$2:$D$300,3,FALSE)</f>
        <v>mrspuff</v>
      </c>
      <c r="F351">
        <v>-1</v>
      </c>
      <c r="G351">
        <v>-1</v>
      </c>
      <c r="H351">
        <v>1</v>
      </c>
      <c r="I351" t="s">
        <v>1</v>
      </c>
      <c r="J351">
        <v>80011</v>
      </c>
      <c r="K351">
        <v>70010</v>
      </c>
      <c r="L351">
        <v>70005</v>
      </c>
      <c r="M351">
        <v>60015</v>
      </c>
      <c r="N351">
        <v>99</v>
      </c>
      <c r="O351">
        <v>20000</v>
      </c>
      <c r="P351">
        <v>40003</v>
      </c>
      <c r="Q351">
        <v>70001</v>
      </c>
      <c r="R351">
        <v>80007</v>
      </c>
      <c r="S351">
        <v>60001</v>
      </c>
      <c r="T351">
        <v>-1</v>
      </c>
      <c r="U351" s="2">
        <v>0.01</v>
      </c>
      <c r="V351" s="2">
        <v>0.03</v>
      </c>
      <c r="W351" s="2">
        <v>0.03</v>
      </c>
      <c r="X351" s="2">
        <v>0.03</v>
      </c>
      <c r="Y351" s="2">
        <v>0.05</v>
      </c>
      <c r="Z351" s="2">
        <v>0.05</v>
      </c>
      <c r="AA351" s="2">
        <v>0.05</v>
      </c>
      <c r="AB351" s="2">
        <v>0.05</v>
      </c>
      <c r="AC351" s="2">
        <v>0.05</v>
      </c>
      <c r="AD351" s="2">
        <v>0.05</v>
      </c>
      <c r="AE351">
        <v>-1</v>
      </c>
      <c r="AF351">
        <f t="shared" si="45"/>
        <v>1</v>
      </c>
      <c r="AG351">
        <f t="shared" si="46"/>
        <v>1</v>
      </c>
      <c r="AH351">
        <f t="shared" si="47"/>
        <v>1</v>
      </c>
      <c r="AI351">
        <f t="shared" si="48"/>
        <v>1</v>
      </c>
      <c r="AJ351">
        <f t="shared" si="49"/>
        <v>1</v>
      </c>
      <c r="AK351">
        <f t="shared" si="50"/>
        <v>1</v>
      </c>
      <c r="AL351">
        <f t="shared" si="51"/>
        <v>1</v>
      </c>
      <c r="AM351">
        <f t="shared" si="52"/>
        <v>1</v>
      </c>
      <c r="AN351">
        <f t="shared" si="53"/>
        <v>1</v>
      </c>
      <c r="AO351">
        <f t="shared" si="54"/>
        <v>1</v>
      </c>
      <c r="AP351">
        <f t="shared" si="55"/>
        <v>-1</v>
      </c>
      <c r="AQ351">
        <v>0</v>
      </c>
      <c r="AR351" t="s">
        <v>2</v>
      </c>
      <c r="AS351">
        <v>-1</v>
      </c>
      <c r="AT351">
        <v>-1</v>
      </c>
      <c r="AU351">
        <v>-1</v>
      </c>
      <c r="AV351">
        <v>-1</v>
      </c>
      <c r="AW351">
        <v>-1</v>
      </c>
      <c r="AX351">
        <v>-1</v>
      </c>
      <c r="AY351">
        <v>-1</v>
      </c>
      <c r="AZ351">
        <v>-1</v>
      </c>
      <c r="BA351">
        <v>-1</v>
      </c>
      <c r="BB351">
        <v>0</v>
      </c>
      <c r="BC351" t="s">
        <v>2</v>
      </c>
      <c r="BD351">
        <v>-1</v>
      </c>
      <c r="BE351">
        <v>-1</v>
      </c>
      <c r="BF351">
        <v>-1</v>
      </c>
      <c r="BG351">
        <v>-1</v>
      </c>
      <c r="BH351">
        <v>-1</v>
      </c>
      <c r="BI351">
        <v>-1</v>
      </c>
      <c r="BJ351">
        <v>-1</v>
      </c>
      <c r="BK351">
        <v>-1</v>
      </c>
      <c r="BL351">
        <v>-1</v>
      </c>
      <c r="BM351">
        <v>-1</v>
      </c>
      <c r="BN351">
        <v>-1</v>
      </c>
      <c r="BO351">
        <v>-1</v>
      </c>
    </row>
    <row r="352" spans="1:67" x14ac:dyDescent="0.25">
      <c r="A352">
        <v>349</v>
      </c>
      <c r="B352">
        <v>60016</v>
      </c>
      <c r="C352" t="str">
        <f>VLOOKUP(B352,[1]resources!$A$2:$D$300,3,FALSE)</f>
        <v>!!BOUQUET_FLOWERCORAL_BUNCHOBRANCHES</v>
      </c>
      <c r="D352">
        <v>25</v>
      </c>
      <c r="E352" t="str">
        <f>VLOOKUP(D352,[1]bonus_paytable!$A$2:$D$300,3,FALSE)</f>
        <v>mrspuff</v>
      </c>
      <c r="F352">
        <v>-1</v>
      </c>
      <c r="G352">
        <v>-1</v>
      </c>
      <c r="H352">
        <v>1</v>
      </c>
      <c r="I352" t="s">
        <v>1</v>
      </c>
      <c r="J352">
        <v>80011</v>
      </c>
      <c r="K352">
        <v>70010</v>
      </c>
      <c r="L352">
        <v>70005</v>
      </c>
      <c r="M352">
        <v>60015</v>
      </c>
      <c r="N352">
        <v>99</v>
      </c>
      <c r="O352">
        <v>20000</v>
      </c>
      <c r="P352">
        <v>40003</v>
      </c>
      <c r="Q352">
        <v>70001</v>
      </c>
      <c r="R352">
        <v>80007</v>
      </c>
      <c r="S352">
        <v>60001</v>
      </c>
      <c r="T352">
        <v>-1</v>
      </c>
      <c r="U352" s="2">
        <v>0.01</v>
      </c>
      <c r="V352" s="2">
        <v>0.03</v>
      </c>
      <c r="W352" s="2">
        <v>0.03</v>
      </c>
      <c r="X352" s="2">
        <v>0.03</v>
      </c>
      <c r="Y352" s="2">
        <v>0.05</v>
      </c>
      <c r="Z352" s="2">
        <v>0.05</v>
      </c>
      <c r="AA352" s="2">
        <v>0.05</v>
      </c>
      <c r="AB352" s="2">
        <v>0.05</v>
      </c>
      <c r="AC352" s="2">
        <v>0.05</v>
      </c>
      <c r="AD352" s="2">
        <v>0.05</v>
      </c>
      <c r="AE352">
        <v>-1</v>
      </c>
      <c r="AF352">
        <f t="shared" si="45"/>
        <v>1</v>
      </c>
      <c r="AG352">
        <f t="shared" si="46"/>
        <v>1</v>
      </c>
      <c r="AH352">
        <f t="shared" si="47"/>
        <v>1</v>
      </c>
      <c r="AI352">
        <f t="shared" si="48"/>
        <v>1</v>
      </c>
      <c r="AJ352">
        <f t="shared" si="49"/>
        <v>1</v>
      </c>
      <c r="AK352">
        <f t="shared" si="50"/>
        <v>1</v>
      </c>
      <c r="AL352">
        <f t="shared" si="51"/>
        <v>1</v>
      </c>
      <c r="AM352">
        <f t="shared" si="52"/>
        <v>1</v>
      </c>
      <c r="AN352">
        <f t="shared" si="53"/>
        <v>1</v>
      </c>
      <c r="AO352">
        <f t="shared" si="54"/>
        <v>1</v>
      </c>
      <c r="AP352">
        <f t="shared" si="55"/>
        <v>-1</v>
      </c>
      <c r="AQ352">
        <v>0</v>
      </c>
      <c r="AR352" t="s">
        <v>2</v>
      </c>
      <c r="AS352">
        <v>-1</v>
      </c>
      <c r="AT352">
        <v>-1</v>
      </c>
      <c r="AU352">
        <v>-1</v>
      </c>
      <c r="AV352">
        <v>-1</v>
      </c>
      <c r="AW352">
        <v>-1</v>
      </c>
      <c r="AX352">
        <v>-1</v>
      </c>
      <c r="AY352">
        <v>-1</v>
      </c>
      <c r="AZ352">
        <v>-1</v>
      </c>
      <c r="BA352">
        <v>-1</v>
      </c>
      <c r="BB352">
        <v>0</v>
      </c>
      <c r="BC352" t="s">
        <v>2</v>
      </c>
      <c r="BD352">
        <v>-1</v>
      </c>
      <c r="BE352">
        <v>-1</v>
      </c>
      <c r="BF352">
        <v>-1</v>
      </c>
      <c r="BG352">
        <v>-1</v>
      </c>
      <c r="BH352">
        <v>-1</v>
      </c>
      <c r="BI352">
        <v>-1</v>
      </c>
      <c r="BJ352">
        <v>-1</v>
      </c>
      <c r="BK352">
        <v>-1</v>
      </c>
      <c r="BL352">
        <v>-1</v>
      </c>
      <c r="BM352">
        <v>-1</v>
      </c>
      <c r="BN352">
        <v>-1</v>
      </c>
      <c r="BO352">
        <v>-1</v>
      </c>
    </row>
    <row r="353" spans="1:67" x14ac:dyDescent="0.25">
      <c r="A353">
        <v>350</v>
      </c>
      <c r="B353">
        <v>70005</v>
      </c>
      <c r="C353" t="str">
        <f>VLOOKUP(B353,[1]resources!$A$2:$D$300,3,FALSE)</f>
        <v>!!PERFUME_CORALBREEZE</v>
      </c>
      <c r="D353">
        <v>25</v>
      </c>
      <c r="E353" t="str">
        <f>VLOOKUP(D353,[1]bonus_paytable!$A$2:$D$300,3,FALSE)</f>
        <v>mrspuff</v>
      </c>
      <c r="F353">
        <v>-1</v>
      </c>
      <c r="G353">
        <v>-1</v>
      </c>
      <c r="H353">
        <v>1</v>
      </c>
      <c r="I353" t="s">
        <v>1</v>
      </c>
      <c r="J353">
        <v>80011</v>
      </c>
      <c r="K353">
        <v>70010</v>
      </c>
      <c r="L353">
        <v>70005</v>
      </c>
      <c r="M353">
        <v>60015</v>
      </c>
      <c r="N353">
        <v>99</v>
      </c>
      <c r="O353">
        <v>20000</v>
      </c>
      <c r="P353">
        <v>40003</v>
      </c>
      <c r="Q353">
        <v>70001</v>
      </c>
      <c r="R353">
        <v>80007</v>
      </c>
      <c r="S353">
        <v>60001</v>
      </c>
      <c r="T353">
        <v>-1</v>
      </c>
      <c r="U353" s="2">
        <v>0.01</v>
      </c>
      <c r="V353" s="2">
        <v>0.03</v>
      </c>
      <c r="W353" s="2">
        <v>0.03</v>
      </c>
      <c r="X353" s="2">
        <v>0.03</v>
      </c>
      <c r="Y353" s="2">
        <v>0.05</v>
      </c>
      <c r="Z353" s="2">
        <v>0.05</v>
      </c>
      <c r="AA353" s="2">
        <v>0.05</v>
      </c>
      <c r="AB353" s="2">
        <v>0.05</v>
      </c>
      <c r="AC353" s="2">
        <v>0.05</v>
      </c>
      <c r="AD353" s="2">
        <v>0.05</v>
      </c>
      <c r="AE353">
        <v>-1</v>
      </c>
      <c r="AF353">
        <f t="shared" si="45"/>
        <v>1</v>
      </c>
      <c r="AG353">
        <f t="shared" si="46"/>
        <v>1</v>
      </c>
      <c r="AH353">
        <f t="shared" si="47"/>
        <v>1</v>
      </c>
      <c r="AI353">
        <f t="shared" si="48"/>
        <v>1</v>
      </c>
      <c r="AJ353">
        <f t="shared" si="49"/>
        <v>1</v>
      </c>
      <c r="AK353">
        <f t="shared" si="50"/>
        <v>1</v>
      </c>
      <c r="AL353">
        <f t="shared" si="51"/>
        <v>1</v>
      </c>
      <c r="AM353">
        <f t="shared" si="52"/>
        <v>1</v>
      </c>
      <c r="AN353">
        <f t="shared" si="53"/>
        <v>1</v>
      </c>
      <c r="AO353">
        <f t="shared" si="54"/>
        <v>1</v>
      </c>
      <c r="AP353">
        <f t="shared" si="55"/>
        <v>-1</v>
      </c>
      <c r="AQ353">
        <v>0</v>
      </c>
      <c r="AR353" t="s">
        <v>2</v>
      </c>
      <c r="AS353">
        <v>-1</v>
      </c>
      <c r="AT353">
        <v>-1</v>
      </c>
      <c r="AU353">
        <v>-1</v>
      </c>
      <c r="AV353">
        <v>-1</v>
      </c>
      <c r="AW353">
        <v>-1</v>
      </c>
      <c r="AX353">
        <v>-1</v>
      </c>
      <c r="AY353">
        <v>-1</v>
      </c>
      <c r="AZ353">
        <v>-1</v>
      </c>
      <c r="BA353">
        <v>-1</v>
      </c>
      <c r="BB353">
        <v>0</v>
      </c>
      <c r="BC353" t="s">
        <v>2</v>
      </c>
      <c r="BD353">
        <v>-1</v>
      </c>
      <c r="BE353">
        <v>-1</v>
      </c>
      <c r="BF353">
        <v>-1</v>
      </c>
      <c r="BG353">
        <v>-1</v>
      </c>
      <c r="BH353">
        <v>-1</v>
      </c>
      <c r="BI353">
        <v>-1</v>
      </c>
      <c r="BJ353">
        <v>-1</v>
      </c>
      <c r="BK353">
        <v>-1</v>
      </c>
      <c r="BL353">
        <v>-1</v>
      </c>
      <c r="BM353">
        <v>-1</v>
      </c>
      <c r="BN353">
        <v>-1</v>
      </c>
      <c r="BO353">
        <v>-1</v>
      </c>
    </row>
    <row r="354" spans="1:67" x14ac:dyDescent="0.25">
      <c r="A354">
        <v>351</v>
      </c>
      <c r="B354">
        <v>70001</v>
      </c>
      <c r="C354" t="str">
        <f>VLOOKUP(B354,[1]resources!$A$2:$D$300,3,FALSE)</f>
        <v>!!PERFUME_CAPSIZEFORHER</v>
      </c>
      <c r="D354">
        <v>25</v>
      </c>
      <c r="E354" t="str">
        <f>VLOOKUP(D354,[1]bonus_paytable!$A$2:$D$300,3,FALSE)</f>
        <v>mrspuff</v>
      </c>
      <c r="F354">
        <v>-1</v>
      </c>
      <c r="G354">
        <v>-1</v>
      </c>
      <c r="H354">
        <v>1</v>
      </c>
      <c r="I354" t="s">
        <v>1</v>
      </c>
      <c r="J354">
        <v>80011</v>
      </c>
      <c r="K354">
        <v>70010</v>
      </c>
      <c r="L354">
        <v>70005</v>
      </c>
      <c r="M354">
        <v>60015</v>
      </c>
      <c r="N354">
        <v>99</v>
      </c>
      <c r="O354">
        <v>20000</v>
      </c>
      <c r="P354">
        <v>40003</v>
      </c>
      <c r="Q354">
        <v>70001</v>
      </c>
      <c r="R354">
        <v>80007</v>
      </c>
      <c r="S354">
        <v>60001</v>
      </c>
      <c r="T354">
        <v>-1</v>
      </c>
      <c r="U354" s="2">
        <v>0.01</v>
      </c>
      <c r="V354" s="2">
        <v>0.03</v>
      </c>
      <c r="W354" s="2">
        <v>0.03</v>
      </c>
      <c r="X354" s="2">
        <v>0.03</v>
      </c>
      <c r="Y354" s="2">
        <v>0.05</v>
      </c>
      <c r="Z354" s="2">
        <v>0.05</v>
      </c>
      <c r="AA354" s="2">
        <v>0.05</v>
      </c>
      <c r="AB354" s="2">
        <v>0.05</v>
      </c>
      <c r="AC354" s="2">
        <v>0.05</v>
      </c>
      <c r="AD354" s="2">
        <v>0.05</v>
      </c>
      <c r="AE354">
        <v>-1</v>
      </c>
      <c r="AF354">
        <f t="shared" si="45"/>
        <v>1</v>
      </c>
      <c r="AG354">
        <f t="shared" si="46"/>
        <v>1</v>
      </c>
      <c r="AH354">
        <f t="shared" si="47"/>
        <v>1</v>
      </c>
      <c r="AI354">
        <f t="shared" si="48"/>
        <v>1</v>
      </c>
      <c r="AJ354">
        <f t="shared" si="49"/>
        <v>1</v>
      </c>
      <c r="AK354">
        <f t="shared" si="50"/>
        <v>1</v>
      </c>
      <c r="AL354">
        <f t="shared" si="51"/>
        <v>1</v>
      </c>
      <c r="AM354">
        <f t="shared" si="52"/>
        <v>1</v>
      </c>
      <c r="AN354">
        <f t="shared" si="53"/>
        <v>1</v>
      </c>
      <c r="AO354">
        <f t="shared" si="54"/>
        <v>1</v>
      </c>
      <c r="AP354">
        <f t="shared" si="55"/>
        <v>-1</v>
      </c>
      <c r="AQ354">
        <v>0</v>
      </c>
      <c r="AR354" t="s">
        <v>2</v>
      </c>
      <c r="AS354">
        <v>-1</v>
      </c>
      <c r="AT354">
        <v>-1</v>
      </c>
      <c r="AU354">
        <v>-1</v>
      </c>
      <c r="AV354">
        <v>-1</v>
      </c>
      <c r="AW354">
        <v>-1</v>
      </c>
      <c r="AX354">
        <v>-1</v>
      </c>
      <c r="AY354">
        <v>-1</v>
      </c>
      <c r="AZ354">
        <v>-1</v>
      </c>
      <c r="BA354">
        <v>-1</v>
      </c>
      <c r="BB354">
        <v>0</v>
      </c>
      <c r="BC354" t="s">
        <v>2</v>
      </c>
      <c r="BD354">
        <v>-1</v>
      </c>
      <c r="BE354">
        <v>-1</v>
      </c>
      <c r="BF354">
        <v>-1</v>
      </c>
      <c r="BG354">
        <v>-1</v>
      </c>
      <c r="BH354">
        <v>-1</v>
      </c>
      <c r="BI354">
        <v>-1</v>
      </c>
      <c r="BJ354">
        <v>-1</v>
      </c>
      <c r="BK354">
        <v>-1</v>
      </c>
      <c r="BL354">
        <v>-1</v>
      </c>
      <c r="BM354">
        <v>-1</v>
      </c>
      <c r="BN354">
        <v>-1</v>
      </c>
      <c r="BO354">
        <v>-1</v>
      </c>
    </row>
    <row r="355" spans="1:67" x14ac:dyDescent="0.25">
      <c r="A355">
        <v>352</v>
      </c>
      <c r="B355">
        <v>80008</v>
      </c>
      <c r="C355" t="str">
        <f>VLOOKUP(B355,[1]resources!$A$2:$D$300,3,FALSE)</f>
        <v>!!FOOD_BAKED_LIFESABEACHPEACHCOBBLER</v>
      </c>
      <c r="D355">
        <v>25</v>
      </c>
      <c r="E355" t="str">
        <f>VLOOKUP(D355,[1]bonus_paytable!$A$2:$D$300,3,FALSE)</f>
        <v>mrspuff</v>
      </c>
      <c r="F355">
        <v>-1</v>
      </c>
      <c r="G355">
        <v>-1</v>
      </c>
      <c r="H355">
        <v>1</v>
      </c>
      <c r="I355" t="s">
        <v>1</v>
      </c>
      <c r="J355">
        <v>80011</v>
      </c>
      <c r="K355">
        <v>70010</v>
      </c>
      <c r="L355">
        <v>70005</v>
      </c>
      <c r="M355">
        <v>60015</v>
      </c>
      <c r="N355">
        <v>99</v>
      </c>
      <c r="O355">
        <v>20000</v>
      </c>
      <c r="P355">
        <v>40003</v>
      </c>
      <c r="Q355">
        <v>70001</v>
      </c>
      <c r="R355">
        <v>80007</v>
      </c>
      <c r="S355">
        <v>60001</v>
      </c>
      <c r="T355">
        <v>-1</v>
      </c>
      <c r="U355" s="2">
        <v>0.01</v>
      </c>
      <c r="V355" s="2">
        <v>0.03</v>
      </c>
      <c r="W355" s="2">
        <v>0.03</v>
      </c>
      <c r="X355" s="2">
        <v>0.03</v>
      </c>
      <c r="Y355" s="2">
        <v>0.05</v>
      </c>
      <c r="Z355" s="2">
        <v>0.05</v>
      </c>
      <c r="AA355" s="2">
        <v>0.05</v>
      </c>
      <c r="AB355" s="2">
        <v>0.05</v>
      </c>
      <c r="AC355" s="2">
        <v>0.05</v>
      </c>
      <c r="AD355" s="2">
        <v>0.05</v>
      </c>
      <c r="AE355">
        <v>-1</v>
      </c>
      <c r="AF355">
        <f t="shared" si="45"/>
        <v>1</v>
      </c>
      <c r="AG355">
        <f t="shared" si="46"/>
        <v>1</v>
      </c>
      <c r="AH355">
        <f t="shared" si="47"/>
        <v>1</v>
      </c>
      <c r="AI355">
        <f t="shared" si="48"/>
        <v>1</v>
      </c>
      <c r="AJ355">
        <f t="shared" si="49"/>
        <v>1</v>
      </c>
      <c r="AK355">
        <f t="shared" si="50"/>
        <v>1</v>
      </c>
      <c r="AL355">
        <f t="shared" si="51"/>
        <v>1</v>
      </c>
      <c r="AM355">
        <f t="shared" si="52"/>
        <v>1</v>
      </c>
      <c r="AN355">
        <f t="shared" si="53"/>
        <v>1</v>
      </c>
      <c r="AO355">
        <f t="shared" si="54"/>
        <v>1</v>
      </c>
      <c r="AP355">
        <f t="shared" si="55"/>
        <v>-1</v>
      </c>
      <c r="AQ355">
        <v>0</v>
      </c>
      <c r="AR355" t="s">
        <v>2</v>
      </c>
      <c r="AS355">
        <v>-1</v>
      </c>
      <c r="AT355">
        <v>-1</v>
      </c>
      <c r="AU355">
        <v>-1</v>
      </c>
      <c r="AV355">
        <v>-1</v>
      </c>
      <c r="AW355">
        <v>-1</v>
      </c>
      <c r="AX355">
        <v>-1</v>
      </c>
      <c r="AY355">
        <v>-1</v>
      </c>
      <c r="AZ355">
        <v>-1</v>
      </c>
      <c r="BA355">
        <v>-1</v>
      </c>
      <c r="BB355">
        <v>0</v>
      </c>
      <c r="BC355" t="s">
        <v>2</v>
      </c>
      <c r="BD355">
        <v>-1</v>
      </c>
      <c r="BE355">
        <v>-1</v>
      </c>
      <c r="BF355">
        <v>-1</v>
      </c>
      <c r="BG355">
        <v>-1</v>
      </c>
      <c r="BH355">
        <v>-1</v>
      </c>
      <c r="BI355">
        <v>-1</v>
      </c>
      <c r="BJ355">
        <v>-1</v>
      </c>
      <c r="BK355">
        <v>-1</v>
      </c>
      <c r="BL355">
        <v>-1</v>
      </c>
      <c r="BM355">
        <v>-1</v>
      </c>
      <c r="BN355">
        <v>-1</v>
      </c>
      <c r="BO355">
        <v>-1</v>
      </c>
    </row>
    <row r="356" spans="1:67" x14ac:dyDescent="0.25">
      <c r="A356">
        <v>353</v>
      </c>
      <c r="B356">
        <v>80011</v>
      </c>
      <c r="C356" t="str">
        <f>VLOOKUP(B356,[1]resources!$A$2:$D$300,3,FALSE)</f>
        <v>!!FOOD_BAKED_PUFFERPASTRYTART</v>
      </c>
      <c r="D356">
        <v>25</v>
      </c>
      <c r="E356" t="str">
        <f>VLOOKUP(D356,[1]bonus_paytable!$A$2:$D$300,3,FALSE)</f>
        <v>mrspuff</v>
      </c>
      <c r="F356">
        <v>-1</v>
      </c>
      <c r="G356">
        <v>-1</v>
      </c>
      <c r="H356">
        <v>1</v>
      </c>
      <c r="I356" t="s">
        <v>1</v>
      </c>
      <c r="J356">
        <v>80011</v>
      </c>
      <c r="K356">
        <v>70010</v>
      </c>
      <c r="L356">
        <v>70005</v>
      </c>
      <c r="M356">
        <v>60015</v>
      </c>
      <c r="N356">
        <v>99</v>
      </c>
      <c r="O356">
        <v>20000</v>
      </c>
      <c r="P356">
        <v>40003</v>
      </c>
      <c r="Q356">
        <v>70001</v>
      </c>
      <c r="R356">
        <v>80007</v>
      </c>
      <c r="S356">
        <v>60001</v>
      </c>
      <c r="T356">
        <v>-1</v>
      </c>
      <c r="U356" s="2">
        <v>0.01</v>
      </c>
      <c r="V356" s="2">
        <v>0.03</v>
      </c>
      <c r="W356" s="2">
        <v>0.03</v>
      </c>
      <c r="X356" s="2">
        <v>0.03</v>
      </c>
      <c r="Y356" s="2">
        <v>0.05</v>
      </c>
      <c r="Z356" s="2">
        <v>0.05</v>
      </c>
      <c r="AA356" s="2">
        <v>0.05</v>
      </c>
      <c r="AB356" s="2">
        <v>0.05</v>
      </c>
      <c r="AC356" s="2">
        <v>0.05</v>
      </c>
      <c r="AD356" s="2">
        <v>0.05</v>
      </c>
      <c r="AE356">
        <v>-1</v>
      </c>
      <c r="AF356">
        <f t="shared" si="45"/>
        <v>1</v>
      </c>
      <c r="AG356">
        <f t="shared" si="46"/>
        <v>1</v>
      </c>
      <c r="AH356">
        <f t="shared" si="47"/>
        <v>1</v>
      </c>
      <c r="AI356">
        <f t="shared" si="48"/>
        <v>1</v>
      </c>
      <c r="AJ356">
        <f t="shared" si="49"/>
        <v>1</v>
      </c>
      <c r="AK356">
        <f t="shared" si="50"/>
        <v>1</v>
      </c>
      <c r="AL356">
        <f t="shared" si="51"/>
        <v>1</v>
      </c>
      <c r="AM356">
        <f t="shared" si="52"/>
        <v>1</v>
      </c>
      <c r="AN356">
        <f t="shared" si="53"/>
        <v>1</v>
      </c>
      <c r="AO356">
        <f t="shared" si="54"/>
        <v>1</v>
      </c>
      <c r="AP356">
        <f t="shared" si="55"/>
        <v>-1</v>
      </c>
      <c r="AQ356">
        <v>0</v>
      </c>
      <c r="AR356" t="s">
        <v>2</v>
      </c>
      <c r="AS356">
        <v>-1</v>
      </c>
      <c r="AT356">
        <v>-1</v>
      </c>
      <c r="AU356">
        <v>-1</v>
      </c>
      <c r="AV356">
        <v>-1</v>
      </c>
      <c r="AW356">
        <v>-1</v>
      </c>
      <c r="AX356">
        <v>-1</v>
      </c>
      <c r="AY356">
        <v>-1</v>
      </c>
      <c r="AZ356">
        <v>-1</v>
      </c>
      <c r="BA356">
        <v>-1</v>
      </c>
      <c r="BB356">
        <v>0</v>
      </c>
      <c r="BC356" t="s">
        <v>2</v>
      </c>
      <c r="BD356">
        <v>-1</v>
      </c>
      <c r="BE356">
        <v>-1</v>
      </c>
      <c r="BF356">
        <v>-1</v>
      </c>
      <c r="BG356">
        <v>-1</v>
      </c>
      <c r="BH356">
        <v>-1</v>
      </c>
      <c r="BI356">
        <v>-1</v>
      </c>
      <c r="BJ356">
        <v>-1</v>
      </c>
      <c r="BK356">
        <v>-1</v>
      </c>
      <c r="BL356">
        <v>-1</v>
      </c>
      <c r="BM356">
        <v>-1</v>
      </c>
      <c r="BN356">
        <v>-1</v>
      </c>
      <c r="BO356">
        <v>-1</v>
      </c>
    </row>
    <row r="357" spans="1:67" x14ac:dyDescent="0.25">
      <c r="A357">
        <v>354</v>
      </c>
      <c r="B357">
        <v>99</v>
      </c>
      <c r="C357" t="str">
        <f>VLOOKUP(B357,[1]resources!$A$2:$D$300,3,FALSE)</f>
        <v>!!FOOD_PIPSQUEAKPATTY</v>
      </c>
      <c r="D357">
        <v>26</v>
      </c>
      <c r="E357" t="str">
        <f>VLOOKUP(D357,[1]bonus_paytable!$A$2:$D$300,3,FALSE)</f>
        <v>patrick</v>
      </c>
      <c r="F357">
        <v>-1</v>
      </c>
      <c r="G357">
        <v>-1</v>
      </c>
      <c r="H357">
        <v>1</v>
      </c>
      <c r="I357" t="s">
        <v>1</v>
      </c>
      <c r="J357">
        <v>40001</v>
      </c>
      <c r="K357">
        <v>80004</v>
      </c>
      <c r="L357">
        <v>30009</v>
      </c>
      <c r="M357">
        <v>40005</v>
      </c>
      <c r="N357">
        <v>50007</v>
      </c>
      <c r="O357">
        <v>60004</v>
      </c>
      <c r="P357">
        <v>40</v>
      </c>
      <c r="Q357">
        <v>30011</v>
      </c>
      <c r="R357">
        <v>40000</v>
      </c>
      <c r="S357">
        <v>50003</v>
      </c>
      <c r="T357">
        <v>-1</v>
      </c>
      <c r="U357" s="2">
        <v>0.01</v>
      </c>
      <c r="V357" s="2">
        <v>0.03</v>
      </c>
      <c r="W357" s="2">
        <v>0.03</v>
      </c>
      <c r="X357" s="2">
        <v>0.03</v>
      </c>
      <c r="Y357" s="2">
        <v>0.03</v>
      </c>
      <c r="Z357" s="2">
        <v>0.03</v>
      </c>
      <c r="AA357" s="2">
        <v>0.05</v>
      </c>
      <c r="AB357" s="2">
        <v>0.05</v>
      </c>
      <c r="AC357" s="2">
        <v>0.05</v>
      </c>
      <c r="AD357" s="2">
        <v>0.05</v>
      </c>
      <c r="AE357">
        <v>-1</v>
      </c>
      <c r="AF357">
        <f t="shared" si="45"/>
        <v>1</v>
      </c>
      <c r="AG357">
        <f t="shared" si="46"/>
        <v>1</v>
      </c>
      <c r="AH357">
        <f t="shared" si="47"/>
        <v>1</v>
      </c>
      <c r="AI357">
        <f t="shared" si="48"/>
        <v>1</v>
      </c>
      <c r="AJ357">
        <f t="shared" si="49"/>
        <v>1</v>
      </c>
      <c r="AK357">
        <f t="shared" si="50"/>
        <v>1</v>
      </c>
      <c r="AL357">
        <f t="shared" si="51"/>
        <v>1</v>
      </c>
      <c r="AM357">
        <f t="shared" si="52"/>
        <v>1</v>
      </c>
      <c r="AN357">
        <f t="shared" si="53"/>
        <v>1</v>
      </c>
      <c r="AO357">
        <f t="shared" si="54"/>
        <v>1</v>
      </c>
      <c r="AP357">
        <f t="shared" si="55"/>
        <v>-1</v>
      </c>
      <c r="AQ357">
        <v>0</v>
      </c>
      <c r="AR357" t="s">
        <v>2</v>
      </c>
      <c r="AS357">
        <v>-1</v>
      </c>
      <c r="AT357">
        <v>-1</v>
      </c>
      <c r="AU357">
        <v>-1</v>
      </c>
      <c r="AV357">
        <v>-1</v>
      </c>
      <c r="AW357">
        <v>-1</v>
      </c>
      <c r="AX357">
        <v>-1</v>
      </c>
      <c r="AY357">
        <v>-1</v>
      </c>
      <c r="AZ357">
        <v>-1</v>
      </c>
      <c r="BA357">
        <v>-1</v>
      </c>
      <c r="BB357">
        <v>0</v>
      </c>
      <c r="BC357" t="s">
        <v>2</v>
      </c>
      <c r="BD357">
        <v>-1</v>
      </c>
      <c r="BE357">
        <v>-1</v>
      </c>
      <c r="BF357">
        <v>-1</v>
      </c>
      <c r="BG357">
        <v>-1</v>
      </c>
      <c r="BH357">
        <v>-1</v>
      </c>
      <c r="BI357">
        <v>-1</v>
      </c>
      <c r="BJ357">
        <v>-1</v>
      </c>
      <c r="BK357">
        <v>-1</v>
      </c>
      <c r="BL357">
        <v>-1</v>
      </c>
      <c r="BM357">
        <v>-1</v>
      </c>
      <c r="BN357">
        <v>-1</v>
      </c>
      <c r="BO357">
        <v>-1</v>
      </c>
    </row>
    <row r="358" spans="1:67" x14ac:dyDescent="0.25">
      <c r="A358">
        <v>355</v>
      </c>
      <c r="B358">
        <v>30006</v>
      </c>
      <c r="C358" t="str">
        <f>VLOOKUP(B358,[1]resources!$A$2:$D$300,3,FALSE)</f>
        <v>!!SMOOTHIE_LIQUID_COBBLER</v>
      </c>
      <c r="D358">
        <v>26</v>
      </c>
      <c r="E358" t="str">
        <f>VLOOKUP(D358,[1]bonus_paytable!$A$2:$D$300,3,FALSE)</f>
        <v>patrick</v>
      </c>
      <c r="F358">
        <v>-1</v>
      </c>
      <c r="G358">
        <v>-1</v>
      </c>
      <c r="H358">
        <v>1</v>
      </c>
      <c r="I358" t="s">
        <v>1</v>
      </c>
      <c r="J358">
        <v>40001</v>
      </c>
      <c r="K358">
        <v>80004</v>
      </c>
      <c r="L358">
        <v>30009</v>
      </c>
      <c r="M358">
        <v>40005</v>
      </c>
      <c r="N358">
        <v>50007</v>
      </c>
      <c r="O358">
        <v>60004</v>
      </c>
      <c r="P358">
        <v>40</v>
      </c>
      <c r="Q358">
        <v>30011</v>
      </c>
      <c r="R358">
        <v>40000</v>
      </c>
      <c r="S358">
        <v>50003</v>
      </c>
      <c r="T358">
        <v>-1</v>
      </c>
      <c r="U358" s="2">
        <v>0.01</v>
      </c>
      <c r="V358" s="2">
        <v>0.03</v>
      </c>
      <c r="W358" s="2">
        <v>0.03</v>
      </c>
      <c r="X358" s="2">
        <v>0.03</v>
      </c>
      <c r="Y358" s="2">
        <v>0.03</v>
      </c>
      <c r="Z358" s="2">
        <v>0.03</v>
      </c>
      <c r="AA358" s="2">
        <v>0.05</v>
      </c>
      <c r="AB358" s="2">
        <v>0.05</v>
      </c>
      <c r="AC358" s="2">
        <v>0.05</v>
      </c>
      <c r="AD358" s="2">
        <v>0.05</v>
      </c>
      <c r="AE358">
        <v>-1</v>
      </c>
      <c r="AF358">
        <f t="shared" si="45"/>
        <v>1</v>
      </c>
      <c r="AG358">
        <f t="shared" si="46"/>
        <v>1</v>
      </c>
      <c r="AH358">
        <f t="shared" si="47"/>
        <v>1</v>
      </c>
      <c r="AI358">
        <f t="shared" si="48"/>
        <v>1</v>
      </c>
      <c r="AJ358">
        <f t="shared" si="49"/>
        <v>1</v>
      </c>
      <c r="AK358">
        <f t="shared" si="50"/>
        <v>1</v>
      </c>
      <c r="AL358">
        <f t="shared" si="51"/>
        <v>1</v>
      </c>
      <c r="AM358">
        <f t="shared" si="52"/>
        <v>1</v>
      </c>
      <c r="AN358">
        <f t="shared" si="53"/>
        <v>1</v>
      </c>
      <c r="AO358">
        <f t="shared" si="54"/>
        <v>1</v>
      </c>
      <c r="AP358">
        <f t="shared" si="55"/>
        <v>-1</v>
      </c>
      <c r="AQ358">
        <v>0</v>
      </c>
      <c r="AR358" t="s">
        <v>2</v>
      </c>
      <c r="AS358">
        <v>-1</v>
      </c>
      <c r="AT358">
        <v>-1</v>
      </c>
      <c r="AU358">
        <v>-1</v>
      </c>
      <c r="AV358">
        <v>-1</v>
      </c>
      <c r="AW358">
        <v>-1</v>
      </c>
      <c r="AX358">
        <v>-1</v>
      </c>
      <c r="AY358">
        <v>-1</v>
      </c>
      <c r="AZ358">
        <v>-1</v>
      </c>
      <c r="BA358">
        <v>-1</v>
      </c>
      <c r="BB358">
        <v>0</v>
      </c>
      <c r="BC358" t="s">
        <v>2</v>
      </c>
      <c r="BD358">
        <v>-1</v>
      </c>
      <c r="BE358">
        <v>-1</v>
      </c>
      <c r="BF358">
        <v>-1</v>
      </c>
      <c r="BG358">
        <v>-1</v>
      </c>
      <c r="BH358">
        <v>-1</v>
      </c>
      <c r="BI358">
        <v>-1</v>
      </c>
      <c r="BJ358">
        <v>-1</v>
      </c>
      <c r="BK358">
        <v>-1</v>
      </c>
      <c r="BL358">
        <v>-1</v>
      </c>
      <c r="BM358">
        <v>-1</v>
      </c>
      <c r="BN358">
        <v>-1</v>
      </c>
      <c r="BO358">
        <v>-1</v>
      </c>
    </row>
    <row r="359" spans="1:67" x14ac:dyDescent="0.25">
      <c r="A359">
        <v>356</v>
      </c>
      <c r="B359">
        <v>70011</v>
      </c>
      <c r="C359" t="str">
        <f>VLOOKUP(B359,[1]resources!$A$2:$D$300,3,FALSE)</f>
        <v>!!PERFUME_THEDUMP</v>
      </c>
      <c r="D359">
        <v>26</v>
      </c>
      <c r="E359" t="str">
        <f>VLOOKUP(D359,[1]bonus_paytable!$A$2:$D$300,3,FALSE)</f>
        <v>patrick</v>
      </c>
      <c r="F359">
        <v>-1</v>
      </c>
      <c r="G359">
        <v>-1</v>
      </c>
      <c r="H359">
        <v>1</v>
      </c>
      <c r="I359" t="s">
        <v>1</v>
      </c>
      <c r="J359">
        <v>40001</v>
      </c>
      <c r="K359">
        <v>80004</v>
      </c>
      <c r="L359">
        <v>30009</v>
      </c>
      <c r="M359">
        <v>40005</v>
      </c>
      <c r="N359">
        <v>50007</v>
      </c>
      <c r="O359">
        <v>60004</v>
      </c>
      <c r="P359">
        <v>40</v>
      </c>
      <c r="Q359">
        <v>30011</v>
      </c>
      <c r="R359">
        <v>40000</v>
      </c>
      <c r="S359">
        <v>50003</v>
      </c>
      <c r="T359">
        <v>-1</v>
      </c>
      <c r="U359" s="2">
        <v>0.01</v>
      </c>
      <c r="V359" s="2">
        <v>0.03</v>
      </c>
      <c r="W359" s="2">
        <v>0.03</v>
      </c>
      <c r="X359" s="2">
        <v>0.03</v>
      </c>
      <c r="Y359" s="2">
        <v>0.03</v>
      </c>
      <c r="Z359" s="2">
        <v>0.03</v>
      </c>
      <c r="AA359" s="2">
        <v>0.05</v>
      </c>
      <c r="AB359" s="2">
        <v>0.05</v>
      </c>
      <c r="AC359" s="2">
        <v>0.05</v>
      </c>
      <c r="AD359" s="2">
        <v>0.05</v>
      </c>
      <c r="AE359">
        <v>-1</v>
      </c>
      <c r="AF359">
        <f t="shared" si="45"/>
        <v>1</v>
      </c>
      <c r="AG359">
        <f t="shared" si="46"/>
        <v>1</v>
      </c>
      <c r="AH359">
        <f t="shared" si="47"/>
        <v>1</v>
      </c>
      <c r="AI359">
        <f t="shared" si="48"/>
        <v>1</v>
      </c>
      <c r="AJ359">
        <f t="shared" si="49"/>
        <v>1</v>
      </c>
      <c r="AK359">
        <f t="shared" si="50"/>
        <v>1</v>
      </c>
      <c r="AL359">
        <f t="shared" si="51"/>
        <v>1</v>
      </c>
      <c r="AM359">
        <f t="shared" si="52"/>
        <v>1</v>
      </c>
      <c r="AN359">
        <f t="shared" si="53"/>
        <v>1</v>
      </c>
      <c r="AO359">
        <f t="shared" si="54"/>
        <v>1</v>
      </c>
      <c r="AP359">
        <f t="shared" si="55"/>
        <v>-1</v>
      </c>
      <c r="AQ359">
        <v>0</v>
      </c>
      <c r="AR359" t="s">
        <v>2</v>
      </c>
      <c r="AS359">
        <v>-1</v>
      </c>
      <c r="AT359">
        <v>-1</v>
      </c>
      <c r="AU359">
        <v>-1</v>
      </c>
      <c r="AV359">
        <v>-1</v>
      </c>
      <c r="AW359">
        <v>-1</v>
      </c>
      <c r="AX359">
        <v>-1</v>
      </c>
      <c r="AY359">
        <v>-1</v>
      </c>
      <c r="AZ359">
        <v>-1</v>
      </c>
      <c r="BA359">
        <v>-1</v>
      </c>
      <c r="BB359">
        <v>0</v>
      </c>
      <c r="BC359" t="s">
        <v>2</v>
      </c>
      <c r="BD359">
        <v>-1</v>
      </c>
      <c r="BE359">
        <v>-1</v>
      </c>
      <c r="BF359">
        <v>-1</v>
      </c>
      <c r="BG359">
        <v>-1</v>
      </c>
      <c r="BH359">
        <v>-1</v>
      </c>
      <c r="BI359">
        <v>-1</v>
      </c>
      <c r="BJ359">
        <v>-1</v>
      </c>
      <c r="BK359">
        <v>-1</v>
      </c>
      <c r="BL359">
        <v>-1</v>
      </c>
      <c r="BM359">
        <v>-1</v>
      </c>
      <c r="BN359">
        <v>-1</v>
      </c>
      <c r="BO359">
        <v>-1</v>
      </c>
    </row>
    <row r="360" spans="1:67" x14ac:dyDescent="0.25">
      <c r="A360">
        <v>357</v>
      </c>
      <c r="B360">
        <v>80013</v>
      </c>
      <c r="C360" t="str">
        <f>VLOOKUP(B360,[1]resources!$A$2:$D$300,3,FALSE)</f>
        <v>!!FOOD_BAKED_SEALIMEPIE</v>
      </c>
      <c r="D360">
        <v>26</v>
      </c>
      <c r="E360" t="str">
        <f>VLOOKUP(D360,[1]bonus_paytable!$A$2:$D$300,3,FALSE)</f>
        <v>patrick</v>
      </c>
      <c r="F360">
        <v>-1</v>
      </c>
      <c r="G360">
        <v>-1</v>
      </c>
      <c r="H360">
        <v>1</v>
      </c>
      <c r="I360" t="s">
        <v>1</v>
      </c>
      <c r="J360">
        <v>40001</v>
      </c>
      <c r="K360">
        <v>80004</v>
      </c>
      <c r="L360">
        <v>30009</v>
      </c>
      <c r="M360">
        <v>40005</v>
      </c>
      <c r="N360">
        <v>50007</v>
      </c>
      <c r="O360">
        <v>60004</v>
      </c>
      <c r="P360">
        <v>40</v>
      </c>
      <c r="Q360">
        <v>30011</v>
      </c>
      <c r="R360">
        <v>40000</v>
      </c>
      <c r="S360">
        <v>50003</v>
      </c>
      <c r="T360">
        <v>-1</v>
      </c>
      <c r="U360" s="2">
        <v>0.01</v>
      </c>
      <c r="V360" s="2">
        <v>0.03</v>
      </c>
      <c r="W360" s="2">
        <v>0.03</v>
      </c>
      <c r="X360" s="2">
        <v>0.03</v>
      </c>
      <c r="Y360" s="2">
        <v>0.03</v>
      </c>
      <c r="Z360" s="2">
        <v>0.03</v>
      </c>
      <c r="AA360" s="2">
        <v>0.05</v>
      </c>
      <c r="AB360" s="2">
        <v>0.05</v>
      </c>
      <c r="AC360" s="2">
        <v>0.05</v>
      </c>
      <c r="AD360" s="2">
        <v>0.05</v>
      </c>
      <c r="AE360">
        <v>-1</v>
      </c>
      <c r="AF360">
        <f t="shared" si="45"/>
        <v>1</v>
      </c>
      <c r="AG360">
        <f t="shared" si="46"/>
        <v>1</v>
      </c>
      <c r="AH360">
        <f t="shared" si="47"/>
        <v>1</v>
      </c>
      <c r="AI360">
        <f t="shared" si="48"/>
        <v>1</v>
      </c>
      <c r="AJ360">
        <f t="shared" si="49"/>
        <v>1</v>
      </c>
      <c r="AK360">
        <f t="shared" si="50"/>
        <v>1</v>
      </c>
      <c r="AL360">
        <f t="shared" si="51"/>
        <v>1</v>
      </c>
      <c r="AM360">
        <f t="shared" si="52"/>
        <v>1</v>
      </c>
      <c r="AN360">
        <f t="shared" si="53"/>
        <v>1</v>
      </c>
      <c r="AO360">
        <f t="shared" si="54"/>
        <v>1</v>
      </c>
      <c r="AP360">
        <f t="shared" si="55"/>
        <v>-1</v>
      </c>
      <c r="AQ360">
        <v>0</v>
      </c>
      <c r="AR360" t="s">
        <v>2</v>
      </c>
      <c r="AS360">
        <v>-1</v>
      </c>
      <c r="AT360">
        <v>-1</v>
      </c>
      <c r="AU360">
        <v>-1</v>
      </c>
      <c r="AV360">
        <v>-1</v>
      </c>
      <c r="AW360">
        <v>-1</v>
      </c>
      <c r="AX360">
        <v>-1</v>
      </c>
      <c r="AY360">
        <v>-1</v>
      </c>
      <c r="AZ360">
        <v>-1</v>
      </c>
      <c r="BA360">
        <v>-1</v>
      </c>
      <c r="BB360">
        <v>0</v>
      </c>
      <c r="BC360" t="s">
        <v>2</v>
      </c>
      <c r="BD360">
        <v>-1</v>
      </c>
      <c r="BE360">
        <v>-1</v>
      </c>
      <c r="BF360">
        <v>-1</v>
      </c>
      <c r="BG360">
        <v>-1</v>
      </c>
      <c r="BH360">
        <v>-1</v>
      </c>
      <c r="BI360">
        <v>-1</v>
      </c>
      <c r="BJ360">
        <v>-1</v>
      </c>
      <c r="BK360">
        <v>-1</v>
      </c>
      <c r="BL360">
        <v>-1</v>
      </c>
      <c r="BM360">
        <v>-1</v>
      </c>
      <c r="BN360">
        <v>-1</v>
      </c>
      <c r="BO360">
        <v>-1</v>
      </c>
    </row>
    <row r="361" spans="1:67" x14ac:dyDescent="0.25">
      <c r="A361">
        <v>358</v>
      </c>
      <c r="B361">
        <v>80002</v>
      </c>
      <c r="C361" t="str">
        <f>VLOOKUP(B361,[1]resources!$A$2:$D$300,3,FALSE)</f>
        <v>!!FOOD_BAKED_COCONUTCOBBLER</v>
      </c>
      <c r="D361">
        <v>26</v>
      </c>
      <c r="E361" t="str">
        <f>VLOOKUP(D361,[1]bonus_paytable!$A$2:$D$300,3,FALSE)</f>
        <v>patrick</v>
      </c>
      <c r="F361">
        <v>-1</v>
      </c>
      <c r="G361">
        <v>-1</v>
      </c>
      <c r="H361">
        <v>1</v>
      </c>
      <c r="I361" t="s">
        <v>1</v>
      </c>
      <c r="J361">
        <v>40001</v>
      </c>
      <c r="K361">
        <v>80004</v>
      </c>
      <c r="L361">
        <v>30009</v>
      </c>
      <c r="M361">
        <v>40005</v>
      </c>
      <c r="N361">
        <v>50007</v>
      </c>
      <c r="O361">
        <v>60004</v>
      </c>
      <c r="P361">
        <v>40</v>
      </c>
      <c r="Q361">
        <v>30011</v>
      </c>
      <c r="R361">
        <v>40000</v>
      </c>
      <c r="S361">
        <v>50003</v>
      </c>
      <c r="T361">
        <v>-1</v>
      </c>
      <c r="U361" s="2">
        <v>0.01</v>
      </c>
      <c r="V361" s="2">
        <v>0.03</v>
      </c>
      <c r="W361" s="2">
        <v>0.03</v>
      </c>
      <c r="X361" s="2">
        <v>0.03</v>
      </c>
      <c r="Y361" s="2">
        <v>0.03</v>
      </c>
      <c r="Z361" s="2">
        <v>0.03</v>
      </c>
      <c r="AA361" s="2">
        <v>0.05</v>
      </c>
      <c r="AB361" s="2">
        <v>0.05</v>
      </c>
      <c r="AC361" s="2">
        <v>0.05</v>
      </c>
      <c r="AD361" s="2">
        <v>0.05</v>
      </c>
      <c r="AE361">
        <v>-1</v>
      </c>
      <c r="AF361">
        <f t="shared" si="45"/>
        <v>1</v>
      </c>
      <c r="AG361">
        <f t="shared" si="46"/>
        <v>1</v>
      </c>
      <c r="AH361">
        <f t="shared" si="47"/>
        <v>1</v>
      </c>
      <c r="AI361">
        <f t="shared" si="48"/>
        <v>1</v>
      </c>
      <c r="AJ361">
        <f t="shared" si="49"/>
        <v>1</v>
      </c>
      <c r="AK361">
        <f t="shared" si="50"/>
        <v>1</v>
      </c>
      <c r="AL361">
        <f t="shared" si="51"/>
        <v>1</v>
      </c>
      <c r="AM361">
        <f t="shared" si="52"/>
        <v>1</v>
      </c>
      <c r="AN361">
        <f t="shared" si="53"/>
        <v>1</v>
      </c>
      <c r="AO361">
        <f t="shared" si="54"/>
        <v>1</v>
      </c>
      <c r="AP361">
        <f t="shared" si="55"/>
        <v>-1</v>
      </c>
      <c r="AQ361">
        <v>0</v>
      </c>
      <c r="AR361" t="s">
        <v>2</v>
      </c>
      <c r="AS361">
        <v>-1</v>
      </c>
      <c r="AT361">
        <v>-1</v>
      </c>
      <c r="AU361">
        <v>-1</v>
      </c>
      <c r="AV361">
        <v>-1</v>
      </c>
      <c r="AW361">
        <v>-1</v>
      </c>
      <c r="AX361">
        <v>-1</v>
      </c>
      <c r="AY361">
        <v>-1</v>
      </c>
      <c r="AZ361">
        <v>-1</v>
      </c>
      <c r="BA361">
        <v>-1</v>
      </c>
      <c r="BB361">
        <v>0</v>
      </c>
      <c r="BC361" t="s">
        <v>2</v>
      </c>
      <c r="BD361">
        <v>-1</v>
      </c>
      <c r="BE361">
        <v>-1</v>
      </c>
      <c r="BF361">
        <v>-1</v>
      </c>
      <c r="BG361">
        <v>-1</v>
      </c>
      <c r="BH361">
        <v>-1</v>
      </c>
      <c r="BI361">
        <v>-1</v>
      </c>
      <c r="BJ361">
        <v>-1</v>
      </c>
      <c r="BK361">
        <v>-1</v>
      </c>
      <c r="BL361">
        <v>-1</v>
      </c>
      <c r="BM361">
        <v>-1</v>
      </c>
      <c r="BN361">
        <v>-1</v>
      </c>
      <c r="BO361">
        <v>-1</v>
      </c>
    </row>
    <row r="362" spans="1:67" x14ac:dyDescent="0.25">
      <c r="A362">
        <v>359</v>
      </c>
      <c r="B362">
        <v>80008</v>
      </c>
      <c r="C362" t="str">
        <f>VLOOKUP(B362,[1]resources!$A$2:$D$300,3,FALSE)</f>
        <v>!!FOOD_BAKED_LIFESABEACHPEACHCOBBLER</v>
      </c>
      <c r="D362">
        <v>26</v>
      </c>
      <c r="E362" t="str">
        <f>VLOOKUP(D362,[1]bonus_paytable!$A$2:$D$300,3,FALSE)</f>
        <v>patrick</v>
      </c>
      <c r="F362">
        <v>-1</v>
      </c>
      <c r="G362">
        <v>-1</v>
      </c>
      <c r="H362">
        <v>1</v>
      </c>
      <c r="I362" t="s">
        <v>1</v>
      </c>
      <c r="J362">
        <v>40001</v>
      </c>
      <c r="K362">
        <v>80004</v>
      </c>
      <c r="L362">
        <v>30009</v>
      </c>
      <c r="M362">
        <v>40005</v>
      </c>
      <c r="N362">
        <v>50007</v>
      </c>
      <c r="O362">
        <v>60004</v>
      </c>
      <c r="P362">
        <v>40</v>
      </c>
      <c r="Q362">
        <v>30011</v>
      </c>
      <c r="R362">
        <v>40000</v>
      </c>
      <c r="S362">
        <v>50003</v>
      </c>
      <c r="T362">
        <v>-1</v>
      </c>
      <c r="U362" s="2">
        <v>0.01</v>
      </c>
      <c r="V362" s="2">
        <v>0.03</v>
      </c>
      <c r="W362" s="2">
        <v>0.03</v>
      </c>
      <c r="X362" s="2">
        <v>0.03</v>
      </c>
      <c r="Y362" s="2">
        <v>0.03</v>
      </c>
      <c r="Z362" s="2">
        <v>0.03</v>
      </c>
      <c r="AA362" s="2">
        <v>0.05</v>
      </c>
      <c r="AB362" s="2">
        <v>0.05</v>
      </c>
      <c r="AC362" s="2">
        <v>0.05</v>
      </c>
      <c r="AD362" s="2">
        <v>0.05</v>
      </c>
      <c r="AE362">
        <v>-1</v>
      </c>
      <c r="AF362">
        <f t="shared" si="45"/>
        <v>1</v>
      </c>
      <c r="AG362">
        <f t="shared" si="46"/>
        <v>1</v>
      </c>
      <c r="AH362">
        <f t="shared" si="47"/>
        <v>1</v>
      </c>
      <c r="AI362">
        <f t="shared" si="48"/>
        <v>1</v>
      </c>
      <c r="AJ362">
        <f t="shared" si="49"/>
        <v>1</v>
      </c>
      <c r="AK362">
        <f t="shared" si="50"/>
        <v>1</v>
      </c>
      <c r="AL362">
        <f t="shared" si="51"/>
        <v>1</v>
      </c>
      <c r="AM362">
        <f t="shared" si="52"/>
        <v>1</v>
      </c>
      <c r="AN362">
        <f t="shared" si="53"/>
        <v>1</v>
      </c>
      <c r="AO362">
        <f t="shared" si="54"/>
        <v>1</v>
      </c>
      <c r="AP362">
        <f t="shared" si="55"/>
        <v>-1</v>
      </c>
      <c r="AQ362">
        <v>0</v>
      </c>
      <c r="AR362" t="s">
        <v>2</v>
      </c>
      <c r="AS362">
        <v>-1</v>
      </c>
      <c r="AT362">
        <v>-1</v>
      </c>
      <c r="AU362">
        <v>-1</v>
      </c>
      <c r="AV362">
        <v>-1</v>
      </c>
      <c r="AW362">
        <v>-1</v>
      </c>
      <c r="AX362">
        <v>-1</v>
      </c>
      <c r="AY362">
        <v>-1</v>
      </c>
      <c r="AZ362">
        <v>-1</v>
      </c>
      <c r="BA362">
        <v>-1</v>
      </c>
      <c r="BB362">
        <v>0</v>
      </c>
      <c r="BC362" t="s">
        <v>2</v>
      </c>
      <c r="BD362">
        <v>-1</v>
      </c>
      <c r="BE362">
        <v>-1</v>
      </c>
      <c r="BF362">
        <v>-1</v>
      </c>
      <c r="BG362">
        <v>-1</v>
      </c>
      <c r="BH362">
        <v>-1</v>
      </c>
      <c r="BI362">
        <v>-1</v>
      </c>
      <c r="BJ362">
        <v>-1</v>
      </c>
      <c r="BK362">
        <v>-1</v>
      </c>
      <c r="BL362">
        <v>-1</v>
      </c>
      <c r="BM362">
        <v>-1</v>
      </c>
      <c r="BN362">
        <v>-1</v>
      </c>
      <c r="BO362">
        <v>-1</v>
      </c>
    </row>
    <row r="363" spans="1:67" x14ac:dyDescent="0.25">
      <c r="A363">
        <v>360</v>
      </c>
      <c r="B363">
        <v>50002</v>
      </c>
      <c r="C363" t="str">
        <f>VLOOKUP(B363,[1]resources!$A$2:$D$300,3,FALSE)</f>
        <v>!!SHAKE_CORAL_CRUSH</v>
      </c>
      <c r="D363">
        <v>26</v>
      </c>
      <c r="E363" t="str">
        <f>VLOOKUP(D363,[1]bonus_paytable!$A$2:$D$300,3,FALSE)</f>
        <v>patrick</v>
      </c>
      <c r="F363">
        <v>-1</v>
      </c>
      <c r="G363">
        <v>-1</v>
      </c>
      <c r="H363">
        <v>1</v>
      </c>
      <c r="I363" t="s">
        <v>1</v>
      </c>
      <c r="J363">
        <v>40001</v>
      </c>
      <c r="K363">
        <v>80004</v>
      </c>
      <c r="L363">
        <v>30009</v>
      </c>
      <c r="M363">
        <v>40005</v>
      </c>
      <c r="N363">
        <v>50007</v>
      </c>
      <c r="O363">
        <v>60004</v>
      </c>
      <c r="P363">
        <v>40</v>
      </c>
      <c r="Q363">
        <v>30011</v>
      </c>
      <c r="R363">
        <v>40000</v>
      </c>
      <c r="S363">
        <v>50003</v>
      </c>
      <c r="T363">
        <v>-1</v>
      </c>
      <c r="U363" s="2">
        <v>0.01</v>
      </c>
      <c r="V363" s="2">
        <v>0.03</v>
      </c>
      <c r="W363" s="2">
        <v>0.03</v>
      </c>
      <c r="X363" s="2">
        <v>0.03</v>
      </c>
      <c r="Y363" s="2">
        <v>0.03</v>
      </c>
      <c r="Z363" s="2">
        <v>0.03</v>
      </c>
      <c r="AA363" s="2">
        <v>0.05</v>
      </c>
      <c r="AB363" s="2">
        <v>0.05</v>
      </c>
      <c r="AC363" s="2">
        <v>0.05</v>
      </c>
      <c r="AD363" s="2">
        <v>0.05</v>
      </c>
      <c r="AE363">
        <v>-1</v>
      </c>
      <c r="AF363">
        <f t="shared" si="45"/>
        <v>1</v>
      </c>
      <c r="AG363">
        <f t="shared" si="46"/>
        <v>1</v>
      </c>
      <c r="AH363">
        <f t="shared" si="47"/>
        <v>1</v>
      </c>
      <c r="AI363">
        <f t="shared" si="48"/>
        <v>1</v>
      </c>
      <c r="AJ363">
        <f t="shared" si="49"/>
        <v>1</v>
      </c>
      <c r="AK363">
        <f t="shared" si="50"/>
        <v>1</v>
      </c>
      <c r="AL363">
        <f t="shared" si="51"/>
        <v>1</v>
      </c>
      <c r="AM363">
        <f t="shared" si="52"/>
        <v>1</v>
      </c>
      <c r="AN363">
        <f t="shared" si="53"/>
        <v>1</v>
      </c>
      <c r="AO363">
        <f t="shared" si="54"/>
        <v>1</v>
      </c>
      <c r="AP363">
        <f t="shared" si="55"/>
        <v>-1</v>
      </c>
      <c r="AQ363">
        <v>0</v>
      </c>
      <c r="AR363" t="s">
        <v>2</v>
      </c>
      <c r="AS363">
        <v>-1</v>
      </c>
      <c r="AT363">
        <v>-1</v>
      </c>
      <c r="AU363">
        <v>-1</v>
      </c>
      <c r="AV363">
        <v>-1</v>
      </c>
      <c r="AW363">
        <v>-1</v>
      </c>
      <c r="AX363">
        <v>-1</v>
      </c>
      <c r="AY363">
        <v>-1</v>
      </c>
      <c r="AZ363">
        <v>-1</v>
      </c>
      <c r="BA363">
        <v>-1</v>
      </c>
      <c r="BB363">
        <v>0</v>
      </c>
      <c r="BC363" t="s">
        <v>2</v>
      </c>
      <c r="BD363">
        <v>-1</v>
      </c>
      <c r="BE363">
        <v>-1</v>
      </c>
      <c r="BF363">
        <v>-1</v>
      </c>
      <c r="BG363">
        <v>-1</v>
      </c>
      <c r="BH363">
        <v>-1</v>
      </c>
      <c r="BI363">
        <v>-1</v>
      </c>
      <c r="BJ363">
        <v>-1</v>
      </c>
      <c r="BK363">
        <v>-1</v>
      </c>
      <c r="BL363">
        <v>-1</v>
      </c>
      <c r="BM363">
        <v>-1</v>
      </c>
      <c r="BN363">
        <v>-1</v>
      </c>
      <c r="BO363">
        <v>-1</v>
      </c>
    </row>
    <row r="364" spans="1:67" x14ac:dyDescent="0.25">
      <c r="A364">
        <v>361</v>
      </c>
      <c r="B364">
        <v>50000</v>
      </c>
      <c r="C364" t="str">
        <f>VLOOKUP(B364,[1]resources!$A$2:$D$300,3,FALSE)</f>
        <v>!!SHAKE_BANANAS_N_BITS</v>
      </c>
      <c r="D364">
        <v>26</v>
      </c>
      <c r="E364" t="str">
        <f>VLOOKUP(D364,[1]bonus_paytable!$A$2:$D$300,3,FALSE)</f>
        <v>patrick</v>
      </c>
      <c r="F364">
        <v>-1</v>
      </c>
      <c r="G364">
        <v>-1</v>
      </c>
      <c r="H364">
        <v>1</v>
      </c>
      <c r="I364" t="s">
        <v>1</v>
      </c>
      <c r="J364">
        <v>40001</v>
      </c>
      <c r="K364">
        <v>80004</v>
      </c>
      <c r="L364">
        <v>30009</v>
      </c>
      <c r="M364">
        <v>40005</v>
      </c>
      <c r="N364">
        <v>50007</v>
      </c>
      <c r="O364">
        <v>60004</v>
      </c>
      <c r="P364">
        <v>40</v>
      </c>
      <c r="Q364">
        <v>30011</v>
      </c>
      <c r="R364">
        <v>40000</v>
      </c>
      <c r="S364">
        <v>50003</v>
      </c>
      <c r="T364">
        <v>-1</v>
      </c>
      <c r="U364" s="2">
        <v>0.01</v>
      </c>
      <c r="V364" s="2">
        <v>0.03</v>
      </c>
      <c r="W364" s="2">
        <v>0.03</v>
      </c>
      <c r="X364" s="2">
        <v>0.03</v>
      </c>
      <c r="Y364" s="2">
        <v>0.03</v>
      </c>
      <c r="Z364" s="2">
        <v>0.03</v>
      </c>
      <c r="AA364" s="2">
        <v>0.05</v>
      </c>
      <c r="AB364" s="2">
        <v>0.05</v>
      </c>
      <c r="AC364" s="2">
        <v>0.05</v>
      </c>
      <c r="AD364" s="2">
        <v>0.05</v>
      </c>
      <c r="AE364">
        <v>-1</v>
      </c>
      <c r="AF364">
        <f t="shared" si="45"/>
        <v>1</v>
      </c>
      <c r="AG364">
        <f t="shared" si="46"/>
        <v>1</v>
      </c>
      <c r="AH364">
        <f t="shared" si="47"/>
        <v>1</v>
      </c>
      <c r="AI364">
        <f t="shared" si="48"/>
        <v>1</v>
      </c>
      <c r="AJ364">
        <f t="shared" si="49"/>
        <v>1</v>
      </c>
      <c r="AK364">
        <f t="shared" si="50"/>
        <v>1</v>
      </c>
      <c r="AL364">
        <f t="shared" si="51"/>
        <v>1</v>
      </c>
      <c r="AM364">
        <f t="shared" si="52"/>
        <v>1</v>
      </c>
      <c r="AN364">
        <f t="shared" si="53"/>
        <v>1</v>
      </c>
      <c r="AO364">
        <f t="shared" si="54"/>
        <v>1</v>
      </c>
      <c r="AP364">
        <f t="shared" si="55"/>
        <v>-1</v>
      </c>
      <c r="AQ364">
        <v>0</v>
      </c>
      <c r="AR364" t="s">
        <v>2</v>
      </c>
      <c r="AS364">
        <v>-1</v>
      </c>
      <c r="AT364">
        <v>-1</v>
      </c>
      <c r="AU364">
        <v>-1</v>
      </c>
      <c r="AV364">
        <v>-1</v>
      </c>
      <c r="AW364">
        <v>-1</v>
      </c>
      <c r="AX364">
        <v>-1</v>
      </c>
      <c r="AY364">
        <v>-1</v>
      </c>
      <c r="AZ364">
        <v>-1</v>
      </c>
      <c r="BA364">
        <v>-1</v>
      </c>
      <c r="BB364">
        <v>0</v>
      </c>
      <c r="BC364" t="s">
        <v>2</v>
      </c>
      <c r="BD364">
        <v>-1</v>
      </c>
      <c r="BE364">
        <v>-1</v>
      </c>
      <c r="BF364">
        <v>-1</v>
      </c>
      <c r="BG364">
        <v>-1</v>
      </c>
      <c r="BH364">
        <v>-1</v>
      </c>
      <c r="BI364">
        <v>-1</v>
      </c>
      <c r="BJ364">
        <v>-1</v>
      </c>
      <c r="BK364">
        <v>-1</v>
      </c>
      <c r="BL364">
        <v>-1</v>
      </c>
      <c r="BM364">
        <v>-1</v>
      </c>
      <c r="BN364">
        <v>-1</v>
      </c>
      <c r="BO364">
        <v>-1</v>
      </c>
    </row>
    <row r="365" spans="1:67" x14ac:dyDescent="0.25">
      <c r="A365">
        <v>362</v>
      </c>
      <c r="B365">
        <v>40004</v>
      </c>
      <c r="C365" t="str">
        <f>VLOOKUP(B365,[1]resources!$A$2:$D$300,3,FALSE)</f>
        <v>!!ICECREAM_CORAL_BITS</v>
      </c>
      <c r="D365">
        <v>26</v>
      </c>
      <c r="E365" t="str">
        <f>VLOOKUP(D365,[1]bonus_paytable!$A$2:$D$300,3,FALSE)</f>
        <v>patrick</v>
      </c>
      <c r="F365">
        <v>-1</v>
      </c>
      <c r="G365">
        <v>-1</v>
      </c>
      <c r="H365">
        <v>1</v>
      </c>
      <c r="I365" t="s">
        <v>1</v>
      </c>
      <c r="J365">
        <v>40001</v>
      </c>
      <c r="K365">
        <v>80004</v>
      </c>
      <c r="L365">
        <v>30009</v>
      </c>
      <c r="M365">
        <v>40005</v>
      </c>
      <c r="N365">
        <v>50007</v>
      </c>
      <c r="O365">
        <v>60004</v>
      </c>
      <c r="P365">
        <v>40</v>
      </c>
      <c r="Q365">
        <v>30011</v>
      </c>
      <c r="R365">
        <v>40000</v>
      </c>
      <c r="S365">
        <v>50003</v>
      </c>
      <c r="T365">
        <v>-1</v>
      </c>
      <c r="U365" s="2">
        <v>0.01</v>
      </c>
      <c r="V365" s="2">
        <v>0.03</v>
      </c>
      <c r="W365" s="2">
        <v>0.03</v>
      </c>
      <c r="X365" s="2">
        <v>0.03</v>
      </c>
      <c r="Y365" s="2">
        <v>0.03</v>
      </c>
      <c r="Z365" s="2">
        <v>0.03</v>
      </c>
      <c r="AA365" s="2">
        <v>0.05</v>
      </c>
      <c r="AB365" s="2">
        <v>0.05</v>
      </c>
      <c r="AC365" s="2">
        <v>0.05</v>
      </c>
      <c r="AD365" s="2">
        <v>0.05</v>
      </c>
      <c r="AE365">
        <v>-1</v>
      </c>
      <c r="AF365">
        <f t="shared" si="45"/>
        <v>1</v>
      </c>
      <c r="AG365">
        <f t="shared" si="46"/>
        <v>1</v>
      </c>
      <c r="AH365">
        <f t="shared" si="47"/>
        <v>1</v>
      </c>
      <c r="AI365">
        <f t="shared" si="48"/>
        <v>1</v>
      </c>
      <c r="AJ365">
        <f t="shared" si="49"/>
        <v>1</v>
      </c>
      <c r="AK365">
        <f t="shared" si="50"/>
        <v>1</v>
      </c>
      <c r="AL365">
        <f t="shared" si="51"/>
        <v>1</v>
      </c>
      <c r="AM365">
        <f t="shared" si="52"/>
        <v>1</v>
      </c>
      <c r="AN365">
        <f t="shared" si="53"/>
        <v>1</v>
      </c>
      <c r="AO365">
        <f t="shared" si="54"/>
        <v>1</v>
      </c>
      <c r="AP365">
        <f t="shared" si="55"/>
        <v>-1</v>
      </c>
      <c r="AQ365">
        <v>0</v>
      </c>
      <c r="AR365" t="s">
        <v>2</v>
      </c>
      <c r="AS365">
        <v>-1</v>
      </c>
      <c r="AT365">
        <v>-1</v>
      </c>
      <c r="AU365">
        <v>-1</v>
      </c>
      <c r="AV365">
        <v>-1</v>
      </c>
      <c r="AW365">
        <v>-1</v>
      </c>
      <c r="AX365">
        <v>-1</v>
      </c>
      <c r="AY365">
        <v>-1</v>
      </c>
      <c r="AZ365">
        <v>-1</v>
      </c>
      <c r="BA365">
        <v>-1</v>
      </c>
      <c r="BB365">
        <v>0</v>
      </c>
      <c r="BC365" t="s">
        <v>2</v>
      </c>
      <c r="BD365">
        <v>-1</v>
      </c>
      <c r="BE365">
        <v>-1</v>
      </c>
      <c r="BF365">
        <v>-1</v>
      </c>
      <c r="BG365">
        <v>-1</v>
      </c>
      <c r="BH365">
        <v>-1</v>
      </c>
      <c r="BI365">
        <v>-1</v>
      </c>
      <c r="BJ365">
        <v>-1</v>
      </c>
      <c r="BK365">
        <v>-1</v>
      </c>
      <c r="BL365">
        <v>-1</v>
      </c>
      <c r="BM365">
        <v>-1</v>
      </c>
      <c r="BN365">
        <v>-1</v>
      </c>
      <c r="BO365">
        <v>-1</v>
      </c>
    </row>
    <row r="366" spans="1:67" x14ac:dyDescent="0.25">
      <c r="A366">
        <v>363</v>
      </c>
      <c r="B366">
        <v>40001</v>
      </c>
      <c r="C366" t="str">
        <f>VLOOKUP(B366,[1]resources!$A$2:$D$300,3,FALSE)</f>
        <v>!!ICECREAM_BANANA_SPLIT</v>
      </c>
      <c r="D366">
        <v>26</v>
      </c>
      <c r="E366" t="str">
        <f>VLOOKUP(D366,[1]bonus_paytable!$A$2:$D$300,3,FALSE)</f>
        <v>patrick</v>
      </c>
      <c r="F366">
        <v>-1</v>
      </c>
      <c r="G366">
        <v>-1</v>
      </c>
      <c r="H366">
        <v>1</v>
      </c>
      <c r="I366" t="s">
        <v>1</v>
      </c>
      <c r="J366">
        <v>40001</v>
      </c>
      <c r="K366">
        <v>80004</v>
      </c>
      <c r="L366">
        <v>30009</v>
      </c>
      <c r="M366">
        <v>40005</v>
      </c>
      <c r="N366">
        <v>50007</v>
      </c>
      <c r="O366">
        <v>60004</v>
      </c>
      <c r="P366">
        <v>40</v>
      </c>
      <c r="Q366">
        <v>30011</v>
      </c>
      <c r="R366">
        <v>40000</v>
      </c>
      <c r="S366">
        <v>50003</v>
      </c>
      <c r="T366">
        <v>-1</v>
      </c>
      <c r="U366" s="2">
        <v>0.01</v>
      </c>
      <c r="V366" s="2">
        <v>0.03</v>
      </c>
      <c r="W366" s="2">
        <v>0.03</v>
      </c>
      <c r="X366" s="2">
        <v>0.03</v>
      </c>
      <c r="Y366" s="2">
        <v>0.03</v>
      </c>
      <c r="Z366" s="2">
        <v>0.03</v>
      </c>
      <c r="AA366" s="2">
        <v>0.05</v>
      </c>
      <c r="AB366" s="2">
        <v>0.05</v>
      </c>
      <c r="AC366" s="2">
        <v>0.05</v>
      </c>
      <c r="AD366" s="2">
        <v>0.05</v>
      </c>
      <c r="AE366">
        <v>-1</v>
      </c>
      <c r="AF366">
        <f t="shared" si="45"/>
        <v>1</v>
      </c>
      <c r="AG366">
        <f t="shared" si="46"/>
        <v>1</v>
      </c>
      <c r="AH366">
        <f t="shared" si="47"/>
        <v>1</v>
      </c>
      <c r="AI366">
        <f t="shared" si="48"/>
        <v>1</v>
      </c>
      <c r="AJ366">
        <f t="shared" si="49"/>
        <v>1</v>
      </c>
      <c r="AK366">
        <f t="shared" si="50"/>
        <v>1</v>
      </c>
      <c r="AL366">
        <f t="shared" si="51"/>
        <v>1</v>
      </c>
      <c r="AM366">
        <f t="shared" si="52"/>
        <v>1</v>
      </c>
      <c r="AN366">
        <f t="shared" si="53"/>
        <v>1</v>
      </c>
      <c r="AO366">
        <f t="shared" si="54"/>
        <v>1</v>
      </c>
      <c r="AP366">
        <f t="shared" si="55"/>
        <v>-1</v>
      </c>
      <c r="AQ366">
        <v>0</v>
      </c>
      <c r="AR366" t="s">
        <v>2</v>
      </c>
      <c r="AS366">
        <v>-1</v>
      </c>
      <c r="AT366">
        <v>-1</v>
      </c>
      <c r="AU366">
        <v>-1</v>
      </c>
      <c r="AV366">
        <v>-1</v>
      </c>
      <c r="AW366">
        <v>-1</v>
      </c>
      <c r="AX366">
        <v>-1</v>
      </c>
      <c r="AY366">
        <v>-1</v>
      </c>
      <c r="AZ366">
        <v>-1</v>
      </c>
      <c r="BA366">
        <v>-1</v>
      </c>
      <c r="BB366">
        <v>0</v>
      </c>
      <c r="BC366" t="s">
        <v>2</v>
      </c>
      <c r="BD366">
        <v>-1</v>
      </c>
      <c r="BE366">
        <v>-1</v>
      </c>
      <c r="BF366">
        <v>-1</v>
      </c>
      <c r="BG366">
        <v>-1</v>
      </c>
      <c r="BH366">
        <v>-1</v>
      </c>
      <c r="BI366">
        <v>-1</v>
      </c>
      <c r="BJ366">
        <v>-1</v>
      </c>
      <c r="BK366">
        <v>-1</v>
      </c>
      <c r="BL366">
        <v>-1</v>
      </c>
      <c r="BM366">
        <v>-1</v>
      </c>
      <c r="BN366">
        <v>-1</v>
      </c>
      <c r="BO366">
        <v>-1</v>
      </c>
    </row>
    <row r="367" spans="1:67" x14ac:dyDescent="0.25">
      <c r="A367">
        <v>364</v>
      </c>
      <c r="B367">
        <v>1</v>
      </c>
      <c r="C367" t="str">
        <f>VLOOKUP(B367,[1]resources!$A$2:$D$300,3,FALSE)</f>
        <v>!!FOOD_KRABBYPATTY</v>
      </c>
      <c r="D367">
        <v>27</v>
      </c>
      <c r="E367" t="str">
        <f>VLOOKUP(D367,[1]bonus_paytable!$A$2:$D$300,3,FALSE)</f>
        <v>pearlkrabs</v>
      </c>
      <c r="F367">
        <v>-1</v>
      </c>
      <c r="G367">
        <v>-1</v>
      </c>
      <c r="H367">
        <v>1</v>
      </c>
      <c r="I367" t="s">
        <v>1</v>
      </c>
      <c r="J367">
        <v>30006</v>
      </c>
      <c r="K367">
        <v>80015</v>
      </c>
      <c r="L367">
        <v>70005</v>
      </c>
      <c r="M367">
        <v>60017</v>
      </c>
      <c r="N367">
        <v>27</v>
      </c>
      <c r="O367">
        <v>2002</v>
      </c>
      <c r="P367">
        <v>99</v>
      </c>
      <c r="Q367">
        <v>70001</v>
      </c>
      <c r="R367">
        <v>80007</v>
      </c>
      <c r="S367">
        <v>60001</v>
      </c>
      <c r="T367">
        <v>-1</v>
      </c>
      <c r="U367" s="2">
        <v>0.01</v>
      </c>
      <c r="V367" s="2">
        <v>0.03</v>
      </c>
      <c r="W367" s="2">
        <v>0.03</v>
      </c>
      <c r="X367" s="2">
        <v>0.03</v>
      </c>
      <c r="Y367" s="2">
        <v>0.05</v>
      </c>
      <c r="Z367" s="2">
        <v>0.05</v>
      </c>
      <c r="AA367" s="2">
        <v>0.05</v>
      </c>
      <c r="AB367" s="2">
        <v>0.05</v>
      </c>
      <c r="AC367" s="2">
        <v>0.05</v>
      </c>
      <c r="AD367" s="2">
        <v>0.05</v>
      </c>
      <c r="AE367">
        <v>-1</v>
      </c>
      <c r="AF367">
        <f t="shared" si="45"/>
        <v>1</v>
      </c>
      <c r="AG367">
        <f t="shared" si="46"/>
        <v>1</v>
      </c>
      <c r="AH367">
        <f t="shared" si="47"/>
        <v>1</v>
      </c>
      <c r="AI367">
        <f t="shared" si="48"/>
        <v>1</v>
      </c>
      <c r="AJ367">
        <f t="shared" si="49"/>
        <v>1</v>
      </c>
      <c r="AK367">
        <f t="shared" si="50"/>
        <v>1</v>
      </c>
      <c r="AL367">
        <f t="shared" si="51"/>
        <v>1</v>
      </c>
      <c r="AM367">
        <f t="shared" si="52"/>
        <v>1</v>
      </c>
      <c r="AN367">
        <f t="shared" si="53"/>
        <v>1</v>
      </c>
      <c r="AO367">
        <f t="shared" si="54"/>
        <v>1</v>
      </c>
      <c r="AP367">
        <f t="shared" si="55"/>
        <v>-1</v>
      </c>
      <c r="AQ367">
        <v>0</v>
      </c>
      <c r="AR367" t="s">
        <v>2</v>
      </c>
      <c r="AS367">
        <v>-1</v>
      </c>
      <c r="AT367">
        <v>-1</v>
      </c>
      <c r="AU367">
        <v>-1</v>
      </c>
      <c r="AV367">
        <v>-1</v>
      </c>
      <c r="AW367">
        <v>-1</v>
      </c>
      <c r="AX367">
        <v>-1</v>
      </c>
      <c r="AY367">
        <v>-1</v>
      </c>
      <c r="AZ367">
        <v>-1</v>
      </c>
      <c r="BA367">
        <v>-1</v>
      </c>
      <c r="BB367">
        <v>0</v>
      </c>
      <c r="BC367" t="s">
        <v>2</v>
      </c>
      <c r="BD367">
        <v>-1</v>
      </c>
      <c r="BE367">
        <v>-1</v>
      </c>
      <c r="BF367">
        <v>-1</v>
      </c>
      <c r="BG367">
        <v>-1</v>
      </c>
      <c r="BH367">
        <v>-1</v>
      </c>
      <c r="BI367">
        <v>-1</v>
      </c>
      <c r="BJ367">
        <v>-1</v>
      </c>
      <c r="BK367">
        <v>-1</v>
      </c>
      <c r="BL367">
        <v>-1</v>
      </c>
      <c r="BM367">
        <v>-1</v>
      </c>
      <c r="BN367">
        <v>-1</v>
      </c>
      <c r="BO367">
        <v>-1</v>
      </c>
    </row>
    <row r="368" spans="1:67" x14ac:dyDescent="0.25">
      <c r="A368">
        <v>365</v>
      </c>
      <c r="B368">
        <v>46</v>
      </c>
      <c r="C368" t="str">
        <f>VLOOKUP(B368,[1]resources!$A$2:$D$300,3,FALSE)</f>
        <v>!!FOOD_SALAD</v>
      </c>
      <c r="D368">
        <v>27</v>
      </c>
      <c r="E368" t="str">
        <f>VLOOKUP(D368,[1]bonus_paytable!$A$2:$D$300,3,FALSE)</f>
        <v>pearlkrabs</v>
      </c>
      <c r="F368">
        <v>-1</v>
      </c>
      <c r="G368">
        <v>-1</v>
      </c>
      <c r="H368">
        <v>1</v>
      </c>
      <c r="I368" t="s">
        <v>1</v>
      </c>
      <c r="J368">
        <v>30006</v>
      </c>
      <c r="K368">
        <v>80015</v>
      </c>
      <c r="L368">
        <v>70005</v>
      </c>
      <c r="M368">
        <v>60017</v>
      </c>
      <c r="N368">
        <v>27</v>
      </c>
      <c r="O368">
        <v>2002</v>
      </c>
      <c r="P368">
        <v>99</v>
      </c>
      <c r="Q368">
        <v>70001</v>
      </c>
      <c r="R368">
        <v>80007</v>
      </c>
      <c r="S368">
        <v>60001</v>
      </c>
      <c r="T368">
        <v>-1</v>
      </c>
      <c r="U368" s="2">
        <v>0.01</v>
      </c>
      <c r="V368" s="2">
        <v>0.03</v>
      </c>
      <c r="W368" s="2">
        <v>0.03</v>
      </c>
      <c r="X368" s="2">
        <v>0.03</v>
      </c>
      <c r="Y368" s="2">
        <v>0.05</v>
      </c>
      <c r="Z368" s="2">
        <v>0.05</v>
      </c>
      <c r="AA368" s="2">
        <v>0.05</v>
      </c>
      <c r="AB368" s="2">
        <v>0.05</v>
      </c>
      <c r="AC368" s="2">
        <v>0.05</v>
      </c>
      <c r="AD368" s="2">
        <v>0.05</v>
      </c>
      <c r="AE368">
        <v>-1</v>
      </c>
      <c r="AF368">
        <f t="shared" si="45"/>
        <v>1</v>
      </c>
      <c r="AG368">
        <f t="shared" si="46"/>
        <v>1</v>
      </c>
      <c r="AH368">
        <f t="shared" si="47"/>
        <v>1</v>
      </c>
      <c r="AI368">
        <f t="shared" si="48"/>
        <v>1</v>
      </c>
      <c r="AJ368">
        <f t="shared" si="49"/>
        <v>1</v>
      </c>
      <c r="AK368">
        <f t="shared" si="50"/>
        <v>1</v>
      </c>
      <c r="AL368">
        <f t="shared" si="51"/>
        <v>1</v>
      </c>
      <c r="AM368">
        <f t="shared" si="52"/>
        <v>1</v>
      </c>
      <c r="AN368">
        <f t="shared" si="53"/>
        <v>1</v>
      </c>
      <c r="AO368">
        <f t="shared" si="54"/>
        <v>1</v>
      </c>
      <c r="AP368">
        <f t="shared" si="55"/>
        <v>-1</v>
      </c>
      <c r="AQ368">
        <v>0</v>
      </c>
      <c r="AR368" t="s">
        <v>2</v>
      </c>
      <c r="AS368">
        <v>-1</v>
      </c>
      <c r="AT368">
        <v>-1</v>
      </c>
      <c r="AU368">
        <v>-1</v>
      </c>
      <c r="AV368">
        <v>-1</v>
      </c>
      <c r="AW368">
        <v>-1</v>
      </c>
      <c r="AX368">
        <v>-1</v>
      </c>
      <c r="AY368">
        <v>-1</v>
      </c>
      <c r="AZ368">
        <v>-1</v>
      </c>
      <c r="BA368">
        <v>-1</v>
      </c>
      <c r="BB368">
        <v>0</v>
      </c>
      <c r="BC368" t="s">
        <v>2</v>
      </c>
      <c r="BD368">
        <v>-1</v>
      </c>
      <c r="BE368">
        <v>-1</v>
      </c>
      <c r="BF368">
        <v>-1</v>
      </c>
      <c r="BG368">
        <v>-1</v>
      </c>
      <c r="BH368">
        <v>-1</v>
      </c>
      <c r="BI368">
        <v>-1</v>
      </c>
      <c r="BJ368">
        <v>-1</v>
      </c>
      <c r="BK368">
        <v>-1</v>
      </c>
      <c r="BL368">
        <v>-1</v>
      </c>
      <c r="BM368">
        <v>-1</v>
      </c>
      <c r="BN368">
        <v>-1</v>
      </c>
      <c r="BO368">
        <v>-1</v>
      </c>
    </row>
    <row r="369" spans="1:67" x14ac:dyDescent="0.25">
      <c r="A369">
        <v>366</v>
      </c>
      <c r="B369">
        <v>32</v>
      </c>
      <c r="C369" t="str">
        <f>VLOOKUP(B369,[1]resources!$A$2:$D$300,3,FALSE)</f>
        <v>!!FOOD_JELLYPATTY</v>
      </c>
      <c r="D369">
        <v>27</v>
      </c>
      <c r="E369" t="str">
        <f>VLOOKUP(D369,[1]bonus_paytable!$A$2:$D$300,3,FALSE)</f>
        <v>pearlkrabs</v>
      </c>
      <c r="F369">
        <v>-1</v>
      </c>
      <c r="G369">
        <v>-1</v>
      </c>
      <c r="H369">
        <v>1</v>
      </c>
      <c r="I369" t="s">
        <v>1</v>
      </c>
      <c r="J369">
        <v>30006</v>
      </c>
      <c r="K369">
        <v>80015</v>
      </c>
      <c r="L369">
        <v>70005</v>
      </c>
      <c r="M369">
        <v>60017</v>
      </c>
      <c r="N369">
        <v>27</v>
      </c>
      <c r="O369">
        <v>2002</v>
      </c>
      <c r="P369">
        <v>99</v>
      </c>
      <c r="Q369">
        <v>70001</v>
      </c>
      <c r="R369">
        <v>80007</v>
      </c>
      <c r="S369">
        <v>60001</v>
      </c>
      <c r="T369">
        <v>-1</v>
      </c>
      <c r="U369" s="2">
        <v>0.01</v>
      </c>
      <c r="V369" s="2">
        <v>0.03</v>
      </c>
      <c r="W369" s="2">
        <v>0.03</v>
      </c>
      <c r="X369" s="2">
        <v>0.03</v>
      </c>
      <c r="Y369" s="2">
        <v>0.05</v>
      </c>
      <c r="Z369" s="2">
        <v>0.05</v>
      </c>
      <c r="AA369" s="2">
        <v>0.05</v>
      </c>
      <c r="AB369" s="2">
        <v>0.05</v>
      </c>
      <c r="AC369" s="2">
        <v>0.05</v>
      </c>
      <c r="AD369" s="2">
        <v>0.05</v>
      </c>
      <c r="AE369">
        <v>-1</v>
      </c>
      <c r="AF369">
        <f t="shared" si="45"/>
        <v>1</v>
      </c>
      <c r="AG369">
        <f t="shared" si="46"/>
        <v>1</v>
      </c>
      <c r="AH369">
        <f t="shared" si="47"/>
        <v>1</v>
      </c>
      <c r="AI369">
        <f t="shared" si="48"/>
        <v>1</v>
      </c>
      <c r="AJ369">
        <f t="shared" si="49"/>
        <v>1</v>
      </c>
      <c r="AK369">
        <f t="shared" si="50"/>
        <v>1</v>
      </c>
      <c r="AL369">
        <f t="shared" si="51"/>
        <v>1</v>
      </c>
      <c r="AM369">
        <f t="shared" si="52"/>
        <v>1</v>
      </c>
      <c r="AN369">
        <f t="shared" si="53"/>
        <v>1</v>
      </c>
      <c r="AO369">
        <f t="shared" si="54"/>
        <v>1</v>
      </c>
      <c r="AP369">
        <f t="shared" si="55"/>
        <v>-1</v>
      </c>
      <c r="AQ369">
        <v>0</v>
      </c>
      <c r="AR369" t="s">
        <v>2</v>
      </c>
      <c r="AS369">
        <v>-1</v>
      </c>
      <c r="AT369">
        <v>-1</v>
      </c>
      <c r="AU369">
        <v>-1</v>
      </c>
      <c r="AV369">
        <v>-1</v>
      </c>
      <c r="AW369">
        <v>-1</v>
      </c>
      <c r="AX369">
        <v>-1</v>
      </c>
      <c r="AY369">
        <v>-1</v>
      </c>
      <c r="AZ369">
        <v>-1</v>
      </c>
      <c r="BA369">
        <v>-1</v>
      </c>
      <c r="BB369">
        <v>0</v>
      </c>
      <c r="BC369" t="s">
        <v>2</v>
      </c>
      <c r="BD369">
        <v>-1</v>
      </c>
      <c r="BE369">
        <v>-1</v>
      </c>
      <c r="BF369">
        <v>-1</v>
      </c>
      <c r="BG369">
        <v>-1</v>
      </c>
      <c r="BH369">
        <v>-1</v>
      </c>
      <c r="BI369">
        <v>-1</v>
      </c>
      <c r="BJ369">
        <v>-1</v>
      </c>
      <c r="BK369">
        <v>-1</v>
      </c>
      <c r="BL369">
        <v>-1</v>
      </c>
      <c r="BM369">
        <v>-1</v>
      </c>
      <c r="BN369">
        <v>-1</v>
      </c>
      <c r="BO369">
        <v>-1</v>
      </c>
    </row>
    <row r="370" spans="1:67" x14ac:dyDescent="0.25">
      <c r="A370">
        <v>367</v>
      </c>
      <c r="B370">
        <v>96</v>
      </c>
      <c r="C370" t="str">
        <f>VLOOKUP(B370,[1]resources!$A$2:$D$300,3,FALSE)</f>
        <v>!!FOOD_JELLIEDTOAST</v>
      </c>
      <c r="D370">
        <v>27</v>
      </c>
      <c r="E370" t="str">
        <f>VLOOKUP(D370,[1]bonus_paytable!$A$2:$D$300,3,FALSE)</f>
        <v>pearlkrabs</v>
      </c>
      <c r="F370">
        <v>-1</v>
      </c>
      <c r="G370">
        <v>-1</v>
      </c>
      <c r="H370">
        <v>1</v>
      </c>
      <c r="I370" t="s">
        <v>1</v>
      </c>
      <c r="J370">
        <v>30006</v>
      </c>
      <c r="K370">
        <v>80015</v>
      </c>
      <c r="L370">
        <v>70005</v>
      </c>
      <c r="M370">
        <v>60017</v>
      </c>
      <c r="N370">
        <v>27</v>
      </c>
      <c r="O370">
        <v>2002</v>
      </c>
      <c r="P370">
        <v>99</v>
      </c>
      <c r="Q370">
        <v>70001</v>
      </c>
      <c r="R370">
        <v>80007</v>
      </c>
      <c r="S370">
        <v>60001</v>
      </c>
      <c r="T370">
        <v>-1</v>
      </c>
      <c r="U370" s="2">
        <v>0.01</v>
      </c>
      <c r="V370" s="2">
        <v>0.03</v>
      </c>
      <c r="W370" s="2">
        <v>0.03</v>
      </c>
      <c r="X370" s="2">
        <v>0.03</v>
      </c>
      <c r="Y370" s="2">
        <v>0.05</v>
      </c>
      <c r="Z370" s="2">
        <v>0.05</v>
      </c>
      <c r="AA370" s="2">
        <v>0.05</v>
      </c>
      <c r="AB370" s="2">
        <v>0.05</v>
      </c>
      <c r="AC370" s="2">
        <v>0.05</v>
      </c>
      <c r="AD370" s="2">
        <v>0.05</v>
      </c>
      <c r="AE370">
        <v>-1</v>
      </c>
      <c r="AF370">
        <f t="shared" si="45"/>
        <v>1</v>
      </c>
      <c r="AG370">
        <f t="shared" si="46"/>
        <v>1</v>
      </c>
      <c r="AH370">
        <f t="shared" si="47"/>
        <v>1</v>
      </c>
      <c r="AI370">
        <f t="shared" si="48"/>
        <v>1</v>
      </c>
      <c r="AJ370">
        <f t="shared" si="49"/>
        <v>1</v>
      </c>
      <c r="AK370">
        <f t="shared" si="50"/>
        <v>1</v>
      </c>
      <c r="AL370">
        <f t="shared" si="51"/>
        <v>1</v>
      </c>
      <c r="AM370">
        <f t="shared" si="52"/>
        <v>1</v>
      </c>
      <c r="AN370">
        <f t="shared" si="53"/>
        <v>1</v>
      </c>
      <c r="AO370">
        <f t="shared" si="54"/>
        <v>1</v>
      </c>
      <c r="AP370">
        <f t="shared" si="55"/>
        <v>-1</v>
      </c>
      <c r="AQ370">
        <v>0</v>
      </c>
      <c r="AR370" t="s">
        <v>2</v>
      </c>
      <c r="AS370">
        <v>-1</v>
      </c>
      <c r="AT370">
        <v>-1</v>
      </c>
      <c r="AU370">
        <v>-1</v>
      </c>
      <c r="AV370">
        <v>-1</v>
      </c>
      <c r="AW370">
        <v>-1</v>
      </c>
      <c r="AX370">
        <v>-1</v>
      </c>
      <c r="AY370">
        <v>-1</v>
      </c>
      <c r="AZ370">
        <v>-1</v>
      </c>
      <c r="BA370">
        <v>-1</v>
      </c>
      <c r="BB370">
        <v>0</v>
      </c>
      <c r="BC370" t="s">
        <v>2</v>
      </c>
      <c r="BD370">
        <v>-1</v>
      </c>
      <c r="BE370">
        <v>-1</v>
      </c>
      <c r="BF370">
        <v>-1</v>
      </c>
      <c r="BG370">
        <v>-1</v>
      </c>
      <c r="BH370">
        <v>-1</v>
      </c>
      <c r="BI370">
        <v>-1</v>
      </c>
      <c r="BJ370">
        <v>-1</v>
      </c>
      <c r="BK370">
        <v>-1</v>
      </c>
      <c r="BL370">
        <v>-1</v>
      </c>
      <c r="BM370">
        <v>-1</v>
      </c>
      <c r="BN370">
        <v>-1</v>
      </c>
      <c r="BO370">
        <v>-1</v>
      </c>
    </row>
    <row r="371" spans="1:67" x14ac:dyDescent="0.25">
      <c r="A371">
        <v>368</v>
      </c>
      <c r="B371">
        <v>16</v>
      </c>
      <c r="C371" t="str">
        <f>VLOOKUP(B371,[1]resources!$A$2:$D$300,3,FALSE)</f>
        <v>!!FOOD_DUTCHDOUBLE</v>
      </c>
      <c r="D371">
        <v>27</v>
      </c>
      <c r="E371" t="str">
        <f>VLOOKUP(D371,[1]bonus_paytable!$A$2:$D$300,3,FALSE)</f>
        <v>pearlkrabs</v>
      </c>
      <c r="F371">
        <v>-1</v>
      </c>
      <c r="G371">
        <v>-1</v>
      </c>
      <c r="H371">
        <v>1</v>
      </c>
      <c r="I371" t="s">
        <v>1</v>
      </c>
      <c r="J371">
        <v>30006</v>
      </c>
      <c r="K371">
        <v>80015</v>
      </c>
      <c r="L371">
        <v>70005</v>
      </c>
      <c r="M371">
        <v>60017</v>
      </c>
      <c r="N371">
        <v>27</v>
      </c>
      <c r="O371">
        <v>2002</v>
      </c>
      <c r="P371">
        <v>99</v>
      </c>
      <c r="Q371">
        <v>70001</v>
      </c>
      <c r="R371">
        <v>80007</v>
      </c>
      <c r="S371">
        <v>60001</v>
      </c>
      <c r="T371">
        <v>-1</v>
      </c>
      <c r="U371" s="2">
        <v>0.01</v>
      </c>
      <c r="V371" s="2">
        <v>0.03</v>
      </c>
      <c r="W371" s="2">
        <v>0.03</v>
      </c>
      <c r="X371" s="2">
        <v>0.03</v>
      </c>
      <c r="Y371" s="2">
        <v>0.05</v>
      </c>
      <c r="Z371" s="2">
        <v>0.05</v>
      </c>
      <c r="AA371" s="2">
        <v>0.05</v>
      </c>
      <c r="AB371" s="2">
        <v>0.05</v>
      </c>
      <c r="AC371" s="2">
        <v>0.05</v>
      </c>
      <c r="AD371" s="2">
        <v>0.05</v>
      </c>
      <c r="AE371">
        <v>-1</v>
      </c>
      <c r="AF371">
        <f t="shared" si="45"/>
        <v>1</v>
      </c>
      <c r="AG371">
        <f t="shared" si="46"/>
        <v>1</v>
      </c>
      <c r="AH371">
        <f t="shared" si="47"/>
        <v>1</v>
      </c>
      <c r="AI371">
        <f t="shared" si="48"/>
        <v>1</v>
      </c>
      <c r="AJ371">
        <f t="shared" si="49"/>
        <v>1</v>
      </c>
      <c r="AK371">
        <f t="shared" si="50"/>
        <v>1</v>
      </c>
      <c r="AL371">
        <f t="shared" si="51"/>
        <v>1</v>
      </c>
      <c r="AM371">
        <f t="shared" si="52"/>
        <v>1</v>
      </c>
      <c r="AN371">
        <f t="shared" si="53"/>
        <v>1</v>
      </c>
      <c r="AO371">
        <f t="shared" si="54"/>
        <v>1</v>
      </c>
      <c r="AP371">
        <f t="shared" si="55"/>
        <v>-1</v>
      </c>
      <c r="AQ371">
        <v>0</v>
      </c>
      <c r="AR371" t="s">
        <v>2</v>
      </c>
      <c r="AS371">
        <v>-1</v>
      </c>
      <c r="AT371">
        <v>-1</v>
      </c>
      <c r="AU371">
        <v>-1</v>
      </c>
      <c r="AV371">
        <v>-1</v>
      </c>
      <c r="AW371">
        <v>-1</v>
      </c>
      <c r="AX371">
        <v>-1</v>
      </c>
      <c r="AY371">
        <v>-1</v>
      </c>
      <c r="AZ371">
        <v>-1</v>
      </c>
      <c r="BA371">
        <v>-1</v>
      </c>
      <c r="BB371">
        <v>0</v>
      </c>
      <c r="BC371" t="s">
        <v>2</v>
      </c>
      <c r="BD371">
        <v>-1</v>
      </c>
      <c r="BE371">
        <v>-1</v>
      </c>
      <c r="BF371">
        <v>-1</v>
      </c>
      <c r="BG371">
        <v>-1</v>
      </c>
      <c r="BH371">
        <v>-1</v>
      </c>
      <c r="BI371">
        <v>-1</v>
      </c>
      <c r="BJ371">
        <v>-1</v>
      </c>
      <c r="BK371">
        <v>-1</v>
      </c>
      <c r="BL371">
        <v>-1</v>
      </c>
      <c r="BM371">
        <v>-1</v>
      </c>
      <c r="BN371">
        <v>-1</v>
      </c>
      <c r="BO371">
        <v>-1</v>
      </c>
    </row>
    <row r="372" spans="1:67" x14ac:dyDescent="0.25">
      <c r="A372">
        <v>369</v>
      </c>
      <c r="B372">
        <v>18</v>
      </c>
      <c r="C372" t="str">
        <f>VLOOKUP(B372,[1]resources!$A$2:$D$300,3,FALSE)</f>
        <v>!!FOOD_KELPFRIES</v>
      </c>
      <c r="D372">
        <v>27</v>
      </c>
      <c r="E372" t="str">
        <f>VLOOKUP(D372,[1]bonus_paytable!$A$2:$D$300,3,FALSE)</f>
        <v>pearlkrabs</v>
      </c>
      <c r="F372">
        <v>-1</v>
      </c>
      <c r="G372">
        <v>-1</v>
      </c>
      <c r="H372">
        <v>1</v>
      </c>
      <c r="I372" t="s">
        <v>1</v>
      </c>
      <c r="J372">
        <v>30006</v>
      </c>
      <c r="K372">
        <v>80015</v>
      </c>
      <c r="L372">
        <v>70005</v>
      </c>
      <c r="M372">
        <v>60017</v>
      </c>
      <c r="N372">
        <v>27</v>
      </c>
      <c r="O372">
        <v>2002</v>
      </c>
      <c r="P372">
        <v>99</v>
      </c>
      <c r="Q372">
        <v>70001</v>
      </c>
      <c r="R372">
        <v>80007</v>
      </c>
      <c r="S372">
        <v>60001</v>
      </c>
      <c r="T372">
        <v>-1</v>
      </c>
      <c r="U372" s="2">
        <v>0.01</v>
      </c>
      <c r="V372" s="2">
        <v>0.03</v>
      </c>
      <c r="W372" s="2">
        <v>0.03</v>
      </c>
      <c r="X372" s="2">
        <v>0.03</v>
      </c>
      <c r="Y372" s="2">
        <v>0.05</v>
      </c>
      <c r="Z372" s="2">
        <v>0.05</v>
      </c>
      <c r="AA372" s="2">
        <v>0.05</v>
      </c>
      <c r="AB372" s="2">
        <v>0.05</v>
      </c>
      <c r="AC372" s="2">
        <v>0.05</v>
      </c>
      <c r="AD372" s="2">
        <v>0.05</v>
      </c>
      <c r="AE372">
        <v>-1</v>
      </c>
      <c r="AF372">
        <f t="shared" si="45"/>
        <v>1</v>
      </c>
      <c r="AG372">
        <f t="shared" si="46"/>
        <v>1</v>
      </c>
      <c r="AH372">
        <f t="shared" si="47"/>
        <v>1</v>
      </c>
      <c r="AI372">
        <f t="shared" si="48"/>
        <v>1</v>
      </c>
      <c r="AJ372">
        <f t="shared" si="49"/>
        <v>1</v>
      </c>
      <c r="AK372">
        <f t="shared" si="50"/>
        <v>1</v>
      </c>
      <c r="AL372">
        <f t="shared" si="51"/>
        <v>1</v>
      </c>
      <c r="AM372">
        <f t="shared" si="52"/>
        <v>1</v>
      </c>
      <c r="AN372">
        <f t="shared" si="53"/>
        <v>1</v>
      </c>
      <c r="AO372">
        <f t="shared" si="54"/>
        <v>1</v>
      </c>
      <c r="AP372">
        <f t="shared" si="55"/>
        <v>-1</v>
      </c>
      <c r="AQ372">
        <v>0</v>
      </c>
      <c r="AR372" t="s">
        <v>2</v>
      </c>
      <c r="AS372">
        <v>-1</v>
      </c>
      <c r="AT372">
        <v>-1</v>
      </c>
      <c r="AU372">
        <v>-1</v>
      </c>
      <c r="AV372">
        <v>-1</v>
      </c>
      <c r="AW372">
        <v>-1</v>
      </c>
      <c r="AX372">
        <v>-1</v>
      </c>
      <c r="AY372">
        <v>-1</v>
      </c>
      <c r="AZ372">
        <v>-1</v>
      </c>
      <c r="BA372">
        <v>-1</v>
      </c>
      <c r="BB372">
        <v>0</v>
      </c>
      <c r="BC372" t="s">
        <v>2</v>
      </c>
      <c r="BD372">
        <v>-1</v>
      </c>
      <c r="BE372">
        <v>-1</v>
      </c>
      <c r="BF372">
        <v>-1</v>
      </c>
      <c r="BG372">
        <v>-1</v>
      </c>
      <c r="BH372">
        <v>-1</v>
      </c>
      <c r="BI372">
        <v>-1</v>
      </c>
      <c r="BJ372">
        <v>-1</v>
      </c>
      <c r="BK372">
        <v>-1</v>
      </c>
      <c r="BL372">
        <v>-1</v>
      </c>
      <c r="BM372">
        <v>-1</v>
      </c>
      <c r="BN372">
        <v>-1</v>
      </c>
      <c r="BO372">
        <v>-1</v>
      </c>
    </row>
    <row r="373" spans="1:67" x14ac:dyDescent="0.25">
      <c r="A373">
        <v>370</v>
      </c>
      <c r="B373">
        <v>20001</v>
      </c>
      <c r="C373" t="str">
        <f>VLOOKUP(B373,[1]resources!$A$2:$D$300,3,FALSE)</f>
        <v>!!JUICE_LEMONADE</v>
      </c>
      <c r="D373">
        <v>27</v>
      </c>
      <c r="E373" t="str">
        <f>VLOOKUP(D373,[1]bonus_paytable!$A$2:$D$300,3,FALSE)</f>
        <v>pearlkrabs</v>
      </c>
      <c r="F373">
        <v>-1</v>
      </c>
      <c r="G373">
        <v>-1</v>
      </c>
      <c r="H373">
        <v>1</v>
      </c>
      <c r="I373" t="s">
        <v>1</v>
      </c>
      <c r="J373">
        <v>30006</v>
      </c>
      <c r="K373">
        <v>80015</v>
      </c>
      <c r="L373">
        <v>70005</v>
      </c>
      <c r="M373">
        <v>60017</v>
      </c>
      <c r="N373">
        <v>27</v>
      </c>
      <c r="O373">
        <v>2002</v>
      </c>
      <c r="P373">
        <v>99</v>
      </c>
      <c r="Q373">
        <v>70001</v>
      </c>
      <c r="R373">
        <v>80007</v>
      </c>
      <c r="S373">
        <v>60001</v>
      </c>
      <c r="T373">
        <v>-1</v>
      </c>
      <c r="U373" s="2">
        <v>0.01</v>
      </c>
      <c r="V373" s="2">
        <v>0.03</v>
      </c>
      <c r="W373" s="2">
        <v>0.03</v>
      </c>
      <c r="X373" s="2">
        <v>0.03</v>
      </c>
      <c r="Y373" s="2">
        <v>0.05</v>
      </c>
      <c r="Z373" s="2">
        <v>0.05</v>
      </c>
      <c r="AA373" s="2">
        <v>0.05</v>
      </c>
      <c r="AB373" s="2">
        <v>0.05</v>
      </c>
      <c r="AC373" s="2">
        <v>0.05</v>
      </c>
      <c r="AD373" s="2">
        <v>0.05</v>
      </c>
      <c r="AE373">
        <v>-1</v>
      </c>
      <c r="AF373">
        <f t="shared" si="45"/>
        <v>1</v>
      </c>
      <c r="AG373">
        <f t="shared" si="46"/>
        <v>1</v>
      </c>
      <c r="AH373">
        <f t="shared" si="47"/>
        <v>1</v>
      </c>
      <c r="AI373">
        <f t="shared" si="48"/>
        <v>1</v>
      </c>
      <c r="AJ373">
        <f t="shared" si="49"/>
        <v>1</v>
      </c>
      <c r="AK373">
        <f t="shared" si="50"/>
        <v>1</v>
      </c>
      <c r="AL373">
        <f t="shared" si="51"/>
        <v>1</v>
      </c>
      <c r="AM373">
        <f t="shared" si="52"/>
        <v>1</v>
      </c>
      <c r="AN373">
        <f t="shared" si="53"/>
        <v>1</v>
      </c>
      <c r="AO373">
        <f t="shared" si="54"/>
        <v>1</v>
      </c>
      <c r="AP373">
        <f t="shared" si="55"/>
        <v>-1</v>
      </c>
      <c r="AQ373">
        <v>0</v>
      </c>
      <c r="AR373" t="s">
        <v>2</v>
      </c>
      <c r="AS373">
        <v>-1</v>
      </c>
      <c r="AT373">
        <v>-1</v>
      </c>
      <c r="AU373">
        <v>-1</v>
      </c>
      <c r="AV373">
        <v>-1</v>
      </c>
      <c r="AW373">
        <v>-1</v>
      </c>
      <c r="AX373">
        <v>-1</v>
      </c>
      <c r="AY373">
        <v>-1</v>
      </c>
      <c r="AZ373">
        <v>-1</v>
      </c>
      <c r="BA373">
        <v>-1</v>
      </c>
      <c r="BB373">
        <v>0</v>
      </c>
      <c r="BC373" t="s">
        <v>2</v>
      </c>
      <c r="BD373">
        <v>-1</v>
      </c>
      <c r="BE373">
        <v>-1</v>
      </c>
      <c r="BF373">
        <v>-1</v>
      </c>
      <c r="BG373">
        <v>-1</v>
      </c>
      <c r="BH373">
        <v>-1</v>
      </c>
      <c r="BI373">
        <v>-1</v>
      </c>
      <c r="BJ373">
        <v>-1</v>
      </c>
      <c r="BK373">
        <v>-1</v>
      </c>
      <c r="BL373">
        <v>-1</v>
      </c>
      <c r="BM373">
        <v>-1</v>
      </c>
      <c r="BN373">
        <v>-1</v>
      </c>
      <c r="BO373">
        <v>-1</v>
      </c>
    </row>
    <row r="374" spans="1:67" x14ac:dyDescent="0.25">
      <c r="A374">
        <v>371</v>
      </c>
      <c r="B374">
        <v>30003</v>
      </c>
      <c r="C374" t="str">
        <f>VLOOKUP(B374,[1]resources!$A$2:$D$300,3,FALSE)</f>
        <v>!!SMOOTHIE_CHERRYADE_CHILLER</v>
      </c>
      <c r="D374">
        <v>27</v>
      </c>
      <c r="E374" t="str">
        <f>VLOOKUP(D374,[1]bonus_paytable!$A$2:$D$300,3,FALSE)</f>
        <v>pearlkrabs</v>
      </c>
      <c r="F374">
        <v>-1</v>
      </c>
      <c r="G374">
        <v>-1</v>
      </c>
      <c r="H374">
        <v>1</v>
      </c>
      <c r="I374" t="s">
        <v>1</v>
      </c>
      <c r="J374">
        <v>30006</v>
      </c>
      <c r="K374">
        <v>80015</v>
      </c>
      <c r="L374">
        <v>70005</v>
      </c>
      <c r="M374">
        <v>60017</v>
      </c>
      <c r="N374">
        <v>27</v>
      </c>
      <c r="O374">
        <v>2002</v>
      </c>
      <c r="P374">
        <v>99</v>
      </c>
      <c r="Q374">
        <v>70001</v>
      </c>
      <c r="R374">
        <v>80007</v>
      </c>
      <c r="S374">
        <v>60001</v>
      </c>
      <c r="T374">
        <v>-1</v>
      </c>
      <c r="U374" s="2">
        <v>0.01</v>
      </c>
      <c r="V374" s="2">
        <v>0.03</v>
      </c>
      <c r="W374" s="2">
        <v>0.03</v>
      </c>
      <c r="X374" s="2">
        <v>0.03</v>
      </c>
      <c r="Y374" s="2">
        <v>0.05</v>
      </c>
      <c r="Z374" s="2">
        <v>0.05</v>
      </c>
      <c r="AA374" s="2">
        <v>0.05</v>
      </c>
      <c r="AB374" s="2">
        <v>0.05</v>
      </c>
      <c r="AC374" s="2">
        <v>0.05</v>
      </c>
      <c r="AD374" s="2">
        <v>0.05</v>
      </c>
      <c r="AE374">
        <v>-1</v>
      </c>
      <c r="AF374">
        <f t="shared" si="45"/>
        <v>1</v>
      </c>
      <c r="AG374">
        <f t="shared" si="46"/>
        <v>1</v>
      </c>
      <c r="AH374">
        <f t="shared" si="47"/>
        <v>1</v>
      </c>
      <c r="AI374">
        <f t="shared" si="48"/>
        <v>1</v>
      </c>
      <c r="AJ374">
        <f t="shared" si="49"/>
        <v>1</v>
      </c>
      <c r="AK374">
        <f t="shared" si="50"/>
        <v>1</v>
      </c>
      <c r="AL374">
        <f t="shared" si="51"/>
        <v>1</v>
      </c>
      <c r="AM374">
        <f t="shared" si="52"/>
        <v>1</v>
      </c>
      <c r="AN374">
        <f t="shared" si="53"/>
        <v>1</v>
      </c>
      <c r="AO374">
        <f t="shared" si="54"/>
        <v>1</v>
      </c>
      <c r="AP374">
        <f t="shared" si="55"/>
        <v>-1</v>
      </c>
      <c r="AQ374">
        <v>0</v>
      </c>
      <c r="AR374" t="s">
        <v>2</v>
      </c>
      <c r="AS374">
        <v>-1</v>
      </c>
      <c r="AT374">
        <v>-1</v>
      </c>
      <c r="AU374">
        <v>-1</v>
      </c>
      <c r="AV374">
        <v>-1</v>
      </c>
      <c r="AW374">
        <v>-1</v>
      </c>
      <c r="AX374">
        <v>-1</v>
      </c>
      <c r="AY374">
        <v>-1</v>
      </c>
      <c r="AZ374">
        <v>-1</v>
      </c>
      <c r="BA374">
        <v>-1</v>
      </c>
      <c r="BB374">
        <v>0</v>
      </c>
      <c r="BC374" t="s">
        <v>2</v>
      </c>
      <c r="BD374">
        <v>-1</v>
      </c>
      <c r="BE374">
        <v>-1</v>
      </c>
      <c r="BF374">
        <v>-1</v>
      </c>
      <c r="BG374">
        <v>-1</v>
      </c>
      <c r="BH374">
        <v>-1</v>
      </c>
      <c r="BI374">
        <v>-1</v>
      </c>
      <c r="BJ374">
        <v>-1</v>
      </c>
      <c r="BK374">
        <v>-1</v>
      </c>
      <c r="BL374">
        <v>-1</v>
      </c>
      <c r="BM374">
        <v>-1</v>
      </c>
      <c r="BN374">
        <v>-1</v>
      </c>
      <c r="BO374">
        <v>-1</v>
      </c>
    </row>
    <row r="375" spans="1:67" x14ac:dyDescent="0.25">
      <c r="A375">
        <v>372</v>
      </c>
      <c r="B375">
        <v>70010</v>
      </c>
      <c r="C375" t="str">
        <f>VLOOKUP(B375,[1]resources!$A$2:$D$300,3,FALSE)</f>
        <v>!!PERFUME_THATSSOCORAL</v>
      </c>
      <c r="D375">
        <v>27</v>
      </c>
      <c r="E375" t="str">
        <f>VLOOKUP(D375,[1]bonus_paytable!$A$2:$D$300,3,FALSE)</f>
        <v>pearlkrabs</v>
      </c>
      <c r="F375">
        <v>-1</v>
      </c>
      <c r="G375">
        <v>-1</v>
      </c>
      <c r="H375">
        <v>1</v>
      </c>
      <c r="I375" t="s">
        <v>1</v>
      </c>
      <c r="J375">
        <v>30006</v>
      </c>
      <c r="K375">
        <v>80015</v>
      </c>
      <c r="L375">
        <v>70005</v>
      </c>
      <c r="M375">
        <v>60017</v>
      </c>
      <c r="N375">
        <v>27</v>
      </c>
      <c r="O375">
        <v>2002</v>
      </c>
      <c r="P375">
        <v>99</v>
      </c>
      <c r="Q375">
        <v>70001</v>
      </c>
      <c r="R375">
        <v>80007</v>
      </c>
      <c r="S375">
        <v>60001</v>
      </c>
      <c r="T375">
        <v>-1</v>
      </c>
      <c r="U375" s="2">
        <v>0.01</v>
      </c>
      <c r="V375" s="2">
        <v>0.03</v>
      </c>
      <c r="W375" s="2">
        <v>0.03</v>
      </c>
      <c r="X375" s="2">
        <v>0.03</v>
      </c>
      <c r="Y375" s="2">
        <v>0.05</v>
      </c>
      <c r="Z375" s="2">
        <v>0.05</v>
      </c>
      <c r="AA375" s="2">
        <v>0.05</v>
      </c>
      <c r="AB375" s="2">
        <v>0.05</v>
      </c>
      <c r="AC375" s="2">
        <v>0.05</v>
      </c>
      <c r="AD375" s="2">
        <v>0.05</v>
      </c>
      <c r="AE375">
        <v>-1</v>
      </c>
      <c r="AF375">
        <f t="shared" si="45"/>
        <v>1</v>
      </c>
      <c r="AG375">
        <f t="shared" si="46"/>
        <v>1</v>
      </c>
      <c r="AH375">
        <f t="shared" si="47"/>
        <v>1</v>
      </c>
      <c r="AI375">
        <f t="shared" si="48"/>
        <v>1</v>
      </c>
      <c r="AJ375">
        <f t="shared" si="49"/>
        <v>1</v>
      </c>
      <c r="AK375">
        <f t="shared" si="50"/>
        <v>1</v>
      </c>
      <c r="AL375">
        <f t="shared" si="51"/>
        <v>1</v>
      </c>
      <c r="AM375">
        <f t="shared" si="52"/>
        <v>1</v>
      </c>
      <c r="AN375">
        <f t="shared" si="53"/>
        <v>1</v>
      </c>
      <c r="AO375">
        <f t="shared" si="54"/>
        <v>1</v>
      </c>
      <c r="AP375">
        <f t="shared" si="55"/>
        <v>-1</v>
      </c>
      <c r="AQ375">
        <v>0</v>
      </c>
      <c r="AR375" t="s">
        <v>2</v>
      </c>
      <c r="AS375">
        <v>-1</v>
      </c>
      <c r="AT375">
        <v>-1</v>
      </c>
      <c r="AU375">
        <v>-1</v>
      </c>
      <c r="AV375">
        <v>-1</v>
      </c>
      <c r="AW375">
        <v>-1</v>
      </c>
      <c r="AX375">
        <v>-1</v>
      </c>
      <c r="AY375">
        <v>-1</v>
      </c>
      <c r="AZ375">
        <v>-1</v>
      </c>
      <c r="BA375">
        <v>-1</v>
      </c>
      <c r="BB375">
        <v>0</v>
      </c>
      <c r="BC375" t="s">
        <v>2</v>
      </c>
      <c r="BD375">
        <v>-1</v>
      </c>
      <c r="BE375">
        <v>-1</v>
      </c>
      <c r="BF375">
        <v>-1</v>
      </c>
      <c r="BG375">
        <v>-1</v>
      </c>
      <c r="BH375">
        <v>-1</v>
      </c>
      <c r="BI375">
        <v>-1</v>
      </c>
      <c r="BJ375">
        <v>-1</v>
      </c>
      <c r="BK375">
        <v>-1</v>
      </c>
      <c r="BL375">
        <v>-1</v>
      </c>
      <c r="BM375">
        <v>-1</v>
      </c>
      <c r="BN375">
        <v>-1</v>
      </c>
      <c r="BO375">
        <v>-1</v>
      </c>
    </row>
    <row r="376" spans="1:67" x14ac:dyDescent="0.25">
      <c r="A376">
        <v>373</v>
      </c>
      <c r="B376">
        <v>50007</v>
      </c>
      <c r="C376" t="str">
        <f>VLOOKUP(B376,[1]resources!$A$2:$D$300,3,FALSE)</f>
        <v>!!SHAKE_VANILLA_BLAST</v>
      </c>
      <c r="D376">
        <v>27</v>
      </c>
      <c r="E376" t="str">
        <f>VLOOKUP(D376,[1]bonus_paytable!$A$2:$D$300,3,FALSE)</f>
        <v>pearlkrabs</v>
      </c>
      <c r="F376">
        <v>-1</v>
      </c>
      <c r="G376">
        <v>-1</v>
      </c>
      <c r="H376">
        <v>1</v>
      </c>
      <c r="I376" t="s">
        <v>1</v>
      </c>
      <c r="J376">
        <v>30006</v>
      </c>
      <c r="K376">
        <v>80015</v>
      </c>
      <c r="L376">
        <v>70005</v>
      </c>
      <c r="M376">
        <v>60017</v>
      </c>
      <c r="N376">
        <v>27</v>
      </c>
      <c r="O376">
        <v>2002</v>
      </c>
      <c r="P376">
        <v>99</v>
      </c>
      <c r="Q376">
        <v>70001</v>
      </c>
      <c r="R376">
        <v>80007</v>
      </c>
      <c r="S376">
        <v>60001</v>
      </c>
      <c r="T376">
        <v>-1</v>
      </c>
      <c r="U376" s="2">
        <v>0.01</v>
      </c>
      <c r="V376" s="2">
        <v>0.03</v>
      </c>
      <c r="W376" s="2">
        <v>0.03</v>
      </c>
      <c r="X376" s="2">
        <v>0.03</v>
      </c>
      <c r="Y376" s="2">
        <v>0.05</v>
      </c>
      <c r="Z376" s="2">
        <v>0.05</v>
      </c>
      <c r="AA376" s="2">
        <v>0.05</v>
      </c>
      <c r="AB376" s="2">
        <v>0.05</v>
      </c>
      <c r="AC376" s="2">
        <v>0.05</v>
      </c>
      <c r="AD376" s="2">
        <v>0.05</v>
      </c>
      <c r="AE376">
        <v>-1</v>
      </c>
      <c r="AF376">
        <f t="shared" si="45"/>
        <v>1</v>
      </c>
      <c r="AG376">
        <f t="shared" si="46"/>
        <v>1</v>
      </c>
      <c r="AH376">
        <f t="shared" si="47"/>
        <v>1</v>
      </c>
      <c r="AI376">
        <f t="shared" si="48"/>
        <v>1</v>
      </c>
      <c r="AJ376">
        <f t="shared" si="49"/>
        <v>1</v>
      </c>
      <c r="AK376">
        <f t="shared" si="50"/>
        <v>1</v>
      </c>
      <c r="AL376">
        <f t="shared" si="51"/>
        <v>1</v>
      </c>
      <c r="AM376">
        <f t="shared" si="52"/>
        <v>1</v>
      </c>
      <c r="AN376">
        <f t="shared" si="53"/>
        <v>1</v>
      </c>
      <c r="AO376">
        <f t="shared" si="54"/>
        <v>1</v>
      </c>
      <c r="AP376">
        <f t="shared" si="55"/>
        <v>-1</v>
      </c>
      <c r="AQ376">
        <v>0</v>
      </c>
      <c r="AR376" t="s">
        <v>2</v>
      </c>
      <c r="AS376">
        <v>-1</v>
      </c>
      <c r="AT376">
        <v>-1</v>
      </c>
      <c r="AU376">
        <v>-1</v>
      </c>
      <c r="AV376">
        <v>-1</v>
      </c>
      <c r="AW376">
        <v>-1</v>
      </c>
      <c r="AX376">
        <v>-1</v>
      </c>
      <c r="AY376">
        <v>-1</v>
      </c>
      <c r="AZ376">
        <v>-1</v>
      </c>
      <c r="BA376">
        <v>-1</v>
      </c>
      <c r="BB376">
        <v>0</v>
      </c>
      <c r="BC376" t="s">
        <v>2</v>
      </c>
      <c r="BD376">
        <v>-1</v>
      </c>
      <c r="BE376">
        <v>-1</v>
      </c>
      <c r="BF376">
        <v>-1</v>
      </c>
      <c r="BG376">
        <v>-1</v>
      </c>
      <c r="BH376">
        <v>-1</v>
      </c>
      <c r="BI376">
        <v>-1</v>
      </c>
      <c r="BJ376">
        <v>-1</v>
      </c>
      <c r="BK376">
        <v>-1</v>
      </c>
      <c r="BL376">
        <v>-1</v>
      </c>
      <c r="BM376">
        <v>-1</v>
      </c>
      <c r="BN376">
        <v>-1</v>
      </c>
      <c r="BO376">
        <v>-1</v>
      </c>
    </row>
    <row r="377" spans="1:67" x14ac:dyDescent="0.25">
      <c r="A377">
        <v>374</v>
      </c>
      <c r="B377">
        <v>60018</v>
      </c>
      <c r="C377" t="str">
        <f>VLOOKUP(B377,[1]resources!$A$2:$D$300,3,FALSE)</f>
        <v>!!BOUQUET_FLOWERCORAL_CORALPARADISE</v>
      </c>
      <c r="D377">
        <v>27</v>
      </c>
      <c r="E377" t="str">
        <f>VLOOKUP(D377,[1]bonus_paytable!$A$2:$D$300,3,FALSE)</f>
        <v>pearlkrabs</v>
      </c>
      <c r="F377">
        <v>-1</v>
      </c>
      <c r="G377">
        <v>-1</v>
      </c>
      <c r="H377">
        <v>1</v>
      </c>
      <c r="I377" t="s">
        <v>1</v>
      </c>
      <c r="J377">
        <v>30006</v>
      </c>
      <c r="K377">
        <v>80015</v>
      </c>
      <c r="L377">
        <v>70005</v>
      </c>
      <c r="M377">
        <v>60017</v>
      </c>
      <c r="N377">
        <v>27</v>
      </c>
      <c r="O377">
        <v>2002</v>
      </c>
      <c r="P377">
        <v>99</v>
      </c>
      <c r="Q377">
        <v>70001</v>
      </c>
      <c r="R377">
        <v>80007</v>
      </c>
      <c r="S377">
        <v>60001</v>
      </c>
      <c r="T377">
        <v>-1</v>
      </c>
      <c r="U377" s="2">
        <v>0.01</v>
      </c>
      <c r="V377" s="2">
        <v>0.03</v>
      </c>
      <c r="W377" s="2">
        <v>0.03</v>
      </c>
      <c r="X377" s="2">
        <v>0.03</v>
      </c>
      <c r="Y377" s="2">
        <v>0.05</v>
      </c>
      <c r="Z377" s="2">
        <v>0.05</v>
      </c>
      <c r="AA377" s="2">
        <v>0.05</v>
      </c>
      <c r="AB377" s="2">
        <v>0.05</v>
      </c>
      <c r="AC377" s="2">
        <v>0.05</v>
      </c>
      <c r="AD377" s="2">
        <v>0.05</v>
      </c>
      <c r="AE377">
        <v>-1</v>
      </c>
      <c r="AF377">
        <f t="shared" si="45"/>
        <v>1</v>
      </c>
      <c r="AG377">
        <f t="shared" si="46"/>
        <v>1</v>
      </c>
      <c r="AH377">
        <f t="shared" si="47"/>
        <v>1</v>
      </c>
      <c r="AI377">
        <f t="shared" si="48"/>
        <v>1</v>
      </c>
      <c r="AJ377">
        <f t="shared" si="49"/>
        <v>1</v>
      </c>
      <c r="AK377">
        <f t="shared" si="50"/>
        <v>1</v>
      </c>
      <c r="AL377">
        <f t="shared" si="51"/>
        <v>1</v>
      </c>
      <c r="AM377">
        <f t="shared" si="52"/>
        <v>1</v>
      </c>
      <c r="AN377">
        <f t="shared" si="53"/>
        <v>1</v>
      </c>
      <c r="AO377">
        <f t="shared" si="54"/>
        <v>1</v>
      </c>
      <c r="AP377">
        <f t="shared" si="55"/>
        <v>-1</v>
      </c>
      <c r="AQ377">
        <v>0</v>
      </c>
      <c r="AR377" t="s">
        <v>2</v>
      </c>
      <c r="AS377">
        <v>-1</v>
      </c>
      <c r="AT377">
        <v>-1</v>
      </c>
      <c r="AU377">
        <v>-1</v>
      </c>
      <c r="AV377">
        <v>-1</v>
      </c>
      <c r="AW377">
        <v>-1</v>
      </c>
      <c r="AX377">
        <v>-1</v>
      </c>
      <c r="AY377">
        <v>-1</v>
      </c>
      <c r="AZ377">
        <v>-1</v>
      </c>
      <c r="BA377">
        <v>-1</v>
      </c>
      <c r="BB377">
        <v>0</v>
      </c>
      <c r="BC377" t="s">
        <v>2</v>
      </c>
      <c r="BD377">
        <v>-1</v>
      </c>
      <c r="BE377">
        <v>-1</v>
      </c>
      <c r="BF377">
        <v>-1</v>
      </c>
      <c r="BG377">
        <v>-1</v>
      </c>
      <c r="BH377">
        <v>-1</v>
      </c>
      <c r="BI377">
        <v>-1</v>
      </c>
      <c r="BJ377">
        <v>-1</v>
      </c>
      <c r="BK377">
        <v>-1</v>
      </c>
      <c r="BL377">
        <v>-1</v>
      </c>
      <c r="BM377">
        <v>-1</v>
      </c>
      <c r="BN377">
        <v>-1</v>
      </c>
      <c r="BO377">
        <v>-1</v>
      </c>
    </row>
    <row r="378" spans="1:67" x14ac:dyDescent="0.25">
      <c r="A378">
        <v>375</v>
      </c>
      <c r="B378">
        <v>80006</v>
      </c>
      <c r="C378" t="str">
        <f>VLOOKUP(B378,[1]resources!$A$2:$D$300,3,FALSE)</f>
        <v>!!FOOD_BAKED_FERRYCHERRYCHEESECAKE</v>
      </c>
      <c r="D378">
        <v>27</v>
      </c>
      <c r="E378" t="str">
        <f>VLOOKUP(D378,[1]bonus_paytable!$A$2:$D$300,3,FALSE)</f>
        <v>pearlkrabs</v>
      </c>
      <c r="F378">
        <v>-1</v>
      </c>
      <c r="G378">
        <v>-1</v>
      </c>
      <c r="H378">
        <v>1</v>
      </c>
      <c r="I378" t="s">
        <v>1</v>
      </c>
      <c r="J378">
        <v>30006</v>
      </c>
      <c r="K378">
        <v>80015</v>
      </c>
      <c r="L378">
        <v>70005</v>
      </c>
      <c r="M378">
        <v>60017</v>
      </c>
      <c r="N378">
        <v>27</v>
      </c>
      <c r="O378">
        <v>2002</v>
      </c>
      <c r="P378">
        <v>99</v>
      </c>
      <c r="Q378">
        <v>70001</v>
      </c>
      <c r="R378">
        <v>80007</v>
      </c>
      <c r="S378">
        <v>60001</v>
      </c>
      <c r="T378">
        <v>-1</v>
      </c>
      <c r="U378" s="2">
        <v>0.01</v>
      </c>
      <c r="V378" s="2">
        <v>0.03</v>
      </c>
      <c r="W378" s="2">
        <v>0.03</v>
      </c>
      <c r="X378" s="2">
        <v>0.03</v>
      </c>
      <c r="Y378" s="2">
        <v>0.05</v>
      </c>
      <c r="Z378" s="2">
        <v>0.05</v>
      </c>
      <c r="AA378" s="2">
        <v>0.05</v>
      </c>
      <c r="AB378" s="2">
        <v>0.05</v>
      </c>
      <c r="AC378" s="2">
        <v>0.05</v>
      </c>
      <c r="AD378" s="2">
        <v>0.05</v>
      </c>
      <c r="AE378">
        <v>-1</v>
      </c>
      <c r="AF378">
        <f t="shared" si="45"/>
        <v>1</v>
      </c>
      <c r="AG378">
        <f t="shared" si="46"/>
        <v>1</v>
      </c>
      <c r="AH378">
        <f t="shared" si="47"/>
        <v>1</v>
      </c>
      <c r="AI378">
        <f t="shared" si="48"/>
        <v>1</v>
      </c>
      <c r="AJ378">
        <f t="shared" si="49"/>
        <v>1</v>
      </c>
      <c r="AK378">
        <f t="shared" si="50"/>
        <v>1</v>
      </c>
      <c r="AL378">
        <f t="shared" si="51"/>
        <v>1</v>
      </c>
      <c r="AM378">
        <f t="shared" si="52"/>
        <v>1</v>
      </c>
      <c r="AN378">
        <f t="shared" si="53"/>
        <v>1</v>
      </c>
      <c r="AO378">
        <f t="shared" si="54"/>
        <v>1</v>
      </c>
      <c r="AP378">
        <f t="shared" si="55"/>
        <v>-1</v>
      </c>
      <c r="AQ378">
        <v>0</v>
      </c>
      <c r="AR378" t="s">
        <v>2</v>
      </c>
      <c r="AS378">
        <v>-1</v>
      </c>
      <c r="AT378">
        <v>-1</v>
      </c>
      <c r="AU378">
        <v>-1</v>
      </c>
      <c r="AV378">
        <v>-1</v>
      </c>
      <c r="AW378">
        <v>-1</v>
      </c>
      <c r="AX378">
        <v>-1</v>
      </c>
      <c r="AY378">
        <v>-1</v>
      </c>
      <c r="AZ378">
        <v>-1</v>
      </c>
      <c r="BA378">
        <v>-1</v>
      </c>
      <c r="BB378">
        <v>0</v>
      </c>
      <c r="BC378" t="s">
        <v>2</v>
      </c>
      <c r="BD378">
        <v>-1</v>
      </c>
      <c r="BE378">
        <v>-1</v>
      </c>
      <c r="BF378">
        <v>-1</v>
      </c>
      <c r="BG378">
        <v>-1</v>
      </c>
      <c r="BH378">
        <v>-1</v>
      </c>
      <c r="BI378">
        <v>-1</v>
      </c>
      <c r="BJ378">
        <v>-1</v>
      </c>
      <c r="BK378">
        <v>-1</v>
      </c>
      <c r="BL378">
        <v>-1</v>
      </c>
      <c r="BM378">
        <v>-1</v>
      </c>
      <c r="BN378">
        <v>-1</v>
      </c>
      <c r="BO378">
        <v>-1</v>
      </c>
    </row>
    <row r="379" spans="1:67" x14ac:dyDescent="0.25">
      <c r="A379">
        <v>376</v>
      </c>
      <c r="B379">
        <v>21</v>
      </c>
      <c r="C379" t="str">
        <f>VLOOKUP(B379,[1]resources!$A$2:$D$300,3,FALSE)</f>
        <v>!!FOOD_KELPDOG</v>
      </c>
      <c r="D379">
        <v>28</v>
      </c>
      <c r="E379" t="str">
        <f>VLOOKUP(D379,[1]bonus_paytable!$A$2:$D$300,3,FALSE)</f>
        <v>reg</v>
      </c>
      <c r="F379">
        <v>-1</v>
      </c>
      <c r="G379">
        <v>-1</v>
      </c>
      <c r="H379">
        <v>1</v>
      </c>
      <c r="I379" t="s">
        <v>1</v>
      </c>
      <c r="J379">
        <v>21</v>
      </c>
      <c r="K379">
        <v>80013</v>
      </c>
      <c r="L379">
        <v>30009</v>
      </c>
      <c r="M379">
        <v>40002</v>
      </c>
      <c r="N379">
        <v>50007</v>
      </c>
      <c r="O379">
        <v>30010</v>
      </c>
      <c r="P379">
        <v>40007</v>
      </c>
      <c r="Q379">
        <v>50005</v>
      </c>
      <c r="R379">
        <v>80003</v>
      </c>
      <c r="S379">
        <v>-1</v>
      </c>
      <c r="T379">
        <v>-1</v>
      </c>
      <c r="U379" s="2">
        <v>0.01</v>
      </c>
      <c r="V379" s="2">
        <v>0.03</v>
      </c>
      <c r="W379" s="2">
        <v>0.03</v>
      </c>
      <c r="X379" s="2">
        <v>0.03</v>
      </c>
      <c r="Y379" s="2">
        <v>0.03</v>
      </c>
      <c r="Z379" s="2">
        <v>0.05</v>
      </c>
      <c r="AA379" s="2">
        <v>0.05</v>
      </c>
      <c r="AB379" s="2">
        <v>0.05</v>
      </c>
      <c r="AC379" s="2">
        <v>0.05</v>
      </c>
      <c r="AD379">
        <v>-1</v>
      </c>
      <c r="AE379">
        <v>-1</v>
      </c>
      <c r="AF379">
        <f t="shared" si="45"/>
        <v>1</v>
      </c>
      <c r="AG379">
        <f t="shared" si="46"/>
        <v>1</v>
      </c>
      <c r="AH379">
        <f t="shared" si="47"/>
        <v>1</v>
      </c>
      <c r="AI379">
        <f t="shared" si="48"/>
        <v>1</v>
      </c>
      <c r="AJ379">
        <f t="shared" si="49"/>
        <v>1</v>
      </c>
      <c r="AK379">
        <f t="shared" si="50"/>
        <v>1</v>
      </c>
      <c r="AL379">
        <f t="shared" si="51"/>
        <v>1</v>
      </c>
      <c r="AM379">
        <f t="shared" si="52"/>
        <v>1</v>
      </c>
      <c r="AN379">
        <f t="shared" si="53"/>
        <v>1</v>
      </c>
      <c r="AO379">
        <f t="shared" si="54"/>
        <v>-1</v>
      </c>
      <c r="AP379">
        <f t="shared" si="55"/>
        <v>-1</v>
      </c>
      <c r="AQ379">
        <v>0</v>
      </c>
      <c r="AR379" t="s">
        <v>2</v>
      </c>
      <c r="AS379">
        <v>-1</v>
      </c>
      <c r="AT379">
        <v>-1</v>
      </c>
      <c r="AU379">
        <v>-1</v>
      </c>
      <c r="AV379">
        <v>-1</v>
      </c>
      <c r="AW379">
        <v>-1</v>
      </c>
      <c r="AX379">
        <v>-1</v>
      </c>
      <c r="AY379">
        <v>-1</v>
      </c>
      <c r="AZ379">
        <v>-1</v>
      </c>
      <c r="BA379">
        <v>-1</v>
      </c>
      <c r="BB379">
        <v>0</v>
      </c>
      <c r="BC379" t="s">
        <v>2</v>
      </c>
      <c r="BD379">
        <v>-1</v>
      </c>
      <c r="BE379">
        <v>-1</v>
      </c>
      <c r="BF379">
        <v>-1</v>
      </c>
      <c r="BG379">
        <v>-1</v>
      </c>
      <c r="BH379">
        <v>-1</v>
      </c>
      <c r="BI379">
        <v>-1</v>
      </c>
      <c r="BJ379">
        <v>-1</v>
      </c>
      <c r="BK379">
        <v>-1</v>
      </c>
      <c r="BL379">
        <v>-1</v>
      </c>
      <c r="BM379">
        <v>-1</v>
      </c>
      <c r="BN379">
        <v>-1</v>
      </c>
      <c r="BO379">
        <v>-1</v>
      </c>
    </row>
    <row r="380" spans="1:67" x14ac:dyDescent="0.25">
      <c r="A380">
        <v>377</v>
      </c>
      <c r="B380">
        <v>18</v>
      </c>
      <c r="C380" t="str">
        <f>VLOOKUP(B380,[1]resources!$A$2:$D$300,3,FALSE)</f>
        <v>!!FOOD_KELPFRIES</v>
      </c>
      <c r="D380">
        <v>28</v>
      </c>
      <c r="E380" t="str">
        <f>VLOOKUP(D380,[1]bonus_paytable!$A$2:$D$300,3,FALSE)</f>
        <v>reg</v>
      </c>
      <c r="F380">
        <v>-1</v>
      </c>
      <c r="G380">
        <v>-1</v>
      </c>
      <c r="H380">
        <v>1</v>
      </c>
      <c r="I380" t="s">
        <v>1</v>
      </c>
      <c r="J380">
        <v>21</v>
      </c>
      <c r="K380">
        <v>80013</v>
      </c>
      <c r="L380">
        <v>30009</v>
      </c>
      <c r="M380">
        <v>40002</v>
      </c>
      <c r="N380">
        <v>50007</v>
      </c>
      <c r="O380">
        <v>30010</v>
      </c>
      <c r="P380">
        <v>40007</v>
      </c>
      <c r="Q380">
        <v>50005</v>
      </c>
      <c r="R380">
        <v>80003</v>
      </c>
      <c r="S380">
        <v>-1</v>
      </c>
      <c r="T380">
        <v>-1</v>
      </c>
      <c r="U380" s="2">
        <v>0.01</v>
      </c>
      <c r="V380" s="2">
        <v>0.03</v>
      </c>
      <c r="W380" s="2">
        <v>0.03</v>
      </c>
      <c r="X380" s="2">
        <v>0.03</v>
      </c>
      <c r="Y380" s="2">
        <v>0.03</v>
      </c>
      <c r="Z380" s="2">
        <v>0.05</v>
      </c>
      <c r="AA380" s="2">
        <v>0.05</v>
      </c>
      <c r="AB380" s="2">
        <v>0.05</v>
      </c>
      <c r="AC380" s="2">
        <v>0.05</v>
      </c>
      <c r="AD380">
        <v>-1</v>
      </c>
      <c r="AE380">
        <v>-1</v>
      </c>
      <c r="AF380">
        <f t="shared" si="45"/>
        <v>1</v>
      </c>
      <c r="AG380">
        <f t="shared" si="46"/>
        <v>1</v>
      </c>
      <c r="AH380">
        <f t="shared" si="47"/>
        <v>1</v>
      </c>
      <c r="AI380">
        <f t="shared" si="48"/>
        <v>1</v>
      </c>
      <c r="AJ380">
        <f t="shared" si="49"/>
        <v>1</v>
      </c>
      <c r="AK380">
        <f t="shared" si="50"/>
        <v>1</v>
      </c>
      <c r="AL380">
        <f t="shared" si="51"/>
        <v>1</v>
      </c>
      <c r="AM380">
        <f t="shared" si="52"/>
        <v>1</v>
      </c>
      <c r="AN380">
        <f t="shared" si="53"/>
        <v>1</v>
      </c>
      <c r="AO380">
        <f t="shared" si="54"/>
        <v>-1</v>
      </c>
      <c r="AP380">
        <f t="shared" si="55"/>
        <v>-1</v>
      </c>
      <c r="AQ380">
        <v>0</v>
      </c>
      <c r="AR380" t="s">
        <v>2</v>
      </c>
      <c r="AS380">
        <v>-1</v>
      </c>
      <c r="AT380">
        <v>-1</v>
      </c>
      <c r="AU380">
        <v>-1</v>
      </c>
      <c r="AV380">
        <v>-1</v>
      </c>
      <c r="AW380">
        <v>-1</v>
      </c>
      <c r="AX380">
        <v>-1</v>
      </c>
      <c r="AY380">
        <v>-1</v>
      </c>
      <c r="AZ380">
        <v>-1</v>
      </c>
      <c r="BA380">
        <v>-1</v>
      </c>
      <c r="BB380">
        <v>0</v>
      </c>
      <c r="BC380" t="s">
        <v>2</v>
      </c>
      <c r="BD380">
        <v>-1</v>
      </c>
      <c r="BE380">
        <v>-1</v>
      </c>
      <c r="BF380">
        <v>-1</v>
      </c>
      <c r="BG380">
        <v>-1</v>
      </c>
      <c r="BH380">
        <v>-1</v>
      </c>
      <c r="BI380">
        <v>-1</v>
      </c>
      <c r="BJ380">
        <v>-1</v>
      </c>
      <c r="BK380">
        <v>-1</v>
      </c>
      <c r="BL380">
        <v>-1</v>
      </c>
      <c r="BM380">
        <v>-1</v>
      </c>
      <c r="BN380">
        <v>-1</v>
      </c>
      <c r="BO380">
        <v>-1</v>
      </c>
    </row>
    <row r="381" spans="1:67" x14ac:dyDescent="0.25">
      <c r="A381">
        <v>378</v>
      </c>
      <c r="B381">
        <v>15</v>
      </c>
      <c r="C381" t="str">
        <f>VLOOKUP(B381,[1]resources!$A$2:$D$300,3,FALSE)</f>
        <v>!!FOOD_CRYJOHNNY</v>
      </c>
      <c r="D381">
        <v>28</v>
      </c>
      <c r="E381" t="str">
        <f>VLOOKUP(D381,[1]bonus_paytable!$A$2:$D$300,3,FALSE)</f>
        <v>reg</v>
      </c>
      <c r="F381">
        <v>-1</v>
      </c>
      <c r="G381">
        <v>-1</v>
      </c>
      <c r="H381">
        <v>1</v>
      </c>
      <c r="I381" t="s">
        <v>1</v>
      </c>
      <c r="J381">
        <v>21</v>
      </c>
      <c r="K381">
        <v>80013</v>
      </c>
      <c r="L381">
        <v>30009</v>
      </c>
      <c r="M381">
        <v>40002</v>
      </c>
      <c r="N381">
        <v>50007</v>
      </c>
      <c r="O381">
        <v>30010</v>
      </c>
      <c r="P381">
        <v>40007</v>
      </c>
      <c r="Q381">
        <v>50005</v>
      </c>
      <c r="R381">
        <v>80003</v>
      </c>
      <c r="S381">
        <v>-1</v>
      </c>
      <c r="T381">
        <v>-1</v>
      </c>
      <c r="U381" s="2">
        <v>0.01</v>
      </c>
      <c r="V381" s="2">
        <v>0.03</v>
      </c>
      <c r="W381" s="2">
        <v>0.03</v>
      </c>
      <c r="X381" s="2">
        <v>0.03</v>
      </c>
      <c r="Y381" s="2">
        <v>0.03</v>
      </c>
      <c r="Z381" s="2">
        <v>0.05</v>
      </c>
      <c r="AA381" s="2">
        <v>0.05</v>
      </c>
      <c r="AB381" s="2">
        <v>0.05</v>
      </c>
      <c r="AC381" s="2">
        <v>0.05</v>
      </c>
      <c r="AD381">
        <v>-1</v>
      </c>
      <c r="AE381">
        <v>-1</v>
      </c>
      <c r="AF381">
        <f t="shared" si="45"/>
        <v>1</v>
      </c>
      <c r="AG381">
        <f t="shared" si="46"/>
        <v>1</v>
      </c>
      <c r="AH381">
        <f t="shared" si="47"/>
        <v>1</v>
      </c>
      <c r="AI381">
        <f t="shared" si="48"/>
        <v>1</v>
      </c>
      <c r="AJ381">
        <f t="shared" si="49"/>
        <v>1</v>
      </c>
      <c r="AK381">
        <f t="shared" si="50"/>
        <v>1</v>
      </c>
      <c r="AL381">
        <f t="shared" si="51"/>
        <v>1</v>
      </c>
      <c r="AM381">
        <f t="shared" si="52"/>
        <v>1</v>
      </c>
      <c r="AN381">
        <f t="shared" si="53"/>
        <v>1</v>
      </c>
      <c r="AO381">
        <f t="shared" si="54"/>
        <v>-1</v>
      </c>
      <c r="AP381">
        <f t="shared" si="55"/>
        <v>-1</v>
      </c>
      <c r="AQ381">
        <v>0</v>
      </c>
      <c r="AR381" t="s">
        <v>2</v>
      </c>
      <c r="AS381">
        <v>-1</v>
      </c>
      <c r="AT381">
        <v>-1</v>
      </c>
      <c r="AU381">
        <v>-1</v>
      </c>
      <c r="AV381">
        <v>-1</v>
      </c>
      <c r="AW381">
        <v>-1</v>
      </c>
      <c r="AX381">
        <v>-1</v>
      </c>
      <c r="AY381">
        <v>-1</v>
      </c>
      <c r="AZ381">
        <v>-1</v>
      </c>
      <c r="BA381">
        <v>-1</v>
      </c>
      <c r="BB381">
        <v>0</v>
      </c>
      <c r="BC381" t="s">
        <v>2</v>
      </c>
      <c r="BD381">
        <v>-1</v>
      </c>
      <c r="BE381">
        <v>-1</v>
      </c>
      <c r="BF381">
        <v>-1</v>
      </c>
      <c r="BG381">
        <v>-1</v>
      </c>
      <c r="BH381">
        <v>-1</v>
      </c>
      <c r="BI381">
        <v>-1</v>
      </c>
      <c r="BJ381">
        <v>-1</v>
      </c>
      <c r="BK381">
        <v>-1</v>
      </c>
      <c r="BL381">
        <v>-1</v>
      </c>
      <c r="BM381">
        <v>-1</v>
      </c>
      <c r="BN381">
        <v>-1</v>
      </c>
      <c r="BO381">
        <v>-1</v>
      </c>
    </row>
    <row r="382" spans="1:67" x14ac:dyDescent="0.25">
      <c r="A382">
        <v>379</v>
      </c>
      <c r="B382">
        <v>16</v>
      </c>
      <c r="C382" t="str">
        <f>VLOOKUP(B382,[1]resources!$A$2:$D$300,3,FALSE)</f>
        <v>!!FOOD_DUTCHDOUBLE</v>
      </c>
      <c r="D382">
        <v>28</v>
      </c>
      <c r="E382" t="str">
        <f>VLOOKUP(D382,[1]bonus_paytable!$A$2:$D$300,3,FALSE)</f>
        <v>reg</v>
      </c>
      <c r="F382">
        <v>-1</v>
      </c>
      <c r="G382">
        <v>-1</v>
      </c>
      <c r="H382">
        <v>1</v>
      </c>
      <c r="I382" t="s">
        <v>1</v>
      </c>
      <c r="J382">
        <v>21</v>
      </c>
      <c r="K382">
        <v>80013</v>
      </c>
      <c r="L382">
        <v>30009</v>
      </c>
      <c r="M382">
        <v>40002</v>
      </c>
      <c r="N382">
        <v>50007</v>
      </c>
      <c r="O382">
        <v>30010</v>
      </c>
      <c r="P382">
        <v>40007</v>
      </c>
      <c r="Q382">
        <v>50005</v>
      </c>
      <c r="R382">
        <v>80003</v>
      </c>
      <c r="S382">
        <v>-1</v>
      </c>
      <c r="T382">
        <v>-1</v>
      </c>
      <c r="U382" s="2">
        <v>0.01</v>
      </c>
      <c r="V382" s="2">
        <v>0.03</v>
      </c>
      <c r="W382" s="2">
        <v>0.03</v>
      </c>
      <c r="X382" s="2">
        <v>0.03</v>
      </c>
      <c r="Y382" s="2">
        <v>0.03</v>
      </c>
      <c r="Z382" s="2">
        <v>0.05</v>
      </c>
      <c r="AA382" s="2">
        <v>0.05</v>
      </c>
      <c r="AB382" s="2">
        <v>0.05</v>
      </c>
      <c r="AC382" s="2">
        <v>0.05</v>
      </c>
      <c r="AD382">
        <v>-1</v>
      </c>
      <c r="AE382">
        <v>-1</v>
      </c>
      <c r="AF382">
        <f t="shared" si="45"/>
        <v>1</v>
      </c>
      <c r="AG382">
        <f t="shared" si="46"/>
        <v>1</v>
      </c>
      <c r="AH382">
        <f t="shared" si="47"/>
        <v>1</v>
      </c>
      <c r="AI382">
        <f t="shared" si="48"/>
        <v>1</v>
      </c>
      <c r="AJ382">
        <f t="shared" si="49"/>
        <v>1</v>
      </c>
      <c r="AK382">
        <f t="shared" si="50"/>
        <v>1</v>
      </c>
      <c r="AL382">
        <f t="shared" si="51"/>
        <v>1</v>
      </c>
      <c r="AM382">
        <f t="shared" si="52"/>
        <v>1</v>
      </c>
      <c r="AN382">
        <f t="shared" si="53"/>
        <v>1</v>
      </c>
      <c r="AO382">
        <f t="shared" si="54"/>
        <v>-1</v>
      </c>
      <c r="AP382">
        <f t="shared" si="55"/>
        <v>-1</v>
      </c>
      <c r="AQ382">
        <v>0</v>
      </c>
      <c r="AR382" t="s">
        <v>2</v>
      </c>
      <c r="AS382">
        <v>-1</v>
      </c>
      <c r="AT382">
        <v>-1</v>
      </c>
      <c r="AU382">
        <v>-1</v>
      </c>
      <c r="AV382">
        <v>-1</v>
      </c>
      <c r="AW382">
        <v>-1</v>
      </c>
      <c r="AX382">
        <v>-1</v>
      </c>
      <c r="AY382">
        <v>-1</v>
      </c>
      <c r="AZ382">
        <v>-1</v>
      </c>
      <c r="BA382">
        <v>-1</v>
      </c>
      <c r="BB382">
        <v>0</v>
      </c>
      <c r="BC382" t="s">
        <v>2</v>
      </c>
      <c r="BD382">
        <v>-1</v>
      </c>
      <c r="BE382">
        <v>-1</v>
      </c>
      <c r="BF382">
        <v>-1</v>
      </c>
      <c r="BG382">
        <v>-1</v>
      </c>
      <c r="BH382">
        <v>-1</v>
      </c>
      <c r="BI382">
        <v>-1</v>
      </c>
      <c r="BJ382">
        <v>-1</v>
      </c>
      <c r="BK382">
        <v>-1</v>
      </c>
      <c r="BL382">
        <v>-1</v>
      </c>
      <c r="BM382">
        <v>-1</v>
      </c>
      <c r="BN382">
        <v>-1</v>
      </c>
      <c r="BO382">
        <v>-1</v>
      </c>
    </row>
    <row r="383" spans="1:67" x14ac:dyDescent="0.25">
      <c r="A383">
        <v>380</v>
      </c>
      <c r="B383">
        <v>50007</v>
      </c>
      <c r="C383" t="str">
        <f>VLOOKUP(B383,[1]resources!$A$2:$D$300,3,FALSE)</f>
        <v>!!SHAKE_VANILLA_BLAST</v>
      </c>
      <c r="D383">
        <v>28</v>
      </c>
      <c r="E383" t="str">
        <f>VLOOKUP(D383,[1]bonus_paytable!$A$2:$D$300,3,FALSE)</f>
        <v>reg</v>
      </c>
      <c r="F383">
        <v>-1</v>
      </c>
      <c r="G383">
        <v>-1</v>
      </c>
      <c r="H383">
        <v>1</v>
      </c>
      <c r="I383" t="s">
        <v>1</v>
      </c>
      <c r="J383">
        <v>21</v>
      </c>
      <c r="K383">
        <v>80013</v>
      </c>
      <c r="L383">
        <v>30009</v>
      </c>
      <c r="M383">
        <v>40002</v>
      </c>
      <c r="N383">
        <v>50007</v>
      </c>
      <c r="O383">
        <v>30010</v>
      </c>
      <c r="P383">
        <v>40007</v>
      </c>
      <c r="Q383">
        <v>50005</v>
      </c>
      <c r="R383">
        <v>80003</v>
      </c>
      <c r="S383">
        <v>-1</v>
      </c>
      <c r="T383">
        <v>-1</v>
      </c>
      <c r="U383" s="2">
        <v>0.01</v>
      </c>
      <c r="V383" s="2">
        <v>0.03</v>
      </c>
      <c r="W383" s="2">
        <v>0.03</v>
      </c>
      <c r="X383" s="2">
        <v>0.03</v>
      </c>
      <c r="Y383" s="2">
        <v>0.03</v>
      </c>
      <c r="Z383" s="2">
        <v>0.05</v>
      </c>
      <c r="AA383" s="2">
        <v>0.05</v>
      </c>
      <c r="AB383" s="2">
        <v>0.05</v>
      </c>
      <c r="AC383" s="2">
        <v>0.05</v>
      </c>
      <c r="AD383">
        <v>-1</v>
      </c>
      <c r="AE383">
        <v>-1</v>
      </c>
      <c r="AF383">
        <f t="shared" si="45"/>
        <v>1</v>
      </c>
      <c r="AG383">
        <f t="shared" si="46"/>
        <v>1</v>
      </c>
      <c r="AH383">
        <f t="shared" si="47"/>
        <v>1</v>
      </c>
      <c r="AI383">
        <f t="shared" si="48"/>
        <v>1</v>
      </c>
      <c r="AJ383">
        <f t="shared" si="49"/>
        <v>1</v>
      </c>
      <c r="AK383">
        <f t="shared" si="50"/>
        <v>1</v>
      </c>
      <c r="AL383">
        <f t="shared" si="51"/>
        <v>1</v>
      </c>
      <c r="AM383">
        <f t="shared" si="52"/>
        <v>1</v>
      </c>
      <c r="AN383">
        <f t="shared" si="53"/>
        <v>1</v>
      </c>
      <c r="AO383">
        <f t="shared" si="54"/>
        <v>-1</v>
      </c>
      <c r="AP383">
        <f t="shared" si="55"/>
        <v>-1</v>
      </c>
      <c r="AQ383">
        <v>0</v>
      </c>
      <c r="AR383" t="s">
        <v>2</v>
      </c>
      <c r="AS383">
        <v>-1</v>
      </c>
      <c r="AT383">
        <v>-1</v>
      </c>
      <c r="AU383">
        <v>-1</v>
      </c>
      <c r="AV383">
        <v>-1</v>
      </c>
      <c r="AW383">
        <v>-1</v>
      </c>
      <c r="AX383">
        <v>-1</v>
      </c>
      <c r="AY383">
        <v>-1</v>
      </c>
      <c r="AZ383">
        <v>-1</v>
      </c>
      <c r="BA383">
        <v>-1</v>
      </c>
      <c r="BB383">
        <v>0</v>
      </c>
      <c r="BC383" t="s">
        <v>2</v>
      </c>
      <c r="BD383">
        <v>-1</v>
      </c>
      <c r="BE383">
        <v>-1</v>
      </c>
      <c r="BF383">
        <v>-1</v>
      </c>
      <c r="BG383">
        <v>-1</v>
      </c>
      <c r="BH383">
        <v>-1</v>
      </c>
      <c r="BI383">
        <v>-1</v>
      </c>
      <c r="BJ383">
        <v>-1</v>
      </c>
      <c r="BK383">
        <v>-1</v>
      </c>
      <c r="BL383">
        <v>-1</v>
      </c>
      <c r="BM383">
        <v>-1</v>
      </c>
      <c r="BN383">
        <v>-1</v>
      </c>
      <c r="BO383">
        <v>-1</v>
      </c>
    </row>
    <row r="384" spans="1:67" x14ac:dyDescent="0.25">
      <c r="A384">
        <v>381</v>
      </c>
      <c r="B384">
        <v>50000</v>
      </c>
      <c r="C384" t="str">
        <f>VLOOKUP(B384,[1]resources!$A$2:$D$300,3,FALSE)</f>
        <v>!!SHAKE_BANANAS_N_BITS</v>
      </c>
      <c r="D384">
        <v>28</v>
      </c>
      <c r="E384" t="str">
        <f>VLOOKUP(D384,[1]bonus_paytable!$A$2:$D$300,3,FALSE)</f>
        <v>reg</v>
      </c>
      <c r="F384">
        <v>-1</v>
      </c>
      <c r="G384">
        <v>-1</v>
      </c>
      <c r="H384">
        <v>1</v>
      </c>
      <c r="I384" t="s">
        <v>1</v>
      </c>
      <c r="J384">
        <v>21</v>
      </c>
      <c r="K384">
        <v>80013</v>
      </c>
      <c r="L384">
        <v>30009</v>
      </c>
      <c r="M384">
        <v>40002</v>
      </c>
      <c r="N384">
        <v>50007</v>
      </c>
      <c r="O384">
        <v>30010</v>
      </c>
      <c r="P384">
        <v>40007</v>
      </c>
      <c r="Q384">
        <v>50005</v>
      </c>
      <c r="R384">
        <v>80003</v>
      </c>
      <c r="S384">
        <v>-1</v>
      </c>
      <c r="T384">
        <v>-1</v>
      </c>
      <c r="U384" s="2">
        <v>0.01</v>
      </c>
      <c r="V384" s="2">
        <v>0.03</v>
      </c>
      <c r="W384" s="2">
        <v>0.03</v>
      </c>
      <c r="X384" s="2">
        <v>0.03</v>
      </c>
      <c r="Y384" s="2">
        <v>0.03</v>
      </c>
      <c r="Z384" s="2">
        <v>0.05</v>
      </c>
      <c r="AA384" s="2">
        <v>0.05</v>
      </c>
      <c r="AB384" s="2">
        <v>0.05</v>
      </c>
      <c r="AC384" s="2">
        <v>0.05</v>
      </c>
      <c r="AD384">
        <v>-1</v>
      </c>
      <c r="AE384">
        <v>-1</v>
      </c>
      <c r="AF384">
        <f t="shared" si="45"/>
        <v>1</v>
      </c>
      <c r="AG384">
        <f t="shared" si="46"/>
        <v>1</v>
      </c>
      <c r="AH384">
        <f t="shared" si="47"/>
        <v>1</v>
      </c>
      <c r="AI384">
        <f t="shared" si="48"/>
        <v>1</v>
      </c>
      <c r="AJ384">
        <f t="shared" si="49"/>
        <v>1</v>
      </c>
      <c r="AK384">
        <f t="shared" si="50"/>
        <v>1</v>
      </c>
      <c r="AL384">
        <f t="shared" si="51"/>
        <v>1</v>
      </c>
      <c r="AM384">
        <f t="shared" si="52"/>
        <v>1</v>
      </c>
      <c r="AN384">
        <f t="shared" si="53"/>
        <v>1</v>
      </c>
      <c r="AO384">
        <f t="shared" si="54"/>
        <v>-1</v>
      </c>
      <c r="AP384">
        <f t="shared" si="55"/>
        <v>-1</v>
      </c>
      <c r="AQ384">
        <v>0</v>
      </c>
      <c r="AR384" t="s">
        <v>2</v>
      </c>
      <c r="AS384">
        <v>-1</v>
      </c>
      <c r="AT384">
        <v>-1</v>
      </c>
      <c r="AU384">
        <v>-1</v>
      </c>
      <c r="AV384">
        <v>-1</v>
      </c>
      <c r="AW384">
        <v>-1</v>
      </c>
      <c r="AX384">
        <v>-1</v>
      </c>
      <c r="AY384">
        <v>-1</v>
      </c>
      <c r="AZ384">
        <v>-1</v>
      </c>
      <c r="BA384">
        <v>-1</v>
      </c>
      <c r="BB384">
        <v>0</v>
      </c>
      <c r="BC384" t="s">
        <v>2</v>
      </c>
      <c r="BD384">
        <v>-1</v>
      </c>
      <c r="BE384">
        <v>-1</v>
      </c>
      <c r="BF384">
        <v>-1</v>
      </c>
      <c r="BG384">
        <v>-1</v>
      </c>
      <c r="BH384">
        <v>-1</v>
      </c>
      <c r="BI384">
        <v>-1</v>
      </c>
      <c r="BJ384">
        <v>-1</v>
      </c>
      <c r="BK384">
        <v>-1</v>
      </c>
      <c r="BL384">
        <v>-1</v>
      </c>
      <c r="BM384">
        <v>-1</v>
      </c>
      <c r="BN384">
        <v>-1</v>
      </c>
      <c r="BO384">
        <v>-1</v>
      </c>
    </row>
    <row r="385" spans="1:67" x14ac:dyDescent="0.25">
      <c r="A385">
        <v>382</v>
      </c>
      <c r="B385">
        <v>70008</v>
      </c>
      <c r="C385" t="str">
        <f>VLOOKUP(B385,[1]resources!$A$2:$D$300,3,FALSE)</f>
        <v>!!PERFUME_SCENTOSAILOR</v>
      </c>
      <c r="D385">
        <v>28</v>
      </c>
      <c r="E385" t="str">
        <f>VLOOKUP(D385,[1]bonus_paytable!$A$2:$D$300,3,FALSE)</f>
        <v>reg</v>
      </c>
      <c r="F385">
        <v>-1</v>
      </c>
      <c r="G385">
        <v>-1</v>
      </c>
      <c r="H385">
        <v>1</v>
      </c>
      <c r="I385" t="s">
        <v>1</v>
      </c>
      <c r="J385">
        <v>21</v>
      </c>
      <c r="K385">
        <v>80013</v>
      </c>
      <c r="L385">
        <v>30009</v>
      </c>
      <c r="M385">
        <v>40002</v>
      </c>
      <c r="N385">
        <v>50007</v>
      </c>
      <c r="O385">
        <v>30010</v>
      </c>
      <c r="P385">
        <v>40007</v>
      </c>
      <c r="Q385">
        <v>50005</v>
      </c>
      <c r="R385">
        <v>80003</v>
      </c>
      <c r="S385">
        <v>-1</v>
      </c>
      <c r="T385">
        <v>-1</v>
      </c>
      <c r="U385" s="2">
        <v>0.01</v>
      </c>
      <c r="V385" s="2">
        <v>0.03</v>
      </c>
      <c r="W385" s="2">
        <v>0.03</v>
      </c>
      <c r="X385" s="2">
        <v>0.03</v>
      </c>
      <c r="Y385" s="2">
        <v>0.03</v>
      </c>
      <c r="Z385" s="2">
        <v>0.05</v>
      </c>
      <c r="AA385" s="2">
        <v>0.05</v>
      </c>
      <c r="AB385" s="2">
        <v>0.05</v>
      </c>
      <c r="AC385" s="2">
        <v>0.05</v>
      </c>
      <c r="AD385">
        <v>-1</v>
      </c>
      <c r="AE385">
        <v>-1</v>
      </c>
      <c r="AF385">
        <f t="shared" si="45"/>
        <v>1</v>
      </c>
      <c r="AG385">
        <f t="shared" si="46"/>
        <v>1</v>
      </c>
      <c r="AH385">
        <f t="shared" si="47"/>
        <v>1</v>
      </c>
      <c r="AI385">
        <f t="shared" si="48"/>
        <v>1</v>
      </c>
      <c r="AJ385">
        <f t="shared" si="49"/>
        <v>1</v>
      </c>
      <c r="AK385">
        <f t="shared" si="50"/>
        <v>1</v>
      </c>
      <c r="AL385">
        <f t="shared" si="51"/>
        <v>1</v>
      </c>
      <c r="AM385">
        <f t="shared" si="52"/>
        <v>1</v>
      </c>
      <c r="AN385">
        <f t="shared" si="53"/>
        <v>1</v>
      </c>
      <c r="AO385">
        <f t="shared" si="54"/>
        <v>-1</v>
      </c>
      <c r="AP385">
        <f t="shared" si="55"/>
        <v>-1</v>
      </c>
      <c r="AQ385">
        <v>0</v>
      </c>
      <c r="AR385" t="s">
        <v>2</v>
      </c>
      <c r="AS385">
        <v>-1</v>
      </c>
      <c r="AT385">
        <v>-1</v>
      </c>
      <c r="AU385">
        <v>-1</v>
      </c>
      <c r="AV385">
        <v>-1</v>
      </c>
      <c r="AW385">
        <v>-1</v>
      </c>
      <c r="AX385">
        <v>-1</v>
      </c>
      <c r="AY385">
        <v>-1</v>
      </c>
      <c r="AZ385">
        <v>-1</v>
      </c>
      <c r="BA385">
        <v>-1</v>
      </c>
      <c r="BB385">
        <v>0</v>
      </c>
      <c r="BC385" t="s">
        <v>2</v>
      </c>
      <c r="BD385">
        <v>-1</v>
      </c>
      <c r="BE385">
        <v>-1</v>
      </c>
      <c r="BF385">
        <v>-1</v>
      </c>
      <c r="BG385">
        <v>-1</v>
      </c>
      <c r="BH385">
        <v>-1</v>
      </c>
      <c r="BI385">
        <v>-1</v>
      </c>
      <c r="BJ385">
        <v>-1</v>
      </c>
      <c r="BK385">
        <v>-1</v>
      </c>
      <c r="BL385">
        <v>-1</v>
      </c>
      <c r="BM385">
        <v>-1</v>
      </c>
      <c r="BN385">
        <v>-1</v>
      </c>
      <c r="BO385">
        <v>-1</v>
      </c>
    </row>
    <row r="386" spans="1:67" x14ac:dyDescent="0.25">
      <c r="A386">
        <v>383</v>
      </c>
      <c r="B386">
        <v>70011</v>
      </c>
      <c r="C386" t="str">
        <f>VLOOKUP(B386,[1]resources!$A$2:$D$300,3,FALSE)</f>
        <v>!!PERFUME_THEDUMP</v>
      </c>
      <c r="D386">
        <v>28</v>
      </c>
      <c r="E386" t="str">
        <f>VLOOKUP(D386,[1]bonus_paytable!$A$2:$D$300,3,FALSE)</f>
        <v>reg</v>
      </c>
      <c r="F386">
        <v>-1</v>
      </c>
      <c r="G386">
        <v>-1</v>
      </c>
      <c r="H386">
        <v>1</v>
      </c>
      <c r="I386" t="s">
        <v>1</v>
      </c>
      <c r="J386">
        <v>21</v>
      </c>
      <c r="K386">
        <v>80013</v>
      </c>
      <c r="L386">
        <v>30009</v>
      </c>
      <c r="M386">
        <v>40002</v>
      </c>
      <c r="N386">
        <v>50007</v>
      </c>
      <c r="O386">
        <v>30010</v>
      </c>
      <c r="P386">
        <v>40007</v>
      </c>
      <c r="Q386">
        <v>50005</v>
      </c>
      <c r="R386">
        <v>80003</v>
      </c>
      <c r="S386">
        <v>-1</v>
      </c>
      <c r="T386">
        <v>-1</v>
      </c>
      <c r="U386" s="2">
        <v>0.01</v>
      </c>
      <c r="V386" s="2">
        <v>0.03</v>
      </c>
      <c r="W386" s="2">
        <v>0.03</v>
      </c>
      <c r="X386" s="2">
        <v>0.03</v>
      </c>
      <c r="Y386" s="2">
        <v>0.03</v>
      </c>
      <c r="Z386" s="2">
        <v>0.05</v>
      </c>
      <c r="AA386" s="2">
        <v>0.05</v>
      </c>
      <c r="AB386" s="2">
        <v>0.05</v>
      </c>
      <c r="AC386" s="2">
        <v>0.05</v>
      </c>
      <c r="AD386">
        <v>-1</v>
      </c>
      <c r="AE386">
        <v>-1</v>
      </c>
      <c r="AF386">
        <f t="shared" si="45"/>
        <v>1</v>
      </c>
      <c r="AG386">
        <f t="shared" si="46"/>
        <v>1</v>
      </c>
      <c r="AH386">
        <f t="shared" si="47"/>
        <v>1</v>
      </c>
      <c r="AI386">
        <f t="shared" si="48"/>
        <v>1</v>
      </c>
      <c r="AJ386">
        <f t="shared" si="49"/>
        <v>1</v>
      </c>
      <c r="AK386">
        <f t="shared" si="50"/>
        <v>1</v>
      </c>
      <c r="AL386">
        <f t="shared" si="51"/>
        <v>1</v>
      </c>
      <c r="AM386">
        <f t="shared" si="52"/>
        <v>1</v>
      </c>
      <c r="AN386">
        <f t="shared" si="53"/>
        <v>1</v>
      </c>
      <c r="AO386">
        <f t="shared" si="54"/>
        <v>-1</v>
      </c>
      <c r="AP386">
        <f t="shared" si="55"/>
        <v>-1</v>
      </c>
      <c r="AQ386">
        <v>0</v>
      </c>
      <c r="AR386" t="s">
        <v>2</v>
      </c>
      <c r="AS386">
        <v>-1</v>
      </c>
      <c r="AT386">
        <v>-1</v>
      </c>
      <c r="AU386">
        <v>-1</v>
      </c>
      <c r="AV386">
        <v>-1</v>
      </c>
      <c r="AW386">
        <v>-1</v>
      </c>
      <c r="AX386">
        <v>-1</v>
      </c>
      <c r="AY386">
        <v>-1</v>
      </c>
      <c r="AZ386">
        <v>-1</v>
      </c>
      <c r="BA386">
        <v>-1</v>
      </c>
      <c r="BB386">
        <v>0</v>
      </c>
      <c r="BC386" t="s">
        <v>2</v>
      </c>
      <c r="BD386">
        <v>-1</v>
      </c>
      <c r="BE386">
        <v>-1</v>
      </c>
      <c r="BF386">
        <v>-1</v>
      </c>
      <c r="BG386">
        <v>-1</v>
      </c>
      <c r="BH386">
        <v>-1</v>
      </c>
      <c r="BI386">
        <v>-1</v>
      </c>
      <c r="BJ386">
        <v>-1</v>
      </c>
      <c r="BK386">
        <v>-1</v>
      </c>
      <c r="BL386">
        <v>-1</v>
      </c>
      <c r="BM386">
        <v>-1</v>
      </c>
      <c r="BN386">
        <v>-1</v>
      </c>
      <c r="BO386">
        <v>-1</v>
      </c>
    </row>
    <row r="387" spans="1:67" x14ac:dyDescent="0.25">
      <c r="A387">
        <v>384</v>
      </c>
      <c r="B387">
        <v>80004</v>
      </c>
      <c r="C387" t="str">
        <f>VLOOKUP(B387,[1]resources!$A$2:$D$300,3,FALSE)</f>
        <v>!!FOOD_BAKED_DUTCHMANSDUTCHAPPLEPIE</v>
      </c>
      <c r="D387">
        <v>28</v>
      </c>
      <c r="E387" t="str">
        <f>VLOOKUP(D387,[1]bonus_paytable!$A$2:$D$300,3,FALSE)</f>
        <v>reg</v>
      </c>
      <c r="F387">
        <v>-1</v>
      </c>
      <c r="G387">
        <v>-1</v>
      </c>
      <c r="H387">
        <v>1</v>
      </c>
      <c r="I387" t="s">
        <v>1</v>
      </c>
      <c r="J387">
        <v>21</v>
      </c>
      <c r="K387">
        <v>80013</v>
      </c>
      <c r="L387">
        <v>30009</v>
      </c>
      <c r="M387">
        <v>40002</v>
      </c>
      <c r="N387">
        <v>50007</v>
      </c>
      <c r="O387">
        <v>30010</v>
      </c>
      <c r="P387">
        <v>40007</v>
      </c>
      <c r="Q387">
        <v>50005</v>
      </c>
      <c r="R387">
        <v>80003</v>
      </c>
      <c r="S387">
        <v>-1</v>
      </c>
      <c r="T387">
        <v>-1</v>
      </c>
      <c r="U387" s="2">
        <v>0.01</v>
      </c>
      <c r="V387" s="2">
        <v>0.03</v>
      </c>
      <c r="W387" s="2">
        <v>0.03</v>
      </c>
      <c r="X387" s="2">
        <v>0.03</v>
      </c>
      <c r="Y387" s="2">
        <v>0.03</v>
      </c>
      <c r="Z387" s="2">
        <v>0.05</v>
      </c>
      <c r="AA387" s="2">
        <v>0.05</v>
      </c>
      <c r="AB387" s="2">
        <v>0.05</v>
      </c>
      <c r="AC387" s="2">
        <v>0.05</v>
      </c>
      <c r="AD387">
        <v>-1</v>
      </c>
      <c r="AE387">
        <v>-1</v>
      </c>
      <c r="AF387">
        <f t="shared" ref="AF387:AF450" si="56">IF(J387&gt;-1,1,-1)</f>
        <v>1</v>
      </c>
      <c r="AG387">
        <f t="shared" ref="AG387:AG450" si="57">IF(K387&gt;-1,1,-1)</f>
        <v>1</v>
      </c>
      <c r="AH387">
        <f t="shared" ref="AH387:AH450" si="58">IF(L387&gt;-1,1,-1)</f>
        <v>1</v>
      </c>
      <c r="AI387">
        <f t="shared" ref="AI387:AI450" si="59">IF(M387&gt;-1,1,-1)</f>
        <v>1</v>
      </c>
      <c r="AJ387">
        <f t="shared" ref="AJ387:AJ450" si="60">IF(N387&gt;-1,1,-1)</f>
        <v>1</v>
      </c>
      <c r="AK387">
        <f t="shared" ref="AK387:AK450" si="61">IF(O387&gt;-1,1,-1)</f>
        <v>1</v>
      </c>
      <c r="AL387">
        <f t="shared" ref="AL387:AL450" si="62">IF(P387&gt;-1,1,-1)</f>
        <v>1</v>
      </c>
      <c r="AM387">
        <f t="shared" ref="AM387:AM450" si="63">IF(Q387&gt;-1,1,-1)</f>
        <v>1</v>
      </c>
      <c r="AN387">
        <f t="shared" ref="AN387:AN450" si="64">IF(R387&gt;-1,1,-1)</f>
        <v>1</v>
      </c>
      <c r="AO387">
        <f t="shared" ref="AO387:AO450" si="65">IF(S387&gt;-1,1,-1)</f>
        <v>-1</v>
      </c>
      <c r="AP387">
        <f t="shared" ref="AP387:AP450" si="66">IF(T387&gt;-1,1,-1)</f>
        <v>-1</v>
      </c>
      <c r="AQ387">
        <v>0</v>
      </c>
      <c r="AR387" t="s">
        <v>2</v>
      </c>
      <c r="AS387">
        <v>-1</v>
      </c>
      <c r="AT387">
        <v>-1</v>
      </c>
      <c r="AU387">
        <v>-1</v>
      </c>
      <c r="AV387">
        <v>-1</v>
      </c>
      <c r="AW387">
        <v>-1</v>
      </c>
      <c r="AX387">
        <v>-1</v>
      </c>
      <c r="AY387">
        <v>-1</v>
      </c>
      <c r="AZ387">
        <v>-1</v>
      </c>
      <c r="BA387">
        <v>-1</v>
      </c>
      <c r="BB387">
        <v>0</v>
      </c>
      <c r="BC387" t="s">
        <v>2</v>
      </c>
      <c r="BD387">
        <v>-1</v>
      </c>
      <c r="BE387">
        <v>-1</v>
      </c>
      <c r="BF387">
        <v>-1</v>
      </c>
      <c r="BG387">
        <v>-1</v>
      </c>
      <c r="BH387">
        <v>-1</v>
      </c>
      <c r="BI387">
        <v>-1</v>
      </c>
      <c r="BJ387">
        <v>-1</v>
      </c>
      <c r="BK387">
        <v>-1</v>
      </c>
      <c r="BL387">
        <v>-1</v>
      </c>
      <c r="BM387">
        <v>-1</v>
      </c>
      <c r="BN387">
        <v>-1</v>
      </c>
      <c r="BO387">
        <v>-1</v>
      </c>
    </row>
    <row r="388" spans="1:67" x14ac:dyDescent="0.25">
      <c r="A388">
        <v>385</v>
      </c>
      <c r="B388">
        <v>80009</v>
      </c>
      <c r="C388" t="str">
        <f>VLOOKUP(B388,[1]resources!$A$2:$D$300,3,FALSE)</f>
        <v>!!FOOD_BAKED_MAROONEDMACAROONS</v>
      </c>
      <c r="D388">
        <v>28</v>
      </c>
      <c r="E388" t="str">
        <f>VLOOKUP(D388,[1]bonus_paytable!$A$2:$D$300,3,FALSE)</f>
        <v>reg</v>
      </c>
      <c r="F388">
        <v>-1</v>
      </c>
      <c r="G388">
        <v>-1</v>
      </c>
      <c r="H388">
        <v>1</v>
      </c>
      <c r="I388" t="s">
        <v>1</v>
      </c>
      <c r="J388">
        <v>21</v>
      </c>
      <c r="K388">
        <v>80013</v>
      </c>
      <c r="L388">
        <v>30009</v>
      </c>
      <c r="M388">
        <v>40002</v>
      </c>
      <c r="N388">
        <v>50007</v>
      </c>
      <c r="O388">
        <v>30010</v>
      </c>
      <c r="P388">
        <v>40007</v>
      </c>
      <c r="Q388">
        <v>50005</v>
      </c>
      <c r="R388">
        <v>80003</v>
      </c>
      <c r="S388">
        <v>-1</v>
      </c>
      <c r="T388">
        <v>-1</v>
      </c>
      <c r="U388" s="2">
        <v>0.01</v>
      </c>
      <c r="V388" s="2">
        <v>0.03</v>
      </c>
      <c r="W388" s="2">
        <v>0.03</v>
      </c>
      <c r="X388" s="2">
        <v>0.03</v>
      </c>
      <c r="Y388" s="2">
        <v>0.03</v>
      </c>
      <c r="Z388" s="2">
        <v>0.05</v>
      </c>
      <c r="AA388" s="2">
        <v>0.05</v>
      </c>
      <c r="AB388" s="2">
        <v>0.05</v>
      </c>
      <c r="AC388" s="2">
        <v>0.05</v>
      </c>
      <c r="AD388">
        <v>-1</v>
      </c>
      <c r="AE388">
        <v>-1</v>
      </c>
      <c r="AF388">
        <f t="shared" si="56"/>
        <v>1</v>
      </c>
      <c r="AG388">
        <f t="shared" si="57"/>
        <v>1</v>
      </c>
      <c r="AH388">
        <f t="shared" si="58"/>
        <v>1</v>
      </c>
      <c r="AI388">
        <f t="shared" si="59"/>
        <v>1</v>
      </c>
      <c r="AJ388">
        <f t="shared" si="60"/>
        <v>1</v>
      </c>
      <c r="AK388">
        <f t="shared" si="61"/>
        <v>1</v>
      </c>
      <c r="AL388">
        <f t="shared" si="62"/>
        <v>1</v>
      </c>
      <c r="AM388">
        <f t="shared" si="63"/>
        <v>1</v>
      </c>
      <c r="AN388">
        <f t="shared" si="64"/>
        <v>1</v>
      </c>
      <c r="AO388">
        <f t="shared" si="65"/>
        <v>-1</v>
      </c>
      <c r="AP388">
        <f t="shared" si="66"/>
        <v>-1</v>
      </c>
      <c r="AQ388">
        <v>0</v>
      </c>
      <c r="AR388" t="s">
        <v>2</v>
      </c>
      <c r="AS388">
        <v>-1</v>
      </c>
      <c r="AT388">
        <v>-1</v>
      </c>
      <c r="AU388">
        <v>-1</v>
      </c>
      <c r="AV388">
        <v>-1</v>
      </c>
      <c r="AW388">
        <v>-1</v>
      </c>
      <c r="AX388">
        <v>-1</v>
      </c>
      <c r="AY388">
        <v>-1</v>
      </c>
      <c r="AZ388">
        <v>-1</v>
      </c>
      <c r="BA388">
        <v>-1</v>
      </c>
      <c r="BB388">
        <v>0</v>
      </c>
      <c r="BC388" t="s">
        <v>2</v>
      </c>
      <c r="BD388">
        <v>-1</v>
      </c>
      <c r="BE388">
        <v>-1</v>
      </c>
      <c r="BF388">
        <v>-1</v>
      </c>
      <c r="BG388">
        <v>-1</v>
      </c>
      <c r="BH388">
        <v>-1</v>
      </c>
      <c r="BI388">
        <v>-1</v>
      </c>
      <c r="BJ388">
        <v>-1</v>
      </c>
      <c r="BK388">
        <v>-1</v>
      </c>
      <c r="BL388">
        <v>-1</v>
      </c>
      <c r="BM388">
        <v>-1</v>
      </c>
      <c r="BN388">
        <v>-1</v>
      </c>
      <c r="BO388">
        <v>-1</v>
      </c>
    </row>
    <row r="389" spans="1:67" x14ac:dyDescent="0.25">
      <c r="A389">
        <v>386</v>
      </c>
      <c r="B389">
        <v>1</v>
      </c>
      <c r="C389" t="str">
        <f>VLOOKUP(B389,[1]resources!$A$2:$D$300,3,FALSE)</f>
        <v>!!FOOD_KRABBYPATTY</v>
      </c>
      <c r="D389">
        <v>29</v>
      </c>
      <c r="E389" t="str">
        <f>VLOOKUP(D389,[1]bonus_paytable!$A$2:$D$300,3,FALSE)</f>
        <v>sandy</v>
      </c>
      <c r="F389">
        <v>-1</v>
      </c>
      <c r="G389">
        <v>-1</v>
      </c>
      <c r="H389">
        <v>1</v>
      </c>
      <c r="I389" t="s">
        <v>1</v>
      </c>
      <c r="J389">
        <v>80012</v>
      </c>
      <c r="K389">
        <v>80006</v>
      </c>
      <c r="L389">
        <v>70010</v>
      </c>
      <c r="M389">
        <v>60017</v>
      </c>
      <c r="N389">
        <v>60000</v>
      </c>
      <c r="O389">
        <v>99</v>
      </c>
      <c r="P389">
        <v>20000</v>
      </c>
      <c r="Q389">
        <v>40003</v>
      </c>
      <c r="R389">
        <v>70001</v>
      </c>
      <c r="S389">
        <v>80007</v>
      </c>
      <c r="T389">
        <v>-1</v>
      </c>
      <c r="U389" s="2">
        <v>0.01</v>
      </c>
      <c r="V389" s="2">
        <v>0.03</v>
      </c>
      <c r="W389" s="2">
        <v>0.03</v>
      </c>
      <c r="X389" s="2">
        <v>0.03</v>
      </c>
      <c r="Y389" s="2">
        <v>0.03</v>
      </c>
      <c r="Z389" s="2">
        <v>0.05</v>
      </c>
      <c r="AA389" s="2">
        <v>0.05</v>
      </c>
      <c r="AB389" s="2">
        <v>0.05</v>
      </c>
      <c r="AC389" s="2">
        <v>0.05</v>
      </c>
      <c r="AD389" s="2">
        <v>0.05</v>
      </c>
      <c r="AE389">
        <v>-1</v>
      </c>
      <c r="AF389">
        <f t="shared" si="56"/>
        <v>1</v>
      </c>
      <c r="AG389">
        <f t="shared" si="57"/>
        <v>1</v>
      </c>
      <c r="AH389">
        <f t="shared" si="58"/>
        <v>1</v>
      </c>
      <c r="AI389">
        <f t="shared" si="59"/>
        <v>1</v>
      </c>
      <c r="AJ389">
        <f t="shared" si="60"/>
        <v>1</v>
      </c>
      <c r="AK389">
        <f t="shared" si="61"/>
        <v>1</v>
      </c>
      <c r="AL389">
        <f t="shared" si="62"/>
        <v>1</v>
      </c>
      <c r="AM389">
        <f t="shared" si="63"/>
        <v>1</v>
      </c>
      <c r="AN389">
        <f t="shared" si="64"/>
        <v>1</v>
      </c>
      <c r="AO389">
        <f t="shared" si="65"/>
        <v>1</v>
      </c>
      <c r="AP389">
        <f t="shared" si="66"/>
        <v>-1</v>
      </c>
      <c r="AQ389">
        <v>0</v>
      </c>
      <c r="AR389" t="s">
        <v>2</v>
      </c>
      <c r="AS389">
        <v>-1</v>
      </c>
      <c r="AT389">
        <v>-1</v>
      </c>
      <c r="AU389">
        <v>-1</v>
      </c>
      <c r="AV389">
        <v>-1</v>
      </c>
      <c r="AW389">
        <v>-1</v>
      </c>
      <c r="AX389">
        <v>-1</v>
      </c>
      <c r="AY389">
        <v>-1</v>
      </c>
      <c r="AZ389">
        <v>-1</v>
      </c>
      <c r="BA389">
        <v>-1</v>
      </c>
      <c r="BB389">
        <v>0</v>
      </c>
      <c r="BC389" t="s">
        <v>2</v>
      </c>
      <c r="BD389">
        <v>-1</v>
      </c>
      <c r="BE389">
        <v>-1</v>
      </c>
      <c r="BF389">
        <v>-1</v>
      </c>
      <c r="BG389">
        <v>-1</v>
      </c>
      <c r="BH389">
        <v>-1</v>
      </c>
      <c r="BI389">
        <v>-1</v>
      </c>
      <c r="BJ389">
        <v>-1</v>
      </c>
      <c r="BK389">
        <v>-1</v>
      </c>
      <c r="BL389">
        <v>-1</v>
      </c>
      <c r="BM389">
        <v>-1</v>
      </c>
      <c r="BN389">
        <v>-1</v>
      </c>
      <c r="BO389">
        <v>-1</v>
      </c>
    </row>
    <row r="390" spans="1:67" x14ac:dyDescent="0.25">
      <c r="A390">
        <v>387</v>
      </c>
      <c r="B390">
        <v>46</v>
      </c>
      <c r="C390" t="str">
        <f>VLOOKUP(B390,[1]resources!$A$2:$D$300,3,FALSE)</f>
        <v>!!FOOD_SALAD</v>
      </c>
      <c r="D390">
        <v>29</v>
      </c>
      <c r="E390" t="str">
        <f>VLOOKUP(D390,[1]bonus_paytable!$A$2:$D$300,3,FALSE)</f>
        <v>sandy</v>
      </c>
      <c r="F390">
        <v>-1</v>
      </c>
      <c r="G390">
        <v>-1</v>
      </c>
      <c r="H390">
        <v>1</v>
      </c>
      <c r="I390" t="s">
        <v>1</v>
      </c>
      <c r="J390">
        <v>80012</v>
      </c>
      <c r="K390">
        <v>80006</v>
      </c>
      <c r="L390">
        <v>70010</v>
      </c>
      <c r="M390">
        <v>60017</v>
      </c>
      <c r="N390">
        <v>60000</v>
      </c>
      <c r="O390">
        <v>99</v>
      </c>
      <c r="P390">
        <v>20000</v>
      </c>
      <c r="Q390">
        <v>40003</v>
      </c>
      <c r="R390">
        <v>70001</v>
      </c>
      <c r="S390">
        <v>80007</v>
      </c>
      <c r="T390">
        <v>-1</v>
      </c>
      <c r="U390" s="2">
        <v>0.01</v>
      </c>
      <c r="V390" s="2">
        <v>0.03</v>
      </c>
      <c r="W390" s="2">
        <v>0.03</v>
      </c>
      <c r="X390" s="2">
        <v>0.03</v>
      </c>
      <c r="Y390" s="2">
        <v>0.03</v>
      </c>
      <c r="Z390" s="2">
        <v>0.05</v>
      </c>
      <c r="AA390" s="2">
        <v>0.05</v>
      </c>
      <c r="AB390" s="2">
        <v>0.05</v>
      </c>
      <c r="AC390" s="2">
        <v>0.05</v>
      </c>
      <c r="AD390" s="2">
        <v>0.05</v>
      </c>
      <c r="AE390">
        <v>-1</v>
      </c>
      <c r="AF390">
        <f t="shared" si="56"/>
        <v>1</v>
      </c>
      <c r="AG390">
        <f t="shared" si="57"/>
        <v>1</v>
      </c>
      <c r="AH390">
        <f t="shared" si="58"/>
        <v>1</v>
      </c>
      <c r="AI390">
        <f t="shared" si="59"/>
        <v>1</v>
      </c>
      <c r="AJ390">
        <f t="shared" si="60"/>
        <v>1</v>
      </c>
      <c r="AK390">
        <f t="shared" si="61"/>
        <v>1</v>
      </c>
      <c r="AL390">
        <f t="shared" si="62"/>
        <v>1</v>
      </c>
      <c r="AM390">
        <f t="shared" si="63"/>
        <v>1</v>
      </c>
      <c r="AN390">
        <f t="shared" si="64"/>
        <v>1</v>
      </c>
      <c r="AO390">
        <f t="shared" si="65"/>
        <v>1</v>
      </c>
      <c r="AP390">
        <f t="shared" si="66"/>
        <v>-1</v>
      </c>
      <c r="AQ390">
        <v>0</v>
      </c>
      <c r="AR390" t="s">
        <v>2</v>
      </c>
      <c r="AS390">
        <v>-1</v>
      </c>
      <c r="AT390">
        <v>-1</v>
      </c>
      <c r="AU390">
        <v>-1</v>
      </c>
      <c r="AV390">
        <v>-1</v>
      </c>
      <c r="AW390">
        <v>-1</v>
      </c>
      <c r="AX390">
        <v>-1</v>
      </c>
      <c r="AY390">
        <v>-1</v>
      </c>
      <c r="AZ390">
        <v>-1</v>
      </c>
      <c r="BA390">
        <v>-1</v>
      </c>
      <c r="BB390">
        <v>0</v>
      </c>
      <c r="BC390" t="s">
        <v>2</v>
      </c>
      <c r="BD390">
        <v>-1</v>
      </c>
      <c r="BE390">
        <v>-1</v>
      </c>
      <c r="BF390">
        <v>-1</v>
      </c>
      <c r="BG390">
        <v>-1</v>
      </c>
      <c r="BH390">
        <v>-1</v>
      </c>
      <c r="BI390">
        <v>-1</v>
      </c>
      <c r="BJ390">
        <v>-1</v>
      </c>
      <c r="BK390">
        <v>-1</v>
      </c>
      <c r="BL390">
        <v>-1</v>
      </c>
      <c r="BM390">
        <v>-1</v>
      </c>
      <c r="BN390">
        <v>-1</v>
      </c>
      <c r="BO390">
        <v>-1</v>
      </c>
    </row>
    <row r="391" spans="1:67" x14ac:dyDescent="0.25">
      <c r="A391">
        <v>388</v>
      </c>
      <c r="B391">
        <v>32</v>
      </c>
      <c r="C391" t="str">
        <f>VLOOKUP(B391,[1]resources!$A$2:$D$300,3,FALSE)</f>
        <v>!!FOOD_JELLYPATTY</v>
      </c>
      <c r="D391">
        <v>29</v>
      </c>
      <c r="E391" t="str">
        <f>VLOOKUP(D391,[1]bonus_paytable!$A$2:$D$300,3,FALSE)</f>
        <v>sandy</v>
      </c>
      <c r="F391">
        <v>-1</v>
      </c>
      <c r="G391">
        <v>-1</v>
      </c>
      <c r="H391">
        <v>1</v>
      </c>
      <c r="I391" t="s">
        <v>1</v>
      </c>
      <c r="J391">
        <v>80012</v>
      </c>
      <c r="K391">
        <v>80006</v>
      </c>
      <c r="L391">
        <v>70010</v>
      </c>
      <c r="M391">
        <v>60017</v>
      </c>
      <c r="N391">
        <v>60000</v>
      </c>
      <c r="O391">
        <v>99</v>
      </c>
      <c r="P391">
        <v>20000</v>
      </c>
      <c r="Q391">
        <v>40003</v>
      </c>
      <c r="R391">
        <v>70001</v>
      </c>
      <c r="S391">
        <v>80007</v>
      </c>
      <c r="T391">
        <v>-1</v>
      </c>
      <c r="U391" s="2">
        <v>0.01</v>
      </c>
      <c r="V391" s="2">
        <v>0.03</v>
      </c>
      <c r="W391" s="2">
        <v>0.03</v>
      </c>
      <c r="X391" s="2">
        <v>0.03</v>
      </c>
      <c r="Y391" s="2">
        <v>0.03</v>
      </c>
      <c r="Z391" s="2">
        <v>0.05</v>
      </c>
      <c r="AA391" s="2">
        <v>0.05</v>
      </c>
      <c r="AB391" s="2">
        <v>0.05</v>
      </c>
      <c r="AC391" s="2">
        <v>0.05</v>
      </c>
      <c r="AD391" s="2">
        <v>0.05</v>
      </c>
      <c r="AE391">
        <v>-1</v>
      </c>
      <c r="AF391">
        <f t="shared" si="56"/>
        <v>1</v>
      </c>
      <c r="AG391">
        <f t="shared" si="57"/>
        <v>1</v>
      </c>
      <c r="AH391">
        <f t="shared" si="58"/>
        <v>1</v>
      </c>
      <c r="AI391">
        <f t="shared" si="59"/>
        <v>1</v>
      </c>
      <c r="AJ391">
        <f t="shared" si="60"/>
        <v>1</v>
      </c>
      <c r="AK391">
        <f t="shared" si="61"/>
        <v>1</v>
      </c>
      <c r="AL391">
        <f t="shared" si="62"/>
        <v>1</v>
      </c>
      <c r="AM391">
        <f t="shared" si="63"/>
        <v>1</v>
      </c>
      <c r="AN391">
        <f t="shared" si="64"/>
        <v>1</v>
      </c>
      <c r="AO391">
        <f t="shared" si="65"/>
        <v>1</v>
      </c>
      <c r="AP391">
        <f t="shared" si="66"/>
        <v>-1</v>
      </c>
      <c r="AQ391">
        <v>0</v>
      </c>
      <c r="AR391" t="s">
        <v>2</v>
      </c>
      <c r="AS391">
        <v>-1</v>
      </c>
      <c r="AT391">
        <v>-1</v>
      </c>
      <c r="AU391">
        <v>-1</v>
      </c>
      <c r="AV391">
        <v>-1</v>
      </c>
      <c r="AW391">
        <v>-1</v>
      </c>
      <c r="AX391">
        <v>-1</v>
      </c>
      <c r="AY391">
        <v>-1</v>
      </c>
      <c r="AZ391">
        <v>-1</v>
      </c>
      <c r="BA391">
        <v>-1</v>
      </c>
      <c r="BB391">
        <v>0</v>
      </c>
      <c r="BC391" t="s">
        <v>2</v>
      </c>
      <c r="BD391">
        <v>-1</v>
      </c>
      <c r="BE391">
        <v>-1</v>
      </c>
      <c r="BF391">
        <v>-1</v>
      </c>
      <c r="BG391">
        <v>-1</v>
      </c>
      <c r="BH391">
        <v>-1</v>
      </c>
      <c r="BI391">
        <v>-1</v>
      </c>
      <c r="BJ391">
        <v>-1</v>
      </c>
      <c r="BK391">
        <v>-1</v>
      </c>
      <c r="BL391">
        <v>-1</v>
      </c>
      <c r="BM391">
        <v>-1</v>
      </c>
      <c r="BN391">
        <v>-1</v>
      </c>
      <c r="BO391">
        <v>-1</v>
      </c>
    </row>
    <row r="392" spans="1:67" x14ac:dyDescent="0.25">
      <c r="A392">
        <v>389</v>
      </c>
      <c r="B392">
        <v>96</v>
      </c>
      <c r="C392" t="str">
        <f>VLOOKUP(B392,[1]resources!$A$2:$D$300,3,FALSE)</f>
        <v>!!FOOD_JELLIEDTOAST</v>
      </c>
      <c r="D392">
        <v>29</v>
      </c>
      <c r="E392" t="str">
        <f>VLOOKUP(D392,[1]bonus_paytable!$A$2:$D$300,3,FALSE)</f>
        <v>sandy</v>
      </c>
      <c r="F392">
        <v>-1</v>
      </c>
      <c r="G392">
        <v>-1</v>
      </c>
      <c r="H392">
        <v>1</v>
      </c>
      <c r="I392" t="s">
        <v>1</v>
      </c>
      <c r="J392">
        <v>80012</v>
      </c>
      <c r="K392">
        <v>80006</v>
      </c>
      <c r="L392">
        <v>70010</v>
      </c>
      <c r="M392">
        <v>60017</v>
      </c>
      <c r="N392">
        <v>60000</v>
      </c>
      <c r="O392">
        <v>99</v>
      </c>
      <c r="P392">
        <v>20000</v>
      </c>
      <c r="Q392">
        <v>40003</v>
      </c>
      <c r="R392">
        <v>70001</v>
      </c>
      <c r="S392">
        <v>80007</v>
      </c>
      <c r="T392">
        <v>-1</v>
      </c>
      <c r="U392" s="2">
        <v>0.01</v>
      </c>
      <c r="V392" s="2">
        <v>0.03</v>
      </c>
      <c r="W392" s="2">
        <v>0.03</v>
      </c>
      <c r="X392" s="2">
        <v>0.03</v>
      </c>
      <c r="Y392" s="2">
        <v>0.03</v>
      </c>
      <c r="Z392" s="2">
        <v>0.05</v>
      </c>
      <c r="AA392" s="2">
        <v>0.05</v>
      </c>
      <c r="AB392" s="2">
        <v>0.05</v>
      </c>
      <c r="AC392" s="2">
        <v>0.05</v>
      </c>
      <c r="AD392" s="2">
        <v>0.05</v>
      </c>
      <c r="AE392">
        <v>-1</v>
      </c>
      <c r="AF392">
        <f t="shared" si="56"/>
        <v>1</v>
      </c>
      <c r="AG392">
        <f t="shared" si="57"/>
        <v>1</v>
      </c>
      <c r="AH392">
        <f t="shared" si="58"/>
        <v>1</v>
      </c>
      <c r="AI392">
        <f t="shared" si="59"/>
        <v>1</v>
      </c>
      <c r="AJ392">
        <f t="shared" si="60"/>
        <v>1</v>
      </c>
      <c r="AK392">
        <f t="shared" si="61"/>
        <v>1</v>
      </c>
      <c r="AL392">
        <f t="shared" si="62"/>
        <v>1</v>
      </c>
      <c r="AM392">
        <f t="shared" si="63"/>
        <v>1</v>
      </c>
      <c r="AN392">
        <f t="shared" si="64"/>
        <v>1</v>
      </c>
      <c r="AO392">
        <f t="shared" si="65"/>
        <v>1</v>
      </c>
      <c r="AP392">
        <f t="shared" si="66"/>
        <v>-1</v>
      </c>
      <c r="AQ392">
        <v>0</v>
      </c>
      <c r="AR392" t="s">
        <v>2</v>
      </c>
      <c r="AS392">
        <v>-1</v>
      </c>
      <c r="AT392">
        <v>-1</v>
      </c>
      <c r="AU392">
        <v>-1</v>
      </c>
      <c r="AV392">
        <v>-1</v>
      </c>
      <c r="AW392">
        <v>-1</v>
      </c>
      <c r="AX392">
        <v>-1</v>
      </c>
      <c r="AY392">
        <v>-1</v>
      </c>
      <c r="AZ392">
        <v>-1</v>
      </c>
      <c r="BA392">
        <v>-1</v>
      </c>
      <c r="BB392">
        <v>0</v>
      </c>
      <c r="BC392" t="s">
        <v>2</v>
      </c>
      <c r="BD392">
        <v>-1</v>
      </c>
      <c r="BE392">
        <v>-1</v>
      </c>
      <c r="BF392">
        <v>-1</v>
      </c>
      <c r="BG392">
        <v>-1</v>
      </c>
      <c r="BH392">
        <v>-1</v>
      </c>
      <c r="BI392">
        <v>-1</v>
      </c>
      <c r="BJ392">
        <v>-1</v>
      </c>
      <c r="BK392">
        <v>-1</v>
      </c>
      <c r="BL392">
        <v>-1</v>
      </c>
      <c r="BM392">
        <v>-1</v>
      </c>
      <c r="BN392">
        <v>-1</v>
      </c>
      <c r="BO392">
        <v>-1</v>
      </c>
    </row>
    <row r="393" spans="1:67" x14ac:dyDescent="0.25">
      <c r="A393">
        <v>390</v>
      </c>
      <c r="B393">
        <v>21</v>
      </c>
      <c r="C393" t="str">
        <f>VLOOKUP(B393,[1]resources!$A$2:$D$300,3,FALSE)</f>
        <v>!!FOOD_KELPDOG</v>
      </c>
      <c r="D393">
        <v>29</v>
      </c>
      <c r="E393" t="str">
        <f>VLOOKUP(D393,[1]bonus_paytable!$A$2:$D$300,3,FALSE)</f>
        <v>sandy</v>
      </c>
      <c r="F393">
        <v>-1</v>
      </c>
      <c r="G393">
        <v>-1</v>
      </c>
      <c r="H393">
        <v>1</v>
      </c>
      <c r="I393" t="s">
        <v>1</v>
      </c>
      <c r="J393">
        <v>80012</v>
      </c>
      <c r="K393">
        <v>80006</v>
      </c>
      <c r="L393">
        <v>70010</v>
      </c>
      <c r="M393">
        <v>60017</v>
      </c>
      <c r="N393">
        <v>60000</v>
      </c>
      <c r="O393">
        <v>99</v>
      </c>
      <c r="P393">
        <v>20000</v>
      </c>
      <c r="Q393">
        <v>40003</v>
      </c>
      <c r="R393">
        <v>70001</v>
      </c>
      <c r="S393">
        <v>80007</v>
      </c>
      <c r="T393">
        <v>-1</v>
      </c>
      <c r="U393" s="2">
        <v>0.01</v>
      </c>
      <c r="V393" s="2">
        <v>0.03</v>
      </c>
      <c r="W393" s="2">
        <v>0.03</v>
      </c>
      <c r="X393" s="2">
        <v>0.03</v>
      </c>
      <c r="Y393" s="2">
        <v>0.03</v>
      </c>
      <c r="Z393" s="2">
        <v>0.05</v>
      </c>
      <c r="AA393" s="2">
        <v>0.05</v>
      </c>
      <c r="AB393" s="2">
        <v>0.05</v>
      </c>
      <c r="AC393" s="2">
        <v>0.05</v>
      </c>
      <c r="AD393" s="2">
        <v>0.05</v>
      </c>
      <c r="AE393">
        <v>-1</v>
      </c>
      <c r="AF393">
        <f t="shared" si="56"/>
        <v>1</v>
      </c>
      <c r="AG393">
        <f t="shared" si="57"/>
        <v>1</v>
      </c>
      <c r="AH393">
        <f t="shared" si="58"/>
        <v>1</v>
      </c>
      <c r="AI393">
        <f t="shared" si="59"/>
        <v>1</v>
      </c>
      <c r="AJ393">
        <f t="shared" si="60"/>
        <v>1</v>
      </c>
      <c r="AK393">
        <f t="shared" si="61"/>
        <v>1</v>
      </c>
      <c r="AL393">
        <f t="shared" si="62"/>
        <v>1</v>
      </c>
      <c r="AM393">
        <f t="shared" si="63"/>
        <v>1</v>
      </c>
      <c r="AN393">
        <f t="shared" si="64"/>
        <v>1</v>
      </c>
      <c r="AO393">
        <f t="shared" si="65"/>
        <v>1</v>
      </c>
      <c r="AP393">
        <f t="shared" si="66"/>
        <v>-1</v>
      </c>
      <c r="AQ393">
        <v>0</v>
      </c>
      <c r="AR393" t="s">
        <v>2</v>
      </c>
      <c r="AS393">
        <v>-1</v>
      </c>
      <c r="AT393">
        <v>-1</v>
      </c>
      <c r="AU393">
        <v>-1</v>
      </c>
      <c r="AV393">
        <v>-1</v>
      </c>
      <c r="AW393">
        <v>-1</v>
      </c>
      <c r="AX393">
        <v>-1</v>
      </c>
      <c r="AY393">
        <v>-1</v>
      </c>
      <c r="AZ393">
        <v>-1</v>
      </c>
      <c r="BA393">
        <v>-1</v>
      </c>
      <c r="BB393">
        <v>0</v>
      </c>
      <c r="BC393" t="s">
        <v>2</v>
      </c>
      <c r="BD393">
        <v>-1</v>
      </c>
      <c r="BE393">
        <v>-1</v>
      </c>
      <c r="BF393">
        <v>-1</v>
      </c>
      <c r="BG393">
        <v>-1</v>
      </c>
      <c r="BH393">
        <v>-1</v>
      </c>
      <c r="BI393">
        <v>-1</v>
      </c>
      <c r="BJ393">
        <v>-1</v>
      </c>
      <c r="BK393">
        <v>-1</v>
      </c>
      <c r="BL393">
        <v>-1</v>
      </c>
      <c r="BM393">
        <v>-1</v>
      </c>
      <c r="BN393">
        <v>-1</v>
      </c>
      <c r="BO393">
        <v>-1</v>
      </c>
    </row>
    <row r="394" spans="1:67" x14ac:dyDescent="0.25">
      <c r="A394">
        <v>391</v>
      </c>
      <c r="B394">
        <v>18</v>
      </c>
      <c r="C394" t="str">
        <f>VLOOKUP(B394,[1]resources!$A$2:$D$300,3,FALSE)</f>
        <v>!!FOOD_KELPFRIES</v>
      </c>
      <c r="D394">
        <v>29</v>
      </c>
      <c r="E394" t="str">
        <f>VLOOKUP(D394,[1]bonus_paytable!$A$2:$D$300,3,FALSE)</f>
        <v>sandy</v>
      </c>
      <c r="F394">
        <v>-1</v>
      </c>
      <c r="G394">
        <v>-1</v>
      </c>
      <c r="H394">
        <v>1</v>
      </c>
      <c r="I394" t="s">
        <v>1</v>
      </c>
      <c r="J394">
        <v>80012</v>
      </c>
      <c r="K394">
        <v>80006</v>
      </c>
      <c r="L394">
        <v>70010</v>
      </c>
      <c r="M394">
        <v>60017</v>
      </c>
      <c r="N394">
        <v>60000</v>
      </c>
      <c r="O394">
        <v>99</v>
      </c>
      <c r="P394">
        <v>20000</v>
      </c>
      <c r="Q394">
        <v>40003</v>
      </c>
      <c r="R394">
        <v>70001</v>
      </c>
      <c r="S394">
        <v>80007</v>
      </c>
      <c r="T394">
        <v>-1</v>
      </c>
      <c r="U394" s="2">
        <v>0.01</v>
      </c>
      <c r="V394" s="2">
        <v>0.03</v>
      </c>
      <c r="W394" s="2">
        <v>0.03</v>
      </c>
      <c r="X394" s="2">
        <v>0.03</v>
      </c>
      <c r="Y394" s="2">
        <v>0.03</v>
      </c>
      <c r="Z394" s="2">
        <v>0.05</v>
      </c>
      <c r="AA394" s="2">
        <v>0.05</v>
      </c>
      <c r="AB394" s="2">
        <v>0.05</v>
      </c>
      <c r="AC394" s="2">
        <v>0.05</v>
      </c>
      <c r="AD394" s="2">
        <v>0.05</v>
      </c>
      <c r="AE394">
        <v>-1</v>
      </c>
      <c r="AF394">
        <f t="shared" si="56"/>
        <v>1</v>
      </c>
      <c r="AG394">
        <f t="shared" si="57"/>
        <v>1</v>
      </c>
      <c r="AH394">
        <f t="shared" si="58"/>
        <v>1</v>
      </c>
      <c r="AI394">
        <f t="shared" si="59"/>
        <v>1</v>
      </c>
      <c r="AJ394">
        <f t="shared" si="60"/>
        <v>1</v>
      </c>
      <c r="AK394">
        <f t="shared" si="61"/>
        <v>1</v>
      </c>
      <c r="AL394">
        <f t="shared" si="62"/>
        <v>1</v>
      </c>
      <c r="AM394">
        <f t="shared" si="63"/>
        <v>1</v>
      </c>
      <c r="AN394">
        <f t="shared" si="64"/>
        <v>1</v>
      </c>
      <c r="AO394">
        <f t="shared" si="65"/>
        <v>1</v>
      </c>
      <c r="AP394">
        <f t="shared" si="66"/>
        <v>-1</v>
      </c>
      <c r="AQ394">
        <v>0</v>
      </c>
      <c r="AR394" t="s">
        <v>2</v>
      </c>
      <c r="AS394">
        <v>-1</v>
      </c>
      <c r="AT394">
        <v>-1</v>
      </c>
      <c r="AU394">
        <v>-1</v>
      </c>
      <c r="AV394">
        <v>-1</v>
      </c>
      <c r="AW394">
        <v>-1</v>
      </c>
      <c r="AX394">
        <v>-1</v>
      </c>
      <c r="AY394">
        <v>-1</v>
      </c>
      <c r="AZ394">
        <v>-1</v>
      </c>
      <c r="BA394">
        <v>-1</v>
      </c>
      <c r="BB394">
        <v>0</v>
      </c>
      <c r="BC394" t="s">
        <v>2</v>
      </c>
      <c r="BD394">
        <v>-1</v>
      </c>
      <c r="BE394">
        <v>-1</v>
      </c>
      <c r="BF394">
        <v>-1</v>
      </c>
      <c r="BG394">
        <v>-1</v>
      </c>
      <c r="BH394">
        <v>-1</v>
      </c>
      <c r="BI394">
        <v>-1</v>
      </c>
      <c r="BJ394">
        <v>-1</v>
      </c>
      <c r="BK394">
        <v>-1</v>
      </c>
      <c r="BL394">
        <v>-1</v>
      </c>
      <c r="BM394">
        <v>-1</v>
      </c>
      <c r="BN394">
        <v>-1</v>
      </c>
      <c r="BO394">
        <v>-1</v>
      </c>
    </row>
    <row r="395" spans="1:67" x14ac:dyDescent="0.25">
      <c r="A395">
        <v>392</v>
      </c>
      <c r="B395">
        <v>20001</v>
      </c>
      <c r="C395" t="str">
        <f>VLOOKUP(B395,[1]resources!$A$2:$D$300,3,FALSE)</f>
        <v>!!JUICE_LEMONADE</v>
      </c>
      <c r="D395">
        <v>29</v>
      </c>
      <c r="E395" t="str">
        <f>VLOOKUP(D395,[1]bonus_paytable!$A$2:$D$300,3,FALSE)</f>
        <v>sandy</v>
      </c>
      <c r="F395">
        <v>-1</v>
      </c>
      <c r="G395">
        <v>-1</v>
      </c>
      <c r="H395">
        <v>1</v>
      </c>
      <c r="I395" t="s">
        <v>1</v>
      </c>
      <c r="J395">
        <v>80012</v>
      </c>
      <c r="K395">
        <v>80006</v>
      </c>
      <c r="L395">
        <v>70010</v>
      </c>
      <c r="M395">
        <v>60017</v>
      </c>
      <c r="N395">
        <v>60000</v>
      </c>
      <c r="O395">
        <v>99</v>
      </c>
      <c r="P395">
        <v>20000</v>
      </c>
      <c r="Q395">
        <v>40003</v>
      </c>
      <c r="R395">
        <v>70001</v>
      </c>
      <c r="S395">
        <v>80007</v>
      </c>
      <c r="T395">
        <v>-1</v>
      </c>
      <c r="U395" s="2">
        <v>0.01</v>
      </c>
      <c r="V395" s="2">
        <v>0.03</v>
      </c>
      <c r="W395" s="2">
        <v>0.03</v>
      </c>
      <c r="X395" s="2">
        <v>0.03</v>
      </c>
      <c r="Y395" s="2">
        <v>0.03</v>
      </c>
      <c r="Z395" s="2">
        <v>0.05</v>
      </c>
      <c r="AA395" s="2">
        <v>0.05</v>
      </c>
      <c r="AB395" s="2">
        <v>0.05</v>
      </c>
      <c r="AC395" s="2">
        <v>0.05</v>
      </c>
      <c r="AD395" s="2">
        <v>0.05</v>
      </c>
      <c r="AE395">
        <v>-1</v>
      </c>
      <c r="AF395">
        <f t="shared" si="56"/>
        <v>1</v>
      </c>
      <c r="AG395">
        <f t="shared" si="57"/>
        <v>1</v>
      </c>
      <c r="AH395">
        <f t="shared" si="58"/>
        <v>1</v>
      </c>
      <c r="AI395">
        <f t="shared" si="59"/>
        <v>1</v>
      </c>
      <c r="AJ395">
        <f t="shared" si="60"/>
        <v>1</v>
      </c>
      <c r="AK395">
        <f t="shared" si="61"/>
        <v>1</v>
      </c>
      <c r="AL395">
        <f t="shared" si="62"/>
        <v>1</v>
      </c>
      <c r="AM395">
        <f t="shared" si="63"/>
        <v>1</v>
      </c>
      <c r="AN395">
        <f t="shared" si="64"/>
        <v>1</v>
      </c>
      <c r="AO395">
        <f t="shared" si="65"/>
        <v>1</v>
      </c>
      <c r="AP395">
        <f t="shared" si="66"/>
        <v>-1</v>
      </c>
      <c r="AQ395">
        <v>0</v>
      </c>
      <c r="AR395" t="s">
        <v>2</v>
      </c>
      <c r="AS395">
        <v>-1</v>
      </c>
      <c r="AT395">
        <v>-1</v>
      </c>
      <c r="AU395">
        <v>-1</v>
      </c>
      <c r="AV395">
        <v>-1</v>
      </c>
      <c r="AW395">
        <v>-1</v>
      </c>
      <c r="AX395">
        <v>-1</v>
      </c>
      <c r="AY395">
        <v>-1</v>
      </c>
      <c r="AZ395">
        <v>-1</v>
      </c>
      <c r="BA395">
        <v>-1</v>
      </c>
      <c r="BB395">
        <v>0</v>
      </c>
      <c r="BC395" t="s">
        <v>2</v>
      </c>
      <c r="BD395">
        <v>-1</v>
      </c>
      <c r="BE395">
        <v>-1</v>
      </c>
      <c r="BF395">
        <v>-1</v>
      </c>
      <c r="BG395">
        <v>-1</v>
      </c>
      <c r="BH395">
        <v>-1</v>
      </c>
      <c r="BI395">
        <v>-1</v>
      </c>
      <c r="BJ395">
        <v>-1</v>
      </c>
      <c r="BK395">
        <v>-1</v>
      </c>
      <c r="BL395">
        <v>-1</v>
      </c>
      <c r="BM395">
        <v>-1</v>
      </c>
      <c r="BN395">
        <v>-1</v>
      </c>
      <c r="BO395">
        <v>-1</v>
      </c>
    </row>
    <row r="396" spans="1:67" x14ac:dyDescent="0.25">
      <c r="A396">
        <v>393</v>
      </c>
      <c r="B396">
        <v>30000</v>
      </c>
      <c r="C396" t="str">
        <f>VLOOKUP(B396,[1]resources!$A$2:$D$300,3,FALSE)</f>
        <v>!!SMOOTHIE_BANANA_BREAKER</v>
      </c>
      <c r="D396">
        <v>29</v>
      </c>
      <c r="E396" t="str">
        <f>VLOOKUP(D396,[1]bonus_paytable!$A$2:$D$300,3,FALSE)</f>
        <v>sandy</v>
      </c>
      <c r="F396">
        <v>-1</v>
      </c>
      <c r="G396">
        <v>-1</v>
      </c>
      <c r="H396">
        <v>1</v>
      </c>
      <c r="I396" t="s">
        <v>1</v>
      </c>
      <c r="J396">
        <v>80012</v>
      </c>
      <c r="K396">
        <v>80006</v>
      </c>
      <c r="L396">
        <v>70010</v>
      </c>
      <c r="M396">
        <v>60017</v>
      </c>
      <c r="N396">
        <v>60000</v>
      </c>
      <c r="O396">
        <v>99</v>
      </c>
      <c r="P396">
        <v>20000</v>
      </c>
      <c r="Q396">
        <v>40003</v>
      </c>
      <c r="R396">
        <v>70001</v>
      </c>
      <c r="S396">
        <v>80007</v>
      </c>
      <c r="T396">
        <v>-1</v>
      </c>
      <c r="U396" s="2">
        <v>0.01</v>
      </c>
      <c r="V396" s="2">
        <v>0.03</v>
      </c>
      <c r="W396" s="2">
        <v>0.03</v>
      </c>
      <c r="X396" s="2">
        <v>0.03</v>
      </c>
      <c r="Y396" s="2">
        <v>0.03</v>
      </c>
      <c r="Z396" s="2">
        <v>0.05</v>
      </c>
      <c r="AA396" s="2">
        <v>0.05</v>
      </c>
      <c r="AB396" s="2">
        <v>0.05</v>
      </c>
      <c r="AC396" s="2">
        <v>0.05</v>
      </c>
      <c r="AD396" s="2">
        <v>0.05</v>
      </c>
      <c r="AE396">
        <v>-1</v>
      </c>
      <c r="AF396">
        <f t="shared" si="56"/>
        <v>1</v>
      </c>
      <c r="AG396">
        <f t="shared" si="57"/>
        <v>1</v>
      </c>
      <c r="AH396">
        <f t="shared" si="58"/>
        <v>1</v>
      </c>
      <c r="AI396">
        <f t="shared" si="59"/>
        <v>1</v>
      </c>
      <c r="AJ396">
        <f t="shared" si="60"/>
        <v>1</v>
      </c>
      <c r="AK396">
        <f t="shared" si="61"/>
        <v>1</v>
      </c>
      <c r="AL396">
        <f t="shared" si="62"/>
        <v>1</v>
      </c>
      <c r="AM396">
        <f t="shared" si="63"/>
        <v>1</v>
      </c>
      <c r="AN396">
        <f t="shared" si="64"/>
        <v>1</v>
      </c>
      <c r="AO396">
        <f t="shared" si="65"/>
        <v>1</v>
      </c>
      <c r="AP396">
        <f t="shared" si="66"/>
        <v>-1</v>
      </c>
      <c r="AQ396">
        <v>0</v>
      </c>
      <c r="AR396" t="s">
        <v>2</v>
      </c>
      <c r="AS396">
        <v>-1</v>
      </c>
      <c r="AT396">
        <v>-1</v>
      </c>
      <c r="AU396">
        <v>-1</v>
      </c>
      <c r="AV396">
        <v>-1</v>
      </c>
      <c r="AW396">
        <v>-1</v>
      </c>
      <c r="AX396">
        <v>-1</v>
      </c>
      <c r="AY396">
        <v>-1</v>
      </c>
      <c r="AZ396">
        <v>-1</v>
      </c>
      <c r="BA396">
        <v>-1</v>
      </c>
      <c r="BB396">
        <v>0</v>
      </c>
      <c r="BC396" t="s">
        <v>2</v>
      </c>
      <c r="BD396">
        <v>-1</v>
      </c>
      <c r="BE396">
        <v>-1</v>
      </c>
      <c r="BF396">
        <v>-1</v>
      </c>
      <c r="BG396">
        <v>-1</v>
      </c>
      <c r="BH396">
        <v>-1</v>
      </c>
      <c r="BI396">
        <v>-1</v>
      </c>
      <c r="BJ396">
        <v>-1</v>
      </c>
      <c r="BK396">
        <v>-1</v>
      </c>
      <c r="BL396">
        <v>-1</v>
      </c>
      <c r="BM396">
        <v>-1</v>
      </c>
      <c r="BN396">
        <v>-1</v>
      </c>
      <c r="BO396">
        <v>-1</v>
      </c>
    </row>
    <row r="397" spans="1:67" x14ac:dyDescent="0.25">
      <c r="A397">
        <v>394</v>
      </c>
      <c r="B397">
        <v>40005</v>
      </c>
      <c r="C397" t="str">
        <f>VLOOKUP(B397,[1]resources!$A$2:$D$300,3,FALSE)</f>
        <v>!!ICECREAM_LEMON_GELATO</v>
      </c>
      <c r="D397">
        <v>29</v>
      </c>
      <c r="E397" t="str">
        <f>VLOOKUP(D397,[1]bonus_paytable!$A$2:$D$300,3,FALSE)</f>
        <v>sandy</v>
      </c>
      <c r="F397">
        <v>-1</v>
      </c>
      <c r="G397">
        <v>-1</v>
      </c>
      <c r="H397">
        <v>1</v>
      </c>
      <c r="I397" t="s">
        <v>1</v>
      </c>
      <c r="J397">
        <v>80012</v>
      </c>
      <c r="K397">
        <v>80006</v>
      </c>
      <c r="L397">
        <v>70010</v>
      </c>
      <c r="M397">
        <v>60017</v>
      </c>
      <c r="N397">
        <v>60000</v>
      </c>
      <c r="O397">
        <v>99</v>
      </c>
      <c r="P397">
        <v>20000</v>
      </c>
      <c r="Q397">
        <v>40003</v>
      </c>
      <c r="R397">
        <v>70001</v>
      </c>
      <c r="S397">
        <v>80007</v>
      </c>
      <c r="T397">
        <v>-1</v>
      </c>
      <c r="U397" s="2">
        <v>0.01</v>
      </c>
      <c r="V397" s="2">
        <v>0.03</v>
      </c>
      <c r="W397" s="2">
        <v>0.03</v>
      </c>
      <c r="X397" s="2">
        <v>0.03</v>
      </c>
      <c r="Y397" s="2">
        <v>0.03</v>
      </c>
      <c r="Z397" s="2">
        <v>0.05</v>
      </c>
      <c r="AA397" s="2">
        <v>0.05</v>
      </c>
      <c r="AB397" s="2">
        <v>0.05</v>
      </c>
      <c r="AC397" s="2">
        <v>0.05</v>
      </c>
      <c r="AD397" s="2">
        <v>0.05</v>
      </c>
      <c r="AE397">
        <v>-1</v>
      </c>
      <c r="AF397">
        <f t="shared" si="56"/>
        <v>1</v>
      </c>
      <c r="AG397">
        <f t="shared" si="57"/>
        <v>1</v>
      </c>
      <c r="AH397">
        <f t="shared" si="58"/>
        <v>1</v>
      </c>
      <c r="AI397">
        <f t="shared" si="59"/>
        <v>1</v>
      </c>
      <c r="AJ397">
        <f t="shared" si="60"/>
        <v>1</v>
      </c>
      <c r="AK397">
        <f t="shared" si="61"/>
        <v>1</v>
      </c>
      <c r="AL397">
        <f t="shared" si="62"/>
        <v>1</v>
      </c>
      <c r="AM397">
        <f t="shared" si="63"/>
        <v>1</v>
      </c>
      <c r="AN397">
        <f t="shared" si="64"/>
        <v>1</v>
      </c>
      <c r="AO397">
        <f t="shared" si="65"/>
        <v>1</v>
      </c>
      <c r="AP397">
        <f t="shared" si="66"/>
        <v>-1</v>
      </c>
      <c r="AQ397">
        <v>0</v>
      </c>
      <c r="AR397" t="s">
        <v>2</v>
      </c>
      <c r="AS397">
        <v>-1</v>
      </c>
      <c r="AT397">
        <v>-1</v>
      </c>
      <c r="AU397">
        <v>-1</v>
      </c>
      <c r="AV397">
        <v>-1</v>
      </c>
      <c r="AW397">
        <v>-1</v>
      </c>
      <c r="AX397">
        <v>-1</v>
      </c>
      <c r="AY397">
        <v>-1</v>
      </c>
      <c r="AZ397">
        <v>-1</v>
      </c>
      <c r="BA397">
        <v>-1</v>
      </c>
      <c r="BB397">
        <v>0</v>
      </c>
      <c r="BC397" t="s">
        <v>2</v>
      </c>
      <c r="BD397">
        <v>-1</v>
      </c>
      <c r="BE397">
        <v>-1</v>
      </c>
      <c r="BF397">
        <v>-1</v>
      </c>
      <c r="BG397">
        <v>-1</v>
      </c>
      <c r="BH397">
        <v>-1</v>
      </c>
      <c r="BI397">
        <v>-1</v>
      </c>
      <c r="BJ397">
        <v>-1</v>
      </c>
      <c r="BK397">
        <v>-1</v>
      </c>
      <c r="BL397">
        <v>-1</v>
      </c>
      <c r="BM397">
        <v>-1</v>
      </c>
      <c r="BN397">
        <v>-1</v>
      </c>
      <c r="BO397">
        <v>-1</v>
      </c>
    </row>
    <row r="398" spans="1:67" x14ac:dyDescent="0.25">
      <c r="A398">
        <v>395</v>
      </c>
      <c r="B398">
        <v>50001</v>
      </c>
      <c r="C398" t="str">
        <f>VLOOKUP(B398,[1]resources!$A$2:$D$300,3,FALSE)</f>
        <v>!!SHAKE_BERRY_BLISS</v>
      </c>
      <c r="D398">
        <v>29</v>
      </c>
      <c r="E398" t="str">
        <f>VLOOKUP(D398,[1]bonus_paytable!$A$2:$D$300,3,FALSE)</f>
        <v>sandy</v>
      </c>
      <c r="F398">
        <v>-1</v>
      </c>
      <c r="G398">
        <v>-1</v>
      </c>
      <c r="H398">
        <v>1</v>
      </c>
      <c r="I398" t="s">
        <v>1</v>
      </c>
      <c r="J398">
        <v>80012</v>
      </c>
      <c r="K398">
        <v>80006</v>
      </c>
      <c r="L398">
        <v>70010</v>
      </c>
      <c r="M398">
        <v>60017</v>
      </c>
      <c r="N398">
        <v>60000</v>
      </c>
      <c r="O398">
        <v>99</v>
      </c>
      <c r="P398">
        <v>20000</v>
      </c>
      <c r="Q398">
        <v>40003</v>
      </c>
      <c r="R398">
        <v>70001</v>
      </c>
      <c r="S398">
        <v>80007</v>
      </c>
      <c r="T398">
        <v>-1</v>
      </c>
      <c r="U398" s="2">
        <v>0.01</v>
      </c>
      <c r="V398" s="2">
        <v>0.03</v>
      </c>
      <c r="W398" s="2">
        <v>0.03</v>
      </c>
      <c r="X398" s="2">
        <v>0.03</v>
      </c>
      <c r="Y398" s="2">
        <v>0.03</v>
      </c>
      <c r="Z398" s="2">
        <v>0.05</v>
      </c>
      <c r="AA398" s="2">
        <v>0.05</v>
      </c>
      <c r="AB398" s="2">
        <v>0.05</v>
      </c>
      <c r="AC398" s="2">
        <v>0.05</v>
      </c>
      <c r="AD398" s="2">
        <v>0.05</v>
      </c>
      <c r="AE398">
        <v>-1</v>
      </c>
      <c r="AF398">
        <f t="shared" si="56"/>
        <v>1</v>
      </c>
      <c r="AG398">
        <f t="shared" si="57"/>
        <v>1</v>
      </c>
      <c r="AH398">
        <f t="shared" si="58"/>
        <v>1</v>
      </c>
      <c r="AI398">
        <f t="shared" si="59"/>
        <v>1</v>
      </c>
      <c r="AJ398">
        <f t="shared" si="60"/>
        <v>1</v>
      </c>
      <c r="AK398">
        <f t="shared" si="61"/>
        <v>1</v>
      </c>
      <c r="AL398">
        <f t="shared" si="62"/>
        <v>1</v>
      </c>
      <c r="AM398">
        <f t="shared" si="63"/>
        <v>1</v>
      </c>
      <c r="AN398">
        <f t="shared" si="64"/>
        <v>1</v>
      </c>
      <c r="AO398">
        <f t="shared" si="65"/>
        <v>1</v>
      </c>
      <c r="AP398">
        <f t="shared" si="66"/>
        <v>-1</v>
      </c>
      <c r="AQ398">
        <v>0</v>
      </c>
      <c r="AR398" t="s">
        <v>2</v>
      </c>
      <c r="AS398">
        <v>-1</v>
      </c>
      <c r="AT398">
        <v>-1</v>
      </c>
      <c r="AU398">
        <v>-1</v>
      </c>
      <c r="AV398">
        <v>-1</v>
      </c>
      <c r="AW398">
        <v>-1</v>
      </c>
      <c r="AX398">
        <v>-1</v>
      </c>
      <c r="AY398">
        <v>-1</v>
      </c>
      <c r="AZ398">
        <v>-1</v>
      </c>
      <c r="BA398">
        <v>-1</v>
      </c>
      <c r="BB398">
        <v>0</v>
      </c>
      <c r="BC398" t="s">
        <v>2</v>
      </c>
      <c r="BD398">
        <v>-1</v>
      </c>
      <c r="BE398">
        <v>-1</v>
      </c>
      <c r="BF398">
        <v>-1</v>
      </c>
      <c r="BG398">
        <v>-1</v>
      </c>
      <c r="BH398">
        <v>-1</v>
      </c>
      <c r="BI398">
        <v>-1</v>
      </c>
      <c r="BJ398">
        <v>-1</v>
      </c>
      <c r="BK398">
        <v>-1</v>
      </c>
      <c r="BL398">
        <v>-1</v>
      </c>
      <c r="BM398">
        <v>-1</v>
      </c>
      <c r="BN398">
        <v>-1</v>
      </c>
      <c r="BO398">
        <v>-1</v>
      </c>
    </row>
    <row r="399" spans="1:67" x14ac:dyDescent="0.25">
      <c r="A399">
        <v>396</v>
      </c>
      <c r="B399">
        <v>70005</v>
      </c>
      <c r="C399" t="str">
        <f>VLOOKUP(B399,[1]resources!$A$2:$D$300,3,FALSE)</f>
        <v>!!PERFUME_CORALBREEZE</v>
      </c>
      <c r="D399">
        <v>29</v>
      </c>
      <c r="E399" t="str">
        <f>VLOOKUP(D399,[1]bonus_paytable!$A$2:$D$300,3,FALSE)</f>
        <v>sandy</v>
      </c>
      <c r="F399">
        <v>-1</v>
      </c>
      <c r="G399">
        <v>-1</v>
      </c>
      <c r="H399">
        <v>1</v>
      </c>
      <c r="I399" t="s">
        <v>1</v>
      </c>
      <c r="J399">
        <v>80012</v>
      </c>
      <c r="K399">
        <v>80006</v>
      </c>
      <c r="L399">
        <v>70010</v>
      </c>
      <c r="M399">
        <v>60017</v>
      </c>
      <c r="N399">
        <v>60000</v>
      </c>
      <c r="O399">
        <v>99</v>
      </c>
      <c r="P399">
        <v>20000</v>
      </c>
      <c r="Q399">
        <v>40003</v>
      </c>
      <c r="R399">
        <v>70001</v>
      </c>
      <c r="S399">
        <v>80007</v>
      </c>
      <c r="T399">
        <v>-1</v>
      </c>
      <c r="U399" s="2">
        <v>0.01</v>
      </c>
      <c r="V399" s="2">
        <v>0.03</v>
      </c>
      <c r="W399" s="2">
        <v>0.03</v>
      </c>
      <c r="X399" s="2">
        <v>0.03</v>
      </c>
      <c r="Y399" s="2">
        <v>0.03</v>
      </c>
      <c r="Z399" s="2">
        <v>0.05</v>
      </c>
      <c r="AA399" s="2">
        <v>0.05</v>
      </c>
      <c r="AB399" s="2">
        <v>0.05</v>
      </c>
      <c r="AC399" s="2">
        <v>0.05</v>
      </c>
      <c r="AD399" s="2">
        <v>0.05</v>
      </c>
      <c r="AE399">
        <v>-1</v>
      </c>
      <c r="AF399">
        <f t="shared" si="56"/>
        <v>1</v>
      </c>
      <c r="AG399">
        <f t="shared" si="57"/>
        <v>1</v>
      </c>
      <c r="AH399">
        <f t="shared" si="58"/>
        <v>1</v>
      </c>
      <c r="AI399">
        <f t="shared" si="59"/>
        <v>1</v>
      </c>
      <c r="AJ399">
        <f t="shared" si="60"/>
        <v>1</v>
      </c>
      <c r="AK399">
        <f t="shared" si="61"/>
        <v>1</v>
      </c>
      <c r="AL399">
        <f t="shared" si="62"/>
        <v>1</v>
      </c>
      <c r="AM399">
        <f t="shared" si="63"/>
        <v>1</v>
      </c>
      <c r="AN399">
        <f t="shared" si="64"/>
        <v>1</v>
      </c>
      <c r="AO399">
        <f t="shared" si="65"/>
        <v>1</v>
      </c>
      <c r="AP399">
        <f t="shared" si="66"/>
        <v>-1</v>
      </c>
      <c r="AQ399">
        <v>0</v>
      </c>
      <c r="AR399" t="s">
        <v>2</v>
      </c>
      <c r="AS399">
        <v>-1</v>
      </c>
      <c r="AT399">
        <v>-1</v>
      </c>
      <c r="AU399">
        <v>-1</v>
      </c>
      <c r="AV399">
        <v>-1</v>
      </c>
      <c r="AW399">
        <v>-1</v>
      </c>
      <c r="AX399">
        <v>-1</v>
      </c>
      <c r="AY399">
        <v>-1</v>
      </c>
      <c r="AZ399">
        <v>-1</v>
      </c>
      <c r="BA399">
        <v>-1</v>
      </c>
      <c r="BB399">
        <v>0</v>
      </c>
      <c r="BC399" t="s">
        <v>2</v>
      </c>
      <c r="BD399">
        <v>-1</v>
      </c>
      <c r="BE399">
        <v>-1</v>
      </c>
      <c r="BF399">
        <v>-1</v>
      </c>
      <c r="BG399">
        <v>-1</v>
      </c>
      <c r="BH399">
        <v>-1</v>
      </c>
      <c r="BI399">
        <v>-1</v>
      </c>
      <c r="BJ399">
        <v>-1</v>
      </c>
      <c r="BK399">
        <v>-1</v>
      </c>
      <c r="BL399">
        <v>-1</v>
      </c>
      <c r="BM399">
        <v>-1</v>
      </c>
      <c r="BN399">
        <v>-1</v>
      </c>
      <c r="BO399">
        <v>-1</v>
      </c>
    </row>
    <row r="400" spans="1:67" x14ac:dyDescent="0.25">
      <c r="A400">
        <v>397</v>
      </c>
      <c r="B400">
        <v>60018</v>
      </c>
      <c r="C400" t="str">
        <f>VLOOKUP(B400,[1]resources!$A$2:$D$300,3,FALSE)</f>
        <v>!!BOUQUET_FLOWERCORAL_CORALPARADISE</v>
      </c>
      <c r="D400">
        <v>29</v>
      </c>
      <c r="E400" t="str">
        <f>VLOOKUP(D400,[1]bonus_paytable!$A$2:$D$300,3,FALSE)</f>
        <v>sandy</v>
      </c>
      <c r="F400">
        <v>-1</v>
      </c>
      <c r="G400">
        <v>-1</v>
      </c>
      <c r="H400">
        <v>1</v>
      </c>
      <c r="I400" t="s">
        <v>1</v>
      </c>
      <c r="J400">
        <v>80012</v>
      </c>
      <c r="K400">
        <v>80006</v>
      </c>
      <c r="L400">
        <v>70010</v>
      </c>
      <c r="M400">
        <v>60017</v>
      </c>
      <c r="N400">
        <v>60000</v>
      </c>
      <c r="O400">
        <v>99</v>
      </c>
      <c r="P400">
        <v>20000</v>
      </c>
      <c r="Q400">
        <v>40003</v>
      </c>
      <c r="R400">
        <v>70001</v>
      </c>
      <c r="S400">
        <v>80007</v>
      </c>
      <c r="T400">
        <v>-1</v>
      </c>
      <c r="U400" s="2">
        <v>0.01</v>
      </c>
      <c r="V400" s="2">
        <v>0.03</v>
      </c>
      <c r="W400" s="2">
        <v>0.03</v>
      </c>
      <c r="X400" s="2">
        <v>0.03</v>
      </c>
      <c r="Y400" s="2">
        <v>0.03</v>
      </c>
      <c r="Z400" s="2">
        <v>0.05</v>
      </c>
      <c r="AA400" s="2">
        <v>0.05</v>
      </c>
      <c r="AB400" s="2">
        <v>0.05</v>
      </c>
      <c r="AC400" s="2">
        <v>0.05</v>
      </c>
      <c r="AD400" s="2">
        <v>0.05</v>
      </c>
      <c r="AE400">
        <v>-1</v>
      </c>
      <c r="AF400">
        <f t="shared" si="56"/>
        <v>1</v>
      </c>
      <c r="AG400">
        <f t="shared" si="57"/>
        <v>1</v>
      </c>
      <c r="AH400">
        <f t="shared" si="58"/>
        <v>1</v>
      </c>
      <c r="AI400">
        <f t="shared" si="59"/>
        <v>1</v>
      </c>
      <c r="AJ400">
        <f t="shared" si="60"/>
        <v>1</v>
      </c>
      <c r="AK400">
        <f t="shared" si="61"/>
        <v>1</v>
      </c>
      <c r="AL400">
        <f t="shared" si="62"/>
        <v>1</v>
      </c>
      <c r="AM400">
        <f t="shared" si="63"/>
        <v>1</v>
      </c>
      <c r="AN400">
        <f t="shared" si="64"/>
        <v>1</v>
      </c>
      <c r="AO400">
        <f t="shared" si="65"/>
        <v>1</v>
      </c>
      <c r="AP400">
        <f t="shared" si="66"/>
        <v>-1</v>
      </c>
      <c r="AQ400">
        <v>0</v>
      </c>
      <c r="AR400" t="s">
        <v>2</v>
      </c>
      <c r="AS400">
        <v>-1</v>
      </c>
      <c r="AT400">
        <v>-1</v>
      </c>
      <c r="AU400">
        <v>-1</v>
      </c>
      <c r="AV400">
        <v>-1</v>
      </c>
      <c r="AW400">
        <v>-1</v>
      </c>
      <c r="AX400">
        <v>-1</v>
      </c>
      <c r="AY400">
        <v>-1</v>
      </c>
      <c r="AZ400">
        <v>-1</v>
      </c>
      <c r="BA400">
        <v>-1</v>
      </c>
      <c r="BB400">
        <v>0</v>
      </c>
      <c r="BC400" t="s">
        <v>2</v>
      </c>
      <c r="BD400">
        <v>-1</v>
      </c>
      <c r="BE400">
        <v>-1</v>
      </c>
      <c r="BF400">
        <v>-1</v>
      </c>
      <c r="BG400">
        <v>-1</v>
      </c>
      <c r="BH400">
        <v>-1</v>
      </c>
      <c r="BI400">
        <v>-1</v>
      </c>
      <c r="BJ400">
        <v>-1</v>
      </c>
      <c r="BK400">
        <v>-1</v>
      </c>
      <c r="BL400">
        <v>-1</v>
      </c>
      <c r="BM400">
        <v>-1</v>
      </c>
      <c r="BN400">
        <v>-1</v>
      </c>
      <c r="BO400">
        <v>-1</v>
      </c>
    </row>
    <row r="401" spans="1:67" x14ac:dyDescent="0.25">
      <c r="A401">
        <v>398</v>
      </c>
      <c r="B401">
        <v>80012</v>
      </c>
      <c r="C401" t="str">
        <f>VLOOKUP(B401,[1]resources!$A$2:$D$300,3,FALSE)</f>
        <v>!!FOOD_BAKED_SANDYSTEXASTWOBERRYTART</v>
      </c>
      <c r="D401">
        <v>29</v>
      </c>
      <c r="E401" t="str">
        <f>VLOOKUP(D401,[1]bonus_paytable!$A$2:$D$300,3,FALSE)</f>
        <v>sandy</v>
      </c>
      <c r="F401">
        <v>-1</v>
      </c>
      <c r="G401">
        <v>-1</v>
      </c>
      <c r="H401">
        <v>1</v>
      </c>
      <c r="I401" t="s">
        <v>1</v>
      </c>
      <c r="J401">
        <v>80012</v>
      </c>
      <c r="K401">
        <v>80006</v>
      </c>
      <c r="L401">
        <v>70010</v>
      </c>
      <c r="M401">
        <v>60017</v>
      </c>
      <c r="N401">
        <v>60000</v>
      </c>
      <c r="O401">
        <v>99</v>
      </c>
      <c r="P401">
        <v>20000</v>
      </c>
      <c r="Q401">
        <v>40003</v>
      </c>
      <c r="R401">
        <v>70001</v>
      </c>
      <c r="S401">
        <v>80007</v>
      </c>
      <c r="T401">
        <v>-1</v>
      </c>
      <c r="U401" s="2">
        <v>0.01</v>
      </c>
      <c r="V401" s="2">
        <v>0.03</v>
      </c>
      <c r="W401" s="2">
        <v>0.03</v>
      </c>
      <c r="X401" s="2">
        <v>0.03</v>
      </c>
      <c r="Y401" s="2">
        <v>0.03</v>
      </c>
      <c r="Z401" s="2">
        <v>0.05</v>
      </c>
      <c r="AA401" s="2">
        <v>0.05</v>
      </c>
      <c r="AB401" s="2">
        <v>0.05</v>
      </c>
      <c r="AC401" s="2">
        <v>0.05</v>
      </c>
      <c r="AD401" s="2">
        <v>0.05</v>
      </c>
      <c r="AE401">
        <v>-1</v>
      </c>
      <c r="AF401">
        <f t="shared" si="56"/>
        <v>1</v>
      </c>
      <c r="AG401">
        <f t="shared" si="57"/>
        <v>1</v>
      </c>
      <c r="AH401">
        <f t="shared" si="58"/>
        <v>1</v>
      </c>
      <c r="AI401">
        <f t="shared" si="59"/>
        <v>1</v>
      </c>
      <c r="AJ401">
        <f t="shared" si="60"/>
        <v>1</v>
      </c>
      <c r="AK401">
        <f t="shared" si="61"/>
        <v>1</v>
      </c>
      <c r="AL401">
        <f t="shared" si="62"/>
        <v>1</v>
      </c>
      <c r="AM401">
        <f t="shared" si="63"/>
        <v>1</v>
      </c>
      <c r="AN401">
        <f t="shared" si="64"/>
        <v>1</v>
      </c>
      <c r="AO401">
        <f t="shared" si="65"/>
        <v>1</v>
      </c>
      <c r="AP401">
        <f t="shared" si="66"/>
        <v>-1</v>
      </c>
      <c r="AQ401">
        <v>0</v>
      </c>
      <c r="AR401" t="s">
        <v>2</v>
      </c>
      <c r="AS401">
        <v>-1</v>
      </c>
      <c r="AT401">
        <v>-1</v>
      </c>
      <c r="AU401">
        <v>-1</v>
      </c>
      <c r="AV401">
        <v>-1</v>
      </c>
      <c r="AW401">
        <v>-1</v>
      </c>
      <c r="AX401">
        <v>-1</v>
      </c>
      <c r="AY401">
        <v>-1</v>
      </c>
      <c r="AZ401">
        <v>-1</v>
      </c>
      <c r="BA401">
        <v>-1</v>
      </c>
      <c r="BB401">
        <v>0</v>
      </c>
      <c r="BC401" t="s">
        <v>2</v>
      </c>
      <c r="BD401">
        <v>-1</v>
      </c>
      <c r="BE401">
        <v>-1</v>
      </c>
      <c r="BF401">
        <v>-1</v>
      </c>
      <c r="BG401">
        <v>-1</v>
      </c>
      <c r="BH401">
        <v>-1</v>
      </c>
      <c r="BI401">
        <v>-1</v>
      </c>
      <c r="BJ401">
        <v>-1</v>
      </c>
      <c r="BK401">
        <v>-1</v>
      </c>
      <c r="BL401">
        <v>-1</v>
      </c>
      <c r="BM401">
        <v>-1</v>
      </c>
      <c r="BN401">
        <v>-1</v>
      </c>
      <c r="BO401">
        <v>-1</v>
      </c>
    </row>
    <row r="402" spans="1:67" x14ac:dyDescent="0.25">
      <c r="A402">
        <v>399</v>
      </c>
      <c r="B402">
        <v>32</v>
      </c>
      <c r="C402" t="str">
        <f>VLOOKUP(B402,[1]resources!$A$2:$D$300,3,FALSE)</f>
        <v>!!FOOD_JELLYPATTY</v>
      </c>
      <c r="D402">
        <v>30</v>
      </c>
      <c r="E402" t="str">
        <f>VLOOKUP(D402,[1]bonus_paytable!$A$2:$D$300,3,FALSE)</f>
        <v>squilliam</v>
      </c>
      <c r="F402">
        <v>-1</v>
      </c>
      <c r="G402">
        <v>-1</v>
      </c>
      <c r="H402">
        <v>1</v>
      </c>
      <c r="I402" t="s">
        <v>1</v>
      </c>
      <c r="J402">
        <v>80016</v>
      </c>
      <c r="K402">
        <v>80014</v>
      </c>
      <c r="L402">
        <v>2000</v>
      </c>
      <c r="M402">
        <v>30003</v>
      </c>
      <c r="N402">
        <v>27</v>
      </c>
      <c r="O402">
        <v>14</v>
      </c>
      <c r="P402">
        <v>30010</v>
      </c>
      <c r="Q402">
        <v>60016</v>
      </c>
      <c r="R402">
        <v>80007</v>
      </c>
      <c r="S402">
        <v>-1</v>
      </c>
      <c r="T402">
        <v>-1</v>
      </c>
      <c r="U402" s="2">
        <v>0.01</v>
      </c>
      <c r="V402" s="2">
        <v>0.03</v>
      </c>
      <c r="W402" s="2">
        <v>0.03</v>
      </c>
      <c r="X402" s="2">
        <v>0.03</v>
      </c>
      <c r="Y402" s="2">
        <v>0.05</v>
      </c>
      <c r="Z402" s="2">
        <v>0.05</v>
      </c>
      <c r="AA402" s="2">
        <v>0.05</v>
      </c>
      <c r="AB402" s="2">
        <v>0.05</v>
      </c>
      <c r="AC402" s="2">
        <v>0.05</v>
      </c>
      <c r="AD402">
        <v>-1</v>
      </c>
      <c r="AE402">
        <v>-1</v>
      </c>
      <c r="AF402">
        <f t="shared" si="56"/>
        <v>1</v>
      </c>
      <c r="AG402">
        <f t="shared" si="57"/>
        <v>1</v>
      </c>
      <c r="AH402">
        <f t="shared" si="58"/>
        <v>1</v>
      </c>
      <c r="AI402">
        <f t="shared" si="59"/>
        <v>1</v>
      </c>
      <c r="AJ402">
        <f t="shared" si="60"/>
        <v>1</v>
      </c>
      <c r="AK402">
        <f t="shared" si="61"/>
        <v>1</v>
      </c>
      <c r="AL402">
        <f t="shared" si="62"/>
        <v>1</v>
      </c>
      <c r="AM402">
        <f t="shared" si="63"/>
        <v>1</v>
      </c>
      <c r="AN402">
        <f t="shared" si="64"/>
        <v>1</v>
      </c>
      <c r="AO402">
        <f t="shared" si="65"/>
        <v>-1</v>
      </c>
      <c r="AP402">
        <f t="shared" si="66"/>
        <v>-1</v>
      </c>
      <c r="AQ402">
        <v>0</v>
      </c>
      <c r="AR402" t="s">
        <v>2</v>
      </c>
      <c r="AS402">
        <v>-1</v>
      </c>
      <c r="AT402">
        <v>-1</v>
      </c>
      <c r="AU402">
        <v>-1</v>
      </c>
      <c r="AV402">
        <v>-1</v>
      </c>
      <c r="AW402">
        <v>-1</v>
      </c>
      <c r="AX402">
        <v>-1</v>
      </c>
      <c r="AY402">
        <v>-1</v>
      </c>
      <c r="AZ402">
        <v>-1</v>
      </c>
      <c r="BA402">
        <v>-1</v>
      </c>
      <c r="BB402">
        <v>0</v>
      </c>
      <c r="BC402" t="s">
        <v>2</v>
      </c>
      <c r="BD402">
        <v>-1</v>
      </c>
      <c r="BE402">
        <v>-1</v>
      </c>
      <c r="BF402">
        <v>-1</v>
      </c>
      <c r="BG402">
        <v>-1</v>
      </c>
      <c r="BH402">
        <v>-1</v>
      </c>
      <c r="BI402">
        <v>-1</v>
      </c>
      <c r="BJ402">
        <v>-1</v>
      </c>
      <c r="BK402">
        <v>-1</v>
      </c>
      <c r="BL402">
        <v>-1</v>
      </c>
      <c r="BM402">
        <v>-1</v>
      </c>
      <c r="BN402">
        <v>-1</v>
      </c>
      <c r="BO402">
        <v>-1</v>
      </c>
    </row>
    <row r="403" spans="1:67" x14ac:dyDescent="0.25">
      <c r="A403">
        <v>400</v>
      </c>
      <c r="B403">
        <v>96</v>
      </c>
      <c r="C403" t="str">
        <f>VLOOKUP(B403,[1]resources!$A$2:$D$300,3,FALSE)</f>
        <v>!!FOOD_JELLIEDTOAST</v>
      </c>
      <c r="D403">
        <v>30</v>
      </c>
      <c r="E403" t="str">
        <f>VLOOKUP(D403,[1]bonus_paytable!$A$2:$D$300,3,FALSE)</f>
        <v>squilliam</v>
      </c>
      <c r="F403">
        <v>-1</v>
      </c>
      <c r="G403">
        <v>-1</v>
      </c>
      <c r="H403">
        <v>1</v>
      </c>
      <c r="I403" t="s">
        <v>1</v>
      </c>
      <c r="J403">
        <v>80016</v>
      </c>
      <c r="K403">
        <v>80014</v>
      </c>
      <c r="L403">
        <v>2000</v>
      </c>
      <c r="M403">
        <v>30003</v>
      </c>
      <c r="N403">
        <v>27</v>
      </c>
      <c r="O403">
        <v>14</v>
      </c>
      <c r="P403">
        <v>30010</v>
      </c>
      <c r="Q403">
        <v>60016</v>
      </c>
      <c r="R403">
        <v>80007</v>
      </c>
      <c r="S403">
        <v>-1</v>
      </c>
      <c r="T403">
        <v>-1</v>
      </c>
      <c r="U403" s="2">
        <v>0.01</v>
      </c>
      <c r="V403" s="2">
        <v>0.03</v>
      </c>
      <c r="W403" s="2">
        <v>0.03</v>
      </c>
      <c r="X403" s="2">
        <v>0.03</v>
      </c>
      <c r="Y403" s="2">
        <v>0.05</v>
      </c>
      <c r="Z403" s="2">
        <v>0.05</v>
      </c>
      <c r="AA403" s="2">
        <v>0.05</v>
      </c>
      <c r="AB403" s="2">
        <v>0.05</v>
      </c>
      <c r="AC403" s="2">
        <v>0.05</v>
      </c>
      <c r="AD403">
        <v>-1</v>
      </c>
      <c r="AE403">
        <v>-1</v>
      </c>
      <c r="AF403">
        <f t="shared" si="56"/>
        <v>1</v>
      </c>
      <c r="AG403">
        <f t="shared" si="57"/>
        <v>1</v>
      </c>
      <c r="AH403">
        <f t="shared" si="58"/>
        <v>1</v>
      </c>
      <c r="AI403">
        <f t="shared" si="59"/>
        <v>1</v>
      </c>
      <c r="AJ403">
        <f t="shared" si="60"/>
        <v>1</v>
      </c>
      <c r="AK403">
        <f t="shared" si="61"/>
        <v>1</v>
      </c>
      <c r="AL403">
        <f t="shared" si="62"/>
        <v>1</v>
      </c>
      <c r="AM403">
        <f t="shared" si="63"/>
        <v>1</v>
      </c>
      <c r="AN403">
        <f t="shared" si="64"/>
        <v>1</v>
      </c>
      <c r="AO403">
        <f t="shared" si="65"/>
        <v>-1</v>
      </c>
      <c r="AP403">
        <f t="shared" si="66"/>
        <v>-1</v>
      </c>
      <c r="AQ403">
        <v>0</v>
      </c>
      <c r="AR403" t="s">
        <v>2</v>
      </c>
      <c r="AS403">
        <v>-1</v>
      </c>
      <c r="AT403">
        <v>-1</v>
      </c>
      <c r="AU403">
        <v>-1</v>
      </c>
      <c r="AV403">
        <v>-1</v>
      </c>
      <c r="AW403">
        <v>-1</v>
      </c>
      <c r="AX403">
        <v>-1</v>
      </c>
      <c r="AY403">
        <v>-1</v>
      </c>
      <c r="AZ403">
        <v>-1</v>
      </c>
      <c r="BA403">
        <v>-1</v>
      </c>
      <c r="BB403">
        <v>0</v>
      </c>
      <c r="BC403" t="s">
        <v>2</v>
      </c>
      <c r="BD403">
        <v>-1</v>
      </c>
      <c r="BE403">
        <v>-1</v>
      </c>
      <c r="BF403">
        <v>-1</v>
      </c>
      <c r="BG403">
        <v>-1</v>
      </c>
      <c r="BH403">
        <v>-1</v>
      </c>
      <c r="BI403">
        <v>-1</v>
      </c>
      <c r="BJ403">
        <v>-1</v>
      </c>
      <c r="BK403">
        <v>-1</v>
      </c>
      <c r="BL403">
        <v>-1</v>
      </c>
      <c r="BM403">
        <v>-1</v>
      </c>
      <c r="BN403">
        <v>-1</v>
      </c>
      <c r="BO403">
        <v>-1</v>
      </c>
    </row>
    <row r="404" spans="1:67" x14ac:dyDescent="0.25">
      <c r="A404">
        <v>401</v>
      </c>
      <c r="B404">
        <v>28</v>
      </c>
      <c r="C404" t="str">
        <f>VLOOKUP(B404,[1]resources!$A$2:$D$300,3,FALSE)</f>
        <v>!!FOOD_BISQUE</v>
      </c>
      <c r="D404">
        <v>30</v>
      </c>
      <c r="E404" t="str">
        <f>VLOOKUP(D404,[1]bonus_paytable!$A$2:$D$300,3,FALSE)</f>
        <v>squilliam</v>
      </c>
      <c r="F404">
        <v>-1</v>
      </c>
      <c r="G404">
        <v>-1</v>
      </c>
      <c r="H404">
        <v>1</v>
      </c>
      <c r="I404" t="s">
        <v>1</v>
      </c>
      <c r="J404">
        <v>80016</v>
      </c>
      <c r="K404">
        <v>80014</v>
      </c>
      <c r="L404">
        <v>2000</v>
      </c>
      <c r="M404">
        <v>30003</v>
      </c>
      <c r="N404">
        <v>27</v>
      </c>
      <c r="O404">
        <v>14</v>
      </c>
      <c r="P404">
        <v>30010</v>
      </c>
      <c r="Q404">
        <v>60016</v>
      </c>
      <c r="R404">
        <v>80007</v>
      </c>
      <c r="S404">
        <v>-1</v>
      </c>
      <c r="T404">
        <v>-1</v>
      </c>
      <c r="U404" s="2">
        <v>0.01</v>
      </c>
      <c r="V404" s="2">
        <v>0.03</v>
      </c>
      <c r="W404" s="2">
        <v>0.03</v>
      </c>
      <c r="X404" s="2">
        <v>0.03</v>
      </c>
      <c r="Y404" s="2">
        <v>0.05</v>
      </c>
      <c r="Z404" s="2">
        <v>0.05</v>
      </c>
      <c r="AA404" s="2">
        <v>0.05</v>
      </c>
      <c r="AB404" s="2">
        <v>0.05</v>
      </c>
      <c r="AC404" s="2">
        <v>0.05</v>
      </c>
      <c r="AD404">
        <v>-1</v>
      </c>
      <c r="AE404">
        <v>-1</v>
      </c>
      <c r="AF404">
        <f t="shared" si="56"/>
        <v>1</v>
      </c>
      <c r="AG404">
        <f t="shared" si="57"/>
        <v>1</v>
      </c>
      <c r="AH404">
        <f t="shared" si="58"/>
        <v>1</v>
      </c>
      <c r="AI404">
        <f t="shared" si="59"/>
        <v>1</v>
      </c>
      <c r="AJ404">
        <f t="shared" si="60"/>
        <v>1</v>
      </c>
      <c r="AK404">
        <f t="shared" si="61"/>
        <v>1</v>
      </c>
      <c r="AL404">
        <f t="shared" si="62"/>
        <v>1</v>
      </c>
      <c r="AM404">
        <f t="shared" si="63"/>
        <v>1</v>
      </c>
      <c r="AN404">
        <f t="shared" si="64"/>
        <v>1</v>
      </c>
      <c r="AO404">
        <f t="shared" si="65"/>
        <v>-1</v>
      </c>
      <c r="AP404">
        <f t="shared" si="66"/>
        <v>-1</v>
      </c>
      <c r="AQ404">
        <v>0</v>
      </c>
      <c r="AR404" t="s">
        <v>2</v>
      </c>
      <c r="AS404">
        <v>-1</v>
      </c>
      <c r="AT404">
        <v>-1</v>
      </c>
      <c r="AU404">
        <v>-1</v>
      </c>
      <c r="AV404">
        <v>-1</v>
      </c>
      <c r="AW404">
        <v>-1</v>
      </c>
      <c r="AX404">
        <v>-1</v>
      </c>
      <c r="AY404">
        <v>-1</v>
      </c>
      <c r="AZ404">
        <v>-1</v>
      </c>
      <c r="BA404">
        <v>-1</v>
      </c>
      <c r="BB404">
        <v>0</v>
      </c>
      <c r="BC404" t="s">
        <v>2</v>
      </c>
      <c r="BD404">
        <v>-1</v>
      </c>
      <c r="BE404">
        <v>-1</v>
      </c>
      <c r="BF404">
        <v>-1</v>
      </c>
      <c r="BG404">
        <v>-1</v>
      </c>
      <c r="BH404">
        <v>-1</v>
      </c>
      <c r="BI404">
        <v>-1</v>
      </c>
      <c r="BJ404">
        <v>-1</v>
      </c>
      <c r="BK404">
        <v>-1</v>
      </c>
      <c r="BL404">
        <v>-1</v>
      </c>
      <c r="BM404">
        <v>-1</v>
      </c>
      <c r="BN404">
        <v>-1</v>
      </c>
      <c r="BO404">
        <v>-1</v>
      </c>
    </row>
    <row r="405" spans="1:67" x14ac:dyDescent="0.25">
      <c r="A405">
        <v>402</v>
      </c>
      <c r="B405">
        <v>27</v>
      </c>
      <c r="C405" t="str">
        <f>VLOOKUP(B405,[1]resources!$A$2:$D$300,3,FALSE)</f>
        <v>!!FOOD_BRUSCHETTA</v>
      </c>
      <c r="D405">
        <v>30</v>
      </c>
      <c r="E405" t="str">
        <f>VLOOKUP(D405,[1]bonus_paytable!$A$2:$D$300,3,FALSE)</f>
        <v>squilliam</v>
      </c>
      <c r="F405">
        <v>-1</v>
      </c>
      <c r="G405">
        <v>-1</v>
      </c>
      <c r="H405">
        <v>1</v>
      </c>
      <c r="I405" t="s">
        <v>1</v>
      </c>
      <c r="J405">
        <v>80016</v>
      </c>
      <c r="K405">
        <v>80014</v>
      </c>
      <c r="L405">
        <v>2000</v>
      </c>
      <c r="M405">
        <v>30003</v>
      </c>
      <c r="N405">
        <v>27</v>
      </c>
      <c r="O405">
        <v>14</v>
      </c>
      <c r="P405">
        <v>30010</v>
      </c>
      <c r="Q405">
        <v>60016</v>
      </c>
      <c r="R405">
        <v>80007</v>
      </c>
      <c r="S405">
        <v>-1</v>
      </c>
      <c r="T405">
        <v>-1</v>
      </c>
      <c r="U405" s="2">
        <v>0.01</v>
      </c>
      <c r="V405" s="2">
        <v>0.03</v>
      </c>
      <c r="W405" s="2">
        <v>0.03</v>
      </c>
      <c r="X405" s="2">
        <v>0.03</v>
      </c>
      <c r="Y405" s="2">
        <v>0.05</v>
      </c>
      <c r="Z405" s="2">
        <v>0.05</v>
      </c>
      <c r="AA405" s="2">
        <v>0.05</v>
      </c>
      <c r="AB405" s="2">
        <v>0.05</v>
      </c>
      <c r="AC405" s="2">
        <v>0.05</v>
      </c>
      <c r="AD405">
        <v>-1</v>
      </c>
      <c r="AE405">
        <v>-1</v>
      </c>
      <c r="AF405">
        <f t="shared" si="56"/>
        <v>1</v>
      </c>
      <c r="AG405">
        <f t="shared" si="57"/>
        <v>1</v>
      </c>
      <c r="AH405">
        <f t="shared" si="58"/>
        <v>1</v>
      </c>
      <c r="AI405">
        <f t="shared" si="59"/>
        <v>1</v>
      </c>
      <c r="AJ405">
        <f t="shared" si="60"/>
        <v>1</v>
      </c>
      <c r="AK405">
        <f t="shared" si="61"/>
        <v>1</v>
      </c>
      <c r="AL405">
        <f t="shared" si="62"/>
        <v>1</v>
      </c>
      <c r="AM405">
        <f t="shared" si="63"/>
        <v>1</v>
      </c>
      <c r="AN405">
        <f t="shared" si="64"/>
        <v>1</v>
      </c>
      <c r="AO405">
        <f t="shared" si="65"/>
        <v>-1</v>
      </c>
      <c r="AP405">
        <f t="shared" si="66"/>
        <v>-1</v>
      </c>
      <c r="AQ405">
        <v>0</v>
      </c>
      <c r="AR405" t="s">
        <v>2</v>
      </c>
      <c r="AS405">
        <v>-1</v>
      </c>
      <c r="AT405">
        <v>-1</v>
      </c>
      <c r="AU405">
        <v>-1</v>
      </c>
      <c r="AV405">
        <v>-1</v>
      </c>
      <c r="AW405">
        <v>-1</v>
      </c>
      <c r="AX405">
        <v>-1</v>
      </c>
      <c r="AY405">
        <v>-1</v>
      </c>
      <c r="AZ405">
        <v>-1</v>
      </c>
      <c r="BA405">
        <v>-1</v>
      </c>
      <c r="BB405">
        <v>0</v>
      </c>
      <c r="BC405" t="s">
        <v>2</v>
      </c>
      <c r="BD405">
        <v>-1</v>
      </c>
      <c r="BE405">
        <v>-1</v>
      </c>
      <c r="BF405">
        <v>-1</v>
      </c>
      <c r="BG405">
        <v>-1</v>
      </c>
      <c r="BH405">
        <v>-1</v>
      </c>
      <c r="BI405">
        <v>-1</v>
      </c>
      <c r="BJ405">
        <v>-1</v>
      </c>
      <c r="BK405">
        <v>-1</v>
      </c>
      <c r="BL405">
        <v>-1</v>
      </c>
      <c r="BM405">
        <v>-1</v>
      </c>
      <c r="BN405">
        <v>-1</v>
      </c>
      <c r="BO405">
        <v>-1</v>
      </c>
    </row>
    <row r="406" spans="1:67" x14ac:dyDescent="0.25">
      <c r="A406">
        <v>403</v>
      </c>
      <c r="B406">
        <v>31</v>
      </c>
      <c r="C406" t="str">
        <f>VLOOKUP(B406,[1]resources!$A$2:$D$300,3,FALSE)</f>
        <v>!!FOOD_CAESAR_SALAD</v>
      </c>
      <c r="D406">
        <v>30</v>
      </c>
      <c r="E406" t="str">
        <f>VLOOKUP(D406,[1]bonus_paytable!$A$2:$D$300,3,FALSE)</f>
        <v>squilliam</v>
      </c>
      <c r="F406">
        <v>-1</v>
      </c>
      <c r="G406">
        <v>-1</v>
      </c>
      <c r="H406">
        <v>1</v>
      </c>
      <c r="I406" t="s">
        <v>1</v>
      </c>
      <c r="J406">
        <v>80016</v>
      </c>
      <c r="K406">
        <v>80014</v>
      </c>
      <c r="L406">
        <v>2000</v>
      </c>
      <c r="M406">
        <v>30003</v>
      </c>
      <c r="N406">
        <v>27</v>
      </c>
      <c r="O406">
        <v>14</v>
      </c>
      <c r="P406">
        <v>30010</v>
      </c>
      <c r="Q406">
        <v>60016</v>
      </c>
      <c r="R406">
        <v>80007</v>
      </c>
      <c r="S406">
        <v>-1</v>
      </c>
      <c r="T406">
        <v>-1</v>
      </c>
      <c r="U406" s="2">
        <v>0.01</v>
      </c>
      <c r="V406" s="2">
        <v>0.03</v>
      </c>
      <c r="W406" s="2">
        <v>0.03</v>
      </c>
      <c r="X406" s="2">
        <v>0.03</v>
      </c>
      <c r="Y406" s="2">
        <v>0.05</v>
      </c>
      <c r="Z406" s="2">
        <v>0.05</v>
      </c>
      <c r="AA406" s="2">
        <v>0.05</v>
      </c>
      <c r="AB406" s="2">
        <v>0.05</v>
      </c>
      <c r="AC406" s="2">
        <v>0.05</v>
      </c>
      <c r="AD406">
        <v>-1</v>
      </c>
      <c r="AE406">
        <v>-1</v>
      </c>
      <c r="AF406">
        <f t="shared" si="56"/>
        <v>1</v>
      </c>
      <c r="AG406">
        <f t="shared" si="57"/>
        <v>1</v>
      </c>
      <c r="AH406">
        <f t="shared" si="58"/>
        <v>1</v>
      </c>
      <c r="AI406">
        <f t="shared" si="59"/>
        <v>1</v>
      </c>
      <c r="AJ406">
        <f t="shared" si="60"/>
        <v>1</v>
      </c>
      <c r="AK406">
        <f t="shared" si="61"/>
        <v>1</v>
      </c>
      <c r="AL406">
        <f t="shared" si="62"/>
        <v>1</v>
      </c>
      <c r="AM406">
        <f t="shared" si="63"/>
        <v>1</v>
      </c>
      <c r="AN406">
        <f t="shared" si="64"/>
        <v>1</v>
      </c>
      <c r="AO406">
        <f t="shared" si="65"/>
        <v>-1</v>
      </c>
      <c r="AP406">
        <f t="shared" si="66"/>
        <v>-1</v>
      </c>
      <c r="AQ406">
        <v>0</v>
      </c>
      <c r="AR406" t="s">
        <v>2</v>
      </c>
      <c r="AS406">
        <v>-1</v>
      </c>
      <c r="AT406">
        <v>-1</v>
      </c>
      <c r="AU406">
        <v>-1</v>
      </c>
      <c r="AV406">
        <v>-1</v>
      </c>
      <c r="AW406">
        <v>-1</v>
      </c>
      <c r="AX406">
        <v>-1</v>
      </c>
      <c r="AY406">
        <v>-1</v>
      </c>
      <c r="AZ406">
        <v>-1</v>
      </c>
      <c r="BA406">
        <v>-1</v>
      </c>
      <c r="BB406">
        <v>0</v>
      </c>
      <c r="BC406" t="s">
        <v>2</v>
      </c>
      <c r="BD406">
        <v>-1</v>
      </c>
      <c r="BE406">
        <v>-1</v>
      </c>
      <c r="BF406">
        <v>-1</v>
      </c>
      <c r="BG406">
        <v>-1</v>
      </c>
      <c r="BH406">
        <v>-1</v>
      </c>
      <c r="BI406">
        <v>-1</v>
      </c>
      <c r="BJ406">
        <v>-1</v>
      </c>
      <c r="BK406">
        <v>-1</v>
      </c>
      <c r="BL406">
        <v>-1</v>
      </c>
      <c r="BM406">
        <v>-1</v>
      </c>
      <c r="BN406">
        <v>-1</v>
      </c>
      <c r="BO406">
        <v>-1</v>
      </c>
    </row>
    <row r="407" spans="1:67" x14ac:dyDescent="0.25">
      <c r="A407">
        <v>404</v>
      </c>
      <c r="B407">
        <v>20004</v>
      </c>
      <c r="C407" t="str">
        <f>VLOOKUP(B407,[1]resources!$A$2:$D$300,3,FALSE)</f>
        <v>!!JUICE_PEACHNECTAR</v>
      </c>
      <c r="D407">
        <v>30</v>
      </c>
      <c r="E407" t="str">
        <f>VLOOKUP(D407,[1]bonus_paytable!$A$2:$D$300,3,FALSE)</f>
        <v>squilliam</v>
      </c>
      <c r="F407">
        <v>-1</v>
      </c>
      <c r="G407">
        <v>-1</v>
      </c>
      <c r="H407">
        <v>1</v>
      </c>
      <c r="I407" t="s">
        <v>1</v>
      </c>
      <c r="J407">
        <v>80016</v>
      </c>
      <c r="K407">
        <v>80014</v>
      </c>
      <c r="L407">
        <v>2000</v>
      </c>
      <c r="M407">
        <v>30003</v>
      </c>
      <c r="N407">
        <v>27</v>
      </c>
      <c r="O407">
        <v>14</v>
      </c>
      <c r="P407">
        <v>30010</v>
      </c>
      <c r="Q407">
        <v>60016</v>
      </c>
      <c r="R407">
        <v>80007</v>
      </c>
      <c r="S407">
        <v>-1</v>
      </c>
      <c r="T407">
        <v>-1</v>
      </c>
      <c r="U407" s="2">
        <v>0.01</v>
      </c>
      <c r="V407" s="2">
        <v>0.03</v>
      </c>
      <c r="W407" s="2">
        <v>0.03</v>
      </c>
      <c r="X407" s="2">
        <v>0.03</v>
      </c>
      <c r="Y407" s="2">
        <v>0.05</v>
      </c>
      <c r="Z407" s="2">
        <v>0.05</v>
      </c>
      <c r="AA407" s="2">
        <v>0.05</v>
      </c>
      <c r="AB407" s="2">
        <v>0.05</v>
      </c>
      <c r="AC407" s="2">
        <v>0.05</v>
      </c>
      <c r="AD407">
        <v>-1</v>
      </c>
      <c r="AE407">
        <v>-1</v>
      </c>
      <c r="AF407">
        <f t="shared" si="56"/>
        <v>1</v>
      </c>
      <c r="AG407">
        <f t="shared" si="57"/>
        <v>1</v>
      </c>
      <c r="AH407">
        <f t="shared" si="58"/>
        <v>1</v>
      </c>
      <c r="AI407">
        <f t="shared" si="59"/>
        <v>1</v>
      </c>
      <c r="AJ407">
        <f t="shared" si="60"/>
        <v>1</v>
      </c>
      <c r="AK407">
        <f t="shared" si="61"/>
        <v>1</v>
      </c>
      <c r="AL407">
        <f t="shared" si="62"/>
        <v>1</v>
      </c>
      <c r="AM407">
        <f t="shared" si="63"/>
        <v>1</v>
      </c>
      <c r="AN407">
        <f t="shared" si="64"/>
        <v>1</v>
      </c>
      <c r="AO407">
        <f t="shared" si="65"/>
        <v>-1</v>
      </c>
      <c r="AP407">
        <f t="shared" si="66"/>
        <v>-1</v>
      </c>
      <c r="AQ407">
        <v>0</v>
      </c>
      <c r="AR407" t="s">
        <v>2</v>
      </c>
      <c r="AS407">
        <v>-1</v>
      </c>
      <c r="AT407">
        <v>-1</v>
      </c>
      <c r="AU407">
        <v>-1</v>
      </c>
      <c r="AV407">
        <v>-1</v>
      </c>
      <c r="AW407">
        <v>-1</v>
      </c>
      <c r="AX407">
        <v>-1</v>
      </c>
      <c r="AY407">
        <v>-1</v>
      </c>
      <c r="AZ407">
        <v>-1</v>
      </c>
      <c r="BA407">
        <v>-1</v>
      </c>
      <c r="BB407">
        <v>0</v>
      </c>
      <c r="BC407" t="s">
        <v>2</v>
      </c>
      <c r="BD407">
        <v>-1</v>
      </c>
      <c r="BE407">
        <v>-1</v>
      </c>
      <c r="BF407">
        <v>-1</v>
      </c>
      <c r="BG407">
        <v>-1</v>
      </c>
      <c r="BH407">
        <v>-1</v>
      </c>
      <c r="BI407">
        <v>-1</v>
      </c>
      <c r="BJ407">
        <v>-1</v>
      </c>
      <c r="BK407">
        <v>-1</v>
      </c>
      <c r="BL407">
        <v>-1</v>
      </c>
      <c r="BM407">
        <v>-1</v>
      </c>
      <c r="BN407">
        <v>-1</v>
      </c>
      <c r="BO407">
        <v>-1</v>
      </c>
    </row>
    <row r="408" spans="1:67" x14ac:dyDescent="0.25">
      <c r="A408">
        <v>405</v>
      </c>
      <c r="B408">
        <v>30006</v>
      </c>
      <c r="C408" t="str">
        <f>VLOOKUP(B408,[1]resources!$A$2:$D$300,3,FALSE)</f>
        <v>!!SMOOTHIE_LIQUID_COBBLER</v>
      </c>
      <c r="D408">
        <v>30</v>
      </c>
      <c r="E408" t="str">
        <f>VLOOKUP(D408,[1]bonus_paytable!$A$2:$D$300,3,FALSE)</f>
        <v>squilliam</v>
      </c>
      <c r="F408">
        <v>-1</v>
      </c>
      <c r="G408">
        <v>-1</v>
      </c>
      <c r="H408">
        <v>1</v>
      </c>
      <c r="I408" t="s">
        <v>1</v>
      </c>
      <c r="J408">
        <v>80016</v>
      </c>
      <c r="K408">
        <v>80014</v>
      </c>
      <c r="L408">
        <v>2000</v>
      </c>
      <c r="M408">
        <v>30003</v>
      </c>
      <c r="N408">
        <v>27</v>
      </c>
      <c r="O408">
        <v>14</v>
      </c>
      <c r="P408">
        <v>30010</v>
      </c>
      <c r="Q408">
        <v>60016</v>
      </c>
      <c r="R408">
        <v>80007</v>
      </c>
      <c r="S408">
        <v>-1</v>
      </c>
      <c r="T408">
        <v>-1</v>
      </c>
      <c r="U408" s="2">
        <v>0.01</v>
      </c>
      <c r="V408" s="2">
        <v>0.03</v>
      </c>
      <c r="W408" s="2">
        <v>0.03</v>
      </c>
      <c r="X408" s="2">
        <v>0.03</v>
      </c>
      <c r="Y408" s="2">
        <v>0.05</v>
      </c>
      <c r="Z408" s="2">
        <v>0.05</v>
      </c>
      <c r="AA408" s="2">
        <v>0.05</v>
      </c>
      <c r="AB408" s="2">
        <v>0.05</v>
      </c>
      <c r="AC408" s="2">
        <v>0.05</v>
      </c>
      <c r="AD408">
        <v>-1</v>
      </c>
      <c r="AE408">
        <v>-1</v>
      </c>
      <c r="AF408">
        <f t="shared" si="56"/>
        <v>1</v>
      </c>
      <c r="AG408">
        <f t="shared" si="57"/>
        <v>1</v>
      </c>
      <c r="AH408">
        <f t="shared" si="58"/>
        <v>1</v>
      </c>
      <c r="AI408">
        <f t="shared" si="59"/>
        <v>1</v>
      </c>
      <c r="AJ408">
        <f t="shared" si="60"/>
        <v>1</v>
      </c>
      <c r="AK408">
        <f t="shared" si="61"/>
        <v>1</v>
      </c>
      <c r="AL408">
        <f t="shared" si="62"/>
        <v>1</v>
      </c>
      <c r="AM408">
        <f t="shared" si="63"/>
        <v>1</v>
      </c>
      <c r="AN408">
        <f t="shared" si="64"/>
        <v>1</v>
      </c>
      <c r="AO408">
        <f t="shared" si="65"/>
        <v>-1</v>
      </c>
      <c r="AP408">
        <f t="shared" si="66"/>
        <v>-1</v>
      </c>
      <c r="AQ408">
        <v>0</v>
      </c>
      <c r="AR408" t="s">
        <v>2</v>
      </c>
      <c r="AS408">
        <v>-1</v>
      </c>
      <c r="AT408">
        <v>-1</v>
      </c>
      <c r="AU408">
        <v>-1</v>
      </c>
      <c r="AV408">
        <v>-1</v>
      </c>
      <c r="AW408">
        <v>-1</v>
      </c>
      <c r="AX408">
        <v>-1</v>
      </c>
      <c r="AY408">
        <v>-1</v>
      </c>
      <c r="AZ408">
        <v>-1</v>
      </c>
      <c r="BA408">
        <v>-1</v>
      </c>
      <c r="BB408">
        <v>0</v>
      </c>
      <c r="BC408" t="s">
        <v>2</v>
      </c>
      <c r="BD408">
        <v>-1</v>
      </c>
      <c r="BE408">
        <v>-1</v>
      </c>
      <c r="BF408">
        <v>-1</v>
      </c>
      <c r="BG408">
        <v>-1</v>
      </c>
      <c r="BH408">
        <v>-1</v>
      </c>
      <c r="BI408">
        <v>-1</v>
      </c>
      <c r="BJ408">
        <v>-1</v>
      </c>
      <c r="BK408">
        <v>-1</v>
      </c>
      <c r="BL408">
        <v>-1</v>
      </c>
      <c r="BM408">
        <v>-1</v>
      </c>
      <c r="BN408">
        <v>-1</v>
      </c>
      <c r="BO408">
        <v>-1</v>
      </c>
    </row>
    <row r="409" spans="1:67" x14ac:dyDescent="0.25">
      <c r="A409">
        <v>406</v>
      </c>
      <c r="B409">
        <v>40001</v>
      </c>
      <c r="C409" t="str">
        <f>VLOOKUP(B409,[1]resources!$A$2:$D$300,3,FALSE)</f>
        <v>!!ICECREAM_BANANA_SPLIT</v>
      </c>
      <c r="D409">
        <v>30</v>
      </c>
      <c r="E409" t="str">
        <f>VLOOKUP(D409,[1]bonus_paytable!$A$2:$D$300,3,FALSE)</f>
        <v>squilliam</v>
      </c>
      <c r="F409">
        <v>-1</v>
      </c>
      <c r="G409">
        <v>-1</v>
      </c>
      <c r="H409">
        <v>1</v>
      </c>
      <c r="I409" t="s">
        <v>1</v>
      </c>
      <c r="J409">
        <v>80016</v>
      </c>
      <c r="K409">
        <v>80014</v>
      </c>
      <c r="L409">
        <v>2000</v>
      </c>
      <c r="M409">
        <v>30003</v>
      </c>
      <c r="N409">
        <v>27</v>
      </c>
      <c r="O409">
        <v>14</v>
      </c>
      <c r="P409">
        <v>30010</v>
      </c>
      <c r="Q409">
        <v>60016</v>
      </c>
      <c r="R409">
        <v>80007</v>
      </c>
      <c r="S409">
        <v>-1</v>
      </c>
      <c r="T409">
        <v>-1</v>
      </c>
      <c r="U409" s="2">
        <v>0.01</v>
      </c>
      <c r="V409" s="2">
        <v>0.03</v>
      </c>
      <c r="W409" s="2">
        <v>0.03</v>
      </c>
      <c r="X409" s="2">
        <v>0.03</v>
      </c>
      <c r="Y409" s="2">
        <v>0.05</v>
      </c>
      <c r="Z409" s="2">
        <v>0.05</v>
      </c>
      <c r="AA409" s="2">
        <v>0.05</v>
      </c>
      <c r="AB409" s="2">
        <v>0.05</v>
      </c>
      <c r="AC409" s="2">
        <v>0.05</v>
      </c>
      <c r="AD409">
        <v>-1</v>
      </c>
      <c r="AE409">
        <v>-1</v>
      </c>
      <c r="AF409">
        <f t="shared" si="56"/>
        <v>1</v>
      </c>
      <c r="AG409">
        <f t="shared" si="57"/>
        <v>1</v>
      </c>
      <c r="AH409">
        <f t="shared" si="58"/>
        <v>1</v>
      </c>
      <c r="AI409">
        <f t="shared" si="59"/>
        <v>1</v>
      </c>
      <c r="AJ409">
        <f t="shared" si="60"/>
        <v>1</v>
      </c>
      <c r="AK409">
        <f t="shared" si="61"/>
        <v>1</v>
      </c>
      <c r="AL409">
        <f t="shared" si="62"/>
        <v>1</v>
      </c>
      <c r="AM409">
        <f t="shared" si="63"/>
        <v>1</v>
      </c>
      <c r="AN409">
        <f t="shared" si="64"/>
        <v>1</v>
      </c>
      <c r="AO409">
        <f t="shared" si="65"/>
        <v>-1</v>
      </c>
      <c r="AP409">
        <f t="shared" si="66"/>
        <v>-1</v>
      </c>
      <c r="AQ409">
        <v>0</v>
      </c>
      <c r="AR409" t="s">
        <v>2</v>
      </c>
      <c r="AS409">
        <v>-1</v>
      </c>
      <c r="AT409">
        <v>-1</v>
      </c>
      <c r="AU409">
        <v>-1</v>
      </c>
      <c r="AV409">
        <v>-1</v>
      </c>
      <c r="AW409">
        <v>-1</v>
      </c>
      <c r="AX409">
        <v>-1</v>
      </c>
      <c r="AY409">
        <v>-1</v>
      </c>
      <c r="AZ409">
        <v>-1</v>
      </c>
      <c r="BA409">
        <v>-1</v>
      </c>
      <c r="BB409">
        <v>0</v>
      </c>
      <c r="BC409" t="s">
        <v>2</v>
      </c>
      <c r="BD409">
        <v>-1</v>
      </c>
      <c r="BE409">
        <v>-1</v>
      </c>
      <c r="BF409">
        <v>-1</v>
      </c>
      <c r="BG409">
        <v>-1</v>
      </c>
      <c r="BH409">
        <v>-1</v>
      </c>
      <c r="BI409">
        <v>-1</v>
      </c>
      <c r="BJ409">
        <v>-1</v>
      </c>
      <c r="BK409">
        <v>-1</v>
      </c>
      <c r="BL409">
        <v>-1</v>
      </c>
      <c r="BM409">
        <v>-1</v>
      </c>
      <c r="BN409">
        <v>-1</v>
      </c>
      <c r="BO409">
        <v>-1</v>
      </c>
    </row>
    <row r="410" spans="1:67" x14ac:dyDescent="0.25">
      <c r="A410">
        <v>407</v>
      </c>
      <c r="B410">
        <v>70009</v>
      </c>
      <c r="C410" t="str">
        <f>VLOOKUP(B410,[1]resources!$A$2:$D$300,3,FALSE)</f>
        <v>!!PERFUME_SEASHANTY</v>
      </c>
      <c r="D410">
        <v>30</v>
      </c>
      <c r="E410" t="str">
        <f>VLOOKUP(D410,[1]bonus_paytable!$A$2:$D$300,3,FALSE)</f>
        <v>squilliam</v>
      </c>
      <c r="F410">
        <v>-1</v>
      </c>
      <c r="G410">
        <v>-1</v>
      </c>
      <c r="H410">
        <v>1</v>
      </c>
      <c r="I410" t="s">
        <v>1</v>
      </c>
      <c r="J410">
        <v>80016</v>
      </c>
      <c r="K410">
        <v>80014</v>
      </c>
      <c r="L410">
        <v>2000</v>
      </c>
      <c r="M410">
        <v>30003</v>
      </c>
      <c r="N410">
        <v>27</v>
      </c>
      <c r="O410">
        <v>14</v>
      </c>
      <c r="P410">
        <v>30010</v>
      </c>
      <c r="Q410">
        <v>60016</v>
      </c>
      <c r="R410">
        <v>80007</v>
      </c>
      <c r="S410">
        <v>-1</v>
      </c>
      <c r="T410">
        <v>-1</v>
      </c>
      <c r="U410" s="2">
        <v>0.01</v>
      </c>
      <c r="V410" s="2">
        <v>0.03</v>
      </c>
      <c r="W410" s="2">
        <v>0.03</v>
      </c>
      <c r="X410" s="2">
        <v>0.03</v>
      </c>
      <c r="Y410" s="2">
        <v>0.05</v>
      </c>
      <c r="Z410" s="2">
        <v>0.05</v>
      </c>
      <c r="AA410" s="2">
        <v>0.05</v>
      </c>
      <c r="AB410" s="2">
        <v>0.05</v>
      </c>
      <c r="AC410" s="2">
        <v>0.05</v>
      </c>
      <c r="AD410">
        <v>-1</v>
      </c>
      <c r="AE410">
        <v>-1</v>
      </c>
      <c r="AF410">
        <f t="shared" si="56"/>
        <v>1</v>
      </c>
      <c r="AG410">
        <f t="shared" si="57"/>
        <v>1</v>
      </c>
      <c r="AH410">
        <f t="shared" si="58"/>
        <v>1</v>
      </c>
      <c r="AI410">
        <f t="shared" si="59"/>
        <v>1</v>
      </c>
      <c r="AJ410">
        <f t="shared" si="60"/>
        <v>1</v>
      </c>
      <c r="AK410">
        <f t="shared" si="61"/>
        <v>1</v>
      </c>
      <c r="AL410">
        <f t="shared" si="62"/>
        <v>1</v>
      </c>
      <c r="AM410">
        <f t="shared" si="63"/>
        <v>1</v>
      </c>
      <c r="AN410">
        <f t="shared" si="64"/>
        <v>1</v>
      </c>
      <c r="AO410">
        <f t="shared" si="65"/>
        <v>-1</v>
      </c>
      <c r="AP410">
        <f t="shared" si="66"/>
        <v>-1</v>
      </c>
      <c r="AQ410">
        <v>0</v>
      </c>
      <c r="AR410" t="s">
        <v>2</v>
      </c>
      <c r="AS410">
        <v>-1</v>
      </c>
      <c r="AT410">
        <v>-1</v>
      </c>
      <c r="AU410">
        <v>-1</v>
      </c>
      <c r="AV410">
        <v>-1</v>
      </c>
      <c r="AW410">
        <v>-1</v>
      </c>
      <c r="AX410">
        <v>-1</v>
      </c>
      <c r="AY410">
        <v>-1</v>
      </c>
      <c r="AZ410">
        <v>-1</v>
      </c>
      <c r="BA410">
        <v>-1</v>
      </c>
      <c r="BB410">
        <v>0</v>
      </c>
      <c r="BC410" t="s">
        <v>2</v>
      </c>
      <c r="BD410">
        <v>-1</v>
      </c>
      <c r="BE410">
        <v>-1</v>
      </c>
      <c r="BF410">
        <v>-1</v>
      </c>
      <c r="BG410">
        <v>-1</v>
      </c>
      <c r="BH410">
        <v>-1</v>
      </c>
      <c r="BI410">
        <v>-1</v>
      </c>
      <c r="BJ410">
        <v>-1</v>
      </c>
      <c r="BK410">
        <v>-1</v>
      </c>
      <c r="BL410">
        <v>-1</v>
      </c>
      <c r="BM410">
        <v>-1</v>
      </c>
      <c r="BN410">
        <v>-1</v>
      </c>
      <c r="BO410">
        <v>-1</v>
      </c>
    </row>
    <row r="411" spans="1:67" x14ac:dyDescent="0.25">
      <c r="A411">
        <v>408</v>
      </c>
      <c r="B411">
        <v>80006</v>
      </c>
      <c r="C411" t="str">
        <f>VLOOKUP(B411,[1]resources!$A$2:$D$300,3,FALSE)</f>
        <v>!!FOOD_BAKED_FERRYCHERRYCHEESECAKE</v>
      </c>
      <c r="D411">
        <v>30</v>
      </c>
      <c r="E411" t="str">
        <f>VLOOKUP(D411,[1]bonus_paytable!$A$2:$D$300,3,FALSE)</f>
        <v>squilliam</v>
      </c>
      <c r="F411">
        <v>-1</v>
      </c>
      <c r="G411">
        <v>-1</v>
      </c>
      <c r="H411">
        <v>1</v>
      </c>
      <c r="I411" t="s">
        <v>1</v>
      </c>
      <c r="J411">
        <v>80016</v>
      </c>
      <c r="K411">
        <v>80014</v>
      </c>
      <c r="L411">
        <v>2000</v>
      </c>
      <c r="M411">
        <v>30003</v>
      </c>
      <c r="N411">
        <v>27</v>
      </c>
      <c r="O411">
        <v>14</v>
      </c>
      <c r="P411">
        <v>30010</v>
      </c>
      <c r="Q411">
        <v>60016</v>
      </c>
      <c r="R411">
        <v>80007</v>
      </c>
      <c r="S411">
        <v>-1</v>
      </c>
      <c r="T411">
        <v>-1</v>
      </c>
      <c r="U411" s="2">
        <v>0.01</v>
      </c>
      <c r="V411" s="2">
        <v>0.03</v>
      </c>
      <c r="W411" s="2">
        <v>0.03</v>
      </c>
      <c r="X411" s="2">
        <v>0.03</v>
      </c>
      <c r="Y411" s="2">
        <v>0.05</v>
      </c>
      <c r="Z411" s="2">
        <v>0.05</v>
      </c>
      <c r="AA411" s="2">
        <v>0.05</v>
      </c>
      <c r="AB411" s="2">
        <v>0.05</v>
      </c>
      <c r="AC411" s="2">
        <v>0.05</v>
      </c>
      <c r="AD411">
        <v>-1</v>
      </c>
      <c r="AE411">
        <v>-1</v>
      </c>
      <c r="AF411">
        <f t="shared" si="56"/>
        <v>1</v>
      </c>
      <c r="AG411">
        <f t="shared" si="57"/>
        <v>1</v>
      </c>
      <c r="AH411">
        <f t="shared" si="58"/>
        <v>1</v>
      </c>
      <c r="AI411">
        <f t="shared" si="59"/>
        <v>1</v>
      </c>
      <c r="AJ411">
        <f t="shared" si="60"/>
        <v>1</v>
      </c>
      <c r="AK411">
        <f t="shared" si="61"/>
        <v>1</v>
      </c>
      <c r="AL411">
        <f t="shared" si="62"/>
        <v>1</v>
      </c>
      <c r="AM411">
        <f t="shared" si="63"/>
        <v>1</v>
      </c>
      <c r="AN411">
        <f t="shared" si="64"/>
        <v>1</v>
      </c>
      <c r="AO411">
        <f t="shared" si="65"/>
        <v>-1</v>
      </c>
      <c r="AP411">
        <f t="shared" si="66"/>
        <v>-1</v>
      </c>
      <c r="AQ411">
        <v>0</v>
      </c>
      <c r="AR411" t="s">
        <v>2</v>
      </c>
      <c r="AS411">
        <v>-1</v>
      </c>
      <c r="AT411">
        <v>-1</v>
      </c>
      <c r="AU411">
        <v>-1</v>
      </c>
      <c r="AV411">
        <v>-1</v>
      </c>
      <c r="AW411">
        <v>-1</v>
      </c>
      <c r="AX411">
        <v>-1</v>
      </c>
      <c r="AY411">
        <v>-1</v>
      </c>
      <c r="AZ411">
        <v>-1</v>
      </c>
      <c r="BA411">
        <v>-1</v>
      </c>
      <c r="BB411">
        <v>0</v>
      </c>
      <c r="BC411" t="s">
        <v>2</v>
      </c>
      <c r="BD411">
        <v>-1</v>
      </c>
      <c r="BE411">
        <v>-1</v>
      </c>
      <c r="BF411">
        <v>-1</v>
      </c>
      <c r="BG411">
        <v>-1</v>
      </c>
      <c r="BH411">
        <v>-1</v>
      </c>
      <c r="BI411">
        <v>-1</v>
      </c>
      <c r="BJ411">
        <v>-1</v>
      </c>
      <c r="BK411">
        <v>-1</v>
      </c>
      <c r="BL411">
        <v>-1</v>
      </c>
      <c r="BM411">
        <v>-1</v>
      </c>
      <c r="BN411">
        <v>-1</v>
      </c>
      <c r="BO411">
        <v>-1</v>
      </c>
    </row>
    <row r="412" spans="1:67" x14ac:dyDescent="0.25">
      <c r="A412">
        <v>409</v>
      </c>
      <c r="B412">
        <v>80016</v>
      </c>
      <c r="C412" t="str">
        <f>VLOOKUP(B412,[1]resources!$A$2:$D$300,3,FALSE)</f>
        <v>!!FOOD_BAKED_THEAPPLEFANCYSON</v>
      </c>
      <c r="D412">
        <v>30</v>
      </c>
      <c r="E412" t="str">
        <f>VLOOKUP(D412,[1]bonus_paytable!$A$2:$D$300,3,FALSE)</f>
        <v>squilliam</v>
      </c>
      <c r="F412">
        <v>-1</v>
      </c>
      <c r="G412">
        <v>-1</v>
      </c>
      <c r="H412">
        <v>1</v>
      </c>
      <c r="I412" t="s">
        <v>1</v>
      </c>
      <c r="J412">
        <v>80016</v>
      </c>
      <c r="K412">
        <v>80014</v>
      </c>
      <c r="L412">
        <v>2000</v>
      </c>
      <c r="M412">
        <v>30003</v>
      </c>
      <c r="N412">
        <v>27</v>
      </c>
      <c r="O412">
        <v>14</v>
      </c>
      <c r="P412">
        <v>30010</v>
      </c>
      <c r="Q412">
        <v>60016</v>
      </c>
      <c r="R412">
        <v>80007</v>
      </c>
      <c r="S412">
        <v>-1</v>
      </c>
      <c r="T412">
        <v>-1</v>
      </c>
      <c r="U412" s="2">
        <v>0.01</v>
      </c>
      <c r="V412" s="2">
        <v>0.03</v>
      </c>
      <c r="W412" s="2">
        <v>0.03</v>
      </c>
      <c r="X412" s="2">
        <v>0.03</v>
      </c>
      <c r="Y412" s="2">
        <v>0.05</v>
      </c>
      <c r="Z412" s="2">
        <v>0.05</v>
      </c>
      <c r="AA412" s="2">
        <v>0.05</v>
      </c>
      <c r="AB412" s="2">
        <v>0.05</v>
      </c>
      <c r="AC412" s="2">
        <v>0.05</v>
      </c>
      <c r="AD412">
        <v>-1</v>
      </c>
      <c r="AE412">
        <v>-1</v>
      </c>
      <c r="AF412">
        <f t="shared" si="56"/>
        <v>1</v>
      </c>
      <c r="AG412">
        <f t="shared" si="57"/>
        <v>1</v>
      </c>
      <c r="AH412">
        <f t="shared" si="58"/>
        <v>1</v>
      </c>
      <c r="AI412">
        <f t="shared" si="59"/>
        <v>1</v>
      </c>
      <c r="AJ412">
        <f t="shared" si="60"/>
        <v>1</v>
      </c>
      <c r="AK412">
        <f t="shared" si="61"/>
        <v>1</v>
      </c>
      <c r="AL412">
        <f t="shared" si="62"/>
        <v>1</v>
      </c>
      <c r="AM412">
        <f t="shared" si="63"/>
        <v>1</v>
      </c>
      <c r="AN412">
        <f t="shared" si="64"/>
        <v>1</v>
      </c>
      <c r="AO412">
        <f t="shared" si="65"/>
        <v>-1</v>
      </c>
      <c r="AP412">
        <f t="shared" si="66"/>
        <v>-1</v>
      </c>
      <c r="AQ412">
        <v>0</v>
      </c>
      <c r="AR412" t="s">
        <v>2</v>
      </c>
      <c r="AS412">
        <v>-1</v>
      </c>
      <c r="AT412">
        <v>-1</v>
      </c>
      <c r="AU412">
        <v>-1</v>
      </c>
      <c r="AV412">
        <v>-1</v>
      </c>
      <c r="AW412">
        <v>-1</v>
      </c>
      <c r="AX412">
        <v>-1</v>
      </c>
      <c r="AY412">
        <v>-1</v>
      </c>
      <c r="AZ412">
        <v>-1</v>
      </c>
      <c r="BA412">
        <v>-1</v>
      </c>
      <c r="BB412">
        <v>0</v>
      </c>
      <c r="BC412" t="s">
        <v>2</v>
      </c>
      <c r="BD412">
        <v>-1</v>
      </c>
      <c r="BE412">
        <v>-1</v>
      </c>
      <c r="BF412">
        <v>-1</v>
      </c>
      <c r="BG412">
        <v>-1</v>
      </c>
      <c r="BH412">
        <v>-1</v>
      </c>
      <c r="BI412">
        <v>-1</v>
      </c>
      <c r="BJ412">
        <v>-1</v>
      </c>
      <c r="BK412">
        <v>-1</v>
      </c>
      <c r="BL412">
        <v>-1</v>
      </c>
      <c r="BM412">
        <v>-1</v>
      </c>
      <c r="BN412">
        <v>-1</v>
      </c>
      <c r="BO412">
        <v>-1</v>
      </c>
    </row>
    <row r="413" spans="1:67" x14ac:dyDescent="0.25">
      <c r="A413">
        <v>410</v>
      </c>
      <c r="B413">
        <v>9016</v>
      </c>
      <c r="C413" t="str">
        <f>VLOOKUP(B413,[1]resources!$A$2:$D$300,3,FALSE)</f>
        <v>!!FOOD_RUSTYS_RUSTY_ON_RYE</v>
      </c>
      <c r="D413">
        <v>31</v>
      </c>
      <c r="E413" t="str">
        <f>VLOOKUP(D413,[1]bonus_paytable!$A$2:$D$300,3,FALSE)</f>
        <v>halloween_ghost01</v>
      </c>
      <c r="F413">
        <v>-1</v>
      </c>
      <c r="G413">
        <v>-1</v>
      </c>
      <c r="H413">
        <v>1</v>
      </c>
      <c r="I413" t="s">
        <v>1</v>
      </c>
      <c r="J413">
        <v>9000</v>
      </c>
      <c r="K413">
        <v>9001</v>
      </c>
      <c r="L413">
        <v>9014</v>
      </c>
      <c r="M413">
        <v>9015</v>
      </c>
      <c r="N413">
        <v>9018</v>
      </c>
      <c r="O413">
        <v>9019</v>
      </c>
      <c r="P413">
        <v>-1</v>
      </c>
      <c r="Q413">
        <v>-1</v>
      </c>
      <c r="R413">
        <v>-1</v>
      </c>
      <c r="S413">
        <v>-1</v>
      </c>
      <c r="T413">
        <v>-1</v>
      </c>
      <c r="U413" s="2">
        <v>0.05</v>
      </c>
      <c r="V413" s="2">
        <v>0.05</v>
      </c>
      <c r="W413" s="2">
        <v>0.05</v>
      </c>
      <c r="X413" s="2">
        <v>0.03</v>
      </c>
      <c r="Y413" s="2">
        <v>0.03</v>
      </c>
      <c r="Z413" s="2">
        <v>0.01</v>
      </c>
      <c r="AA413">
        <v>-1</v>
      </c>
      <c r="AB413">
        <v>-1</v>
      </c>
      <c r="AC413">
        <v>-1</v>
      </c>
      <c r="AD413">
        <v>-1</v>
      </c>
      <c r="AE413">
        <v>-1</v>
      </c>
      <c r="AF413">
        <f t="shared" si="56"/>
        <v>1</v>
      </c>
      <c r="AG413">
        <f t="shared" si="57"/>
        <v>1</v>
      </c>
      <c r="AH413">
        <f t="shared" si="58"/>
        <v>1</v>
      </c>
      <c r="AI413">
        <f t="shared" si="59"/>
        <v>1</v>
      </c>
      <c r="AJ413">
        <f t="shared" si="60"/>
        <v>1</v>
      </c>
      <c r="AK413">
        <f t="shared" si="61"/>
        <v>1</v>
      </c>
      <c r="AL413">
        <f t="shared" si="62"/>
        <v>-1</v>
      </c>
      <c r="AM413">
        <f t="shared" si="63"/>
        <v>-1</v>
      </c>
      <c r="AN413">
        <f t="shared" si="64"/>
        <v>-1</v>
      </c>
      <c r="AO413">
        <f t="shared" si="65"/>
        <v>-1</v>
      </c>
      <c r="AP413">
        <f t="shared" si="66"/>
        <v>-1</v>
      </c>
      <c r="AQ413">
        <v>0</v>
      </c>
      <c r="AR413" t="s">
        <v>2</v>
      </c>
      <c r="AS413">
        <v>-1</v>
      </c>
      <c r="AT413">
        <v>-1</v>
      </c>
      <c r="AU413">
        <v>-1</v>
      </c>
      <c r="AV413">
        <v>-1</v>
      </c>
      <c r="AW413">
        <v>-1</v>
      </c>
      <c r="AX413">
        <v>-1</v>
      </c>
      <c r="AY413">
        <v>-1</v>
      </c>
      <c r="AZ413">
        <v>-1</v>
      </c>
      <c r="BA413">
        <v>-1</v>
      </c>
      <c r="BB413">
        <v>0</v>
      </c>
      <c r="BC413" t="s">
        <v>2</v>
      </c>
      <c r="BD413">
        <v>-1</v>
      </c>
      <c r="BE413">
        <v>-1</v>
      </c>
      <c r="BF413">
        <v>-1</v>
      </c>
      <c r="BG413">
        <v>-1</v>
      </c>
      <c r="BH413">
        <v>-1</v>
      </c>
      <c r="BI413">
        <v>-1</v>
      </c>
      <c r="BJ413">
        <v>-1</v>
      </c>
      <c r="BK413">
        <v>-1</v>
      </c>
      <c r="BL413">
        <v>-1</v>
      </c>
      <c r="BM413">
        <v>-1</v>
      </c>
      <c r="BN413">
        <v>-1</v>
      </c>
      <c r="BO413">
        <v>-1</v>
      </c>
    </row>
    <row r="414" spans="1:67" x14ac:dyDescent="0.25">
      <c r="A414">
        <v>411</v>
      </c>
      <c r="B414">
        <v>9000</v>
      </c>
      <c r="C414" t="str">
        <f>VLOOKUP(B414,[1]resources!$A$2:$D$300,3,FALSE)</f>
        <v>!!FOOD_RUSTYS_BARK_CHOP_SANDWICH</v>
      </c>
      <c r="D414">
        <v>31</v>
      </c>
      <c r="E414" t="str">
        <f>VLOOKUP(D414,[1]bonus_paytable!$A$2:$D$300,3,FALSE)</f>
        <v>halloween_ghost01</v>
      </c>
      <c r="F414">
        <v>-1</v>
      </c>
      <c r="G414">
        <v>-1</v>
      </c>
      <c r="H414">
        <v>1</v>
      </c>
      <c r="I414" t="s">
        <v>1</v>
      </c>
      <c r="J414">
        <v>9000</v>
      </c>
      <c r="K414">
        <v>9001</v>
      </c>
      <c r="L414">
        <v>9014</v>
      </c>
      <c r="M414">
        <v>9015</v>
      </c>
      <c r="N414">
        <v>9018</v>
      </c>
      <c r="O414">
        <v>9019</v>
      </c>
      <c r="P414">
        <v>-1</v>
      </c>
      <c r="Q414">
        <v>-1</v>
      </c>
      <c r="R414">
        <v>-1</v>
      </c>
      <c r="S414">
        <v>-1</v>
      </c>
      <c r="T414">
        <v>-1</v>
      </c>
      <c r="U414" s="2">
        <v>0.05</v>
      </c>
      <c r="V414" s="2">
        <v>0.05</v>
      </c>
      <c r="W414" s="2">
        <v>0.05</v>
      </c>
      <c r="X414" s="2">
        <v>0.03</v>
      </c>
      <c r="Y414" s="2">
        <v>0.03</v>
      </c>
      <c r="Z414" s="2">
        <v>0.01</v>
      </c>
      <c r="AA414">
        <v>-1</v>
      </c>
      <c r="AB414">
        <v>-1</v>
      </c>
      <c r="AC414">
        <v>-1</v>
      </c>
      <c r="AD414">
        <v>-1</v>
      </c>
      <c r="AE414">
        <v>-1</v>
      </c>
      <c r="AF414">
        <f t="shared" si="56"/>
        <v>1</v>
      </c>
      <c r="AG414">
        <f t="shared" si="57"/>
        <v>1</v>
      </c>
      <c r="AH414">
        <f t="shared" si="58"/>
        <v>1</v>
      </c>
      <c r="AI414">
        <f t="shared" si="59"/>
        <v>1</v>
      </c>
      <c r="AJ414">
        <f t="shared" si="60"/>
        <v>1</v>
      </c>
      <c r="AK414">
        <f t="shared" si="61"/>
        <v>1</v>
      </c>
      <c r="AL414">
        <f t="shared" si="62"/>
        <v>-1</v>
      </c>
      <c r="AM414">
        <f t="shared" si="63"/>
        <v>-1</v>
      </c>
      <c r="AN414">
        <f t="shared" si="64"/>
        <v>-1</v>
      </c>
      <c r="AO414">
        <f t="shared" si="65"/>
        <v>-1</v>
      </c>
      <c r="AP414">
        <f t="shared" si="66"/>
        <v>-1</v>
      </c>
      <c r="AQ414">
        <v>0</v>
      </c>
      <c r="AR414" t="s">
        <v>2</v>
      </c>
      <c r="AS414">
        <v>-1</v>
      </c>
      <c r="AT414">
        <v>-1</v>
      </c>
      <c r="AU414">
        <v>-1</v>
      </c>
      <c r="AV414">
        <v>-1</v>
      </c>
      <c r="AW414">
        <v>-1</v>
      </c>
      <c r="AX414">
        <v>-1</v>
      </c>
      <c r="AY414">
        <v>-1</v>
      </c>
      <c r="AZ414">
        <v>-1</v>
      </c>
      <c r="BA414">
        <v>-1</v>
      </c>
      <c r="BB414">
        <v>0</v>
      </c>
      <c r="BC414" t="s">
        <v>2</v>
      </c>
      <c r="BD414">
        <v>-1</v>
      </c>
      <c r="BE414">
        <v>-1</v>
      </c>
      <c r="BF414">
        <v>-1</v>
      </c>
      <c r="BG414">
        <v>-1</v>
      </c>
      <c r="BH414">
        <v>-1</v>
      </c>
      <c r="BI414">
        <v>-1</v>
      </c>
      <c r="BJ414">
        <v>-1</v>
      </c>
      <c r="BK414">
        <v>-1</v>
      </c>
      <c r="BL414">
        <v>-1</v>
      </c>
      <c r="BM414">
        <v>-1</v>
      </c>
      <c r="BN414">
        <v>-1</v>
      </c>
      <c r="BO414">
        <v>-1</v>
      </c>
    </row>
    <row r="415" spans="1:67" x14ac:dyDescent="0.25">
      <c r="A415">
        <v>412</v>
      </c>
      <c r="B415">
        <v>9001</v>
      </c>
      <c r="C415" t="str">
        <f>VLOOKUP(B415,[1]resources!$A$2:$D$300,3,FALSE)</f>
        <v>!!FOOD_RUSTYS_BARKING_BRISKET</v>
      </c>
      <c r="D415">
        <v>31</v>
      </c>
      <c r="E415" t="str">
        <f>VLOOKUP(D415,[1]bonus_paytable!$A$2:$D$300,3,FALSE)</f>
        <v>halloween_ghost01</v>
      </c>
      <c r="F415">
        <v>-1</v>
      </c>
      <c r="G415">
        <v>-1</v>
      </c>
      <c r="H415">
        <v>1</v>
      </c>
      <c r="I415" t="s">
        <v>1</v>
      </c>
      <c r="J415">
        <v>9000</v>
      </c>
      <c r="K415">
        <v>9001</v>
      </c>
      <c r="L415">
        <v>9014</v>
      </c>
      <c r="M415">
        <v>9015</v>
      </c>
      <c r="N415">
        <v>9018</v>
      </c>
      <c r="O415">
        <v>9019</v>
      </c>
      <c r="P415">
        <v>-1</v>
      </c>
      <c r="Q415">
        <v>-1</v>
      </c>
      <c r="R415">
        <v>-1</v>
      </c>
      <c r="S415">
        <v>-1</v>
      </c>
      <c r="T415">
        <v>-1</v>
      </c>
      <c r="U415" s="2">
        <v>0.05</v>
      </c>
      <c r="V415" s="2">
        <v>0.05</v>
      </c>
      <c r="W415" s="2">
        <v>0.05</v>
      </c>
      <c r="X415" s="2">
        <v>0.03</v>
      </c>
      <c r="Y415" s="2">
        <v>0.03</v>
      </c>
      <c r="Z415" s="2">
        <v>0.01</v>
      </c>
      <c r="AA415">
        <v>-1</v>
      </c>
      <c r="AB415">
        <v>-1</v>
      </c>
      <c r="AC415">
        <v>-1</v>
      </c>
      <c r="AD415">
        <v>-1</v>
      </c>
      <c r="AE415">
        <v>-1</v>
      </c>
      <c r="AF415">
        <f t="shared" si="56"/>
        <v>1</v>
      </c>
      <c r="AG415">
        <f t="shared" si="57"/>
        <v>1</v>
      </c>
      <c r="AH415">
        <f t="shared" si="58"/>
        <v>1</v>
      </c>
      <c r="AI415">
        <f t="shared" si="59"/>
        <v>1</v>
      </c>
      <c r="AJ415">
        <f t="shared" si="60"/>
        <v>1</v>
      </c>
      <c r="AK415">
        <f t="shared" si="61"/>
        <v>1</v>
      </c>
      <c r="AL415">
        <f t="shared" si="62"/>
        <v>-1</v>
      </c>
      <c r="AM415">
        <f t="shared" si="63"/>
        <v>-1</v>
      </c>
      <c r="AN415">
        <f t="shared" si="64"/>
        <v>-1</v>
      </c>
      <c r="AO415">
        <f t="shared" si="65"/>
        <v>-1</v>
      </c>
      <c r="AP415">
        <f t="shared" si="66"/>
        <v>-1</v>
      </c>
      <c r="AQ415">
        <v>0</v>
      </c>
      <c r="AR415" t="s">
        <v>2</v>
      </c>
      <c r="AS415">
        <v>-1</v>
      </c>
      <c r="AT415">
        <v>-1</v>
      </c>
      <c r="AU415">
        <v>-1</v>
      </c>
      <c r="AV415">
        <v>-1</v>
      </c>
      <c r="AW415">
        <v>-1</v>
      </c>
      <c r="AX415">
        <v>-1</v>
      </c>
      <c r="AY415">
        <v>-1</v>
      </c>
      <c r="AZ415">
        <v>-1</v>
      </c>
      <c r="BA415">
        <v>-1</v>
      </c>
      <c r="BB415">
        <v>0</v>
      </c>
      <c r="BC415" t="s">
        <v>2</v>
      </c>
      <c r="BD415">
        <v>-1</v>
      </c>
      <c r="BE415">
        <v>-1</v>
      </c>
      <c r="BF415">
        <v>-1</v>
      </c>
      <c r="BG415">
        <v>-1</v>
      </c>
      <c r="BH415">
        <v>-1</v>
      </c>
      <c r="BI415">
        <v>-1</v>
      </c>
      <c r="BJ415">
        <v>-1</v>
      </c>
      <c r="BK415">
        <v>-1</v>
      </c>
      <c r="BL415">
        <v>-1</v>
      </c>
      <c r="BM415">
        <v>-1</v>
      </c>
      <c r="BN415">
        <v>-1</v>
      </c>
      <c r="BO415">
        <v>-1</v>
      </c>
    </row>
    <row r="416" spans="1:67" x14ac:dyDescent="0.25">
      <c r="A416">
        <v>413</v>
      </c>
      <c r="B416">
        <v>9014</v>
      </c>
      <c r="C416" t="str">
        <f>VLOOKUP(B416,[1]resources!$A$2:$D$300,3,FALSE)</f>
        <v>!!FOOD_RUSTYS_MESQUITE_RIBS</v>
      </c>
      <c r="D416">
        <v>31</v>
      </c>
      <c r="E416" t="str">
        <f>VLOOKUP(D416,[1]bonus_paytable!$A$2:$D$300,3,FALSE)</f>
        <v>halloween_ghost01</v>
      </c>
      <c r="F416">
        <v>-1</v>
      </c>
      <c r="G416">
        <v>-1</v>
      </c>
      <c r="H416">
        <v>1</v>
      </c>
      <c r="I416" t="s">
        <v>1</v>
      </c>
      <c r="J416">
        <v>9000</v>
      </c>
      <c r="K416">
        <v>9001</v>
      </c>
      <c r="L416">
        <v>9014</v>
      </c>
      <c r="M416">
        <v>9015</v>
      </c>
      <c r="N416">
        <v>9018</v>
      </c>
      <c r="O416">
        <v>9019</v>
      </c>
      <c r="P416">
        <v>-1</v>
      </c>
      <c r="Q416">
        <v>-1</v>
      </c>
      <c r="R416">
        <v>-1</v>
      </c>
      <c r="S416">
        <v>-1</v>
      </c>
      <c r="T416">
        <v>-1</v>
      </c>
      <c r="U416" s="2">
        <v>0.05</v>
      </c>
      <c r="V416" s="2">
        <v>0.05</v>
      </c>
      <c r="W416" s="2">
        <v>0.05</v>
      </c>
      <c r="X416" s="2">
        <v>0.03</v>
      </c>
      <c r="Y416" s="2">
        <v>0.03</v>
      </c>
      <c r="Z416" s="2">
        <v>0.01</v>
      </c>
      <c r="AA416">
        <v>-1</v>
      </c>
      <c r="AB416">
        <v>-1</v>
      </c>
      <c r="AC416">
        <v>-1</v>
      </c>
      <c r="AD416">
        <v>-1</v>
      </c>
      <c r="AE416">
        <v>-1</v>
      </c>
      <c r="AF416">
        <f t="shared" si="56"/>
        <v>1</v>
      </c>
      <c r="AG416">
        <f t="shared" si="57"/>
        <v>1</v>
      </c>
      <c r="AH416">
        <f t="shared" si="58"/>
        <v>1</v>
      </c>
      <c r="AI416">
        <f t="shared" si="59"/>
        <v>1</v>
      </c>
      <c r="AJ416">
        <f t="shared" si="60"/>
        <v>1</v>
      </c>
      <c r="AK416">
        <f t="shared" si="61"/>
        <v>1</v>
      </c>
      <c r="AL416">
        <f t="shared" si="62"/>
        <v>-1</v>
      </c>
      <c r="AM416">
        <f t="shared" si="63"/>
        <v>-1</v>
      </c>
      <c r="AN416">
        <f t="shared" si="64"/>
        <v>-1</v>
      </c>
      <c r="AO416">
        <f t="shared" si="65"/>
        <v>-1</v>
      </c>
      <c r="AP416">
        <f t="shared" si="66"/>
        <v>-1</v>
      </c>
      <c r="AQ416">
        <v>0</v>
      </c>
      <c r="AR416" t="s">
        <v>2</v>
      </c>
      <c r="AS416">
        <v>-1</v>
      </c>
      <c r="AT416">
        <v>-1</v>
      </c>
      <c r="AU416">
        <v>-1</v>
      </c>
      <c r="AV416">
        <v>-1</v>
      </c>
      <c r="AW416">
        <v>-1</v>
      </c>
      <c r="AX416">
        <v>-1</v>
      </c>
      <c r="AY416">
        <v>-1</v>
      </c>
      <c r="AZ416">
        <v>-1</v>
      </c>
      <c r="BA416">
        <v>-1</v>
      </c>
      <c r="BB416">
        <v>0</v>
      </c>
      <c r="BC416" t="s">
        <v>2</v>
      </c>
      <c r="BD416">
        <v>-1</v>
      </c>
      <c r="BE416">
        <v>-1</v>
      </c>
      <c r="BF416">
        <v>-1</v>
      </c>
      <c r="BG416">
        <v>-1</v>
      </c>
      <c r="BH416">
        <v>-1</v>
      </c>
      <c r="BI416">
        <v>-1</v>
      </c>
      <c r="BJ416">
        <v>-1</v>
      </c>
      <c r="BK416">
        <v>-1</v>
      </c>
      <c r="BL416">
        <v>-1</v>
      </c>
      <c r="BM416">
        <v>-1</v>
      </c>
      <c r="BN416">
        <v>-1</v>
      </c>
      <c r="BO416">
        <v>-1</v>
      </c>
    </row>
    <row r="417" spans="1:67" x14ac:dyDescent="0.25">
      <c r="A417">
        <v>414</v>
      </c>
      <c r="B417">
        <v>9015</v>
      </c>
      <c r="C417" t="str">
        <f>VLOOKUP(B417,[1]resources!$A$2:$D$300,3,FALSE)</f>
        <v>!!FOOD_RUSTYS_PULLED_PULP_SANDWICH</v>
      </c>
      <c r="D417">
        <v>31</v>
      </c>
      <c r="E417" t="str">
        <f>VLOOKUP(D417,[1]bonus_paytable!$A$2:$D$300,3,FALSE)</f>
        <v>halloween_ghost01</v>
      </c>
      <c r="F417">
        <v>-1</v>
      </c>
      <c r="G417">
        <v>-1</v>
      </c>
      <c r="H417">
        <v>1</v>
      </c>
      <c r="I417" t="s">
        <v>1</v>
      </c>
      <c r="J417">
        <v>9000</v>
      </c>
      <c r="K417">
        <v>9001</v>
      </c>
      <c r="L417">
        <v>9014</v>
      </c>
      <c r="M417">
        <v>9015</v>
      </c>
      <c r="N417">
        <v>9018</v>
      </c>
      <c r="O417">
        <v>9019</v>
      </c>
      <c r="P417">
        <v>-1</v>
      </c>
      <c r="Q417">
        <v>-1</v>
      </c>
      <c r="R417">
        <v>-1</v>
      </c>
      <c r="S417">
        <v>-1</v>
      </c>
      <c r="T417">
        <v>-1</v>
      </c>
      <c r="U417" s="2">
        <v>0.05</v>
      </c>
      <c r="V417" s="2">
        <v>0.05</v>
      </c>
      <c r="W417" s="2">
        <v>0.05</v>
      </c>
      <c r="X417" s="2">
        <v>0.03</v>
      </c>
      <c r="Y417" s="2">
        <v>0.03</v>
      </c>
      <c r="Z417" s="2">
        <v>0.01</v>
      </c>
      <c r="AA417">
        <v>-1</v>
      </c>
      <c r="AB417">
        <v>-1</v>
      </c>
      <c r="AC417">
        <v>-1</v>
      </c>
      <c r="AD417">
        <v>-1</v>
      </c>
      <c r="AE417">
        <v>-1</v>
      </c>
      <c r="AF417">
        <f t="shared" si="56"/>
        <v>1</v>
      </c>
      <c r="AG417">
        <f t="shared" si="57"/>
        <v>1</v>
      </c>
      <c r="AH417">
        <f t="shared" si="58"/>
        <v>1</v>
      </c>
      <c r="AI417">
        <f t="shared" si="59"/>
        <v>1</v>
      </c>
      <c r="AJ417">
        <f t="shared" si="60"/>
        <v>1</v>
      </c>
      <c r="AK417">
        <f t="shared" si="61"/>
        <v>1</v>
      </c>
      <c r="AL417">
        <f t="shared" si="62"/>
        <v>-1</v>
      </c>
      <c r="AM417">
        <f t="shared" si="63"/>
        <v>-1</v>
      </c>
      <c r="AN417">
        <f t="shared" si="64"/>
        <v>-1</v>
      </c>
      <c r="AO417">
        <f t="shared" si="65"/>
        <v>-1</v>
      </c>
      <c r="AP417">
        <f t="shared" si="66"/>
        <v>-1</v>
      </c>
      <c r="AQ417">
        <v>0</v>
      </c>
      <c r="AR417" t="s">
        <v>2</v>
      </c>
      <c r="AS417">
        <v>-1</v>
      </c>
      <c r="AT417">
        <v>-1</v>
      </c>
      <c r="AU417">
        <v>-1</v>
      </c>
      <c r="AV417">
        <v>-1</v>
      </c>
      <c r="AW417">
        <v>-1</v>
      </c>
      <c r="AX417">
        <v>-1</v>
      </c>
      <c r="AY417">
        <v>-1</v>
      </c>
      <c r="AZ417">
        <v>-1</v>
      </c>
      <c r="BA417">
        <v>-1</v>
      </c>
      <c r="BB417">
        <v>0</v>
      </c>
      <c r="BC417" t="s">
        <v>2</v>
      </c>
      <c r="BD417">
        <v>-1</v>
      </c>
      <c r="BE417">
        <v>-1</v>
      </c>
      <c r="BF417">
        <v>-1</v>
      </c>
      <c r="BG417">
        <v>-1</v>
      </c>
      <c r="BH417">
        <v>-1</v>
      </c>
      <c r="BI417">
        <v>-1</v>
      </c>
      <c r="BJ417">
        <v>-1</v>
      </c>
      <c r="BK417">
        <v>-1</v>
      </c>
      <c r="BL417">
        <v>-1</v>
      </c>
      <c r="BM417">
        <v>-1</v>
      </c>
      <c r="BN417">
        <v>-1</v>
      </c>
      <c r="BO417">
        <v>-1</v>
      </c>
    </row>
    <row r="418" spans="1:67" x14ac:dyDescent="0.25">
      <c r="A418">
        <v>415</v>
      </c>
      <c r="B418">
        <v>9018</v>
      </c>
      <c r="C418" t="str">
        <f>VLOOKUP(B418,[1]resources!$A$2:$D$300,3,FALSE)</f>
        <v>!!FOOD_RUSTYS_SPLINTERED_SLAW</v>
      </c>
      <c r="D418">
        <v>31</v>
      </c>
      <c r="E418" t="str">
        <f>VLOOKUP(D418,[1]bonus_paytable!$A$2:$D$300,3,FALSE)</f>
        <v>halloween_ghost01</v>
      </c>
      <c r="F418">
        <v>-1</v>
      </c>
      <c r="G418">
        <v>-1</v>
      </c>
      <c r="H418">
        <v>1</v>
      </c>
      <c r="I418" t="s">
        <v>1</v>
      </c>
      <c r="J418">
        <v>9000</v>
      </c>
      <c r="K418">
        <v>9001</v>
      </c>
      <c r="L418">
        <v>9014</v>
      </c>
      <c r="M418">
        <v>9015</v>
      </c>
      <c r="N418">
        <v>9018</v>
      </c>
      <c r="O418">
        <v>9019</v>
      </c>
      <c r="P418">
        <v>-1</v>
      </c>
      <c r="Q418">
        <v>-1</v>
      </c>
      <c r="R418">
        <v>-1</v>
      </c>
      <c r="S418">
        <v>-1</v>
      </c>
      <c r="T418">
        <v>-1</v>
      </c>
      <c r="U418" s="2">
        <v>0.05</v>
      </c>
      <c r="V418" s="2">
        <v>0.05</v>
      </c>
      <c r="W418" s="2">
        <v>0.05</v>
      </c>
      <c r="X418" s="2">
        <v>0.03</v>
      </c>
      <c r="Y418" s="2">
        <v>0.03</v>
      </c>
      <c r="Z418" s="2">
        <v>0.01</v>
      </c>
      <c r="AA418">
        <v>-1</v>
      </c>
      <c r="AB418">
        <v>-1</v>
      </c>
      <c r="AC418">
        <v>-1</v>
      </c>
      <c r="AD418">
        <v>-1</v>
      </c>
      <c r="AE418">
        <v>-1</v>
      </c>
      <c r="AF418">
        <f t="shared" si="56"/>
        <v>1</v>
      </c>
      <c r="AG418">
        <f t="shared" si="57"/>
        <v>1</v>
      </c>
      <c r="AH418">
        <f t="shared" si="58"/>
        <v>1</v>
      </c>
      <c r="AI418">
        <f t="shared" si="59"/>
        <v>1</v>
      </c>
      <c r="AJ418">
        <f t="shared" si="60"/>
        <v>1</v>
      </c>
      <c r="AK418">
        <f t="shared" si="61"/>
        <v>1</v>
      </c>
      <c r="AL418">
        <f t="shared" si="62"/>
        <v>-1</v>
      </c>
      <c r="AM418">
        <f t="shared" si="63"/>
        <v>-1</v>
      </c>
      <c r="AN418">
        <f t="shared" si="64"/>
        <v>-1</v>
      </c>
      <c r="AO418">
        <f t="shared" si="65"/>
        <v>-1</v>
      </c>
      <c r="AP418">
        <f t="shared" si="66"/>
        <v>-1</v>
      </c>
      <c r="AQ418">
        <v>0</v>
      </c>
      <c r="AR418" t="s">
        <v>2</v>
      </c>
      <c r="AS418">
        <v>-1</v>
      </c>
      <c r="AT418">
        <v>-1</v>
      </c>
      <c r="AU418">
        <v>-1</v>
      </c>
      <c r="AV418">
        <v>-1</v>
      </c>
      <c r="AW418">
        <v>-1</v>
      </c>
      <c r="AX418">
        <v>-1</v>
      </c>
      <c r="AY418">
        <v>-1</v>
      </c>
      <c r="AZ418">
        <v>-1</v>
      </c>
      <c r="BA418">
        <v>-1</v>
      </c>
      <c r="BB418">
        <v>0</v>
      </c>
      <c r="BC418" t="s">
        <v>2</v>
      </c>
      <c r="BD418">
        <v>-1</v>
      </c>
      <c r="BE418">
        <v>-1</v>
      </c>
      <c r="BF418">
        <v>-1</v>
      </c>
      <c r="BG418">
        <v>-1</v>
      </c>
      <c r="BH418">
        <v>-1</v>
      </c>
      <c r="BI418">
        <v>-1</v>
      </c>
      <c r="BJ418">
        <v>-1</v>
      </c>
      <c r="BK418">
        <v>-1</v>
      </c>
      <c r="BL418">
        <v>-1</v>
      </c>
      <c r="BM418">
        <v>-1</v>
      </c>
      <c r="BN418">
        <v>-1</v>
      </c>
      <c r="BO418">
        <v>-1</v>
      </c>
    </row>
    <row r="419" spans="1:67" x14ac:dyDescent="0.25">
      <c r="A419">
        <v>416</v>
      </c>
      <c r="B419">
        <v>9019</v>
      </c>
      <c r="C419" t="str">
        <f>VLOOKUP(B419,[1]resources!$A$2:$D$300,3,FALSE)</f>
        <v>!!FOOD_RUSTYS_RIBEYE_SANDWICH</v>
      </c>
      <c r="D419">
        <v>31</v>
      </c>
      <c r="E419" t="str">
        <f>VLOOKUP(D419,[1]bonus_paytable!$A$2:$D$300,3,FALSE)</f>
        <v>halloween_ghost01</v>
      </c>
      <c r="F419">
        <v>-1</v>
      </c>
      <c r="G419">
        <v>-1</v>
      </c>
      <c r="H419">
        <v>1</v>
      </c>
      <c r="I419" t="s">
        <v>1</v>
      </c>
      <c r="J419">
        <v>9000</v>
      </c>
      <c r="K419">
        <v>9001</v>
      </c>
      <c r="L419">
        <v>9014</v>
      </c>
      <c r="M419">
        <v>9015</v>
      </c>
      <c r="N419">
        <v>9018</v>
      </c>
      <c r="O419">
        <v>9019</v>
      </c>
      <c r="P419">
        <v>-1</v>
      </c>
      <c r="Q419">
        <v>-1</v>
      </c>
      <c r="R419">
        <v>-1</v>
      </c>
      <c r="S419">
        <v>-1</v>
      </c>
      <c r="T419">
        <v>-1</v>
      </c>
      <c r="U419" s="2">
        <v>0.05</v>
      </c>
      <c r="V419" s="2">
        <v>0.05</v>
      </c>
      <c r="W419" s="2">
        <v>0.05</v>
      </c>
      <c r="X419" s="2">
        <v>0.03</v>
      </c>
      <c r="Y419" s="2">
        <v>0.03</v>
      </c>
      <c r="Z419" s="2">
        <v>0.01</v>
      </c>
      <c r="AA419">
        <v>-1</v>
      </c>
      <c r="AB419">
        <v>-1</v>
      </c>
      <c r="AC419">
        <v>-1</v>
      </c>
      <c r="AD419">
        <v>-1</v>
      </c>
      <c r="AE419">
        <v>-1</v>
      </c>
      <c r="AF419">
        <f t="shared" si="56"/>
        <v>1</v>
      </c>
      <c r="AG419">
        <f t="shared" si="57"/>
        <v>1</v>
      </c>
      <c r="AH419">
        <f t="shared" si="58"/>
        <v>1</v>
      </c>
      <c r="AI419">
        <f t="shared" si="59"/>
        <v>1</v>
      </c>
      <c r="AJ419">
        <f t="shared" si="60"/>
        <v>1</v>
      </c>
      <c r="AK419">
        <f t="shared" si="61"/>
        <v>1</v>
      </c>
      <c r="AL419">
        <f t="shared" si="62"/>
        <v>-1</v>
      </c>
      <c r="AM419">
        <f t="shared" si="63"/>
        <v>-1</v>
      </c>
      <c r="AN419">
        <f t="shared" si="64"/>
        <v>-1</v>
      </c>
      <c r="AO419">
        <f t="shared" si="65"/>
        <v>-1</v>
      </c>
      <c r="AP419">
        <f t="shared" si="66"/>
        <v>-1</v>
      </c>
      <c r="AQ419">
        <v>0</v>
      </c>
      <c r="AR419" t="s">
        <v>2</v>
      </c>
      <c r="AS419">
        <v>-1</v>
      </c>
      <c r="AT419">
        <v>-1</v>
      </c>
      <c r="AU419">
        <v>-1</v>
      </c>
      <c r="AV419">
        <v>-1</v>
      </c>
      <c r="AW419">
        <v>-1</v>
      </c>
      <c r="AX419">
        <v>-1</v>
      </c>
      <c r="AY419">
        <v>-1</v>
      </c>
      <c r="AZ419">
        <v>-1</v>
      </c>
      <c r="BA419">
        <v>-1</v>
      </c>
      <c r="BB419">
        <v>0</v>
      </c>
      <c r="BC419" t="s">
        <v>2</v>
      </c>
      <c r="BD419">
        <v>-1</v>
      </c>
      <c r="BE419">
        <v>-1</v>
      </c>
      <c r="BF419">
        <v>-1</v>
      </c>
      <c r="BG419">
        <v>-1</v>
      </c>
      <c r="BH419">
        <v>-1</v>
      </c>
      <c r="BI419">
        <v>-1</v>
      </c>
      <c r="BJ419">
        <v>-1</v>
      </c>
      <c r="BK419">
        <v>-1</v>
      </c>
      <c r="BL419">
        <v>-1</v>
      </c>
      <c r="BM419">
        <v>-1</v>
      </c>
      <c r="BN419">
        <v>-1</v>
      </c>
      <c r="BO419">
        <v>-1</v>
      </c>
    </row>
    <row r="420" spans="1:67" x14ac:dyDescent="0.25">
      <c r="A420">
        <v>417</v>
      </c>
      <c r="B420">
        <v>9016</v>
      </c>
      <c r="C420" t="str">
        <f>VLOOKUP(B420,[1]resources!$A$2:$D$300,3,FALSE)</f>
        <v>!!FOOD_RUSTYS_RUSTY_ON_RYE</v>
      </c>
      <c r="D420">
        <v>32</v>
      </c>
      <c r="E420" t="str">
        <f>VLOOKUP(D420,[1]bonus_paytable!$A$2:$D$300,3,FALSE)</f>
        <v>halloween_ghost02</v>
      </c>
      <c r="F420">
        <v>-1</v>
      </c>
      <c r="G420">
        <v>-1</v>
      </c>
      <c r="H420">
        <v>1</v>
      </c>
      <c r="I420" t="s">
        <v>1</v>
      </c>
      <c r="J420">
        <v>9000</v>
      </c>
      <c r="K420">
        <v>9001</v>
      </c>
      <c r="L420">
        <v>9014</v>
      </c>
      <c r="M420">
        <v>9015</v>
      </c>
      <c r="N420">
        <v>9018</v>
      </c>
      <c r="O420">
        <v>9019</v>
      </c>
      <c r="P420">
        <v>-1</v>
      </c>
      <c r="Q420">
        <v>-1</v>
      </c>
      <c r="R420">
        <v>-1</v>
      </c>
      <c r="S420">
        <v>-1</v>
      </c>
      <c r="T420">
        <v>-1</v>
      </c>
      <c r="U420" s="2">
        <v>0.05</v>
      </c>
      <c r="V420" s="2">
        <v>0.05</v>
      </c>
      <c r="W420" s="2">
        <v>0.05</v>
      </c>
      <c r="X420" s="2">
        <v>0.03</v>
      </c>
      <c r="Y420" s="2">
        <v>0.03</v>
      </c>
      <c r="Z420" s="2">
        <v>0.01</v>
      </c>
      <c r="AA420">
        <v>-1</v>
      </c>
      <c r="AB420">
        <v>-1</v>
      </c>
      <c r="AC420">
        <v>-1</v>
      </c>
      <c r="AD420">
        <v>-1</v>
      </c>
      <c r="AE420">
        <v>-1</v>
      </c>
      <c r="AF420">
        <f t="shared" si="56"/>
        <v>1</v>
      </c>
      <c r="AG420">
        <f t="shared" si="57"/>
        <v>1</v>
      </c>
      <c r="AH420">
        <f t="shared" si="58"/>
        <v>1</v>
      </c>
      <c r="AI420">
        <f t="shared" si="59"/>
        <v>1</v>
      </c>
      <c r="AJ420">
        <f t="shared" si="60"/>
        <v>1</v>
      </c>
      <c r="AK420">
        <f t="shared" si="61"/>
        <v>1</v>
      </c>
      <c r="AL420">
        <f t="shared" si="62"/>
        <v>-1</v>
      </c>
      <c r="AM420">
        <f t="shared" si="63"/>
        <v>-1</v>
      </c>
      <c r="AN420">
        <f t="shared" si="64"/>
        <v>-1</v>
      </c>
      <c r="AO420">
        <f t="shared" si="65"/>
        <v>-1</v>
      </c>
      <c r="AP420">
        <f t="shared" si="66"/>
        <v>-1</v>
      </c>
      <c r="AQ420">
        <v>0</v>
      </c>
      <c r="AR420" t="s">
        <v>2</v>
      </c>
      <c r="AS420">
        <v>-1</v>
      </c>
      <c r="AT420">
        <v>-1</v>
      </c>
      <c r="AU420">
        <v>-1</v>
      </c>
      <c r="AV420">
        <v>-1</v>
      </c>
      <c r="AW420">
        <v>-1</v>
      </c>
      <c r="AX420">
        <v>-1</v>
      </c>
      <c r="AY420">
        <v>-1</v>
      </c>
      <c r="AZ420">
        <v>-1</v>
      </c>
      <c r="BA420">
        <v>-1</v>
      </c>
      <c r="BB420">
        <v>0</v>
      </c>
      <c r="BC420" t="s">
        <v>2</v>
      </c>
      <c r="BD420">
        <v>-1</v>
      </c>
      <c r="BE420">
        <v>-1</v>
      </c>
      <c r="BF420">
        <v>-1</v>
      </c>
      <c r="BG420">
        <v>-1</v>
      </c>
      <c r="BH420">
        <v>-1</v>
      </c>
      <c r="BI420">
        <v>-1</v>
      </c>
      <c r="BJ420">
        <v>-1</v>
      </c>
      <c r="BK420">
        <v>-1</v>
      </c>
      <c r="BL420">
        <v>-1</v>
      </c>
      <c r="BM420">
        <v>-1</v>
      </c>
      <c r="BN420">
        <v>-1</v>
      </c>
      <c r="BO420">
        <v>-1</v>
      </c>
    </row>
    <row r="421" spans="1:67" x14ac:dyDescent="0.25">
      <c r="A421">
        <v>418</v>
      </c>
      <c r="B421">
        <v>9000</v>
      </c>
      <c r="C421" t="str">
        <f>VLOOKUP(B421,[1]resources!$A$2:$D$300,3,FALSE)</f>
        <v>!!FOOD_RUSTYS_BARK_CHOP_SANDWICH</v>
      </c>
      <c r="D421">
        <v>32</v>
      </c>
      <c r="E421" t="str">
        <f>VLOOKUP(D421,[1]bonus_paytable!$A$2:$D$300,3,FALSE)</f>
        <v>halloween_ghost02</v>
      </c>
      <c r="F421">
        <v>-1</v>
      </c>
      <c r="G421">
        <v>-1</v>
      </c>
      <c r="H421">
        <v>1</v>
      </c>
      <c r="I421" t="s">
        <v>1</v>
      </c>
      <c r="J421">
        <v>9000</v>
      </c>
      <c r="K421">
        <v>9001</v>
      </c>
      <c r="L421">
        <v>9014</v>
      </c>
      <c r="M421">
        <v>9015</v>
      </c>
      <c r="N421">
        <v>9018</v>
      </c>
      <c r="O421">
        <v>9019</v>
      </c>
      <c r="P421">
        <v>-1</v>
      </c>
      <c r="Q421">
        <v>-1</v>
      </c>
      <c r="R421">
        <v>-1</v>
      </c>
      <c r="S421">
        <v>-1</v>
      </c>
      <c r="T421">
        <v>-1</v>
      </c>
      <c r="U421" s="2">
        <v>0.05</v>
      </c>
      <c r="V421" s="2">
        <v>0.05</v>
      </c>
      <c r="W421" s="2">
        <v>0.05</v>
      </c>
      <c r="X421" s="2">
        <v>0.03</v>
      </c>
      <c r="Y421" s="2">
        <v>0.03</v>
      </c>
      <c r="Z421" s="2">
        <v>0.01</v>
      </c>
      <c r="AA421">
        <v>-1</v>
      </c>
      <c r="AB421">
        <v>-1</v>
      </c>
      <c r="AC421">
        <v>-1</v>
      </c>
      <c r="AD421">
        <v>-1</v>
      </c>
      <c r="AE421">
        <v>-1</v>
      </c>
      <c r="AF421">
        <f t="shared" si="56"/>
        <v>1</v>
      </c>
      <c r="AG421">
        <f t="shared" si="57"/>
        <v>1</v>
      </c>
      <c r="AH421">
        <f t="shared" si="58"/>
        <v>1</v>
      </c>
      <c r="AI421">
        <f t="shared" si="59"/>
        <v>1</v>
      </c>
      <c r="AJ421">
        <f t="shared" si="60"/>
        <v>1</v>
      </c>
      <c r="AK421">
        <f t="shared" si="61"/>
        <v>1</v>
      </c>
      <c r="AL421">
        <f t="shared" si="62"/>
        <v>-1</v>
      </c>
      <c r="AM421">
        <f t="shared" si="63"/>
        <v>-1</v>
      </c>
      <c r="AN421">
        <f t="shared" si="64"/>
        <v>-1</v>
      </c>
      <c r="AO421">
        <f t="shared" si="65"/>
        <v>-1</v>
      </c>
      <c r="AP421">
        <f t="shared" si="66"/>
        <v>-1</v>
      </c>
      <c r="AQ421">
        <v>0</v>
      </c>
      <c r="AR421" t="s">
        <v>2</v>
      </c>
      <c r="AS421">
        <v>-1</v>
      </c>
      <c r="AT421">
        <v>-1</v>
      </c>
      <c r="AU421">
        <v>-1</v>
      </c>
      <c r="AV421">
        <v>-1</v>
      </c>
      <c r="AW421">
        <v>-1</v>
      </c>
      <c r="AX421">
        <v>-1</v>
      </c>
      <c r="AY421">
        <v>-1</v>
      </c>
      <c r="AZ421">
        <v>-1</v>
      </c>
      <c r="BA421">
        <v>-1</v>
      </c>
      <c r="BB421">
        <v>0</v>
      </c>
      <c r="BC421" t="s">
        <v>2</v>
      </c>
      <c r="BD421">
        <v>-1</v>
      </c>
      <c r="BE421">
        <v>-1</v>
      </c>
      <c r="BF421">
        <v>-1</v>
      </c>
      <c r="BG421">
        <v>-1</v>
      </c>
      <c r="BH421">
        <v>-1</v>
      </c>
      <c r="BI421">
        <v>-1</v>
      </c>
      <c r="BJ421">
        <v>-1</v>
      </c>
      <c r="BK421">
        <v>-1</v>
      </c>
      <c r="BL421">
        <v>-1</v>
      </c>
      <c r="BM421">
        <v>-1</v>
      </c>
      <c r="BN421">
        <v>-1</v>
      </c>
      <c r="BO421">
        <v>-1</v>
      </c>
    </row>
    <row r="422" spans="1:67" x14ac:dyDescent="0.25">
      <c r="A422">
        <v>419</v>
      </c>
      <c r="B422">
        <v>9001</v>
      </c>
      <c r="C422" t="str">
        <f>VLOOKUP(B422,[1]resources!$A$2:$D$300,3,FALSE)</f>
        <v>!!FOOD_RUSTYS_BARKING_BRISKET</v>
      </c>
      <c r="D422">
        <v>32</v>
      </c>
      <c r="E422" t="str">
        <f>VLOOKUP(D422,[1]bonus_paytable!$A$2:$D$300,3,FALSE)</f>
        <v>halloween_ghost02</v>
      </c>
      <c r="F422">
        <v>-1</v>
      </c>
      <c r="G422">
        <v>-1</v>
      </c>
      <c r="H422">
        <v>1</v>
      </c>
      <c r="I422" t="s">
        <v>1</v>
      </c>
      <c r="J422">
        <v>9000</v>
      </c>
      <c r="K422">
        <v>9001</v>
      </c>
      <c r="L422">
        <v>9014</v>
      </c>
      <c r="M422">
        <v>9015</v>
      </c>
      <c r="N422">
        <v>9018</v>
      </c>
      <c r="O422">
        <v>9019</v>
      </c>
      <c r="P422">
        <v>-1</v>
      </c>
      <c r="Q422">
        <v>-1</v>
      </c>
      <c r="R422">
        <v>-1</v>
      </c>
      <c r="S422">
        <v>-1</v>
      </c>
      <c r="T422">
        <v>-1</v>
      </c>
      <c r="U422" s="2">
        <v>0.05</v>
      </c>
      <c r="V422" s="2">
        <v>0.05</v>
      </c>
      <c r="W422" s="2">
        <v>0.05</v>
      </c>
      <c r="X422" s="2">
        <v>0.03</v>
      </c>
      <c r="Y422" s="2">
        <v>0.03</v>
      </c>
      <c r="Z422" s="2">
        <v>0.01</v>
      </c>
      <c r="AA422">
        <v>-1</v>
      </c>
      <c r="AB422">
        <v>-1</v>
      </c>
      <c r="AC422">
        <v>-1</v>
      </c>
      <c r="AD422">
        <v>-1</v>
      </c>
      <c r="AE422">
        <v>-1</v>
      </c>
      <c r="AF422">
        <f t="shared" si="56"/>
        <v>1</v>
      </c>
      <c r="AG422">
        <f t="shared" si="57"/>
        <v>1</v>
      </c>
      <c r="AH422">
        <f t="shared" si="58"/>
        <v>1</v>
      </c>
      <c r="AI422">
        <f t="shared" si="59"/>
        <v>1</v>
      </c>
      <c r="AJ422">
        <f t="shared" si="60"/>
        <v>1</v>
      </c>
      <c r="AK422">
        <f t="shared" si="61"/>
        <v>1</v>
      </c>
      <c r="AL422">
        <f t="shared" si="62"/>
        <v>-1</v>
      </c>
      <c r="AM422">
        <f t="shared" si="63"/>
        <v>-1</v>
      </c>
      <c r="AN422">
        <f t="shared" si="64"/>
        <v>-1</v>
      </c>
      <c r="AO422">
        <f t="shared" si="65"/>
        <v>-1</v>
      </c>
      <c r="AP422">
        <f t="shared" si="66"/>
        <v>-1</v>
      </c>
      <c r="AQ422">
        <v>0</v>
      </c>
      <c r="AR422" t="s">
        <v>2</v>
      </c>
      <c r="AS422">
        <v>-1</v>
      </c>
      <c r="AT422">
        <v>-1</v>
      </c>
      <c r="AU422">
        <v>-1</v>
      </c>
      <c r="AV422">
        <v>-1</v>
      </c>
      <c r="AW422">
        <v>-1</v>
      </c>
      <c r="AX422">
        <v>-1</v>
      </c>
      <c r="AY422">
        <v>-1</v>
      </c>
      <c r="AZ422">
        <v>-1</v>
      </c>
      <c r="BA422">
        <v>-1</v>
      </c>
      <c r="BB422">
        <v>0</v>
      </c>
      <c r="BC422" t="s">
        <v>2</v>
      </c>
      <c r="BD422">
        <v>-1</v>
      </c>
      <c r="BE422">
        <v>-1</v>
      </c>
      <c r="BF422">
        <v>-1</v>
      </c>
      <c r="BG422">
        <v>-1</v>
      </c>
      <c r="BH422">
        <v>-1</v>
      </c>
      <c r="BI422">
        <v>-1</v>
      </c>
      <c r="BJ422">
        <v>-1</v>
      </c>
      <c r="BK422">
        <v>-1</v>
      </c>
      <c r="BL422">
        <v>-1</v>
      </c>
      <c r="BM422">
        <v>-1</v>
      </c>
      <c r="BN422">
        <v>-1</v>
      </c>
      <c r="BO422">
        <v>-1</v>
      </c>
    </row>
    <row r="423" spans="1:67" x14ac:dyDescent="0.25">
      <c r="A423">
        <v>420</v>
      </c>
      <c r="B423">
        <v>9014</v>
      </c>
      <c r="C423" t="str">
        <f>VLOOKUP(B423,[1]resources!$A$2:$D$300,3,FALSE)</f>
        <v>!!FOOD_RUSTYS_MESQUITE_RIBS</v>
      </c>
      <c r="D423">
        <v>32</v>
      </c>
      <c r="E423" t="str">
        <f>VLOOKUP(D423,[1]bonus_paytable!$A$2:$D$300,3,FALSE)</f>
        <v>halloween_ghost02</v>
      </c>
      <c r="F423">
        <v>-1</v>
      </c>
      <c r="G423">
        <v>-1</v>
      </c>
      <c r="H423">
        <v>1</v>
      </c>
      <c r="I423" t="s">
        <v>1</v>
      </c>
      <c r="J423">
        <v>9000</v>
      </c>
      <c r="K423">
        <v>9001</v>
      </c>
      <c r="L423">
        <v>9014</v>
      </c>
      <c r="M423">
        <v>9015</v>
      </c>
      <c r="N423">
        <v>9018</v>
      </c>
      <c r="O423">
        <v>9019</v>
      </c>
      <c r="P423">
        <v>-1</v>
      </c>
      <c r="Q423">
        <v>-1</v>
      </c>
      <c r="R423">
        <v>-1</v>
      </c>
      <c r="S423">
        <v>-1</v>
      </c>
      <c r="T423">
        <v>-1</v>
      </c>
      <c r="U423" s="2">
        <v>0.05</v>
      </c>
      <c r="V423" s="2">
        <v>0.05</v>
      </c>
      <c r="W423" s="2">
        <v>0.05</v>
      </c>
      <c r="X423" s="2">
        <v>0.03</v>
      </c>
      <c r="Y423" s="2">
        <v>0.03</v>
      </c>
      <c r="Z423" s="2">
        <v>0.01</v>
      </c>
      <c r="AA423">
        <v>-1</v>
      </c>
      <c r="AB423">
        <v>-1</v>
      </c>
      <c r="AC423">
        <v>-1</v>
      </c>
      <c r="AD423">
        <v>-1</v>
      </c>
      <c r="AE423">
        <v>-1</v>
      </c>
      <c r="AF423">
        <f t="shared" si="56"/>
        <v>1</v>
      </c>
      <c r="AG423">
        <f t="shared" si="57"/>
        <v>1</v>
      </c>
      <c r="AH423">
        <f t="shared" si="58"/>
        <v>1</v>
      </c>
      <c r="AI423">
        <f t="shared" si="59"/>
        <v>1</v>
      </c>
      <c r="AJ423">
        <f t="shared" si="60"/>
        <v>1</v>
      </c>
      <c r="AK423">
        <f t="shared" si="61"/>
        <v>1</v>
      </c>
      <c r="AL423">
        <f t="shared" si="62"/>
        <v>-1</v>
      </c>
      <c r="AM423">
        <f t="shared" si="63"/>
        <v>-1</v>
      </c>
      <c r="AN423">
        <f t="shared" si="64"/>
        <v>-1</v>
      </c>
      <c r="AO423">
        <f t="shared" si="65"/>
        <v>-1</v>
      </c>
      <c r="AP423">
        <f t="shared" si="66"/>
        <v>-1</v>
      </c>
      <c r="AQ423">
        <v>0</v>
      </c>
      <c r="AR423" t="s">
        <v>2</v>
      </c>
      <c r="AS423">
        <v>-1</v>
      </c>
      <c r="AT423">
        <v>-1</v>
      </c>
      <c r="AU423">
        <v>-1</v>
      </c>
      <c r="AV423">
        <v>-1</v>
      </c>
      <c r="AW423">
        <v>-1</v>
      </c>
      <c r="AX423">
        <v>-1</v>
      </c>
      <c r="AY423">
        <v>-1</v>
      </c>
      <c r="AZ423">
        <v>-1</v>
      </c>
      <c r="BA423">
        <v>-1</v>
      </c>
      <c r="BB423">
        <v>0</v>
      </c>
      <c r="BC423" t="s">
        <v>2</v>
      </c>
      <c r="BD423">
        <v>-1</v>
      </c>
      <c r="BE423">
        <v>-1</v>
      </c>
      <c r="BF423">
        <v>-1</v>
      </c>
      <c r="BG423">
        <v>-1</v>
      </c>
      <c r="BH423">
        <v>-1</v>
      </c>
      <c r="BI423">
        <v>-1</v>
      </c>
      <c r="BJ423">
        <v>-1</v>
      </c>
      <c r="BK423">
        <v>-1</v>
      </c>
      <c r="BL423">
        <v>-1</v>
      </c>
      <c r="BM423">
        <v>-1</v>
      </c>
      <c r="BN423">
        <v>-1</v>
      </c>
      <c r="BO423">
        <v>-1</v>
      </c>
    </row>
    <row r="424" spans="1:67" x14ac:dyDescent="0.25">
      <c r="A424">
        <v>421</v>
      </c>
      <c r="B424">
        <v>9015</v>
      </c>
      <c r="C424" t="str">
        <f>VLOOKUP(B424,[1]resources!$A$2:$D$300,3,FALSE)</f>
        <v>!!FOOD_RUSTYS_PULLED_PULP_SANDWICH</v>
      </c>
      <c r="D424">
        <v>32</v>
      </c>
      <c r="E424" t="str">
        <f>VLOOKUP(D424,[1]bonus_paytable!$A$2:$D$300,3,FALSE)</f>
        <v>halloween_ghost02</v>
      </c>
      <c r="F424">
        <v>-1</v>
      </c>
      <c r="G424">
        <v>-1</v>
      </c>
      <c r="H424">
        <v>1</v>
      </c>
      <c r="I424" t="s">
        <v>1</v>
      </c>
      <c r="J424">
        <v>9000</v>
      </c>
      <c r="K424">
        <v>9001</v>
      </c>
      <c r="L424">
        <v>9014</v>
      </c>
      <c r="M424">
        <v>9015</v>
      </c>
      <c r="N424">
        <v>9018</v>
      </c>
      <c r="O424">
        <v>9019</v>
      </c>
      <c r="P424">
        <v>-1</v>
      </c>
      <c r="Q424">
        <v>-1</v>
      </c>
      <c r="R424">
        <v>-1</v>
      </c>
      <c r="S424">
        <v>-1</v>
      </c>
      <c r="T424">
        <v>-1</v>
      </c>
      <c r="U424" s="2">
        <v>0.05</v>
      </c>
      <c r="V424" s="2">
        <v>0.05</v>
      </c>
      <c r="W424" s="2">
        <v>0.05</v>
      </c>
      <c r="X424" s="2">
        <v>0.03</v>
      </c>
      <c r="Y424" s="2">
        <v>0.03</v>
      </c>
      <c r="Z424" s="2">
        <v>0.01</v>
      </c>
      <c r="AA424">
        <v>-1</v>
      </c>
      <c r="AB424">
        <v>-1</v>
      </c>
      <c r="AC424">
        <v>-1</v>
      </c>
      <c r="AD424">
        <v>-1</v>
      </c>
      <c r="AE424">
        <v>-1</v>
      </c>
      <c r="AF424">
        <f t="shared" si="56"/>
        <v>1</v>
      </c>
      <c r="AG424">
        <f t="shared" si="57"/>
        <v>1</v>
      </c>
      <c r="AH424">
        <f t="shared" si="58"/>
        <v>1</v>
      </c>
      <c r="AI424">
        <f t="shared" si="59"/>
        <v>1</v>
      </c>
      <c r="AJ424">
        <f t="shared" si="60"/>
        <v>1</v>
      </c>
      <c r="AK424">
        <f t="shared" si="61"/>
        <v>1</v>
      </c>
      <c r="AL424">
        <f t="shared" si="62"/>
        <v>-1</v>
      </c>
      <c r="AM424">
        <f t="shared" si="63"/>
        <v>-1</v>
      </c>
      <c r="AN424">
        <f t="shared" si="64"/>
        <v>-1</v>
      </c>
      <c r="AO424">
        <f t="shared" si="65"/>
        <v>-1</v>
      </c>
      <c r="AP424">
        <f t="shared" si="66"/>
        <v>-1</v>
      </c>
      <c r="AQ424">
        <v>0</v>
      </c>
      <c r="AR424" t="s">
        <v>2</v>
      </c>
      <c r="AS424">
        <v>-1</v>
      </c>
      <c r="AT424">
        <v>-1</v>
      </c>
      <c r="AU424">
        <v>-1</v>
      </c>
      <c r="AV424">
        <v>-1</v>
      </c>
      <c r="AW424">
        <v>-1</v>
      </c>
      <c r="AX424">
        <v>-1</v>
      </c>
      <c r="AY424">
        <v>-1</v>
      </c>
      <c r="AZ424">
        <v>-1</v>
      </c>
      <c r="BA424">
        <v>-1</v>
      </c>
      <c r="BB424">
        <v>0</v>
      </c>
      <c r="BC424" t="s">
        <v>2</v>
      </c>
      <c r="BD424">
        <v>-1</v>
      </c>
      <c r="BE424">
        <v>-1</v>
      </c>
      <c r="BF424">
        <v>-1</v>
      </c>
      <c r="BG424">
        <v>-1</v>
      </c>
      <c r="BH424">
        <v>-1</v>
      </c>
      <c r="BI424">
        <v>-1</v>
      </c>
      <c r="BJ424">
        <v>-1</v>
      </c>
      <c r="BK424">
        <v>-1</v>
      </c>
      <c r="BL424">
        <v>-1</v>
      </c>
      <c r="BM424">
        <v>-1</v>
      </c>
      <c r="BN424">
        <v>-1</v>
      </c>
      <c r="BO424">
        <v>-1</v>
      </c>
    </row>
    <row r="425" spans="1:67" x14ac:dyDescent="0.25">
      <c r="A425">
        <v>422</v>
      </c>
      <c r="B425">
        <v>9018</v>
      </c>
      <c r="C425" t="str">
        <f>VLOOKUP(B425,[1]resources!$A$2:$D$300,3,FALSE)</f>
        <v>!!FOOD_RUSTYS_SPLINTERED_SLAW</v>
      </c>
      <c r="D425">
        <v>32</v>
      </c>
      <c r="E425" t="str">
        <f>VLOOKUP(D425,[1]bonus_paytable!$A$2:$D$300,3,FALSE)</f>
        <v>halloween_ghost02</v>
      </c>
      <c r="F425">
        <v>-1</v>
      </c>
      <c r="G425">
        <v>-1</v>
      </c>
      <c r="H425">
        <v>1</v>
      </c>
      <c r="I425" t="s">
        <v>1</v>
      </c>
      <c r="J425">
        <v>9000</v>
      </c>
      <c r="K425">
        <v>9001</v>
      </c>
      <c r="L425">
        <v>9014</v>
      </c>
      <c r="M425">
        <v>9015</v>
      </c>
      <c r="N425">
        <v>9018</v>
      </c>
      <c r="O425">
        <v>9019</v>
      </c>
      <c r="P425">
        <v>-1</v>
      </c>
      <c r="Q425">
        <v>-1</v>
      </c>
      <c r="R425">
        <v>-1</v>
      </c>
      <c r="S425">
        <v>-1</v>
      </c>
      <c r="T425">
        <v>-1</v>
      </c>
      <c r="U425" s="2">
        <v>0.05</v>
      </c>
      <c r="V425" s="2">
        <v>0.05</v>
      </c>
      <c r="W425" s="2">
        <v>0.05</v>
      </c>
      <c r="X425" s="2">
        <v>0.03</v>
      </c>
      <c r="Y425" s="2">
        <v>0.03</v>
      </c>
      <c r="Z425" s="2">
        <v>0.01</v>
      </c>
      <c r="AA425">
        <v>-1</v>
      </c>
      <c r="AB425">
        <v>-1</v>
      </c>
      <c r="AC425">
        <v>-1</v>
      </c>
      <c r="AD425">
        <v>-1</v>
      </c>
      <c r="AE425">
        <v>-1</v>
      </c>
      <c r="AF425">
        <f t="shared" si="56"/>
        <v>1</v>
      </c>
      <c r="AG425">
        <f t="shared" si="57"/>
        <v>1</v>
      </c>
      <c r="AH425">
        <f t="shared" si="58"/>
        <v>1</v>
      </c>
      <c r="AI425">
        <f t="shared" si="59"/>
        <v>1</v>
      </c>
      <c r="AJ425">
        <f t="shared" si="60"/>
        <v>1</v>
      </c>
      <c r="AK425">
        <f t="shared" si="61"/>
        <v>1</v>
      </c>
      <c r="AL425">
        <f t="shared" si="62"/>
        <v>-1</v>
      </c>
      <c r="AM425">
        <f t="shared" si="63"/>
        <v>-1</v>
      </c>
      <c r="AN425">
        <f t="shared" si="64"/>
        <v>-1</v>
      </c>
      <c r="AO425">
        <f t="shared" si="65"/>
        <v>-1</v>
      </c>
      <c r="AP425">
        <f t="shared" si="66"/>
        <v>-1</v>
      </c>
      <c r="AQ425">
        <v>0</v>
      </c>
      <c r="AR425" t="s">
        <v>2</v>
      </c>
      <c r="AS425">
        <v>-1</v>
      </c>
      <c r="AT425">
        <v>-1</v>
      </c>
      <c r="AU425">
        <v>-1</v>
      </c>
      <c r="AV425">
        <v>-1</v>
      </c>
      <c r="AW425">
        <v>-1</v>
      </c>
      <c r="AX425">
        <v>-1</v>
      </c>
      <c r="AY425">
        <v>-1</v>
      </c>
      <c r="AZ425">
        <v>-1</v>
      </c>
      <c r="BA425">
        <v>-1</v>
      </c>
      <c r="BB425">
        <v>0</v>
      </c>
      <c r="BC425" t="s">
        <v>2</v>
      </c>
      <c r="BD425">
        <v>-1</v>
      </c>
      <c r="BE425">
        <v>-1</v>
      </c>
      <c r="BF425">
        <v>-1</v>
      </c>
      <c r="BG425">
        <v>-1</v>
      </c>
      <c r="BH425">
        <v>-1</v>
      </c>
      <c r="BI425">
        <v>-1</v>
      </c>
      <c r="BJ425">
        <v>-1</v>
      </c>
      <c r="BK425">
        <v>-1</v>
      </c>
      <c r="BL425">
        <v>-1</v>
      </c>
      <c r="BM425">
        <v>-1</v>
      </c>
      <c r="BN425">
        <v>-1</v>
      </c>
      <c r="BO425">
        <v>-1</v>
      </c>
    </row>
    <row r="426" spans="1:67" x14ac:dyDescent="0.25">
      <c r="A426">
        <v>423</v>
      </c>
      <c r="B426">
        <v>9019</v>
      </c>
      <c r="C426" t="str">
        <f>VLOOKUP(B426,[1]resources!$A$2:$D$300,3,FALSE)</f>
        <v>!!FOOD_RUSTYS_RIBEYE_SANDWICH</v>
      </c>
      <c r="D426">
        <v>32</v>
      </c>
      <c r="E426" t="str">
        <f>VLOOKUP(D426,[1]bonus_paytable!$A$2:$D$300,3,FALSE)</f>
        <v>halloween_ghost02</v>
      </c>
      <c r="F426">
        <v>-1</v>
      </c>
      <c r="G426">
        <v>-1</v>
      </c>
      <c r="H426">
        <v>1</v>
      </c>
      <c r="I426" t="s">
        <v>1</v>
      </c>
      <c r="J426">
        <v>9000</v>
      </c>
      <c r="K426">
        <v>9001</v>
      </c>
      <c r="L426">
        <v>9014</v>
      </c>
      <c r="M426">
        <v>9015</v>
      </c>
      <c r="N426">
        <v>9018</v>
      </c>
      <c r="O426">
        <v>9019</v>
      </c>
      <c r="P426">
        <v>-1</v>
      </c>
      <c r="Q426">
        <v>-1</v>
      </c>
      <c r="R426">
        <v>-1</v>
      </c>
      <c r="S426">
        <v>-1</v>
      </c>
      <c r="T426">
        <v>-1</v>
      </c>
      <c r="U426" s="2">
        <v>0.05</v>
      </c>
      <c r="V426" s="2">
        <v>0.05</v>
      </c>
      <c r="W426" s="2">
        <v>0.05</v>
      </c>
      <c r="X426" s="2">
        <v>0.03</v>
      </c>
      <c r="Y426" s="2">
        <v>0.03</v>
      </c>
      <c r="Z426" s="2">
        <v>0.01</v>
      </c>
      <c r="AA426">
        <v>-1</v>
      </c>
      <c r="AB426">
        <v>-1</v>
      </c>
      <c r="AC426">
        <v>-1</v>
      </c>
      <c r="AD426">
        <v>-1</v>
      </c>
      <c r="AE426">
        <v>-1</v>
      </c>
      <c r="AF426">
        <f t="shared" si="56"/>
        <v>1</v>
      </c>
      <c r="AG426">
        <f t="shared" si="57"/>
        <v>1</v>
      </c>
      <c r="AH426">
        <f t="shared" si="58"/>
        <v>1</v>
      </c>
      <c r="AI426">
        <f t="shared" si="59"/>
        <v>1</v>
      </c>
      <c r="AJ426">
        <f t="shared" si="60"/>
        <v>1</v>
      </c>
      <c r="AK426">
        <f t="shared" si="61"/>
        <v>1</v>
      </c>
      <c r="AL426">
        <f t="shared" si="62"/>
        <v>-1</v>
      </c>
      <c r="AM426">
        <f t="shared" si="63"/>
        <v>-1</v>
      </c>
      <c r="AN426">
        <f t="shared" si="64"/>
        <v>-1</v>
      </c>
      <c r="AO426">
        <f t="shared" si="65"/>
        <v>-1</v>
      </c>
      <c r="AP426">
        <f t="shared" si="66"/>
        <v>-1</v>
      </c>
      <c r="AQ426">
        <v>0</v>
      </c>
      <c r="AR426" t="s">
        <v>2</v>
      </c>
      <c r="AS426">
        <v>-1</v>
      </c>
      <c r="AT426">
        <v>-1</v>
      </c>
      <c r="AU426">
        <v>-1</v>
      </c>
      <c r="AV426">
        <v>-1</v>
      </c>
      <c r="AW426">
        <v>-1</v>
      </c>
      <c r="AX426">
        <v>-1</v>
      </c>
      <c r="AY426">
        <v>-1</v>
      </c>
      <c r="AZ426">
        <v>-1</v>
      </c>
      <c r="BA426">
        <v>-1</v>
      </c>
      <c r="BB426">
        <v>0</v>
      </c>
      <c r="BC426" t="s">
        <v>2</v>
      </c>
      <c r="BD426">
        <v>-1</v>
      </c>
      <c r="BE426">
        <v>-1</v>
      </c>
      <c r="BF426">
        <v>-1</v>
      </c>
      <c r="BG426">
        <v>-1</v>
      </c>
      <c r="BH426">
        <v>-1</v>
      </c>
      <c r="BI426">
        <v>-1</v>
      </c>
      <c r="BJ426">
        <v>-1</v>
      </c>
      <c r="BK426">
        <v>-1</v>
      </c>
      <c r="BL426">
        <v>-1</v>
      </c>
      <c r="BM426">
        <v>-1</v>
      </c>
      <c r="BN426">
        <v>-1</v>
      </c>
      <c r="BO426">
        <v>-1</v>
      </c>
    </row>
    <row r="427" spans="1:67" x14ac:dyDescent="0.25">
      <c r="A427">
        <v>424</v>
      </c>
      <c r="B427">
        <v>9016</v>
      </c>
      <c r="C427" t="str">
        <f>VLOOKUP(B427,[1]resources!$A$2:$D$300,3,FALSE)</f>
        <v>!!FOOD_RUSTYS_RUSTY_ON_RYE</v>
      </c>
      <c r="D427">
        <v>33</v>
      </c>
      <c r="E427" t="str">
        <f>VLOOKUP(D427,[1]bonus_paytable!$A$2:$D$300,3,FALSE)</f>
        <v>halloween_ghost03</v>
      </c>
      <c r="F427">
        <v>-1</v>
      </c>
      <c r="G427">
        <v>-1</v>
      </c>
      <c r="H427">
        <v>1</v>
      </c>
      <c r="I427" t="s">
        <v>1</v>
      </c>
      <c r="J427">
        <v>9000</v>
      </c>
      <c r="K427">
        <v>9001</v>
      </c>
      <c r="L427">
        <v>9014</v>
      </c>
      <c r="M427">
        <v>9015</v>
      </c>
      <c r="N427">
        <v>9018</v>
      </c>
      <c r="O427">
        <v>9019</v>
      </c>
      <c r="P427">
        <v>-1</v>
      </c>
      <c r="Q427">
        <v>-1</v>
      </c>
      <c r="R427">
        <v>-1</v>
      </c>
      <c r="S427">
        <v>-1</v>
      </c>
      <c r="T427">
        <v>-1</v>
      </c>
      <c r="U427" s="2">
        <v>0.05</v>
      </c>
      <c r="V427" s="2">
        <v>0.05</v>
      </c>
      <c r="W427" s="2">
        <v>0.05</v>
      </c>
      <c r="X427" s="2">
        <v>0.03</v>
      </c>
      <c r="Y427" s="2">
        <v>0.03</v>
      </c>
      <c r="Z427" s="2">
        <v>0.01</v>
      </c>
      <c r="AA427">
        <v>-1</v>
      </c>
      <c r="AB427">
        <v>-1</v>
      </c>
      <c r="AC427">
        <v>-1</v>
      </c>
      <c r="AD427">
        <v>-1</v>
      </c>
      <c r="AE427">
        <v>-1</v>
      </c>
      <c r="AF427">
        <f t="shared" si="56"/>
        <v>1</v>
      </c>
      <c r="AG427">
        <f t="shared" si="57"/>
        <v>1</v>
      </c>
      <c r="AH427">
        <f t="shared" si="58"/>
        <v>1</v>
      </c>
      <c r="AI427">
        <f t="shared" si="59"/>
        <v>1</v>
      </c>
      <c r="AJ427">
        <f t="shared" si="60"/>
        <v>1</v>
      </c>
      <c r="AK427">
        <f t="shared" si="61"/>
        <v>1</v>
      </c>
      <c r="AL427">
        <f t="shared" si="62"/>
        <v>-1</v>
      </c>
      <c r="AM427">
        <f t="shared" si="63"/>
        <v>-1</v>
      </c>
      <c r="AN427">
        <f t="shared" si="64"/>
        <v>-1</v>
      </c>
      <c r="AO427">
        <f t="shared" si="65"/>
        <v>-1</v>
      </c>
      <c r="AP427">
        <f t="shared" si="66"/>
        <v>-1</v>
      </c>
      <c r="AQ427">
        <v>0</v>
      </c>
      <c r="AR427" t="s">
        <v>2</v>
      </c>
      <c r="AS427">
        <v>-1</v>
      </c>
      <c r="AT427">
        <v>-1</v>
      </c>
      <c r="AU427">
        <v>-1</v>
      </c>
      <c r="AV427">
        <v>-1</v>
      </c>
      <c r="AW427">
        <v>-1</v>
      </c>
      <c r="AX427">
        <v>-1</v>
      </c>
      <c r="AY427">
        <v>-1</v>
      </c>
      <c r="AZ427">
        <v>-1</v>
      </c>
      <c r="BA427">
        <v>-1</v>
      </c>
      <c r="BB427">
        <v>0</v>
      </c>
      <c r="BC427" t="s">
        <v>2</v>
      </c>
      <c r="BD427">
        <v>-1</v>
      </c>
      <c r="BE427">
        <v>-1</v>
      </c>
      <c r="BF427">
        <v>-1</v>
      </c>
      <c r="BG427">
        <v>-1</v>
      </c>
      <c r="BH427">
        <v>-1</v>
      </c>
      <c r="BI427">
        <v>-1</v>
      </c>
      <c r="BJ427">
        <v>-1</v>
      </c>
      <c r="BK427">
        <v>-1</v>
      </c>
      <c r="BL427">
        <v>-1</v>
      </c>
      <c r="BM427">
        <v>-1</v>
      </c>
      <c r="BN427">
        <v>-1</v>
      </c>
      <c r="BO427">
        <v>-1</v>
      </c>
    </row>
    <row r="428" spans="1:67" x14ac:dyDescent="0.25">
      <c r="A428">
        <v>425</v>
      </c>
      <c r="B428">
        <v>9000</v>
      </c>
      <c r="C428" t="str">
        <f>VLOOKUP(B428,[1]resources!$A$2:$D$300,3,FALSE)</f>
        <v>!!FOOD_RUSTYS_BARK_CHOP_SANDWICH</v>
      </c>
      <c r="D428">
        <v>33</v>
      </c>
      <c r="E428" t="str">
        <f>VLOOKUP(D428,[1]bonus_paytable!$A$2:$D$300,3,FALSE)</f>
        <v>halloween_ghost03</v>
      </c>
      <c r="F428">
        <v>-1</v>
      </c>
      <c r="G428">
        <v>-1</v>
      </c>
      <c r="H428">
        <v>1</v>
      </c>
      <c r="I428" t="s">
        <v>1</v>
      </c>
      <c r="J428">
        <v>9000</v>
      </c>
      <c r="K428">
        <v>9001</v>
      </c>
      <c r="L428">
        <v>9014</v>
      </c>
      <c r="M428">
        <v>9015</v>
      </c>
      <c r="N428">
        <v>9018</v>
      </c>
      <c r="O428">
        <v>9019</v>
      </c>
      <c r="P428">
        <v>-1</v>
      </c>
      <c r="Q428">
        <v>-1</v>
      </c>
      <c r="R428">
        <v>-1</v>
      </c>
      <c r="S428">
        <v>-1</v>
      </c>
      <c r="T428">
        <v>-1</v>
      </c>
      <c r="U428" s="2">
        <v>0.05</v>
      </c>
      <c r="V428" s="2">
        <v>0.05</v>
      </c>
      <c r="W428" s="2">
        <v>0.05</v>
      </c>
      <c r="X428" s="2">
        <v>0.03</v>
      </c>
      <c r="Y428" s="2">
        <v>0.03</v>
      </c>
      <c r="Z428" s="2">
        <v>0.01</v>
      </c>
      <c r="AA428">
        <v>-1</v>
      </c>
      <c r="AB428">
        <v>-1</v>
      </c>
      <c r="AC428">
        <v>-1</v>
      </c>
      <c r="AD428">
        <v>-1</v>
      </c>
      <c r="AE428">
        <v>-1</v>
      </c>
      <c r="AF428">
        <f t="shared" si="56"/>
        <v>1</v>
      </c>
      <c r="AG428">
        <f t="shared" si="57"/>
        <v>1</v>
      </c>
      <c r="AH428">
        <f t="shared" si="58"/>
        <v>1</v>
      </c>
      <c r="AI428">
        <f t="shared" si="59"/>
        <v>1</v>
      </c>
      <c r="AJ428">
        <f t="shared" si="60"/>
        <v>1</v>
      </c>
      <c r="AK428">
        <f t="shared" si="61"/>
        <v>1</v>
      </c>
      <c r="AL428">
        <f t="shared" si="62"/>
        <v>-1</v>
      </c>
      <c r="AM428">
        <f t="shared" si="63"/>
        <v>-1</v>
      </c>
      <c r="AN428">
        <f t="shared" si="64"/>
        <v>-1</v>
      </c>
      <c r="AO428">
        <f t="shared" si="65"/>
        <v>-1</v>
      </c>
      <c r="AP428">
        <f t="shared" si="66"/>
        <v>-1</v>
      </c>
      <c r="AQ428">
        <v>0</v>
      </c>
      <c r="AR428" t="s">
        <v>2</v>
      </c>
      <c r="AS428">
        <v>-1</v>
      </c>
      <c r="AT428">
        <v>-1</v>
      </c>
      <c r="AU428">
        <v>-1</v>
      </c>
      <c r="AV428">
        <v>-1</v>
      </c>
      <c r="AW428">
        <v>-1</v>
      </c>
      <c r="AX428">
        <v>-1</v>
      </c>
      <c r="AY428">
        <v>-1</v>
      </c>
      <c r="AZ428">
        <v>-1</v>
      </c>
      <c r="BA428">
        <v>-1</v>
      </c>
      <c r="BB428">
        <v>0</v>
      </c>
      <c r="BC428" t="s">
        <v>2</v>
      </c>
      <c r="BD428">
        <v>-1</v>
      </c>
      <c r="BE428">
        <v>-1</v>
      </c>
      <c r="BF428">
        <v>-1</v>
      </c>
      <c r="BG428">
        <v>-1</v>
      </c>
      <c r="BH428">
        <v>-1</v>
      </c>
      <c r="BI428">
        <v>-1</v>
      </c>
      <c r="BJ428">
        <v>-1</v>
      </c>
      <c r="BK428">
        <v>-1</v>
      </c>
      <c r="BL428">
        <v>-1</v>
      </c>
      <c r="BM428">
        <v>-1</v>
      </c>
      <c r="BN428">
        <v>-1</v>
      </c>
      <c r="BO428">
        <v>-1</v>
      </c>
    </row>
    <row r="429" spans="1:67" x14ac:dyDescent="0.25">
      <c r="A429">
        <v>426</v>
      </c>
      <c r="B429">
        <v>9001</v>
      </c>
      <c r="C429" t="str">
        <f>VLOOKUP(B429,[1]resources!$A$2:$D$300,3,FALSE)</f>
        <v>!!FOOD_RUSTYS_BARKING_BRISKET</v>
      </c>
      <c r="D429">
        <v>33</v>
      </c>
      <c r="E429" t="str">
        <f>VLOOKUP(D429,[1]bonus_paytable!$A$2:$D$300,3,FALSE)</f>
        <v>halloween_ghost03</v>
      </c>
      <c r="F429">
        <v>-1</v>
      </c>
      <c r="G429">
        <v>-1</v>
      </c>
      <c r="H429">
        <v>1</v>
      </c>
      <c r="I429" t="s">
        <v>1</v>
      </c>
      <c r="J429">
        <v>9000</v>
      </c>
      <c r="K429">
        <v>9001</v>
      </c>
      <c r="L429">
        <v>9014</v>
      </c>
      <c r="M429">
        <v>9015</v>
      </c>
      <c r="N429">
        <v>9018</v>
      </c>
      <c r="O429">
        <v>9019</v>
      </c>
      <c r="P429">
        <v>-1</v>
      </c>
      <c r="Q429">
        <v>-1</v>
      </c>
      <c r="R429">
        <v>-1</v>
      </c>
      <c r="S429">
        <v>-1</v>
      </c>
      <c r="T429">
        <v>-1</v>
      </c>
      <c r="U429" s="2">
        <v>0.05</v>
      </c>
      <c r="V429" s="2">
        <v>0.05</v>
      </c>
      <c r="W429" s="2">
        <v>0.05</v>
      </c>
      <c r="X429" s="2">
        <v>0.03</v>
      </c>
      <c r="Y429" s="2">
        <v>0.03</v>
      </c>
      <c r="Z429" s="2">
        <v>0.01</v>
      </c>
      <c r="AA429">
        <v>-1</v>
      </c>
      <c r="AB429">
        <v>-1</v>
      </c>
      <c r="AC429">
        <v>-1</v>
      </c>
      <c r="AD429">
        <v>-1</v>
      </c>
      <c r="AE429">
        <v>-1</v>
      </c>
      <c r="AF429">
        <f t="shared" si="56"/>
        <v>1</v>
      </c>
      <c r="AG429">
        <f t="shared" si="57"/>
        <v>1</v>
      </c>
      <c r="AH429">
        <f t="shared" si="58"/>
        <v>1</v>
      </c>
      <c r="AI429">
        <f t="shared" si="59"/>
        <v>1</v>
      </c>
      <c r="AJ429">
        <f t="shared" si="60"/>
        <v>1</v>
      </c>
      <c r="AK429">
        <f t="shared" si="61"/>
        <v>1</v>
      </c>
      <c r="AL429">
        <f t="shared" si="62"/>
        <v>-1</v>
      </c>
      <c r="AM429">
        <f t="shared" si="63"/>
        <v>-1</v>
      </c>
      <c r="AN429">
        <f t="shared" si="64"/>
        <v>-1</v>
      </c>
      <c r="AO429">
        <f t="shared" si="65"/>
        <v>-1</v>
      </c>
      <c r="AP429">
        <f t="shared" si="66"/>
        <v>-1</v>
      </c>
      <c r="AQ429">
        <v>0</v>
      </c>
      <c r="AR429" t="s">
        <v>2</v>
      </c>
      <c r="AS429">
        <v>-1</v>
      </c>
      <c r="AT429">
        <v>-1</v>
      </c>
      <c r="AU429">
        <v>-1</v>
      </c>
      <c r="AV429">
        <v>-1</v>
      </c>
      <c r="AW429">
        <v>-1</v>
      </c>
      <c r="AX429">
        <v>-1</v>
      </c>
      <c r="AY429">
        <v>-1</v>
      </c>
      <c r="AZ429">
        <v>-1</v>
      </c>
      <c r="BA429">
        <v>-1</v>
      </c>
      <c r="BB429">
        <v>0</v>
      </c>
      <c r="BC429" t="s">
        <v>2</v>
      </c>
      <c r="BD429">
        <v>-1</v>
      </c>
      <c r="BE429">
        <v>-1</v>
      </c>
      <c r="BF429">
        <v>-1</v>
      </c>
      <c r="BG429">
        <v>-1</v>
      </c>
      <c r="BH429">
        <v>-1</v>
      </c>
      <c r="BI429">
        <v>-1</v>
      </c>
      <c r="BJ429">
        <v>-1</v>
      </c>
      <c r="BK429">
        <v>-1</v>
      </c>
      <c r="BL429">
        <v>-1</v>
      </c>
      <c r="BM429">
        <v>-1</v>
      </c>
      <c r="BN429">
        <v>-1</v>
      </c>
      <c r="BO429">
        <v>-1</v>
      </c>
    </row>
    <row r="430" spans="1:67" x14ac:dyDescent="0.25">
      <c r="A430">
        <v>427</v>
      </c>
      <c r="B430">
        <v>9014</v>
      </c>
      <c r="C430" t="str">
        <f>VLOOKUP(B430,[1]resources!$A$2:$D$300,3,FALSE)</f>
        <v>!!FOOD_RUSTYS_MESQUITE_RIBS</v>
      </c>
      <c r="D430">
        <v>33</v>
      </c>
      <c r="E430" t="str">
        <f>VLOOKUP(D430,[1]bonus_paytable!$A$2:$D$300,3,FALSE)</f>
        <v>halloween_ghost03</v>
      </c>
      <c r="F430">
        <v>-1</v>
      </c>
      <c r="G430">
        <v>-1</v>
      </c>
      <c r="H430">
        <v>1</v>
      </c>
      <c r="I430" t="s">
        <v>1</v>
      </c>
      <c r="J430">
        <v>9000</v>
      </c>
      <c r="K430">
        <v>9001</v>
      </c>
      <c r="L430">
        <v>9014</v>
      </c>
      <c r="M430">
        <v>9015</v>
      </c>
      <c r="N430">
        <v>9018</v>
      </c>
      <c r="O430">
        <v>9019</v>
      </c>
      <c r="P430">
        <v>-1</v>
      </c>
      <c r="Q430">
        <v>-1</v>
      </c>
      <c r="R430">
        <v>-1</v>
      </c>
      <c r="S430">
        <v>-1</v>
      </c>
      <c r="T430">
        <v>-1</v>
      </c>
      <c r="U430" s="2">
        <v>0.05</v>
      </c>
      <c r="V430" s="2">
        <v>0.05</v>
      </c>
      <c r="W430" s="2">
        <v>0.05</v>
      </c>
      <c r="X430" s="2">
        <v>0.03</v>
      </c>
      <c r="Y430" s="2">
        <v>0.03</v>
      </c>
      <c r="Z430" s="2">
        <v>0.01</v>
      </c>
      <c r="AA430">
        <v>-1</v>
      </c>
      <c r="AB430">
        <v>-1</v>
      </c>
      <c r="AC430">
        <v>-1</v>
      </c>
      <c r="AD430">
        <v>-1</v>
      </c>
      <c r="AE430">
        <v>-1</v>
      </c>
      <c r="AF430">
        <f t="shared" si="56"/>
        <v>1</v>
      </c>
      <c r="AG430">
        <f t="shared" si="57"/>
        <v>1</v>
      </c>
      <c r="AH430">
        <f t="shared" si="58"/>
        <v>1</v>
      </c>
      <c r="AI430">
        <f t="shared" si="59"/>
        <v>1</v>
      </c>
      <c r="AJ430">
        <f t="shared" si="60"/>
        <v>1</v>
      </c>
      <c r="AK430">
        <f t="shared" si="61"/>
        <v>1</v>
      </c>
      <c r="AL430">
        <f t="shared" si="62"/>
        <v>-1</v>
      </c>
      <c r="AM430">
        <f t="shared" si="63"/>
        <v>-1</v>
      </c>
      <c r="AN430">
        <f t="shared" si="64"/>
        <v>-1</v>
      </c>
      <c r="AO430">
        <f t="shared" si="65"/>
        <v>-1</v>
      </c>
      <c r="AP430">
        <f t="shared" si="66"/>
        <v>-1</v>
      </c>
      <c r="AQ430">
        <v>0</v>
      </c>
      <c r="AR430" t="s">
        <v>2</v>
      </c>
      <c r="AS430">
        <v>-1</v>
      </c>
      <c r="AT430">
        <v>-1</v>
      </c>
      <c r="AU430">
        <v>-1</v>
      </c>
      <c r="AV430">
        <v>-1</v>
      </c>
      <c r="AW430">
        <v>-1</v>
      </c>
      <c r="AX430">
        <v>-1</v>
      </c>
      <c r="AY430">
        <v>-1</v>
      </c>
      <c r="AZ430">
        <v>-1</v>
      </c>
      <c r="BA430">
        <v>-1</v>
      </c>
      <c r="BB430">
        <v>0</v>
      </c>
      <c r="BC430" t="s">
        <v>2</v>
      </c>
      <c r="BD430">
        <v>-1</v>
      </c>
      <c r="BE430">
        <v>-1</v>
      </c>
      <c r="BF430">
        <v>-1</v>
      </c>
      <c r="BG430">
        <v>-1</v>
      </c>
      <c r="BH430">
        <v>-1</v>
      </c>
      <c r="BI430">
        <v>-1</v>
      </c>
      <c r="BJ430">
        <v>-1</v>
      </c>
      <c r="BK430">
        <v>-1</v>
      </c>
      <c r="BL430">
        <v>-1</v>
      </c>
      <c r="BM430">
        <v>-1</v>
      </c>
      <c r="BN430">
        <v>-1</v>
      </c>
      <c r="BO430">
        <v>-1</v>
      </c>
    </row>
    <row r="431" spans="1:67" x14ac:dyDescent="0.25">
      <c r="A431">
        <v>428</v>
      </c>
      <c r="B431">
        <v>9015</v>
      </c>
      <c r="C431" t="str">
        <f>VLOOKUP(B431,[1]resources!$A$2:$D$300,3,FALSE)</f>
        <v>!!FOOD_RUSTYS_PULLED_PULP_SANDWICH</v>
      </c>
      <c r="D431">
        <v>33</v>
      </c>
      <c r="E431" t="str">
        <f>VLOOKUP(D431,[1]bonus_paytable!$A$2:$D$300,3,FALSE)</f>
        <v>halloween_ghost03</v>
      </c>
      <c r="F431">
        <v>-1</v>
      </c>
      <c r="G431">
        <v>-1</v>
      </c>
      <c r="H431">
        <v>1</v>
      </c>
      <c r="I431" t="s">
        <v>1</v>
      </c>
      <c r="J431">
        <v>9000</v>
      </c>
      <c r="K431">
        <v>9001</v>
      </c>
      <c r="L431">
        <v>9014</v>
      </c>
      <c r="M431">
        <v>9015</v>
      </c>
      <c r="N431">
        <v>9018</v>
      </c>
      <c r="O431">
        <v>9019</v>
      </c>
      <c r="P431">
        <v>-1</v>
      </c>
      <c r="Q431">
        <v>-1</v>
      </c>
      <c r="R431">
        <v>-1</v>
      </c>
      <c r="S431">
        <v>-1</v>
      </c>
      <c r="T431">
        <v>-1</v>
      </c>
      <c r="U431" s="2">
        <v>0.05</v>
      </c>
      <c r="V431" s="2">
        <v>0.05</v>
      </c>
      <c r="W431" s="2">
        <v>0.05</v>
      </c>
      <c r="X431" s="2">
        <v>0.03</v>
      </c>
      <c r="Y431" s="2">
        <v>0.03</v>
      </c>
      <c r="Z431" s="2">
        <v>0.01</v>
      </c>
      <c r="AA431">
        <v>-1</v>
      </c>
      <c r="AB431">
        <v>-1</v>
      </c>
      <c r="AC431">
        <v>-1</v>
      </c>
      <c r="AD431">
        <v>-1</v>
      </c>
      <c r="AE431">
        <v>-1</v>
      </c>
      <c r="AF431">
        <f t="shared" si="56"/>
        <v>1</v>
      </c>
      <c r="AG431">
        <f t="shared" si="57"/>
        <v>1</v>
      </c>
      <c r="AH431">
        <f t="shared" si="58"/>
        <v>1</v>
      </c>
      <c r="AI431">
        <f t="shared" si="59"/>
        <v>1</v>
      </c>
      <c r="AJ431">
        <f t="shared" si="60"/>
        <v>1</v>
      </c>
      <c r="AK431">
        <f t="shared" si="61"/>
        <v>1</v>
      </c>
      <c r="AL431">
        <f t="shared" si="62"/>
        <v>-1</v>
      </c>
      <c r="AM431">
        <f t="shared" si="63"/>
        <v>-1</v>
      </c>
      <c r="AN431">
        <f t="shared" si="64"/>
        <v>-1</v>
      </c>
      <c r="AO431">
        <f t="shared" si="65"/>
        <v>-1</v>
      </c>
      <c r="AP431">
        <f t="shared" si="66"/>
        <v>-1</v>
      </c>
      <c r="AQ431">
        <v>0</v>
      </c>
      <c r="AR431" t="s">
        <v>2</v>
      </c>
      <c r="AS431">
        <v>-1</v>
      </c>
      <c r="AT431">
        <v>-1</v>
      </c>
      <c r="AU431">
        <v>-1</v>
      </c>
      <c r="AV431">
        <v>-1</v>
      </c>
      <c r="AW431">
        <v>-1</v>
      </c>
      <c r="AX431">
        <v>-1</v>
      </c>
      <c r="AY431">
        <v>-1</v>
      </c>
      <c r="AZ431">
        <v>-1</v>
      </c>
      <c r="BA431">
        <v>-1</v>
      </c>
      <c r="BB431">
        <v>0</v>
      </c>
      <c r="BC431" t="s">
        <v>2</v>
      </c>
      <c r="BD431">
        <v>-1</v>
      </c>
      <c r="BE431">
        <v>-1</v>
      </c>
      <c r="BF431">
        <v>-1</v>
      </c>
      <c r="BG431">
        <v>-1</v>
      </c>
      <c r="BH431">
        <v>-1</v>
      </c>
      <c r="BI431">
        <v>-1</v>
      </c>
      <c r="BJ431">
        <v>-1</v>
      </c>
      <c r="BK431">
        <v>-1</v>
      </c>
      <c r="BL431">
        <v>-1</v>
      </c>
      <c r="BM431">
        <v>-1</v>
      </c>
      <c r="BN431">
        <v>-1</v>
      </c>
      <c r="BO431">
        <v>-1</v>
      </c>
    </row>
    <row r="432" spans="1:67" x14ac:dyDescent="0.25">
      <c r="A432">
        <v>429</v>
      </c>
      <c r="B432">
        <v>9018</v>
      </c>
      <c r="C432" t="str">
        <f>VLOOKUP(B432,[1]resources!$A$2:$D$300,3,FALSE)</f>
        <v>!!FOOD_RUSTYS_SPLINTERED_SLAW</v>
      </c>
      <c r="D432">
        <v>33</v>
      </c>
      <c r="E432" t="str">
        <f>VLOOKUP(D432,[1]bonus_paytable!$A$2:$D$300,3,FALSE)</f>
        <v>halloween_ghost03</v>
      </c>
      <c r="F432">
        <v>-1</v>
      </c>
      <c r="G432">
        <v>-1</v>
      </c>
      <c r="H432">
        <v>1</v>
      </c>
      <c r="I432" t="s">
        <v>1</v>
      </c>
      <c r="J432">
        <v>9000</v>
      </c>
      <c r="K432">
        <v>9001</v>
      </c>
      <c r="L432">
        <v>9014</v>
      </c>
      <c r="M432">
        <v>9015</v>
      </c>
      <c r="N432">
        <v>9018</v>
      </c>
      <c r="O432">
        <v>9019</v>
      </c>
      <c r="P432">
        <v>-1</v>
      </c>
      <c r="Q432">
        <v>-1</v>
      </c>
      <c r="R432">
        <v>-1</v>
      </c>
      <c r="S432">
        <v>-1</v>
      </c>
      <c r="T432">
        <v>-1</v>
      </c>
      <c r="U432" s="2">
        <v>0.05</v>
      </c>
      <c r="V432" s="2">
        <v>0.05</v>
      </c>
      <c r="W432" s="2">
        <v>0.05</v>
      </c>
      <c r="X432" s="2">
        <v>0.03</v>
      </c>
      <c r="Y432" s="2">
        <v>0.03</v>
      </c>
      <c r="Z432" s="2">
        <v>0.01</v>
      </c>
      <c r="AA432">
        <v>-1</v>
      </c>
      <c r="AB432">
        <v>-1</v>
      </c>
      <c r="AC432">
        <v>-1</v>
      </c>
      <c r="AD432">
        <v>-1</v>
      </c>
      <c r="AE432">
        <v>-1</v>
      </c>
      <c r="AF432">
        <f t="shared" si="56"/>
        <v>1</v>
      </c>
      <c r="AG432">
        <f t="shared" si="57"/>
        <v>1</v>
      </c>
      <c r="AH432">
        <f t="shared" si="58"/>
        <v>1</v>
      </c>
      <c r="AI432">
        <f t="shared" si="59"/>
        <v>1</v>
      </c>
      <c r="AJ432">
        <f t="shared" si="60"/>
        <v>1</v>
      </c>
      <c r="AK432">
        <f t="shared" si="61"/>
        <v>1</v>
      </c>
      <c r="AL432">
        <f t="shared" si="62"/>
        <v>-1</v>
      </c>
      <c r="AM432">
        <f t="shared" si="63"/>
        <v>-1</v>
      </c>
      <c r="AN432">
        <f t="shared" si="64"/>
        <v>-1</v>
      </c>
      <c r="AO432">
        <f t="shared" si="65"/>
        <v>-1</v>
      </c>
      <c r="AP432">
        <f t="shared" si="66"/>
        <v>-1</v>
      </c>
      <c r="AQ432">
        <v>0</v>
      </c>
      <c r="AR432" t="s">
        <v>2</v>
      </c>
      <c r="AS432">
        <v>-1</v>
      </c>
      <c r="AT432">
        <v>-1</v>
      </c>
      <c r="AU432">
        <v>-1</v>
      </c>
      <c r="AV432">
        <v>-1</v>
      </c>
      <c r="AW432">
        <v>-1</v>
      </c>
      <c r="AX432">
        <v>-1</v>
      </c>
      <c r="AY432">
        <v>-1</v>
      </c>
      <c r="AZ432">
        <v>-1</v>
      </c>
      <c r="BA432">
        <v>-1</v>
      </c>
      <c r="BB432">
        <v>0</v>
      </c>
      <c r="BC432" t="s">
        <v>2</v>
      </c>
      <c r="BD432">
        <v>-1</v>
      </c>
      <c r="BE432">
        <v>-1</v>
      </c>
      <c r="BF432">
        <v>-1</v>
      </c>
      <c r="BG432">
        <v>-1</v>
      </c>
      <c r="BH432">
        <v>-1</v>
      </c>
      <c r="BI432">
        <v>-1</v>
      </c>
      <c r="BJ432">
        <v>-1</v>
      </c>
      <c r="BK432">
        <v>-1</v>
      </c>
      <c r="BL432">
        <v>-1</v>
      </c>
      <c r="BM432">
        <v>-1</v>
      </c>
      <c r="BN432">
        <v>-1</v>
      </c>
      <c r="BO432">
        <v>-1</v>
      </c>
    </row>
    <row r="433" spans="1:67" x14ac:dyDescent="0.25">
      <c r="A433">
        <v>430</v>
      </c>
      <c r="B433">
        <v>9019</v>
      </c>
      <c r="C433" t="str">
        <f>VLOOKUP(B433,[1]resources!$A$2:$D$300,3,FALSE)</f>
        <v>!!FOOD_RUSTYS_RIBEYE_SANDWICH</v>
      </c>
      <c r="D433">
        <v>33</v>
      </c>
      <c r="E433" t="str">
        <f>VLOOKUP(D433,[1]bonus_paytable!$A$2:$D$300,3,FALSE)</f>
        <v>halloween_ghost03</v>
      </c>
      <c r="F433">
        <v>-1</v>
      </c>
      <c r="G433">
        <v>-1</v>
      </c>
      <c r="H433">
        <v>1</v>
      </c>
      <c r="I433" t="s">
        <v>1</v>
      </c>
      <c r="J433">
        <v>9000</v>
      </c>
      <c r="K433">
        <v>9001</v>
      </c>
      <c r="L433">
        <v>9014</v>
      </c>
      <c r="M433">
        <v>9015</v>
      </c>
      <c r="N433">
        <v>9018</v>
      </c>
      <c r="O433">
        <v>9019</v>
      </c>
      <c r="P433">
        <v>-1</v>
      </c>
      <c r="Q433">
        <v>-1</v>
      </c>
      <c r="R433">
        <v>-1</v>
      </c>
      <c r="S433">
        <v>-1</v>
      </c>
      <c r="T433">
        <v>-1</v>
      </c>
      <c r="U433" s="2">
        <v>0.05</v>
      </c>
      <c r="V433" s="2">
        <v>0.05</v>
      </c>
      <c r="W433" s="2">
        <v>0.05</v>
      </c>
      <c r="X433" s="2">
        <v>0.03</v>
      </c>
      <c r="Y433" s="2">
        <v>0.03</v>
      </c>
      <c r="Z433" s="2">
        <v>0.01</v>
      </c>
      <c r="AA433">
        <v>-1</v>
      </c>
      <c r="AB433">
        <v>-1</v>
      </c>
      <c r="AC433">
        <v>-1</v>
      </c>
      <c r="AD433">
        <v>-1</v>
      </c>
      <c r="AE433">
        <v>-1</v>
      </c>
      <c r="AF433">
        <f t="shared" si="56"/>
        <v>1</v>
      </c>
      <c r="AG433">
        <f t="shared" si="57"/>
        <v>1</v>
      </c>
      <c r="AH433">
        <f t="shared" si="58"/>
        <v>1</v>
      </c>
      <c r="AI433">
        <f t="shared" si="59"/>
        <v>1</v>
      </c>
      <c r="AJ433">
        <f t="shared" si="60"/>
        <v>1</v>
      </c>
      <c r="AK433">
        <f t="shared" si="61"/>
        <v>1</v>
      </c>
      <c r="AL433">
        <f t="shared" si="62"/>
        <v>-1</v>
      </c>
      <c r="AM433">
        <f t="shared" si="63"/>
        <v>-1</v>
      </c>
      <c r="AN433">
        <f t="shared" si="64"/>
        <v>-1</v>
      </c>
      <c r="AO433">
        <f t="shared" si="65"/>
        <v>-1</v>
      </c>
      <c r="AP433">
        <f t="shared" si="66"/>
        <v>-1</v>
      </c>
      <c r="AQ433">
        <v>0</v>
      </c>
      <c r="AR433" t="s">
        <v>2</v>
      </c>
      <c r="AS433">
        <v>-1</v>
      </c>
      <c r="AT433">
        <v>-1</v>
      </c>
      <c r="AU433">
        <v>-1</v>
      </c>
      <c r="AV433">
        <v>-1</v>
      </c>
      <c r="AW433">
        <v>-1</v>
      </c>
      <c r="AX433">
        <v>-1</v>
      </c>
      <c r="AY433">
        <v>-1</v>
      </c>
      <c r="AZ433">
        <v>-1</v>
      </c>
      <c r="BA433">
        <v>-1</v>
      </c>
      <c r="BB433">
        <v>0</v>
      </c>
      <c r="BC433" t="s">
        <v>2</v>
      </c>
      <c r="BD433">
        <v>-1</v>
      </c>
      <c r="BE433">
        <v>-1</v>
      </c>
      <c r="BF433">
        <v>-1</v>
      </c>
      <c r="BG433">
        <v>-1</v>
      </c>
      <c r="BH433">
        <v>-1</v>
      </c>
      <c r="BI433">
        <v>-1</v>
      </c>
      <c r="BJ433">
        <v>-1</v>
      </c>
      <c r="BK433">
        <v>-1</v>
      </c>
      <c r="BL433">
        <v>-1</v>
      </c>
      <c r="BM433">
        <v>-1</v>
      </c>
      <c r="BN433">
        <v>-1</v>
      </c>
      <c r="BO433">
        <v>-1</v>
      </c>
    </row>
    <row r="434" spans="1:67" x14ac:dyDescent="0.25">
      <c r="A434">
        <v>431</v>
      </c>
      <c r="B434">
        <v>9016</v>
      </c>
      <c r="C434" t="str">
        <f>VLOOKUP(B434,[1]resources!$A$2:$D$300,3,FALSE)</f>
        <v>!!FOOD_RUSTYS_RUSTY_ON_RYE</v>
      </c>
      <c r="D434">
        <v>34</v>
      </c>
      <c r="E434" t="str">
        <f>VLOOKUP(D434,[1]bonus_paytable!$A$2:$D$300,3,FALSE)</f>
        <v>halloween_ghost04</v>
      </c>
      <c r="F434">
        <v>-1</v>
      </c>
      <c r="G434">
        <v>-1</v>
      </c>
      <c r="H434">
        <v>1</v>
      </c>
      <c r="I434" t="s">
        <v>1</v>
      </c>
      <c r="J434">
        <v>9000</v>
      </c>
      <c r="K434">
        <v>9001</v>
      </c>
      <c r="L434">
        <v>9014</v>
      </c>
      <c r="M434">
        <v>9015</v>
      </c>
      <c r="N434">
        <v>9018</v>
      </c>
      <c r="O434">
        <v>9019</v>
      </c>
      <c r="P434">
        <v>-1</v>
      </c>
      <c r="Q434">
        <v>-1</v>
      </c>
      <c r="R434">
        <v>-1</v>
      </c>
      <c r="S434">
        <v>-1</v>
      </c>
      <c r="T434">
        <v>-1</v>
      </c>
      <c r="U434" s="2">
        <v>0.05</v>
      </c>
      <c r="V434" s="2">
        <v>0.05</v>
      </c>
      <c r="W434" s="2">
        <v>0.05</v>
      </c>
      <c r="X434" s="2">
        <v>0.03</v>
      </c>
      <c r="Y434" s="2">
        <v>0.03</v>
      </c>
      <c r="Z434" s="2">
        <v>0.01</v>
      </c>
      <c r="AA434">
        <v>-1</v>
      </c>
      <c r="AB434">
        <v>-1</v>
      </c>
      <c r="AC434">
        <v>-1</v>
      </c>
      <c r="AD434">
        <v>-1</v>
      </c>
      <c r="AE434">
        <v>-1</v>
      </c>
      <c r="AF434">
        <f t="shared" si="56"/>
        <v>1</v>
      </c>
      <c r="AG434">
        <f t="shared" si="57"/>
        <v>1</v>
      </c>
      <c r="AH434">
        <f t="shared" si="58"/>
        <v>1</v>
      </c>
      <c r="AI434">
        <f t="shared" si="59"/>
        <v>1</v>
      </c>
      <c r="AJ434">
        <f t="shared" si="60"/>
        <v>1</v>
      </c>
      <c r="AK434">
        <f t="shared" si="61"/>
        <v>1</v>
      </c>
      <c r="AL434">
        <f t="shared" si="62"/>
        <v>-1</v>
      </c>
      <c r="AM434">
        <f t="shared" si="63"/>
        <v>-1</v>
      </c>
      <c r="AN434">
        <f t="shared" si="64"/>
        <v>-1</v>
      </c>
      <c r="AO434">
        <f t="shared" si="65"/>
        <v>-1</v>
      </c>
      <c r="AP434">
        <f t="shared" si="66"/>
        <v>-1</v>
      </c>
      <c r="AQ434">
        <v>0</v>
      </c>
      <c r="AR434" t="s">
        <v>2</v>
      </c>
      <c r="AS434">
        <v>-1</v>
      </c>
      <c r="AT434">
        <v>-1</v>
      </c>
      <c r="AU434">
        <v>-1</v>
      </c>
      <c r="AV434">
        <v>-1</v>
      </c>
      <c r="AW434">
        <v>-1</v>
      </c>
      <c r="AX434">
        <v>-1</v>
      </c>
      <c r="AY434">
        <v>-1</v>
      </c>
      <c r="AZ434">
        <v>-1</v>
      </c>
      <c r="BA434">
        <v>-1</v>
      </c>
      <c r="BB434">
        <v>0</v>
      </c>
      <c r="BC434" t="s">
        <v>2</v>
      </c>
      <c r="BD434">
        <v>-1</v>
      </c>
      <c r="BE434">
        <v>-1</v>
      </c>
      <c r="BF434">
        <v>-1</v>
      </c>
      <c r="BG434">
        <v>-1</v>
      </c>
      <c r="BH434">
        <v>-1</v>
      </c>
      <c r="BI434">
        <v>-1</v>
      </c>
      <c r="BJ434">
        <v>-1</v>
      </c>
      <c r="BK434">
        <v>-1</v>
      </c>
      <c r="BL434">
        <v>-1</v>
      </c>
      <c r="BM434">
        <v>-1</v>
      </c>
      <c r="BN434">
        <v>-1</v>
      </c>
      <c r="BO434">
        <v>-1</v>
      </c>
    </row>
    <row r="435" spans="1:67" x14ac:dyDescent="0.25">
      <c r="A435">
        <v>432</v>
      </c>
      <c r="B435">
        <v>9000</v>
      </c>
      <c r="C435" t="str">
        <f>VLOOKUP(B435,[1]resources!$A$2:$D$300,3,FALSE)</f>
        <v>!!FOOD_RUSTYS_BARK_CHOP_SANDWICH</v>
      </c>
      <c r="D435">
        <v>34</v>
      </c>
      <c r="E435" t="str">
        <f>VLOOKUP(D435,[1]bonus_paytable!$A$2:$D$300,3,FALSE)</f>
        <v>halloween_ghost04</v>
      </c>
      <c r="F435">
        <v>-1</v>
      </c>
      <c r="G435">
        <v>-1</v>
      </c>
      <c r="H435">
        <v>1</v>
      </c>
      <c r="I435" t="s">
        <v>1</v>
      </c>
      <c r="J435">
        <v>9000</v>
      </c>
      <c r="K435">
        <v>9001</v>
      </c>
      <c r="L435">
        <v>9014</v>
      </c>
      <c r="M435">
        <v>9015</v>
      </c>
      <c r="N435">
        <v>9018</v>
      </c>
      <c r="O435">
        <v>9019</v>
      </c>
      <c r="P435">
        <v>-1</v>
      </c>
      <c r="Q435">
        <v>-1</v>
      </c>
      <c r="R435">
        <v>-1</v>
      </c>
      <c r="S435">
        <v>-1</v>
      </c>
      <c r="T435">
        <v>-1</v>
      </c>
      <c r="U435" s="2">
        <v>0.05</v>
      </c>
      <c r="V435" s="2">
        <v>0.05</v>
      </c>
      <c r="W435" s="2">
        <v>0.05</v>
      </c>
      <c r="X435" s="2">
        <v>0.03</v>
      </c>
      <c r="Y435" s="2">
        <v>0.03</v>
      </c>
      <c r="Z435" s="2">
        <v>0.01</v>
      </c>
      <c r="AA435">
        <v>-1</v>
      </c>
      <c r="AB435">
        <v>-1</v>
      </c>
      <c r="AC435">
        <v>-1</v>
      </c>
      <c r="AD435">
        <v>-1</v>
      </c>
      <c r="AE435">
        <v>-1</v>
      </c>
      <c r="AF435">
        <f t="shared" si="56"/>
        <v>1</v>
      </c>
      <c r="AG435">
        <f t="shared" si="57"/>
        <v>1</v>
      </c>
      <c r="AH435">
        <f t="shared" si="58"/>
        <v>1</v>
      </c>
      <c r="AI435">
        <f t="shared" si="59"/>
        <v>1</v>
      </c>
      <c r="AJ435">
        <f t="shared" si="60"/>
        <v>1</v>
      </c>
      <c r="AK435">
        <f t="shared" si="61"/>
        <v>1</v>
      </c>
      <c r="AL435">
        <f t="shared" si="62"/>
        <v>-1</v>
      </c>
      <c r="AM435">
        <f t="shared" si="63"/>
        <v>-1</v>
      </c>
      <c r="AN435">
        <f t="shared" si="64"/>
        <v>-1</v>
      </c>
      <c r="AO435">
        <f t="shared" si="65"/>
        <v>-1</v>
      </c>
      <c r="AP435">
        <f t="shared" si="66"/>
        <v>-1</v>
      </c>
      <c r="AQ435">
        <v>0</v>
      </c>
      <c r="AR435" t="s">
        <v>2</v>
      </c>
      <c r="AS435">
        <v>-1</v>
      </c>
      <c r="AT435">
        <v>-1</v>
      </c>
      <c r="AU435">
        <v>-1</v>
      </c>
      <c r="AV435">
        <v>-1</v>
      </c>
      <c r="AW435">
        <v>-1</v>
      </c>
      <c r="AX435">
        <v>-1</v>
      </c>
      <c r="AY435">
        <v>-1</v>
      </c>
      <c r="AZ435">
        <v>-1</v>
      </c>
      <c r="BA435">
        <v>-1</v>
      </c>
      <c r="BB435">
        <v>0</v>
      </c>
      <c r="BC435" t="s">
        <v>2</v>
      </c>
      <c r="BD435">
        <v>-1</v>
      </c>
      <c r="BE435">
        <v>-1</v>
      </c>
      <c r="BF435">
        <v>-1</v>
      </c>
      <c r="BG435">
        <v>-1</v>
      </c>
      <c r="BH435">
        <v>-1</v>
      </c>
      <c r="BI435">
        <v>-1</v>
      </c>
      <c r="BJ435">
        <v>-1</v>
      </c>
      <c r="BK435">
        <v>-1</v>
      </c>
      <c r="BL435">
        <v>-1</v>
      </c>
      <c r="BM435">
        <v>-1</v>
      </c>
      <c r="BN435">
        <v>-1</v>
      </c>
      <c r="BO435">
        <v>-1</v>
      </c>
    </row>
    <row r="436" spans="1:67" x14ac:dyDescent="0.25">
      <c r="A436">
        <v>433</v>
      </c>
      <c r="B436">
        <v>9001</v>
      </c>
      <c r="C436" t="str">
        <f>VLOOKUP(B436,[1]resources!$A$2:$D$300,3,FALSE)</f>
        <v>!!FOOD_RUSTYS_BARKING_BRISKET</v>
      </c>
      <c r="D436">
        <v>34</v>
      </c>
      <c r="E436" t="str">
        <f>VLOOKUP(D436,[1]bonus_paytable!$A$2:$D$300,3,FALSE)</f>
        <v>halloween_ghost04</v>
      </c>
      <c r="F436">
        <v>-1</v>
      </c>
      <c r="G436">
        <v>-1</v>
      </c>
      <c r="H436">
        <v>1</v>
      </c>
      <c r="I436" t="s">
        <v>1</v>
      </c>
      <c r="J436">
        <v>9000</v>
      </c>
      <c r="K436">
        <v>9001</v>
      </c>
      <c r="L436">
        <v>9014</v>
      </c>
      <c r="M436">
        <v>9015</v>
      </c>
      <c r="N436">
        <v>9018</v>
      </c>
      <c r="O436">
        <v>9019</v>
      </c>
      <c r="P436">
        <v>-1</v>
      </c>
      <c r="Q436">
        <v>-1</v>
      </c>
      <c r="R436">
        <v>-1</v>
      </c>
      <c r="S436">
        <v>-1</v>
      </c>
      <c r="T436">
        <v>-1</v>
      </c>
      <c r="U436" s="2">
        <v>0.05</v>
      </c>
      <c r="V436" s="2">
        <v>0.05</v>
      </c>
      <c r="W436" s="2">
        <v>0.05</v>
      </c>
      <c r="X436" s="2">
        <v>0.03</v>
      </c>
      <c r="Y436" s="2">
        <v>0.03</v>
      </c>
      <c r="Z436" s="2">
        <v>0.01</v>
      </c>
      <c r="AA436">
        <v>-1</v>
      </c>
      <c r="AB436">
        <v>-1</v>
      </c>
      <c r="AC436">
        <v>-1</v>
      </c>
      <c r="AD436">
        <v>-1</v>
      </c>
      <c r="AE436">
        <v>-1</v>
      </c>
      <c r="AF436">
        <f t="shared" si="56"/>
        <v>1</v>
      </c>
      <c r="AG436">
        <f t="shared" si="57"/>
        <v>1</v>
      </c>
      <c r="AH436">
        <f t="shared" si="58"/>
        <v>1</v>
      </c>
      <c r="AI436">
        <f t="shared" si="59"/>
        <v>1</v>
      </c>
      <c r="AJ436">
        <f t="shared" si="60"/>
        <v>1</v>
      </c>
      <c r="AK436">
        <f t="shared" si="61"/>
        <v>1</v>
      </c>
      <c r="AL436">
        <f t="shared" si="62"/>
        <v>-1</v>
      </c>
      <c r="AM436">
        <f t="shared" si="63"/>
        <v>-1</v>
      </c>
      <c r="AN436">
        <f t="shared" si="64"/>
        <v>-1</v>
      </c>
      <c r="AO436">
        <f t="shared" si="65"/>
        <v>-1</v>
      </c>
      <c r="AP436">
        <f t="shared" si="66"/>
        <v>-1</v>
      </c>
      <c r="AQ436">
        <v>0</v>
      </c>
      <c r="AR436" t="s">
        <v>2</v>
      </c>
      <c r="AS436">
        <v>-1</v>
      </c>
      <c r="AT436">
        <v>-1</v>
      </c>
      <c r="AU436">
        <v>-1</v>
      </c>
      <c r="AV436">
        <v>-1</v>
      </c>
      <c r="AW436">
        <v>-1</v>
      </c>
      <c r="AX436">
        <v>-1</v>
      </c>
      <c r="AY436">
        <v>-1</v>
      </c>
      <c r="AZ436">
        <v>-1</v>
      </c>
      <c r="BA436">
        <v>-1</v>
      </c>
      <c r="BB436">
        <v>0</v>
      </c>
      <c r="BC436" t="s">
        <v>2</v>
      </c>
      <c r="BD436">
        <v>-1</v>
      </c>
      <c r="BE436">
        <v>-1</v>
      </c>
      <c r="BF436">
        <v>-1</v>
      </c>
      <c r="BG436">
        <v>-1</v>
      </c>
      <c r="BH436">
        <v>-1</v>
      </c>
      <c r="BI436">
        <v>-1</v>
      </c>
      <c r="BJ436">
        <v>-1</v>
      </c>
      <c r="BK436">
        <v>-1</v>
      </c>
      <c r="BL436">
        <v>-1</v>
      </c>
      <c r="BM436">
        <v>-1</v>
      </c>
      <c r="BN436">
        <v>-1</v>
      </c>
      <c r="BO436">
        <v>-1</v>
      </c>
    </row>
    <row r="437" spans="1:67" x14ac:dyDescent="0.25">
      <c r="A437">
        <v>434</v>
      </c>
      <c r="B437">
        <v>9014</v>
      </c>
      <c r="C437" t="str">
        <f>VLOOKUP(B437,[1]resources!$A$2:$D$300,3,FALSE)</f>
        <v>!!FOOD_RUSTYS_MESQUITE_RIBS</v>
      </c>
      <c r="D437">
        <v>34</v>
      </c>
      <c r="E437" t="str">
        <f>VLOOKUP(D437,[1]bonus_paytable!$A$2:$D$300,3,FALSE)</f>
        <v>halloween_ghost04</v>
      </c>
      <c r="F437">
        <v>-1</v>
      </c>
      <c r="G437">
        <v>-1</v>
      </c>
      <c r="H437">
        <v>1</v>
      </c>
      <c r="I437" t="s">
        <v>1</v>
      </c>
      <c r="J437">
        <v>9000</v>
      </c>
      <c r="K437">
        <v>9001</v>
      </c>
      <c r="L437">
        <v>9014</v>
      </c>
      <c r="M437">
        <v>9015</v>
      </c>
      <c r="N437">
        <v>9018</v>
      </c>
      <c r="O437">
        <v>9019</v>
      </c>
      <c r="P437">
        <v>-1</v>
      </c>
      <c r="Q437">
        <v>-1</v>
      </c>
      <c r="R437">
        <v>-1</v>
      </c>
      <c r="S437">
        <v>-1</v>
      </c>
      <c r="T437">
        <v>-1</v>
      </c>
      <c r="U437" s="2">
        <v>0.05</v>
      </c>
      <c r="V437" s="2">
        <v>0.05</v>
      </c>
      <c r="W437" s="2">
        <v>0.05</v>
      </c>
      <c r="X437" s="2">
        <v>0.03</v>
      </c>
      <c r="Y437" s="2">
        <v>0.03</v>
      </c>
      <c r="Z437" s="2">
        <v>0.01</v>
      </c>
      <c r="AA437">
        <v>-1</v>
      </c>
      <c r="AB437">
        <v>-1</v>
      </c>
      <c r="AC437">
        <v>-1</v>
      </c>
      <c r="AD437">
        <v>-1</v>
      </c>
      <c r="AE437">
        <v>-1</v>
      </c>
      <c r="AF437">
        <f t="shared" si="56"/>
        <v>1</v>
      </c>
      <c r="AG437">
        <f t="shared" si="57"/>
        <v>1</v>
      </c>
      <c r="AH437">
        <f t="shared" si="58"/>
        <v>1</v>
      </c>
      <c r="AI437">
        <f t="shared" si="59"/>
        <v>1</v>
      </c>
      <c r="AJ437">
        <f t="shared" si="60"/>
        <v>1</v>
      </c>
      <c r="AK437">
        <f t="shared" si="61"/>
        <v>1</v>
      </c>
      <c r="AL437">
        <f t="shared" si="62"/>
        <v>-1</v>
      </c>
      <c r="AM437">
        <f t="shared" si="63"/>
        <v>-1</v>
      </c>
      <c r="AN437">
        <f t="shared" si="64"/>
        <v>-1</v>
      </c>
      <c r="AO437">
        <f t="shared" si="65"/>
        <v>-1</v>
      </c>
      <c r="AP437">
        <f t="shared" si="66"/>
        <v>-1</v>
      </c>
      <c r="AQ437">
        <v>0</v>
      </c>
      <c r="AR437" t="s">
        <v>2</v>
      </c>
      <c r="AS437">
        <v>-1</v>
      </c>
      <c r="AT437">
        <v>-1</v>
      </c>
      <c r="AU437">
        <v>-1</v>
      </c>
      <c r="AV437">
        <v>-1</v>
      </c>
      <c r="AW437">
        <v>-1</v>
      </c>
      <c r="AX437">
        <v>-1</v>
      </c>
      <c r="AY437">
        <v>-1</v>
      </c>
      <c r="AZ437">
        <v>-1</v>
      </c>
      <c r="BA437">
        <v>-1</v>
      </c>
      <c r="BB437">
        <v>0</v>
      </c>
      <c r="BC437" t="s">
        <v>2</v>
      </c>
      <c r="BD437">
        <v>-1</v>
      </c>
      <c r="BE437">
        <v>-1</v>
      </c>
      <c r="BF437">
        <v>-1</v>
      </c>
      <c r="BG437">
        <v>-1</v>
      </c>
      <c r="BH437">
        <v>-1</v>
      </c>
      <c r="BI437">
        <v>-1</v>
      </c>
      <c r="BJ437">
        <v>-1</v>
      </c>
      <c r="BK437">
        <v>-1</v>
      </c>
      <c r="BL437">
        <v>-1</v>
      </c>
      <c r="BM437">
        <v>-1</v>
      </c>
      <c r="BN437">
        <v>-1</v>
      </c>
      <c r="BO437">
        <v>-1</v>
      </c>
    </row>
    <row r="438" spans="1:67" x14ac:dyDescent="0.25">
      <c r="A438">
        <v>435</v>
      </c>
      <c r="B438">
        <v>9015</v>
      </c>
      <c r="C438" t="str">
        <f>VLOOKUP(B438,[1]resources!$A$2:$D$300,3,FALSE)</f>
        <v>!!FOOD_RUSTYS_PULLED_PULP_SANDWICH</v>
      </c>
      <c r="D438">
        <v>34</v>
      </c>
      <c r="E438" t="str">
        <f>VLOOKUP(D438,[1]bonus_paytable!$A$2:$D$300,3,FALSE)</f>
        <v>halloween_ghost04</v>
      </c>
      <c r="F438">
        <v>-1</v>
      </c>
      <c r="G438">
        <v>-1</v>
      </c>
      <c r="H438">
        <v>1</v>
      </c>
      <c r="I438" t="s">
        <v>1</v>
      </c>
      <c r="J438">
        <v>9000</v>
      </c>
      <c r="K438">
        <v>9001</v>
      </c>
      <c r="L438">
        <v>9014</v>
      </c>
      <c r="M438">
        <v>9015</v>
      </c>
      <c r="N438">
        <v>9018</v>
      </c>
      <c r="O438">
        <v>9019</v>
      </c>
      <c r="P438">
        <v>-1</v>
      </c>
      <c r="Q438">
        <v>-1</v>
      </c>
      <c r="R438">
        <v>-1</v>
      </c>
      <c r="S438">
        <v>-1</v>
      </c>
      <c r="T438">
        <v>-1</v>
      </c>
      <c r="U438" s="2">
        <v>0.05</v>
      </c>
      <c r="V438" s="2">
        <v>0.05</v>
      </c>
      <c r="W438" s="2">
        <v>0.05</v>
      </c>
      <c r="X438" s="2">
        <v>0.03</v>
      </c>
      <c r="Y438" s="2">
        <v>0.03</v>
      </c>
      <c r="Z438" s="2">
        <v>0.01</v>
      </c>
      <c r="AA438">
        <v>-1</v>
      </c>
      <c r="AB438">
        <v>-1</v>
      </c>
      <c r="AC438">
        <v>-1</v>
      </c>
      <c r="AD438">
        <v>-1</v>
      </c>
      <c r="AE438">
        <v>-1</v>
      </c>
      <c r="AF438">
        <f t="shared" si="56"/>
        <v>1</v>
      </c>
      <c r="AG438">
        <f t="shared" si="57"/>
        <v>1</v>
      </c>
      <c r="AH438">
        <f t="shared" si="58"/>
        <v>1</v>
      </c>
      <c r="AI438">
        <f t="shared" si="59"/>
        <v>1</v>
      </c>
      <c r="AJ438">
        <f t="shared" si="60"/>
        <v>1</v>
      </c>
      <c r="AK438">
        <f t="shared" si="61"/>
        <v>1</v>
      </c>
      <c r="AL438">
        <f t="shared" si="62"/>
        <v>-1</v>
      </c>
      <c r="AM438">
        <f t="shared" si="63"/>
        <v>-1</v>
      </c>
      <c r="AN438">
        <f t="shared" si="64"/>
        <v>-1</v>
      </c>
      <c r="AO438">
        <f t="shared" si="65"/>
        <v>-1</v>
      </c>
      <c r="AP438">
        <f t="shared" si="66"/>
        <v>-1</v>
      </c>
      <c r="AQ438">
        <v>0</v>
      </c>
      <c r="AR438" t="s">
        <v>2</v>
      </c>
      <c r="AS438">
        <v>-1</v>
      </c>
      <c r="AT438">
        <v>-1</v>
      </c>
      <c r="AU438">
        <v>-1</v>
      </c>
      <c r="AV438">
        <v>-1</v>
      </c>
      <c r="AW438">
        <v>-1</v>
      </c>
      <c r="AX438">
        <v>-1</v>
      </c>
      <c r="AY438">
        <v>-1</v>
      </c>
      <c r="AZ438">
        <v>-1</v>
      </c>
      <c r="BA438">
        <v>-1</v>
      </c>
      <c r="BB438">
        <v>0</v>
      </c>
      <c r="BC438" t="s">
        <v>2</v>
      </c>
      <c r="BD438">
        <v>-1</v>
      </c>
      <c r="BE438">
        <v>-1</v>
      </c>
      <c r="BF438">
        <v>-1</v>
      </c>
      <c r="BG438">
        <v>-1</v>
      </c>
      <c r="BH438">
        <v>-1</v>
      </c>
      <c r="BI438">
        <v>-1</v>
      </c>
      <c r="BJ438">
        <v>-1</v>
      </c>
      <c r="BK438">
        <v>-1</v>
      </c>
      <c r="BL438">
        <v>-1</v>
      </c>
      <c r="BM438">
        <v>-1</v>
      </c>
      <c r="BN438">
        <v>-1</v>
      </c>
      <c r="BO438">
        <v>-1</v>
      </c>
    </row>
    <row r="439" spans="1:67" x14ac:dyDescent="0.25">
      <c r="A439">
        <v>436</v>
      </c>
      <c r="B439">
        <v>9018</v>
      </c>
      <c r="C439" t="str">
        <f>VLOOKUP(B439,[1]resources!$A$2:$D$300,3,FALSE)</f>
        <v>!!FOOD_RUSTYS_SPLINTERED_SLAW</v>
      </c>
      <c r="D439">
        <v>34</v>
      </c>
      <c r="E439" t="str">
        <f>VLOOKUP(D439,[1]bonus_paytable!$A$2:$D$300,3,FALSE)</f>
        <v>halloween_ghost04</v>
      </c>
      <c r="F439">
        <v>-1</v>
      </c>
      <c r="G439">
        <v>-1</v>
      </c>
      <c r="H439">
        <v>1</v>
      </c>
      <c r="I439" t="s">
        <v>1</v>
      </c>
      <c r="J439">
        <v>9000</v>
      </c>
      <c r="K439">
        <v>9001</v>
      </c>
      <c r="L439">
        <v>9014</v>
      </c>
      <c r="M439">
        <v>9015</v>
      </c>
      <c r="N439">
        <v>9018</v>
      </c>
      <c r="O439">
        <v>9019</v>
      </c>
      <c r="P439">
        <v>-1</v>
      </c>
      <c r="Q439">
        <v>-1</v>
      </c>
      <c r="R439">
        <v>-1</v>
      </c>
      <c r="S439">
        <v>-1</v>
      </c>
      <c r="T439">
        <v>-1</v>
      </c>
      <c r="U439" s="2">
        <v>0.05</v>
      </c>
      <c r="V439" s="2">
        <v>0.05</v>
      </c>
      <c r="W439" s="2">
        <v>0.05</v>
      </c>
      <c r="X439" s="2">
        <v>0.03</v>
      </c>
      <c r="Y439" s="2">
        <v>0.03</v>
      </c>
      <c r="Z439" s="2">
        <v>0.01</v>
      </c>
      <c r="AA439">
        <v>-1</v>
      </c>
      <c r="AB439">
        <v>-1</v>
      </c>
      <c r="AC439">
        <v>-1</v>
      </c>
      <c r="AD439">
        <v>-1</v>
      </c>
      <c r="AE439">
        <v>-1</v>
      </c>
      <c r="AF439">
        <f t="shared" si="56"/>
        <v>1</v>
      </c>
      <c r="AG439">
        <f t="shared" si="57"/>
        <v>1</v>
      </c>
      <c r="AH439">
        <f t="shared" si="58"/>
        <v>1</v>
      </c>
      <c r="AI439">
        <f t="shared" si="59"/>
        <v>1</v>
      </c>
      <c r="AJ439">
        <f t="shared" si="60"/>
        <v>1</v>
      </c>
      <c r="AK439">
        <f t="shared" si="61"/>
        <v>1</v>
      </c>
      <c r="AL439">
        <f t="shared" si="62"/>
        <v>-1</v>
      </c>
      <c r="AM439">
        <f t="shared" si="63"/>
        <v>-1</v>
      </c>
      <c r="AN439">
        <f t="shared" si="64"/>
        <v>-1</v>
      </c>
      <c r="AO439">
        <f t="shared" si="65"/>
        <v>-1</v>
      </c>
      <c r="AP439">
        <f t="shared" si="66"/>
        <v>-1</v>
      </c>
      <c r="AQ439">
        <v>0</v>
      </c>
      <c r="AR439" t="s">
        <v>2</v>
      </c>
      <c r="AS439">
        <v>-1</v>
      </c>
      <c r="AT439">
        <v>-1</v>
      </c>
      <c r="AU439">
        <v>-1</v>
      </c>
      <c r="AV439">
        <v>-1</v>
      </c>
      <c r="AW439">
        <v>-1</v>
      </c>
      <c r="AX439">
        <v>-1</v>
      </c>
      <c r="AY439">
        <v>-1</v>
      </c>
      <c r="AZ439">
        <v>-1</v>
      </c>
      <c r="BA439">
        <v>-1</v>
      </c>
      <c r="BB439">
        <v>0</v>
      </c>
      <c r="BC439" t="s">
        <v>2</v>
      </c>
      <c r="BD439">
        <v>-1</v>
      </c>
      <c r="BE439">
        <v>-1</v>
      </c>
      <c r="BF439">
        <v>-1</v>
      </c>
      <c r="BG439">
        <v>-1</v>
      </c>
      <c r="BH439">
        <v>-1</v>
      </c>
      <c r="BI439">
        <v>-1</v>
      </c>
      <c r="BJ439">
        <v>-1</v>
      </c>
      <c r="BK439">
        <v>-1</v>
      </c>
      <c r="BL439">
        <v>-1</v>
      </c>
      <c r="BM439">
        <v>-1</v>
      </c>
      <c r="BN439">
        <v>-1</v>
      </c>
      <c r="BO439">
        <v>-1</v>
      </c>
    </row>
    <row r="440" spans="1:67" x14ac:dyDescent="0.25">
      <c r="A440">
        <v>437</v>
      </c>
      <c r="B440">
        <v>9019</v>
      </c>
      <c r="C440" t="str">
        <f>VLOOKUP(B440,[1]resources!$A$2:$D$300,3,FALSE)</f>
        <v>!!FOOD_RUSTYS_RIBEYE_SANDWICH</v>
      </c>
      <c r="D440">
        <v>34</v>
      </c>
      <c r="E440" t="str">
        <f>VLOOKUP(D440,[1]bonus_paytable!$A$2:$D$300,3,FALSE)</f>
        <v>halloween_ghost04</v>
      </c>
      <c r="F440">
        <v>-1</v>
      </c>
      <c r="G440">
        <v>-1</v>
      </c>
      <c r="H440">
        <v>1</v>
      </c>
      <c r="I440" t="s">
        <v>1</v>
      </c>
      <c r="J440">
        <v>9000</v>
      </c>
      <c r="K440">
        <v>9001</v>
      </c>
      <c r="L440">
        <v>9014</v>
      </c>
      <c r="M440">
        <v>9015</v>
      </c>
      <c r="N440">
        <v>9018</v>
      </c>
      <c r="O440">
        <v>9019</v>
      </c>
      <c r="P440">
        <v>-1</v>
      </c>
      <c r="Q440">
        <v>-1</v>
      </c>
      <c r="R440">
        <v>-1</v>
      </c>
      <c r="S440">
        <v>-1</v>
      </c>
      <c r="T440">
        <v>-1</v>
      </c>
      <c r="U440" s="2">
        <v>0.05</v>
      </c>
      <c r="V440" s="2">
        <v>0.05</v>
      </c>
      <c r="W440" s="2">
        <v>0.05</v>
      </c>
      <c r="X440" s="2">
        <v>0.03</v>
      </c>
      <c r="Y440" s="2">
        <v>0.03</v>
      </c>
      <c r="Z440" s="2">
        <v>0.01</v>
      </c>
      <c r="AA440">
        <v>-1</v>
      </c>
      <c r="AB440">
        <v>-1</v>
      </c>
      <c r="AC440">
        <v>-1</v>
      </c>
      <c r="AD440">
        <v>-1</v>
      </c>
      <c r="AE440">
        <v>-1</v>
      </c>
      <c r="AF440">
        <f t="shared" si="56"/>
        <v>1</v>
      </c>
      <c r="AG440">
        <f t="shared" si="57"/>
        <v>1</v>
      </c>
      <c r="AH440">
        <f t="shared" si="58"/>
        <v>1</v>
      </c>
      <c r="AI440">
        <f t="shared" si="59"/>
        <v>1</v>
      </c>
      <c r="AJ440">
        <f t="shared" si="60"/>
        <v>1</v>
      </c>
      <c r="AK440">
        <f t="shared" si="61"/>
        <v>1</v>
      </c>
      <c r="AL440">
        <f t="shared" si="62"/>
        <v>-1</v>
      </c>
      <c r="AM440">
        <f t="shared" si="63"/>
        <v>-1</v>
      </c>
      <c r="AN440">
        <f t="shared" si="64"/>
        <v>-1</v>
      </c>
      <c r="AO440">
        <f t="shared" si="65"/>
        <v>-1</v>
      </c>
      <c r="AP440">
        <f t="shared" si="66"/>
        <v>-1</v>
      </c>
      <c r="AQ440">
        <v>0</v>
      </c>
      <c r="AR440" t="s">
        <v>2</v>
      </c>
      <c r="AS440">
        <v>-1</v>
      </c>
      <c r="AT440">
        <v>-1</v>
      </c>
      <c r="AU440">
        <v>-1</v>
      </c>
      <c r="AV440">
        <v>-1</v>
      </c>
      <c r="AW440">
        <v>-1</v>
      </c>
      <c r="AX440">
        <v>-1</v>
      </c>
      <c r="AY440">
        <v>-1</v>
      </c>
      <c r="AZ440">
        <v>-1</v>
      </c>
      <c r="BA440">
        <v>-1</v>
      </c>
      <c r="BB440">
        <v>0</v>
      </c>
      <c r="BC440" t="s">
        <v>2</v>
      </c>
      <c r="BD440">
        <v>-1</v>
      </c>
      <c r="BE440">
        <v>-1</v>
      </c>
      <c r="BF440">
        <v>-1</v>
      </c>
      <c r="BG440">
        <v>-1</v>
      </c>
      <c r="BH440">
        <v>-1</v>
      </c>
      <c r="BI440">
        <v>-1</v>
      </c>
      <c r="BJ440">
        <v>-1</v>
      </c>
      <c r="BK440">
        <v>-1</v>
      </c>
      <c r="BL440">
        <v>-1</v>
      </c>
      <c r="BM440">
        <v>-1</v>
      </c>
      <c r="BN440">
        <v>-1</v>
      </c>
      <c r="BO440">
        <v>-1</v>
      </c>
    </row>
    <row r="441" spans="1:67" x14ac:dyDescent="0.25">
      <c r="A441">
        <v>438</v>
      </c>
      <c r="B441">
        <v>9016</v>
      </c>
      <c r="C441" t="str">
        <f>VLOOKUP(B441,[1]resources!$A$2:$D$300,3,FALSE)</f>
        <v>!!FOOD_RUSTYS_RUSTY_ON_RYE</v>
      </c>
      <c r="D441">
        <v>35</v>
      </c>
      <c r="E441" t="str">
        <f>VLOOKUP(D441,[1]bonus_paytable!$A$2:$D$300,3,FALSE)</f>
        <v>halloween_ghost05</v>
      </c>
      <c r="F441">
        <v>-1</v>
      </c>
      <c r="G441">
        <v>-1</v>
      </c>
      <c r="H441">
        <v>1</v>
      </c>
      <c r="I441" t="s">
        <v>1</v>
      </c>
      <c r="J441">
        <v>9000</v>
      </c>
      <c r="K441">
        <v>9001</v>
      </c>
      <c r="L441">
        <v>9014</v>
      </c>
      <c r="M441">
        <v>9015</v>
      </c>
      <c r="N441">
        <v>9018</v>
      </c>
      <c r="O441">
        <v>9019</v>
      </c>
      <c r="P441">
        <v>-1</v>
      </c>
      <c r="Q441">
        <v>-1</v>
      </c>
      <c r="R441">
        <v>-1</v>
      </c>
      <c r="S441">
        <v>-1</v>
      </c>
      <c r="T441">
        <v>-1</v>
      </c>
      <c r="U441" s="2">
        <v>0.05</v>
      </c>
      <c r="V441" s="2">
        <v>0.05</v>
      </c>
      <c r="W441" s="2">
        <v>0.05</v>
      </c>
      <c r="X441" s="2">
        <v>0.03</v>
      </c>
      <c r="Y441" s="2">
        <v>0.03</v>
      </c>
      <c r="Z441" s="2">
        <v>0.01</v>
      </c>
      <c r="AA441">
        <v>-1</v>
      </c>
      <c r="AB441">
        <v>-1</v>
      </c>
      <c r="AC441">
        <v>-1</v>
      </c>
      <c r="AD441">
        <v>-1</v>
      </c>
      <c r="AE441">
        <v>-1</v>
      </c>
      <c r="AF441">
        <f t="shared" si="56"/>
        <v>1</v>
      </c>
      <c r="AG441">
        <f t="shared" si="57"/>
        <v>1</v>
      </c>
      <c r="AH441">
        <f t="shared" si="58"/>
        <v>1</v>
      </c>
      <c r="AI441">
        <f t="shared" si="59"/>
        <v>1</v>
      </c>
      <c r="AJ441">
        <f t="shared" si="60"/>
        <v>1</v>
      </c>
      <c r="AK441">
        <f t="shared" si="61"/>
        <v>1</v>
      </c>
      <c r="AL441">
        <f t="shared" si="62"/>
        <v>-1</v>
      </c>
      <c r="AM441">
        <f t="shared" si="63"/>
        <v>-1</v>
      </c>
      <c r="AN441">
        <f t="shared" si="64"/>
        <v>-1</v>
      </c>
      <c r="AO441">
        <f t="shared" si="65"/>
        <v>-1</v>
      </c>
      <c r="AP441">
        <f t="shared" si="66"/>
        <v>-1</v>
      </c>
      <c r="AQ441">
        <v>0</v>
      </c>
      <c r="AR441" t="s">
        <v>2</v>
      </c>
      <c r="AS441">
        <v>-1</v>
      </c>
      <c r="AT441">
        <v>-1</v>
      </c>
      <c r="AU441">
        <v>-1</v>
      </c>
      <c r="AV441">
        <v>-1</v>
      </c>
      <c r="AW441">
        <v>-1</v>
      </c>
      <c r="AX441">
        <v>-1</v>
      </c>
      <c r="AY441">
        <v>-1</v>
      </c>
      <c r="AZ441">
        <v>-1</v>
      </c>
      <c r="BA441">
        <v>-1</v>
      </c>
      <c r="BB441">
        <v>0</v>
      </c>
      <c r="BC441" t="s">
        <v>2</v>
      </c>
      <c r="BD441">
        <v>-1</v>
      </c>
      <c r="BE441">
        <v>-1</v>
      </c>
      <c r="BF441">
        <v>-1</v>
      </c>
      <c r="BG441">
        <v>-1</v>
      </c>
      <c r="BH441">
        <v>-1</v>
      </c>
      <c r="BI441">
        <v>-1</v>
      </c>
      <c r="BJ441">
        <v>-1</v>
      </c>
      <c r="BK441">
        <v>-1</v>
      </c>
      <c r="BL441">
        <v>-1</v>
      </c>
      <c r="BM441">
        <v>-1</v>
      </c>
      <c r="BN441">
        <v>-1</v>
      </c>
      <c r="BO441">
        <v>-1</v>
      </c>
    </row>
    <row r="442" spans="1:67" x14ac:dyDescent="0.25">
      <c r="A442">
        <v>439</v>
      </c>
      <c r="B442">
        <v>9000</v>
      </c>
      <c r="C442" t="str">
        <f>VLOOKUP(B442,[1]resources!$A$2:$D$300,3,FALSE)</f>
        <v>!!FOOD_RUSTYS_BARK_CHOP_SANDWICH</v>
      </c>
      <c r="D442">
        <v>35</v>
      </c>
      <c r="E442" t="str">
        <f>VLOOKUP(D442,[1]bonus_paytable!$A$2:$D$300,3,FALSE)</f>
        <v>halloween_ghost05</v>
      </c>
      <c r="F442">
        <v>-1</v>
      </c>
      <c r="G442">
        <v>-1</v>
      </c>
      <c r="H442">
        <v>1</v>
      </c>
      <c r="I442" t="s">
        <v>1</v>
      </c>
      <c r="J442">
        <v>9000</v>
      </c>
      <c r="K442">
        <v>9001</v>
      </c>
      <c r="L442">
        <v>9014</v>
      </c>
      <c r="M442">
        <v>9015</v>
      </c>
      <c r="N442">
        <v>9018</v>
      </c>
      <c r="O442">
        <v>9019</v>
      </c>
      <c r="P442">
        <v>-1</v>
      </c>
      <c r="Q442">
        <v>-1</v>
      </c>
      <c r="R442">
        <v>-1</v>
      </c>
      <c r="S442">
        <v>-1</v>
      </c>
      <c r="T442">
        <v>-1</v>
      </c>
      <c r="U442" s="2">
        <v>0.05</v>
      </c>
      <c r="V442" s="2">
        <v>0.05</v>
      </c>
      <c r="W442" s="2">
        <v>0.05</v>
      </c>
      <c r="X442" s="2">
        <v>0.03</v>
      </c>
      <c r="Y442" s="2">
        <v>0.03</v>
      </c>
      <c r="Z442" s="2">
        <v>0.01</v>
      </c>
      <c r="AA442">
        <v>-1</v>
      </c>
      <c r="AB442">
        <v>-1</v>
      </c>
      <c r="AC442">
        <v>-1</v>
      </c>
      <c r="AD442">
        <v>-1</v>
      </c>
      <c r="AE442">
        <v>-1</v>
      </c>
      <c r="AF442">
        <f t="shared" si="56"/>
        <v>1</v>
      </c>
      <c r="AG442">
        <f t="shared" si="57"/>
        <v>1</v>
      </c>
      <c r="AH442">
        <f t="shared" si="58"/>
        <v>1</v>
      </c>
      <c r="AI442">
        <f t="shared" si="59"/>
        <v>1</v>
      </c>
      <c r="AJ442">
        <f t="shared" si="60"/>
        <v>1</v>
      </c>
      <c r="AK442">
        <f t="shared" si="61"/>
        <v>1</v>
      </c>
      <c r="AL442">
        <f t="shared" si="62"/>
        <v>-1</v>
      </c>
      <c r="AM442">
        <f t="shared" si="63"/>
        <v>-1</v>
      </c>
      <c r="AN442">
        <f t="shared" si="64"/>
        <v>-1</v>
      </c>
      <c r="AO442">
        <f t="shared" si="65"/>
        <v>-1</v>
      </c>
      <c r="AP442">
        <f t="shared" si="66"/>
        <v>-1</v>
      </c>
      <c r="AQ442">
        <v>0</v>
      </c>
      <c r="AR442" t="s">
        <v>2</v>
      </c>
      <c r="AS442">
        <v>-1</v>
      </c>
      <c r="AT442">
        <v>-1</v>
      </c>
      <c r="AU442">
        <v>-1</v>
      </c>
      <c r="AV442">
        <v>-1</v>
      </c>
      <c r="AW442">
        <v>-1</v>
      </c>
      <c r="AX442">
        <v>-1</v>
      </c>
      <c r="AY442">
        <v>-1</v>
      </c>
      <c r="AZ442">
        <v>-1</v>
      </c>
      <c r="BA442">
        <v>-1</v>
      </c>
      <c r="BB442">
        <v>0</v>
      </c>
      <c r="BC442" t="s">
        <v>2</v>
      </c>
      <c r="BD442">
        <v>-1</v>
      </c>
      <c r="BE442">
        <v>-1</v>
      </c>
      <c r="BF442">
        <v>-1</v>
      </c>
      <c r="BG442">
        <v>-1</v>
      </c>
      <c r="BH442">
        <v>-1</v>
      </c>
      <c r="BI442">
        <v>-1</v>
      </c>
      <c r="BJ442">
        <v>-1</v>
      </c>
      <c r="BK442">
        <v>-1</v>
      </c>
      <c r="BL442">
        <v>-1</v>
      </c>
      <c r="BM442">
        <v>-1</v>
      </c>
      <c r="BN442">
        <v>-1</v>
      </c>
      <c r="BO442">
        <v>-1</v>
      </c>
    </row>
    <row r="443" spans="1:67" x14ac:dyDescent="0.25">
      <c r="A443">
        <v>440</v>
      </c>
      <c r="B443">
        <v>9001</v>
      </c>
      <c r="C443" t="str">
        <f>VLOOKUP(B443,[1]resources!$A$2:$D$300,3,FALSE)</f>
        <v>!!FOOD_RUSTYS_BARKING_BRISKET</v>
      </c>
      <c r="D443">
        <v>35</v>
      </c>
      <c r="E443" t="str">
        <f>VLOOKUP(D443,[1]bonus_paytable!$A$2:$D$300,3,FALSE)</f>
        <v>halloween_ghost05</v>
      </c>
      <c r="F443">
        <v>-1</v>
      </c>
      <c r="G443">
        <v>-1</v>
      </c>
      <c r="H443">
        <v>1</v>
      </c>
      <c r="I443" t="s">
        <v>1</v>
      </c>
      <c r="J443">
        <v>9000</v>
      </c>
      <c r="K443">
        <v>9001</v>
      </c>
      <c r="L443">
        <v>9014</v>
      </c>
      <c r="M443">
        <v>9015</v>
      </c>
      <c r="N443">
        <v>9018</v>
      </c>
      <c r="O443">
        <v>9019</v>
      </c>
      <c r="P443">
        <v>-1</v>
      </c>
      <c r="Q443">
        <v>-1</v>
      </c>
      <c r="R443">
        <v>-1</v>
      </c>
      <c r="S443">
        <v>-1</v>
      </c>
      <c r="T443">
        <v>-1</v>
      </c>
      <c r="U443" s="2">
        <v>0.05</v>
      </c>
      <c r="V443" s="2">
        <v>0.05</v>
      </c>
      <c r="W443" s="2">
        <v>0.05</v>
      </c>
      <c r="X443" s="2">
        <v>0.03</v>
      </c>
      <c r="Y443" s="2">
        <v>0.03</v>
      </c>
      <c r="Z443" s="2">
        <v>0.01</v>
      </c>
      <c r="AA443">
        <v>-1</v>
      </c>
      <c r="AB443">
        <v>-1</v>
      </c>
      <c r="AC443">
        <v>-1</v>
      </c>
      <c r="AD443">
        <v>-1</v>
      </c>
      <c r="AE443">
        <v>-1</v>
      </c>
      <c r="AF443">
        <f t="shared" si="56"/>
        <v>1</v>
      </c>
      <c r="AG443">
        <f t="shared" si="57"/>
        <v>1</v>
      </c>
      <c r="AH443">
        <f t="shared" si="58"/>
        <v>1</v>
      </c>
      <c r="AI443">
        <f t="shared" si="59"/>
        <v>1</v>
      </c>
      <c r="AJ443">
        <f t="shared" si="60"/>
        <v>1</v>
      </c>
      <c r="AK443">
        <f t="shared" si="61"/>
        <v>1</v>
      </c>
      <c r="AL443">
        <f t="shared" si="62"/>
        <v>-1</v>
      </c>
      <c r="AM443">
        <f t="shared" si="63"/>
        <v>-1</v>
      </c>
      <c r="AN443">
        <f t="shared" si="64"/>
        <v>-1</v>
      </c>
      <c r="AO443">
        <f t="shared" si="65"/>
        <v>-1</v>
      </c>
      <c r="AP443">
        <f t="shared" si="66"/>
        <v>-1</v>
      </c>
      <c r="AQ443">
        <v>0</v>
      </c>
      <c r="AR443" t="s">
        <v>2</v>
      </c>
      <c r="AS443">
        <v>-1</v>
      </c>
      <c r="AT443">
        <v>-1</v>
      </c>
      <c r="AU443">
        <v>-1</v>
      </c>
      <c r="AV443">
        <v>-1</v>
      </c>
      <c r="AW443">
        <v>-1</v>
      </c>
      <c r="AX443">
        <v>-1</v>
      </c>
      <c r="AY443">
        <v>-1</v>
      </c>
      <c r="AZ443">
        <v>-1</v>
      </c>
      <c r="BA443">
        <v>-1</v>
      </c>
      <c r="BB443">
        <v>0</v>
      </c>
      <c r="BC443" t="s">
        <v>2</v>
      </c>
      <c r="BD443">
        <v>-1</v>
      </c>
      <c r="BE443">
        <v>-1</v>
      </c>
      <c r="BF443">
        <v>-1</v>
      </c>
      <c r="BG443">
        <v>-1</v>
      </c>
      <c r="BH443">
        <v>-1</v>
      </c>
      <c r="BI443">
        <v>-1</v>
      </c>
      <c r="BJ443">
        <v>-1</v>
      </c>
      <c r="BK443">
        <v>-1</v>
      </c>
      <c r="BL443">
        <v>-1</v>
      </c>
      <c r="BM443">
        <v>-1</v>
      </c>
      <c r="BN443">
        <v>-1</v>
      </c>
      <c r="BO443">
        <v>-1</v>
      </c>
    </row>
    <row r="444" spans="1:67" x14ac:dyDescent="0.25">
      <c r="A444">
        <v>441</v>
      </c>
      <c r="B444">
        <v>9014</v>
      </c>
      <c r="C444" t="str">
        <f>VLOOKUP(B444,[1]resources!$A$2:$D$300,3,FALSE)</f>
        <v>!!FOOD_RUSTYS_MESQUITE_RIBS</v>
      </c>
      <c r="D444">
        <v>35</v>
      </c>
      <c r="E444" t="str">
        <f>VLOOKUP(D444,[1]bonus_paytable!$A$2:$D$300,3,FALSE)</f>
        <v>halloween_ghost05</v>
      </c>
      <c r="F444">
        <v>-1</v>
      </c>
      <c r="G444">
        <v>-1</v>
      </c>
      <c r="H444">
        <v>1</v>
      </c>
      <c r="I444" t="s">
        <v>1</v>
      </c>
      <c r="J444">
        <v>9000</v>
      </c>
      <c r="K444">
        <v>9001</v>
      </c>
      <c r="L444">
        <v>9014</v>
      </c>
      <c r="M444">
        <v>9015</v>
      </c>
      <c r="N444">
        <v>9018</v>
      </c>
      <c r="O444">
        <v>9019</v>
      </c>
      <c r="P444">
        <v>-1</v>
      </c>
      <c r="Q444">
        <v>-1</v>
      </c>
      <c r="R444">
        <v>-1</v>
      </c>
      <c r="S444">
        <v>-1</v>
      </c>
      <c r="T444">
        <v>-1</v>
      </c>
      <c r="U444" s="2">
        <v>0.05</v>
      </c>
      <c r="V444" s="2">
        <v>0.05</v>
      </c>
      <c r="W444" s="2">
        <v>0.05</v>
      </c>
      <c r="X444" s="2">
        <v>0.03</v>
      </c>
      <c r="Y444" s="2">
        <v>0.03</v>
      </c>
      <c r="Z444" s="2">
        <v>0.01</v>
      </c>
      <c r="AA444">
        <v>-1</v>
      </c>
      <c r="AB444">
        <v>-1</v>
      </c>
      <c r="AC444">
        <v>-1</v>
      </c>
      <c r="AD444">
        <v>-1</v>
      </c>
      <c r="AE444">
        <v>-1</v>
      </c>
      <c r="AF444">
        <f t="shared" si="56"/>
        <v>1</v>
      </c>
      <c r="AG444">
        <f t="shared" si="57"/>
        <v>1</v>
      </c>
      <c r="AH444">
        <f t="shared" si="58"/>
        <v>1</v>
      </c>
      <c r="AI444">
        <f t="shared" si="59"/>
        <v>1</v>
      </c>
      <c r="AJ444">
        <f t="shared" si="60"/>
        <v>1</v>
      </c>
      <c r="AK444">
        <f t="shared" si="61"/>
        <v>1</v>
      </c>
      <c r="AL444">
        <f t="shared" si="62"/>
        <v>-1</v>
      </c>
      <c r="AM444">
        <f t="shared" si="63"/>
        <v>-1</v>
      </c>
      <c r="AN444">
        <f t="shared" si="64"/>
        <v>-1</v>
      </c>
      <c r="AO444">
        <f t="shared" si="65"/>
        <v>-1</v>
      </c>
      <c r="AP444">
        <f t="shared" si="66"/>
        <v>-1</v>
      </c>
      <c r="AQ444">
        <v>0</v>
      </c>
      <c r="AR444" t="s">
        <v>2</v>
      </c>
      <c r="AS444">
        <v>-1</v>
      </c>
      <c r="AT444">
        <v>-1</v>
      </c>
      <c r="AU444">
        <v>-1</v>
      </c>
      <c r="AV444">
        <v>-1</v>
      </c>
      <c r="AW444">
        <v>-1</v>
      </c>
      <c r="AX444">
        <v>-1</v>
      </c>
      <c r="AY444">
        <v>-1</v>
      </c>
      <c r="AZ444">
        <v>-1</v>
      </c>
      <c r="BA444">
        <v>-1</v>
      </c>
      <c r="BB444">
        <v>0</v>
      </c>
      <c r="BC444" t="s">
        <v>2</v>
      </c>
      <c r="BD444">
        <v>-1</v>
      </c>
      <c r="BE444">
        <v>-1</v>
      </c>
      <c r="BF444">
        <v>-1</v>
      </c>
      <c r="BG444">
        <v>-1</v>
      </c>
      <c r="BH444">
        <v>-1</v>
      </c>
      <c r="BI444">
        <v>-1</v>
      </c>
      <c r="BJ444">
        <v>-1</v>
      </c>
      <c r="BK444">
        <v>-1</v>
      </c>
      <c r="BL444">
        <v>-1</v>
      </c>
      <c r="BM444">
        <v>-1</v>
      </c>
      <c r="BN444">
        <v>-1</v>
      </c>
      <c r="BO444">
        <v>-1</v>
      </c>
    </row>
    <row r="445" spans="1:67" x14ac:dyDescent="0.25">
      <c r="A445">
        <v>442</v>
      </c>
      <c r="B445">
        <v>9015</v>
      </c>
      <c r="C445" t="str">
        <f>VLOOKUP(B445,[1]resources!$A$2:$D$300,3,FALSE)</f>
        <v>!!FOOD_RUSTYS_PULLED_PULP_SANDWICH</v>
      </c>
      <c r="D445">
        <v>35</v>
      </c>
      <c r="E445" t="str">
        <f>VLOOKUP(D445,[1]bonus_paytable!$A$2:$D$300,3,FALSE)</f>
        <v>halloween_ghost05</v>
      </c>
      <c r="F445">
        <v>-1</v>
      </c>
      <c r="G445">
        <v>-1</v>
      </c>
      <c r="H445">
        <v>1</v>
      </c>
      <c r="I445" t="s">
        <v>1</v>
      </c>
      <c r="J445">
        <v>9000</v>
      </c>
      <c r="K445">
        <v>9001</v>
      </c>
      <c r="L445">
        <v>9014</v>
      </c>
      <c r="M445">
        <v>9015</v>
      </c>
      <c r="N445">
        <v>9018</v>
      </c>
      <c r="O445">
        <v>9019</v>
      </c>
      <c r="P445">
        <v>-1</v>
      </c>
      <c r="Q445">
        <v>-1</v>
      </c>
      <c r="R445">
        <v>-1</v>
      </c>
      <c r="S445">
        <v>-1</v>
      </c>
      <c r="T445">
        <v>-1</v>
      </c>
      <c r="U445" s="2">
        <v>0.05</v>
      </c>
      <c r="V445" s="2">
        <v>0.05</v>
      </c>
      <c r="W445" s="2">
        <v>0.05</v>
      </c>
      <c r="X445" s="2">
        <v>0.03</v>
      </c>
      <c r="Y445" s="2">
        <v>0.03</v>
      </c>
      <c r="Z445" s="2">
        <v>0.01</v>
      </c>
      <c r="AA445">
        <v>-1</v>
      </c>
      <c r="AB445">
        <v>-1</v>
      </c>
      <c r="AC445">
        <v>-1</v>
      </c>
      <c r="AD445">
        <v>-1</v>
      </c>
      <c r="AE445">
        <v>-1</v>
      </c>
      <c r="AF445">
        <f t="shared" si="56"/>
        <v>1</v>
      </c>
      <c r="AG445">
        <f t="shared" si="57"/>
        <v>1</v>
      </c>
      <c r="AH445">
        <f t="shared" si="58"/>
        <v>1</v>
      </c>
      <c r="AI445">
        <f t="shared" si="59"/>
        <v>1</v>
      </c>
      <c r="AJ445">
        <f t="shared" si="60"/>
        <v>1</v>
      </c>
      <c r="AK445">
        <f t="shared" si="61"/>
        <v>1</v>
      </c>
      <c r="AL445">
        <f t="shared" si="62"/>
        <v>-1</v>
      </c>
      <c r="AM445">
        <f t="shared" si="63"/>
        <v>-1</v>
      </c>
      <c r="AN445">
        <f t="shared" si="64"/>
        <v>-1</v>
      </c>
      <c r="AO445">
        <f t="shared" si="65"/>
        <v>-1</v>
      </c>
      <c r="AP445">
        <f t="shared" si="66"/>
        <v>-1</v>
      </c>
      <c r="AQ445">
        <v>0</v>
      </c>
      <c r="AR445" t="s">
        <v>2</v>
      </c>
      <c r="AS445">
        <v>-1</v>
      </c>
      <c r="AT445">
        <v>-1</v>
      </c>
      <c r="AU445">
        <v>-1</v>
      </c>
      <c r="AV445">
        <v>-1</v>
      </c>
      <c r="AW445">
        <v>-1</v>
      </c>
      <c r="AX445">
        <v>-1</v>
      </c>
      <c r="AY445">
        <v>-1</v>
      </c>
      <c r="AZ445">
        <v>-1</v>
      </c>
      <c r="BA445">
        <v>-1</v>
      </c>
      <c r="BB445">
        <v>0</v>
      </c>
      <c r="BC445" t="s">
        <v>2</v>
      </c>
      <c r="BD445">
        <v>-1</v>
      </c>
      <c r="BE445">
        <v>-1</v>
      </c>
      <c r="BF445">
        <v>-1</v>
      </c>
      <c r="BG445">
        <v>-1</v>
      </c>
      <c r="BH445">
        <v>-1</v>
      </c>
      <c r="BI445">
        <v>-1</v>
      </c>
      <c r="BJ445">
        <v>-1</v>
      </c>
      <c r="BK445">
        <v>-1</v>
      </c>
      <c r="BL445">
        <v>-1</v>
      </c>
      <c r="BM445">
        <v>-1</v>
      </c>
      <c r="BN445">
        <v>-1</v>
      </c>
      <c r="BO445">
        <v>-1</v>
      </c>
    </row>
    <row r="446" spans="1:67" x14ac:dyDescent="0.25">
      <c r="A446">
        <v>443</v>
      </c>
      <c r="B446">
        <v>9018</v>
      </c>
      <c r="C446" t="str">
        <f>VLOOKUP(B446,[1]resources!$A$2:$D$300,3,FALSE)</f>
        <v>!!FOOD_RUSTYS_SPLINTERED_SLAW</v>
      </c>
      <c r="D446">
        <v>35</v>
      </c>
      <c r="E446" t="str">
        <f>VLOOKUP(D446,[1]bonus_paytable!$A$2:$D$300,3,FALSE)</f>
        <v>halloween_ghost05</v>
      </c>
      <c r="F446">
        <v>-1</v>
      </c>
      <c r="G446">
        <v>-1</v>
      </c>
      <c r="H446">
        <v>1</v>
      </c>
      <c r="I446" t="s">
        <v>1</v>
      </c>
      <c r="J446">
        <v>9000</v>
      </c>
      <c r="K446">
        <v>9001</v>
      </c>
      <c r="L446">
        <v>9014</v>
      </c>
      <c r="M446">
        <v>9015</v>
      </c>
      <c r="N446">
        <v>9018</v>
      </c>
      <c r="O446">
        <v>9019</v>
      </c>
      <c r="P446">
        <v>-1</v>
      </c>
      <c r="Q446">
        <v>-1</v>
      </c>
      <c r="R446">
        <v>-1</v>
      </c>
      <c r="S446">
        <v>-1</v>
      </c>
      <c r="T446">
        <v>-1</v>
      </c>
      <c r="U446" s="2">
        <v>0.05</v>
      </c>
      <c r="V446" s="2">
        <v>0.05</v>
      </c>
      <c r="W446" s="2">
        <v>0.05</v>
      </c>
      <c r="X446" s="2">
        <v>0.03</v>
      </c>
      <c r="Y446" s="2">
        <v>0.03</v>
      </c>
      <c r="Z446" s="2">
        <v>0.01</v>
      </c>
      <c r="AA446">
        <v>-1</v>
      </c>
      <c r="AB446">
        <v>-1</v>
      </c>
      <c r="AC446">
        <v>-1</v>
      </c>
      <c r="AD446">
        <v>-1</v>
      </c>
      <c r="AE446">
        <v>-1</v>
      </c>
      <c r="AF446">
        <f t="shared" si="56"/>
        <v>1</v>
      </c>
      <c r="AG446">
        <f t="shared" si="57"/>
        <v>1</v>
      </c>
      <c r="AH446">
        <f t="shared" si="58"/>
        <v>1</v>
      </c>
      <c r="AI446">
        <f t="shared" si="59"/>
        <v>1</v>
      </c>
      <c r="AJ446">
        <f t="shared" si="60"/>
        <v>1</v>
      </c>
      <c r="AK446">
        <f t="shared" si="61"/>
        <v>1</v>
      </c>
      <c r="AL446">
        <f t="shared" si="62"/>
        <v>-1</v>
      </c>
      <c r="AM446">
        <f t="shared" si="63"/>
        <v>-1</v>
      </c>
      <c r="AN446">
        <f t="shared" si="64"/>
        <v>-1</v>
      </c>
      <c r="AO446">
        <f t="shared" si="65"/>
        <v>-1</v>
      </c>
      <c r="AP446">
        <f t="shared" si="66"/>
        <v>-1</v>
      </c>
      <c r="AQ446">
        <v>0</v>
      </c>
      <c r="AR446" t="s">
        <v>2</v>
      </c>
      <c r="AS446">
        <v>-1</v>
      </c>
      <c r="AT446">
        <v>-1</v>
      </c>
      <c r="AU446">
        <v>-1</v>
      </c>
      <c r="AV446">
        <v>-1</v>
      </c>
      <c r="AW446">
        <v>-1</v>
      </c>
      <c r="AX446">
        <v>-1</v>
      </c>
      <c r="AY446">
        <v>-1</v>
      </c>
      <c r="AZ446">
        <v>-1</v>
      </c>
      <c r="BA446">
        <v>-1</v>
      </c>
      <c r="BB446">
        <v>0</v>
      </c>
      <c r="BC446" t="s">
        <v>2</v>
      </c>
      <c r="BD446">
        <v>-1</v>
      </c>
      <c r="BE446">
        <v>-1</v>
      </c>
      <c r="BF446">
        <v>-1</v>
      </c>
      <c r="BG446">
        <v>-1</v>
      </c>
      <c r="BH446">
        <v>-1</v>
      </c>
      <c r="BI446">
        <v>-1</v>
      </c>
      <c r="BJ446">
        <v>-1</v>
      </c>
      <c r="BK446">
        <v>-1</v>
      </c>
      <c r="BL446">
        <v>-1</v>
      </c>
      <c r="BM446">
        <v>-1</v>
      </c>
      <c r="BN446">
        <v>-1</v>
      </c>
      <c r="BO446">
        <v>-1</v>
      </c>
    </row>
    <row r="447" spans="1:67" x14ac:dyDescent="0.25">
      <c r="A447">
        <v>444</v>
      </c>
      <c r="B447">
        <v>9019</v>
      </c>
      <c r="C447" t="str">
        <f>VLOOKUP(B447,[1]resources!$A$2:$D$300,3,FALSE)</f>
        <v>!!FOOD_RUSTYS_RIBEYE_SANDWICH</v>
      </c>
      <c r="D447">
        <v>35</v>
      </c>
      <c r="E447" t="str">
        <f>VLOOKUP(D447,[1]bonus_paytable!$A$2:$D$300,3,FALSE)</f>
        <v>halloween_ghost05</v>
      </c>
      <c r="F447">
        <v>-1</v>
      </c>
      <c r="G447">
        <v>-1</v>
      </c>
      <c r="H447">
        <v>1</v>
      </c>
      <c r="I447" t="s">
        <v>1</v>
      </c>
      <c r="J447">
        <v>9000</v>
      </c>
      <c r="K447">
        <v>9001</v>
      </c>
      <c r="L447">
        <v>9014</v>
      </c>
      <c r="M447">
        <v>9015</v>
      </c>
      <c r="N447">
        <v>9018</v>
      </c>
      <c r="O447">
        <v>9019</v>
      </c>
      <c r="P447">
        <v>-1</v>
      </c>
      <c r="Q447">
        <v>-1</v>
      </c>
      <c r="R447">
        <v>-1</v>
      </c>
      <c r="S447">
        <v>-1</v>
      </c>
      <c r="T447">
        <v>-1</v>
      </c>
      <c r="U447" s="2">
        <v>0.05</v>
      </c>
      <c r="V447" s="2">
        <v>0.05</v>
      </c>
      <c r="W447" s="2">
        <v>0.05</v>
      </c>
      <c r="X447" s="2">
        <v>0.03</v>
      </c>
      <c r="Y447" s="2">
        <v>0.03</v>
      </c>
      <c r="Z447" s="2">
        <v>0.01</v>
      </c>
      <c r="AA447">
        <v>-1</v>
      </c>
      <c r="AB447">
        <v>-1</v>
      </c>
      <c r="AC447">
        <v>-1</v>
      </c>
      <c r="AD447">
        <v>-1</v>
      </c>
      <c r="AE447">
        <v>-1</v>
      </c>
      <c r="AF447">
        <f t="shared" si="56"/>
        <v>1</v>
      </c>
      <c r="AG447">
        <f t="shared" si="57"/>
        <v>1</v>
      </c>
      <c r="AH447">
        <f t="shared" si="58"/>
        <v>1</v>
      </c>
      <c r="AI447">
        <f t="shared" si="59"/>
        <v>1</v>
      </c>
      <c r="AJ447">
        <f t="shared" si="60"/>
        <v>1</v>
      </c>
      <c r="AK447">
        <f t="shared" si="61"/>
        <v>1</v>
      </c>
      <c r="AL447">
        <f t="shared" si="62"/>
        <v>-1</v>
      </c>
      <c r="AM447">
        <f t="shared" si="63"/>
        <v>-1</v>
      </c>
      <c r="AN447">
        <f t="shared" si="64"/>
        <v>-1</v>
      </c>
      <c r="AO447">
        <f t="shared" si="65"/>
        <v>-1</v>
      </c>
      <c r="AP447">
        <f t="shared" si="66"/>
        <v>-1</v>
      </c>
      <c r="AQ447">
        <v>0</v>
      </c>
      <c r="AR447" t="s">
        <v>2</v>
      </c>
      <c r="AS447">
        <v>-1</v>
      </c>
      <c r="AT447">
        <v>-1</v>
      </c>
      <c r="AU447">
        <v>-1</v>
      </c>
      <c r="AV447">
        <v>-1</v>
      </c>
      <c r="AW447">
        <v>-1</v>
      </c>
      <c r="AX447">
        <v>-1</v>
      </c>
      <c r="AY447">
        <v>-1</v>
      </c>
      <c r="AZ447">
        <v>-1</v>
      </c>
      <c r="BA447">
        <v>-1</v>
      </c>
      <c r="BB447">
        <v>0</v>
      </c>
      <c r="BC447" t="s">
        <v>2</v>
      </c>
      <c r="BD447">
        <v>-1</v>
      </c>
      <c r="BE447">
        <v>-1</v>
      </c>
      <c r="BF447">
        <v>-1</v>
      </c>
      <c r="BG447">
        <v>-1</v>
      </c>
      <c r="BH447">
        <v>-1</v>
      </c>
      <c r="BI447">
        <v>-1</v>
      </c>
      <c r="BJ447">
        <v>-1</v>
      </c>
      <c r="BK447">
        <v>-1</v>
      </c>
      <c r="BL447">
        <v>-1</v>
      </c>
      <c r="BM447">
        <v>-1</v>
      </c>
      <c r="BN447">
        <v>-1</v>
      </c>
      <c r="BO447">
        <v>-1</v>
      </c>
    </row>
    <row r="448" spans="1:67" x14ac:dyDescent="0.25">
      <c r="A448">
        <v>445</v>
      </c>
      <c r="B448">
        <v>9016</v>
      </c>
      <c r="C448" t="str">
        <f>VLOOKUP(B448,[1]resources!$A$2:$D$300,3,FALSE)</f>
        <v>!!FOOD_RUSTYS_RUSTY_ON_RYE</v>
      </c>
      <c r="D448">
        <v>36</v>
      </c>
      <c r="E448" t="str">
        <f>VLOOKUP(D448,[1]bonus_paytable!$A$2:$D$300,3,FALSE)</f>
        <v>halloween_rusty_rickets</v>
      </c>
      <c r="F448">
        <v>-1</v>
      </c>
      <c r="G448">
        <v>-1</v>
      </c>
      <c r="H448">
        <v>1</v>
      </c>
      <c r="I448" t="s">
        <v>1</v>
      </c>
      <c r="J448">
        <v>9000</v>
      </c>
      <c r="K448">
        <v>9001</v>
      </c>
      <c r="L448">
        <v>9014</v>
      </c>
      <c r="M448">
        <v>9015</v>
      </c>
      <c r="N448">
        <v>9018</v>
      </c>
      <c r="O448">
        <v>9019</v>
      </c>
      <c r="P448">
        <v>-1</v>
      </c>
      <c r="Q448">
        <v>-1</v>
      </c>
      <c r="R448">
        <v>-1</v>
      </c>
      <c r="S448">
        <v>-1</v>
      </c>
      <c r="T448">
        <v>-1</v>
      </c>
      <c r="U448" s="2">
        <v>0.05</v>
      </c>
      <c r="V448" s="2">
        <v>0.05</v>
      </c>
      <c r="W448" s="2">
        <v>0.05</v>
      </c>
      <c r="X448" s="2">
        <v>0.03</v>
      </c>
      <c r="Y448" s="2">
        <v>0.03</v>
      </c>
      <c r="Z448" s="2">
        <v>0.01</v>
      </c>
      <c r="AA448">
        <v>-1</v>
      </c>
      <c r="AB448">
        <v>-1</v>
      </c>
      <c r="AC448">
        <v>-1</v>
      </c>
      <c r="AD448">
        <v>-1</v>
      </c>
      <c r="AE448">
        <v>-1</v>
      </c>
      <c r="AF448">
        <f t="shared" si="56"/>
        <v>1</v>
      </c>
      <c r="AG448">
        <f t="shared" si="57"/>
        <v>1</v>
      </c>
      <c r="AH448">
        <f t="shared" si="58"/>
        <v>1</v>
      </c>
      <c r="AI448">
        <f t="shared" si="59"/>
        <v>1</v>
      </c>
      <c r="AJ448">
        <f t="shared" si="60"/>
        <v>1</v>
      </c>
      <c r="AK448">
        <f t="shared" si="61"/>
        <v>1</v>
      </c>
      <c r="AL448">
        <f t="shared" si="62"/>
        <v>-1</v>
      </c>
      <c r="AM448">
        <f t="shared" si="63"/>
        <v>-1</v>
      </c>
      <c r="AN448">
        <f t="shared" si="64"/>
        <v>-1</v>
      </c>
      <c r="AO448">
        <f t="shared" si="65"/>
        <v>-1</v>
      </c>
      <c r="AP448">
        <f t="shared" si="66"/>
        <v>-1</v>
      </c>
      <c r="AQ448">
        <v>0</v>
      </c>
      <c r="AR448" t="s">
        <v>2</v>
      </c>
      <c r="AS448">
        <v>-1</v>
      </c>
      <c r="AT448">
        <v>-1</v>
      </c>
      <c r="AU448">
        <v>-1</v>
      </c>
      <c r="AV448">
        <v>-1</v>
      </c>
      <c r="AW448">
        <v>-1</v>
      </c>
      <c r="AX448">
        <v>-1</v>
      </c>
      <c r="AY448">
        <v>-1</v>
      </c>
      <c r="AZ448">
        <v>-1</v>
      </c>
      <c r="BA448">
        <v>-1</v>
      </c>
      <c r="BB448">
        <v>0</v>
      </c>
      <c r="BC448" t="s">
        <v>2</v>
      </c>
      <c r="BD448">
        <v>-1</v>
      </c>
      <c r="BE448">
        <v>-1</v>
      </c>
      <c r="BF448">
        <v>-1</v>
      </c>
      <c r="BG448">
        <v>-1</v>
      </c>
      <c r="BH448">
        <v>-1</v>
      </c>
      <c r="BI448">
        <v>-1</v>
      </c>
      <c r="BJ448">
        <v>-1</v>
      </c>
      <c r="BK448">
        <v>-1</v>
      </c>
      <c r="BL448">
        <v>-1</v>
      </c>
      <c r="BM448">
        <v>-1</v>
      </c>
      <c r="BN448">
        <v>-1</v>
      </c>
      <c r="BO448">
        <v>-1</v>
      </c>
    </row>
    <row r="449" spans="1:67" x14ac:dyDescent="0.25">
      <c r="A449">
        <v>446</v>
      </c>
      <c r="B449">
        <v>9000</v>
      </c>
      <c r="C449" t="str">
        <f>VLOOKUP(B449,[1]resources!$A$2:$D$300,3,FALSE)</f>
        <v>!!FOOD_RUSTYS_BARK_CHOP_SANDWICH</v>
      </c>
      <c r="D449">
        <v>36</v>
      </c>
      <c r="E449" t="str">
        <f>VLOOKUP(D449,[1]bonus_paytable!$A$2:$D$300,3,FALSE)</f>
        <v>halloween_rusty_rickets</v>
      </c>
      <c r="F449">
        <v>-1</v>
      </c>
      <c r="G449">
        <v>-1</v>
      </c>
      <c r="H449">
        <v>1</v>
      </c>
      <c r="I449" t="s">
        <v>1</v>
      </c>
      <c r="J449">
        <v>9000</v>
      </c>
      <c r="K449">
        <v>9001</v>
      </c>
      <c r="L449">
        <v>9014</v>
      </c>
      <c r="M449">
        <v>9015</v>
      </c>
      <c r="N449">
        <v>9018</v>
      </c>
      <c r="O449">
        <v>9019</v>
      </c>
      <c r="P449">
        <v>-1</v>
      </c>
      <c r="Q449">
        <v>-1</v>
      </c>
      <c r="R449">
        <v>-1</v>
      </c>
      <c r="S449">
        <v>-1</v>
      </c>
      <c r="T449">
        <v>-1</v>
      </c>
      <c r="U449" s="2">
        <v>0.05</v>
      </c>
      <c r="V449" s="2">
        <v>0.05</v>
      </c>
      <c r="W449" s="2">
        <v>0.05</v>
      </c>
      <c r="X449" s="2">
        <v>0.03</v>
      </c>
      <c r="Y449" s="2">
        <v>0.03</v>
      </c>
      <c r="Z449" s="2">
        <v>0.01</v>
      </c>
      <c r="AA449">
        <v>-1</v>
      </c>
      <c r="AB449">
        <v>-1</v>
      </c>
      <c r="AC449">
        <v>-1</v>
      </c>
      <c r="AD449">
        <v>-1</v>
      </c>
      <c r="AE449">
        <v>-1</v>
      </c>
      <c r="AF449">
        <f t="shared" si="56"/>
        <v>1</v>
      </c>
      <c r="AG449">
        <f t="shared" si="57"/>
        <v>1</v>
      </c>
      <c r="AH449">
        <f t="shared" si="58"/>
        <v>1</v>
      </c>
      <c r="AI449">
        <f t="shared" si="59"/>
        <v>1</v>
      </c>
      <c r="AJ449">
        <f t="shared" si="60"/>
        <v>1</v>
      </c>
      <c r="AK449">
        <f t="shared" si="61"/>
        <v>1</v>
      </c>
      <c r="AL449">
        <f t="shared" si="62"/>
        <v>-1</v>
      </c>
      <c r="AM449">
        <f t="shared" si="63"/>
        <v>-1</v>
      </c>
      <c r="AN449">
        <f t="shared" si="64"/>
        <v>-1</v>
      </c>
      <c r="AO449">
        <f t="shared" si="65"/>
        <v>-1</v>
      </c>
      <c r="AP449">
        <f t="shared" si="66"/>
        <v>-1</v>
      </c>
      <c r="AQ449">
        <v>0</v>
      </c>
      <c r="AR449" t="s">
        <v>2</v>
      </c>
      <c r="AS449">
        <v>-1</v>
      </c>
      <c r="AT449">
        <v>-1</v>
      </c>
      <c r="AU449">
        <v>-1</v>
      </c>
      <c r="AV449">
        <v>-1</v>
      </c>
      <c r="AW449">
        <v>-1</v>
      </c>
      <c r="AX449">
        <v>-1</v>
      </c>
      <c r="AY449">
        <v>-1</v>
      </c>
      <c r="AZ449">
        <v>-1</v>
      </c>
      <c r="BA449">
        <v>-1</v>
      </c>
      <c r="BB449">
        <v>0</v>
      </c>
      <c r="BC449" t="s">
        <v>2</v>
      </c>
      <c r="BD449">
        <v>-1</v>
      </c>
      <c r="BE449">
        <v>-1</v>
      </c>
      <c r="BF449">
        <v>-1</v>
      </c>
      <c r="BG449">
        <v>-1</v>
      </c>
      <c r="BH449">
        <v>-1</v>
      </c>
      <c r="BI449">
        <v>-1</v>
      </c>
      <c r="BJ449">
        <v>-1</v>
      </c>
      <c r="BK449">
        <v>-1</v>
      </c>
      <c r="BL449">
        <v>-1</v>
      </c>
      <c r="BM449">
        <v>-1</v>
      </c>
      <c r="BN449">
        <v>-1</v>
      </c>
      <c r="BO449">
        <v>-1</v>
      </c>
    </row>
    <row r="450" spans="1:67" x14ac:dyDescent="0.25">
      <c r="A450">
        <v>447</v>
      </c>
      <c r="B450">
        <v>9001</v>
      </c>
      <c r="C450" t="str">
        <f>VLOOKUP(B450,[1]resources!$A$2:$D$300,3,FALSE)</f>
        <v>!!FOOD_RUSTYS_BARKING_BRISKET</v>
      </c>
      <c r="D450">
        <v>36</v>
      </c>
      <c r="E450" t="str">
        <f>VLOOKUP(D450,[1]bonus_paytable!$A$2:$D$300,3,FALSE)</f>
        <v>halloween_rusty_rickets</v>
      </c>
      <c r="F450">
        <v>-1</v>
      </c>
      <c r="G450">
        <v>-1</v>
      </c>
      <c r="H450">
        <v>1</v>
      </c>
      <c r="I450" t="s">
        <v>1</v>
      </c>
      <c r="J450">
        <v>9000</v>
      </c>
      <c r="K450">
        <v>9001</v>
      </c>
      <c r="L450">
        <v>9014</v>
      </c>
      <c r="M450">
        <v>9015</v>
      </c>
      <c r="N450">
        <v>9018</v>
      </c>
      <c r="O450">
        <v>9019</v>
      </c>
      <c r="P450">
        <v>-1</v>
      </c>
      <c r="Q450">
        <v>-1</v>
      </c>
      <c r="R450">
        <v>-1</v>
      </c>
      <c r="S450">
        <v>-1</v>
      </c>
      <c r="T450">
        <v>-1</v>
      </c>
      <c r="U450" s="2">
        <v>0.05</v>
      </c>
      <c r="V450" s="2">
        <v>0.05</v>
      </c>
      <c r="W450" s="2">
        <v>0.05</v>
      </c>
      <c r="X450" s="2">
        <v>0.03</v>
      </c>
      <c r="Y450" s="2">
        <v>0.03</v>
      </c>
      <c r="Z450" s="2">
        <v>0.01</v>
      </c>
      <c r="AA450">
        <v>-1</v>
      </c>
      <c r="AB450">
        <v>-1</v>
      </c>
      <c r="AC450">
        <v>-1</v>
      </c>
      <c r="AD450">
        <v>-1</v>
      </c>
      <c r="AE450">
        <v>-1</v>
      </c>
      <c r="AF450">
        <f t="shared" si="56"/>
        <v>1</v>
      </c>
      <c r="AG450">
        <f t="shared" si="57"/>
        <v>1</v>
      </c>
      <c r="AH450">
        <f t="shared" si="58"/>
        <v>1</v>
      </c>
      <c r="AI450">
        <f t="shared" si="59"/>
        <v>1</v>
      </c>
      <c r="AJ450">
        <f t="shared" si="60"/>
        <v>1</v>
      </c>
      <c r="AK450">
        <f t="shared" si="61"/>
        <v>1</v>
      </c>
      <c r="AL450">
        <f t="shared" si="62"/>
        <v>-1</v>
      </c>
      <c r="AM450">
        <f t="shared" si="63"/>
        <v>-1</v>
      </c>
      <c r="AN450">
        <f t="shared" si="64"/>
        <v>-1</v>
      </c>
      <c r="AO450">
        <f t="shared" si="65"/>
        <v>-1</v>
      </c>
      <c r="AP450">
        <f t="shared" si="66"/>
        <v>-1</v>
      </c>
      <c r="AQ450">
        <v>0</v>
      </c>
      <c r="AR450" t="s">
        <v>2</v>
      </c>
      <c r="AS450">
        <v>-1</v>
      </c>
      <c r="AT450">
        <v>-1</v>
      </c>
      <c r="AU450">
        <v>-1</v>
      </c>
      <c r="AV450">
        <v>-1</v>
      </c>
      <c r="AW450">
        <v>-1</v>
      </c>
      <c r="AX450">
        <v>-1</v>
      </c>
      <c r="AY450">
        <v>-1</v>
      </c>
      <c r="AZ450">
        <v>-1</v>
      </c>
      <c r="BA450">
        <v>-1</v>
      </c>
      <c r="BB450">
        <v>0</v>
      </c>
      <c r="BC450" t="s">
        <v>2</v>
      </c>
      <c r="BD450">
        <v>-1</v>
      </c>
      <c r="BE450">
        <v>-1</v>
      </c>
      <c r="BF450">
        <v>-1</v>
      </c>
      <c r="BG450">
        <v>-1</v>
      </c>
      <c r="BH450">
        <v>-1</v>
      </c>
      <c r="BI450">
        <v>-1</v>
      </c>
      <c r="BJ450">
        <v>-1</v>
      </c>
      <c r="BK450">
        <v>-1</v>
      </c>
      <c r="BL450">
        <v>-1</v>
      </c>
      <c r="BM450">
        <v>-1</v>
      </c>
      <c r="BN450">
        <v>-1</v>
      </c>
      <c r="BO450">
        <v>-1</v>
      </c>
    </row>
    <row r="451" spans="1:67" x14ac:dyDescent="0.25">
      <c r="A451">
        <v>448</v>
      </c>
      <c r="B451">
        <v>9014</v>
      </c>
      <c r="C451" t="str">
        <f>VLOOKUP(B451,[1]resources!$A$2:$D$300,3,FALSE)</f>
        <v>!!FOOD_RUSTYS_MESQUITE_RIBS</v>
      </c>
      <c r="D451">
        <v>36</v>
      </c>
      <c r="E451" t="str">
        <f>VLOOKUP(D451,[1]bonus_paytable!$A$2:$D$300,3,FALSE)</f>
        <v>halloween_rusty_rickets</v>
      </c>
      <c r="F451">
        <v>-1</v>
      </c>
      <c r="G451">
        <v>-1</v>
      </c>
      <c r="H451">
        <v>1</v>
      </c>
      <c r="I451" t="s">
        <v>1</v>
      </c>
      <c r="J451">
        <v>9000</v>
      </c>
      <c r="K451">
        <v>9001</v>
      </c>
      <c r="L451">
        <v>9014</v>
      </c>
      <c r="M451">
        <v>9015</v>
      </c>
      <c r="N451">
        <v>9018</v>
      </c>
      <c r="O451">
        <v>9019</v>
      </c>
      <c r="P451">
        <v>-1</v>
      </c>
      <c r="Q451">
        <v>-1</v>
      </c>
      <c r="R451">
        <v>-1</v>
      </c>
      <c r="S451">
        <v>-1</v>
      </c>
      <c r="T451">
        <v>-1</v>
      </c>
      <c r="U451" s="2">
        <v>0.05</v>
      </c>
      <c r="V451" s="2">
        <v>0.05</v>
      </c>
      <c r="W451" s="2">
        <v>0.05</v>
      </c>
      <c r="X451" s="2">
        <v>0.03</v>
      </c>
      <c r="Y451" s="2">
        <v>0.03</v>
      </c>
      <c r="Z451" s="2">
        <v>0.01</v>
      </c>
      <c r="AA451">
        <v>-1</v>
      </c>
      <c r="AB451">
        <v>-1</v>
      </c>
      <c r="AC451">
        <v>-1</v>
      </c>
      <c r="AD451">
        <v>-1</v>
      </c>
      <c r="AE451">
        <v>-1</v>
      </c>
      <c r="AF451">
        <f t="shared" ref="AF451:AF475" si="67">IF(J451&gt;-1,1,-1)</f>
        <v>1</v>
      </c>
      <c r="AG451">
        <f t="shared" ref="AG451:AG475" si="68">IF(K451&gt;-1,1,-1)</f>
        <v>1</v>
      </c>
      <c r="AH451">
        <f t="shared" ref="AH451:AH475" si="69">IF(L451&gt;-1,1,-1)</f>
        <v>1</v>
      </c>
      <c r="AI451">
        <f t="shared" ref="AI451:AI475" si="70">IF(M451&gt;-1,1,-1)</f>
        <v>1</v>
      </c>
      <c r="AJ451">
        <f t="shared" ref="AJ451:AJ475" si="71">IF(N451&gt;-1,1,-1)</f>
        <v>1</v>
      </c>
      <c r="AK451">
        <f t="shared" ref="AK451:AK475" si="72">IF(O451&gt;-1,1,-1)</f>
        <v>1</v>
      </c>
      <c r="AL451">
        <f t="shared" ref="AL451:AL475" si="73">IF(P451&gt;-1,1,-1)</f>
        <v>-1</v>
      </c>
      <c r="AM451">
        <f t="shared" ref="AM451:AM475" si="74">IF(Q451&gt;-1,1,-1)</f>
        <v>-1</v>
      </c>
      <c r="AN451">
        <f t="shared" ref="AN451:AN475" si="75">IF(R451&gt;-1,1,-1)</f>
        <v>-1</v>
      </c>
      <c r="AO451">
        <f t="shared" ref="AO451:AO475" si="76">IF(S451&gt;-1,1,-1)</f>
        <v>-1</v>
      </c>
      <c r="AP451">
        <f t="shared" ref="AP451:AP475" si="77">IF(T451&gt;-1,1,-1)</f>
        <v>-1</v>
      </c>
      <c r="AQ451">
        <v>0</v>
      </c>
      <c r="AR451" t="s">
        <v>2</v>
      </c>
      <c r="AS451">
        <v>-1</v>
      </c>
      <c r="AT451">
        <v>-1</v>
      </c>
      <c r="AU451">
        <v>-1</v>
      </c>
      <c r="AV451">
        <v>-1</v>
      </c>
      <c r="AW451">
        <v>-1</v>
      </c>
      <c r="AX451">
        <v>-1</v>
      </c>
      <c r="AY451">
        <v>-1</v>
      </c>
      <c r="AZ451">
        <v>-1</v>
      </c>
      <c r="BA451">
        <v>-1</v>
      </c>
      <c r="BB451">
        <v>0</v>
      </c>
      <c r="BC451" t="s">
        <v>2</v>
      </c>
      <c r="BD451">
        <v>-1</v>
      </c>
      <c r="BE451">
        <v>-1</v>
      </c>
      <c r="BF451">
        <v>-1</v>
      </c>
      <c r="BG451">
        <v>-1</v>
      </c>
      <c r="BH451">
        <v>-1</v>
      </c>
      <c r="BI451">
        <v>-1</v>
      </c>
      <c r="BJ451">
        <v>-1</v>
      </c>
      <c r="BK451">
        <v>-1</v>
      </c>
      <c r="BL451">
        <v>-1</v>
      </c>
      <c r="BM451">
        <v>-1</v>
      </c>
      <c r="BN451">
        <v>-1</v>
      </c>
      <c r="BO451">
        <v>-1</v>
      </c>
    </row>
    <row r="452" spans="1:67" x14ac:dyDescent="0.25">
      <c r="A452">
        <v>449</v>
      </c>
      <c r="B452">
        <v>9015</v>
      </c>
      <c r="C452" t="str">
        <f>VLOOKUP(B452,[1]resources!$A$2:$D$300,3,FALSE)</f>
        <v>!!FOOD_RUSTYS_PULLED_PULP_SANDWICH</v>
      </c>
      <c r="D452">
        <v>36</v>
      </c>
      <c r="E452" t="str">
        <f>VLOOKUP(D452,[1]bonus_paytable!$A$2:$D$300,3,FALSE)</f>
        <v>halloween_rusty_rickets</v>
      </c>
      <c r="F452">
        <v>-1</v>
      </c>
      <c r="G452">
        <v>-1</v>
      </c>
      <c r="H452">
        <v>1</v>
      </c>
      <c r="I452" t="s">
        <v>1</v>
      </c>
      <c r="J452">
        <v>9000</v>
      </c>
      <c r="K452">
        <v>9001</v>
      </c>
      <c r="L452">
        <v>9014</v>
      </c>
      <c r="M452">
        <v>9015</v>
      </c>
      <c r="N452">
        <v>9018</v>
      </c>
      <c r="O452">
        <v>9019</v>
      </c>
      <c r="P452">
        <v>-1</v>
      </c>
      <c r="Q452">
        <v>-1</v>
      </c>
      <c r="R452">
        <v>-1</v>
      </c>
      <c r="S452">
        <v>-1</v>
      </c>
      <c r="T452">
        <v>-1</v>
      </c>
      <c r="U452" s="2">
        <v>0.05</v>
      </c>
      <c r="V452" s="2">
        <v>0.05</v>
      </c>
      <c r="W452" s="2">
        <v>0.05</v>
      </c>
      <c r="X452" s="2">
        <v>0.03</v>
      </c>
      <c r="Y452" s="2">
        <v>0.03</v>
      </c>
      <c r="Z452" s="2">
        <v>0.01</v>
      </c>
      <c r="AA452">
        <v>-1</v>
      </c>
      <c r="AB452">
        <v>-1</v>
      </c>
      <c r="AC452">
        <v>-1</v>
      </c>
      <c r="AD452">
        <v>-1</v>
      </c>
      <c r="AE452">
        <v>-1</v>
      </c>
      <c r="AF452">
        <f t="shared" si="67"/>
        <v>1</v>
      </c>
      <c r="AG452">
        <f t="shared" si="68"/>
        <v>1</v>
      </c>
      <c r="AH452">
        <f t="shared" si="69"/>
        <v>1</v>
      </c>
      <c r="AI452">
        <f t="shared" si="70"/>
        <v>1</v>
      </c>
      <c r="AJ452">
        <f t="shared" si="71"/>
        <v>1</v>
      </c>
      <c r="AK452">
        <f t="shared" si="72"/>
        <v>1</v>
      </c>
      <c r="AL452">
        <f t="shared" si="73"/>
        <v>-1</v>
      </c>
      <c r="AM452">
        <f t="shared" si="74"/>
        <v>-1</v>
      </c>
      <c r="AN452">
        <f t="shared" si="75"/>
        <v>-1</v>
      </c>
      <c r="AO452">
        <f t="shared" si="76"/>
        <v>-1</v>
      </c>
      <c r="AP452">
        <f t="shared" si="77"/>
        <v>-1</v>
      </c>
      <c r="AQ452">
        <v>0</v>
      </c>
      <c r="AR452" t="s">
        <v>2</v>
      </c>
      <c r="AS452">
        <v>-1</v>
      </c>
      <c r="AT452">
        <v>-1</v>
      </c>
      <c r="AU452">
        <v>-1</v>
      </c>
      <c r="AV452">
        <v>-1</v>
      </c>
      <c r="AW452">
        <v>-1</v>
      </c>
      <c r="AX452">
        <v>-1</v>
      </c>
      <c r="AY452">
        <v>-1</v>
      </c>
      <c r="AZ452">
        <v>-1</v>
      </c>
      <c r="BA452">
        <v>-1</v>
      </c>
      <c r="BB452">
        <v>0</v>
      </c>
      <c r="BC452" t="s">
        <v>2</v>
      </c>
      <c r="BD452">
        <v>-1</v>
      </c>
      <c r="BE452">
        <v>-1</v>
      </c>
      <c r="BF452">
        <v>-1</v>
      </c>
      <c r="BG452">
        <v>-1</v>
      </c>
      <c r="BH452">
        <v>-1</v>
      </c>
      <c r="BI452">
        <v>-1</v>
      </c>
      <c r="BJ452">
        <v>-1</v>
      </c>
      <c r="BK452">
        <v>-1</v>
      </c>
      <c r="BL452">
        <v>-1</v>
      </c>
      <c r="BM452">
        <v>-1</v>
      </c>
      <c r="BN452">
        <v>-1</v>
      </c>
      <c r="BO452">
        <v>-1</v>
      </c>
    </row>
    <row r="453" spans="1:67" x14ac:dyDescent="0.25">
      <c r="A453">
        <v>450</v>
      </c>
      <c r="B453">
        <v>9018</v>
      </c>
      <c r="C453" t="str">
        <f>VLOOKUP(B453,[1]resources!$A$2:$D$300,3,FALSE)</f>
        <v>!!FOOD_RUSTYS_SPLINTERED_SLAW</v>
      </c>
      <c r="D453">
        <v>36</v>
      </c>
      <c r="E453" t="str">
        <f>VLOOKUP(D453,[1]bonus_paytable!$A$2:$D$300,3,FALSE)</f>
        <v>halloween_rusty_rickets</v>
      </c>
      <c r="F453">
        <v>-1</v>
      </c>
      <c r="G453">
        <v>-1</v>
      </c>
      <c r="H453">
        <v>1</v>
      </c>
      <c r="I453" t="s">
        <v>1</v>
      </c>
      <c r="J453">
        <v>9000</v>
      </c>
      <c r="K453">
        <v>9001</v>
      </c>
      <c r="L453">
        <v>9014</v>
      </c>
      <c r="M453">
        <v>9015</v>
      </c>
      <c r="N453">
        <v>9018</v>
      </c>
      <c r="O453">
        <v>9019</v>
      </c>
      <c r="P453">
        <v>-1</v>
      </c>
      <c r="Q453">
        <v>-1</v>
      </c>
      <c r="R453">
        <v>-1</v>
      </c>
      <c r="S453">
        <v>-1</v>
      </c>
      <c r="T453">
        <v>-1</v>
      </c>
      <c r="U453" s="2">
        <v>0.05</v>
      </c>
      <c r="V453" s="2">
        <v>0.05</v>
      </c>
      <c r="W453" s="2">
        <v>0.05</v>
      </c>
      <c r="X453" s="2">
        <v>0.03</v>
      </c>
      <c r="Y453" s="2">
        <v>0.03</v>
      </c>
      <c r="Z453" s="2">
        <v>0.01</v>
      </c>
      <c r="AA453">
        <v>-1</v>
      </c>
      <c r="AB453">
        <v>-1</v>
      </c>
      <c r="AC453">
        <v>-1</v>
      </c>
      <c r="AD453">
        <v>-1</v>
      </c>
      <c r="AE453">
        <v>-1</v>
      </c>
      <c r="AF453">
        <f t="shared" si="67"/>
        <v>1</v>
      </c>
      <c r="AG453">
        <f t="shared" si="68"/>
        <v>1</v>
      </c>
      <c r="AH453">
        <f t="shared" si="69"/>
        <v>1</v>
      </c>
      <c r="AI453">
        <f t="shared" si="70"/>
        <v>1</v>
      </c>
      <c r="AJ453">
        <f t="shared" si="71"/>
        <v>1</v>
      </c>
      <c r="AK453">
        <f t="shared" si="72"/>
        <v>1</v>
      </c>
      <c r="AL453">
        <f t="shared" si="73"/>
        <v>-1</v>
      </c>
      <c r="AM453">
        <f t="shared" si="74"/>
        <v>-1</v>
      </c>
      <c r="AN453">
        <f t="shared" si="75"/>
        <v>-1</v>
      </c>
      <c r="AO453">
        <f t="shared" si="76"/>
        <v>-1</v>
      </c>
      <c r="AP453">
        <f t="shared" si="77"/>
        <v>-1</v>
      </c>
      <c r="AQ453">
        <v>0</v>
      </c>
      <c r="AR453" t="s">
        <v>2</v>
      </c>
      <c r="AS453">
        <v>-1</v>
      </c>
      <c r="AT453">
        <v>-1</v>
      </c>
      <c r="AU453">
        <v>-1</v>
      </c>
      <c r="AV453">
        <v>-1</v>
      </c>
      <c r="AW453">
        <v>-1</v>
      </c>
      <c r="AX453">
        <v>-1</v>
      </c>
      <c r="AY453">
        <v>-1</v>
      </c>
      <c r="AZ453">
        <v>-1</v>
      </c>
      <c r="BA453">
        <v>-1</v>
      </c>
      <c r="BB453">
        <v>0</v>
      </c>
      <c r="BC453" t="s">
        <v>2</v>
      </c>
      <c r="BD453">
        <v>-1</v>
      </c>
      <c r="BE453">
        <v>-1</v>
      </c>
      <c r="BF453">
        <v>-1</v>
      </c>
      <c r="BG453">
        <v>-1</v>
      </c>
      <c r="BH453">
        <v>-1</v>
      </c>
      <c r="BI453">
        <v>-1</v>
      </c>
      <c r="BJ453">
        <v>-1</v>
      </c>
      <c r="BK453">
        <v>-1</v>
      </c>
      <c r="BL453">
        <v>-1</v>
      </c>
      <c r="BM453">
        <v>-1</v>
      </c>
      <c r="BN453">
        <v>-1</v>
      </c>
      <c r="BO453">
        <v>-1</v>
      </c>
    </row>
    <row r="454" spans="1:67" x14ac:dyDescent="0.25">
      <c r="A454">
        <v>451</v>
      </c>
      <c r="B454">
        <v>9019</v>
      </c>
      <c r="C454" t="str">
        <f>VLOOKUP(B454,[1]resources!$A$2:$D$300,3,FALSE)</f>
        <v>!!FOOD_RUSTYS_RIBEYE_SANDWICH</v>
      </c>
      <c r="D454">
        <v>36</v>
      </c>
      <c r="E454" t="str">
        <f>VLOOKUP(D454,[1]bonus_paytable!$A$2:$D$300,3,FALSE)</f>
        <v>halloween_rusty_rickets</v>
      </c>
      <c r="F454">
        <v>-1</v>
      </c>
      <c r="G454">
        <v>-1</v>
      </c>
      <c r="H454">
        <v>1</v>
      </c>
      <c r="I454" t="s">
        <v>1</v>
      </c>
      <c r="J454">
        <v>9000</v>
      </c>
      <c r="K454">
        <v>9001</v>
      </c>
      <c r="L454">
        <v>9014</v>
      </c>
      <c r="M454">
        <v>9015</v>
      </c>
      <c r="N454">
        <v>9018</v>
      </c>
      <c r="O454">
        <v>9019</v>
      </c>
      <c r="P454">
        <v>-1</v>
      </c>
      <c r="Q454">
        <v>-1</v>
      </c>
      <c r="R454">
        <v>-1</v>
      </c>
      <c r="S454">
        <v>-1</v>
      </c>
      <c r="T454">
        <v>-1</v>
      </c>
      <c r="U454" s="2">
        <v>0.05</v>
      </c>
      <c r="V454" s="2">
        <v>0.05</v>
      </c>
      <c r="W454" s="2">
        <v>0.05</v>
      </c>
      <c r="X454" s="2">
        <v>0.03</v>
      </c>
      <c r="Y454" s="2">
        <v>0.03</v>
      </c>
      <c r="Z454" s="2">
        <v>0.01</v>
      </c>
      <c r="AA454">
        <v>-1</v>
      </c>
      <c r="AB454">
        <v>-1</v>
      </c>
      <c r="AC454">
        <v>-1</v>
      </c>
      <c r="AD454">
        <v>-1</v>
      </c>
      <c r="AE454">
        <v>-1</v>
      </c>
      <c r="AF454">
        <f t="shared" si="67"/>
        <v>1</v>
      </c>
      <c r="AG454">
        <f t="shared" si="68"/>
        <v>1</v>
      </c>
      <c r="AH454">
        <f t="shared" si="69"/>
        <v>1</v>
      </c>
      <c r="AI454">
        <f t="shared" si="70"/>
        <v>1</v>
      </c>
      <c r="AJ454">
        <f t="shared" si="71"/>
        <v>1</v>
      </c>
      <c r="AK454">
        <f t="shared" si="72"/>
        <v>1</v>
      </c>
      <c r="AL454">
        <f t="shared" si="73"/>
        <v>-1</v>
      </c>
      <c r="AM454">
        <f t="shared" si="74"/>
        <v>-1</v>
      </c>
      <c r="AN454">
        <f t="shared" si="75"/>
        <v>-1</v>
      </c>
      <c r="AO454">
        <f t="shared" si="76"/>
        <v>-1</v>
      </c>
      <c r="AP454">
        <f t="shared" si="77"/>
        <v>-1</v>
      </c>
      <c r="AQ454">
        <v>0</v>
      </c>
      <c r="AR454" t="s">
        <v>2</v>
      </c>
      <c r="AS454">
        <v>-1</v>
      </c>
      <c r="AT454">
        <v>-1</v>
      </c>
      <c r="AU454">
        <v>-1</v>
      </c>
      <c r="AV454">
        <v>-1</v>
      </c>
      <c r="AW454">
        <v>-1</v>
      </c>
      <c r="AX454">
        <v>-1</v>
      </c>
      <c r="AY454">
        <v>-1</v>
      </c>
      <c r="AZ454">
        <v>-1</v>
      </c>
      <c r="BA454">
        <v>-1</v>
      </c>
      <c r="BB454">
        <v>0</v>
      </c>
      <c r="BC454" t="s">
        <v>2</v>
      </c>
      <c r="BD454">
        <v>-1</v>
      </c>
      <c r="BE454">
        <v>-1</v>
      </c>
      <c r="BF454">
        <v>-1</v>
      </c>
      <c r="BG454">
        <v>-1</v>
      </c>
      <c r="BH454">
        <v>-1</v>
      </c>
      <c r="BI454">
        <v>-1</v>
      </c>
      <c r="BJ454">
        <v>-1</v>
      </c>
      <c r="BK454">
        <v>-1</v>
      </c>
      <c r="BL454">
        <v>-1</v>
      </c>
      <c r="BM454">
        <v>-1</v>
      </c>
      <c r="BN454">
        <v>-1</v>
      </c>
      <c r="BO454">
        <v>-1</v>
      </c>
    </row>
    <row r="455" spans="1:67" x14ac:dyDescent="0.25">
      <c r="A455">
        <v>452</v>
      </c>
      <c r="B455">
        <v>9016</v>
      </c>
      <c r="C455" t="str">
        <f>VLOOKUP(B455,[1]resources!$A$2:$D$300,3,FALSE)</f>
        <v>!!FOOD_RUSTYS_RUSTY_ON_RYE</v>
      </c>
      <c r="D455">
        <v>37</v>
      </c>
      <c r="E455" t="str">
        <f>VLOOKUP(D455,[1]bonus_paytable!$A$2:$D$300,3,FALSE)</f>
        <v>halloween_anglerfish</v>
      </c>
      <c r="F455">
        <v>-1</v>
      </c>
      <c r="G455">
        <v>-1</v>
      </c>
      <c r="H455">
        <v>1</v>
      </c>
      <c r="I455" t="s">
        <v>1</v>
      </c>
      <c r="J455">
        <v>9000</v>
      </c>
      <c r="K455">
        <v>9014</v>
      </c>
      <c r="L455">
        <v>9015</v>
      </c>
      <c r="M455">
        <v>9018</v>
      </c>
      <c r="N455">
        <v>9019</v>
      </c>
      <c r="O455">
        <v>-1</v>
      </c>
      <c r="P455">
        <v>-1</v>
      </c>
      <c r="Q455">
        <v>-1</v>
      </c>
      <c r="R455">
        <v>-1</v>
      </c>
      <c r="S455">
        <v>-1</v>
      </c>
      <c r="T455">
        <v>-1</v>
      </c>
      <c r="U455" s="2">
        <v>0.2</v>
      </c>
      <c r="V455" s="2">
        <v>0.1</v>
      </c>
      <c r="W455" s="2">
        <v>0.05</v>
      </c>
      <c r="X455" s="2">
        <v>0.05</v>
      </c>
      <c r="Y455" s="2">
        <v>0.01</v>
      </c>
      <c r="Z455" s="2">
        <v>-1</v>
      </c>
      <c r="AA455">
        <v>-1</v>
      </c>
      <c r="AB455">
        <v>-1</v>
      </c>
      <c r="AC455">
        <v>-1</v>
      </c>
      <c r="AD455">
        <v>-1</v>
      </c>
      <c r="AE455">
        <v>-1</v>
      </c>
      <c r="AF455">
        <f t="shared" si="67"/>
        <v>1</v>
      </c>
      <c r="AG455">
        <f t="shared" si="68"/>
        <v>1</v>
      </c>
      <c r="AH455">
        <f t="shared" si="69"/>
        <v>1</v>
      </c>
      <c r="AI455">
        <f t="shared" si="70"/>
        <v>1</v>
      </c>
      <c r="AJ455">
        <f t="shared" si="71"/>
        <v>1</v>
      </c>
      <c r="AK455">
        <f t="shared" si="72"/>
        <v>-1</v>
      </c>
      <c r="AL455">
        <f t="shared" si="73"/>
        <v>-1</v>
      </c>
      <c r="AM455">
        <f t="shared" si="74"/>
        <v>-1</v>
      </c>
      <c r="AN455">
        <f t="shared" si="75"/>
        <v>-1</v>
      </c>
      <c r="AO455">
        <f t="shared" si="76"/>
        <v>-1</v>
      </c>
      <c r="AP455">
        <f t="shared" si="77"/>
        <v>-1</v>
      </c>
      <c r="AQ455">
        <v>0</v>
      </c>
      <c r="AR455" t="s">
        <v>2</v>
      </c>
      <c r="AS455">
        <v>-1</v>
      </c>
      <c r="AT455">
        <v>-1</v>
      </c>
      <c r="AU455">
        <v>-1</v>
      </c>
      <c r="AV455">
        <v>-1</v>
      </c>
      <c r="AW455">
        <v>-1</v>
      </c>
      <c r="AX455">
        <v>-1</v>
      </c>
      <c r="AY455">
        <v>-1</v>
      </c>
      <c r="AZ455">
        <v>-1</v>
      </c>
      <c r="BA455">
        <v>-1</v>
      </c>
      <c r="BB455">
        <v>0</v>
      </c>
      <c r="BC455" t="s">
        <v>2</v>
      </c>
      <c r="BD455">
        <v>-1</v>
      </c>
      <c r="BE455">
        <v>-1</v>
      </c>
      <c r="BF455">
        <v>-1</v>
      </c>
      <c r="BG455">
        <v>-1</v>
      </c>
      <c r="BH455">
        <v>-1</v>
      </c>
      <c r="BI455">
        <v>-1</v>
      </c>
      <c r="BJ455">
        <v>-1</v>
      </c>
      <c r="BK455">
        <v>-1</v>
      </c>
      <c r="BL455">
        <v>-1</v>
      </c>
      <c r="BM455">
        <v>-1</v>
      </c>
      <c r="BN455">
        <v>-1</v>
      </c>
      <c r="BO455">
        <v>-1</v>
      </c>
    </row>
    <row r="456" spans="1:67" x14ac:dyDescent="0.25">
      <c r="A456">
        <v>453</v>
      </c>
      <c r="B456">
        <v>9000</v>
      </c>
      <c r="C456" t="str">
        <f>VLOOKUP(B456,[1]resources!$A$2:$D$300,3,FALSE)</f>
        <v>!!FOOD_RUSTYS_BARK_CHOP_SANDWICH</v>
      </c>
      <c r="D456">
        <v>37</v>
      </c>
      <c r="E456" t="str">
        <f>VLOOKUP(D456,[1]bonus_paytable!$A$2:$D$300,3,FALSE)</f>
        <v>halloween_anglerfish</v>
      </c>
      <c r="F456">
        <v>-1</v>
      </c>
      <c r="G456">
        <v>-1</v>
      </c>
      <c r="H456">
        <v>1</v>
      </c>
      <c r="I456" t="s">
        <v>1</v>
      </c>
      <c r="J456">
        <v>9000</v>
      </c>
      <c r="K456">
        <v>9014</v>
      </c>
      <c r="L456">
        <v>9015</v>
      </c>
      <c r="M456">
        <v>9018</v>
      </c>
      <c r="N456">
        <v>9019</v>
      </c>
      <c r="O456">
        <v>-1</v>
      </c>
      <c r="P456">
        <v>-1</v>
      </c>
      <c r="Q456">
        <v>-1</v>
      </c>
      <c r="R456">
        <v>-1</v>
      </c>
      <c r="S456">
        <v>-1</v>
      </c>
      <c r="T456">
        <v>-1</v>
      </c>
      <c r="U456" s="2">
        <v>0.2</v>
      </c>
      <c r="V456" s="2">
        <v>0.1</v>
      </c>
      <c r="W456" s="2">
        <v>0.05</v>
      </c>
      <c r="X456" s="2">
        <v>0.05</v>
      </c>
      <c r="Y456" s="2">
        <v>0.01</v>
      </c>
      <c r="Z456" s="2">
        <v>-1</v>
      </c>
      <c r="AA456">
        <v>-1</v>
      </c>
      <c r="AB456">
        <v>-1</v>
      </c>
      <c r="AC456">
        <v>-1</v>
      </c>
      <c r="AD456">
        <v>-1</v>
      </c>
      <c r="AE456">
        <v>-1</v>
      </c>
      <c r="AF456">
        <f t="shared" si="67"/>
        <v>1</v>
      </c>
      <c r="AG456">
        <f t="shared" si="68"/>
        <v>1</v>
      </c>
      <c r="AH456">
        <f t="shared" si="69"/>
        <v>1</v>
      </c>
      <c r="AI456">
        <f t="shared" si="70"/>
        <v>1</v>
      </c>
      <c r="AJ456">
        <f t="shared" si="71"/>
        <v>1</v>
      </c>
      <c r="AK456">
        <f t="shared" si="72"/>
        <v>-1</v>
      </c>
      <c r="AL456">
        <f t="shared" si="73"/>
        <v>-1</v>
      </c>
      <c r="AM456">
        <f t="shared" si="74"/>
        <v>-1</v>
      </c>
      <c r="AN456">
        <f t="shared" si="75"/>
        <v>-1</v>
      </c>
      <c r="AO456">
        <f t="shared" si="76"/>
        <v>-1</v>
      </c>
      <c r="AP456">
        <f t="shared" si="77"/>
        <v>-1</v>
      </c>
      <c r="AQ456">
        <v>0</v>
      </c>
      <c r="AR456" t="s">
        <v>2</v>
      </c>
      <c r="AS456">
        <v>-1</v>
      </c>
      <c r="AT456">
        <v>-1</v>
      </c>
      <c r="AU456">
        <v>-1</v>
      </c>
      <c r="AV456">
        <v>-1</v>
      </c>
      <c r="AW456">
        <v>-1</v>
      </c>
      <c r="AX456">
        <v>-1</v>
      </c>
      <c r="AY456">
        <v>-1</v>
      </c>
      <c r="AZ456">
        <v>-1</v>
      </c>
      <c r="BA456">
        <v>-1</v>
      </c>
      <c r="BB456">
        <v>0</v>
      </c>
      <c r="BC456" t="s">
        <v>2</v>
      </c>
      <c r="BD456">
        <v>-1</v>
      </c>
      <c r="BE456">
        <v>-1</v>
      </c>
      <c r="BF456">
        <v>-1</v>
      </c>
      <c r="BG456">
        <v>-1</v>
      </c>
      <c r="BH456">
        <v>-1</v>
      </c>
      <c r="BI456">
        <v>-1</v>
      </c>
      <c r="BJ456">
        <v>-1</v>
      </c>
      <c r="BK456">
        <v>-1</v>
      </c>
      <c r="BL456">
        <v>-1</v>
      </c>
      <c r="BM456">
        <v>-1</v>
      </c>
      <c r="BN456">
        <v>-1</v>
      </c>
      <c r="BO456">
        <v>-1</v>
      </c>
    </row>
    <row r="457" spans="1:67" x14ac:dyDescent="0.25">
      <c r="A457">
        <v>454</v>
      </c>
      <c r="B457">
        <v>9001</v>
      </c>
      <c r="C457" t="str">
        <f>VLOOKUP(B457,[1]resources!$A$2:$D$300,3,FALSE)</f>
        <v>!!FOOD_RUSTYS_BARKING_BRISKET</v>
      </c>
      <c r="D457">
        <v>37</v>
      </c>
      <c r="E457" t="str">
        <f>VLOOKUP(D457,[1]bonus_paytable!$A$2:$D$300,3,FALSE)</f>
        <v>halloween_anglerfish</v>
      </c>
      <c r="F457">
        <v>-1</v>
      </c>
      <c r="G457">
        <v>-1</v>
      </c>
      <c r="H457">
        <v>1</v>
      </c>
      <c r="I457" t="s">
        <v>1</v>
      </c>
      <c r="J457">
        <v>9000</v>
      </c>
      <c r="K457">
        <v>9014</v>
      </c>
      <c r="L457">
        <v>9015</v>
      </c>
      <c r="M457">
        <v>9018</v>
      </c>
      <c r="N457">
        <v>9019</v>
      </c>
      <c r="O457">
        <v>-1</v>
      </c>
      <c r="P457">
        <v>-1</v>
      </c>
      <c r="Q457">
        <v>-1</v>
      </c>
      <c r="R457">
        <v>-1</v>
      </c>
      <c r="S457">
        <v>-1</v>
      </c>
      <c r="T457">
        <v>-1</v>
      </c>
      <c r="U457" s="2">
        <v>0.2</v>
      </c>
      <c r="V457" s="2">
        <v>0.1</v>
      </c>
      <c r="W457" s="2">
        <v>0.05</v>
      </c>
      <c r="X457" s="2">
        <v>0.05</v>
      </c>
      <c r="Y457" s="2">
        <v>0.01</v>
      </c>
      <c r="Z457" s="2">
        <v>-1</v>
      </c>
      <c r="AA457">
        <v>-1</v>
      </c>
      <c r="AB457">
        <v>-1</v>
      </c>
      <c r="AC457">
        <v>-1</v>
      </c>
      <c r="AD457">
        <v>-1</v>
      </c>
      <c r="AE457">
        <v>-1</v>
      </c>
      <c r="AF457">
        <f t="shared" si="67"/>
        <v>1</v>
      </c>
      <c r="AG457">
        <f t="shared" si="68"/>
        <v>1</v>
      </c>
      <c r="AH457">
        <f t="shared" si="69"/>
        <v>1</v>
      </c>
      <c r="AI457">
        <f t="shared" si="70"/>
        <v>1</v>
      </c>
      <c r="AJ457">
        <f t="shared" si="71"/>
        <v>1</v>
      </c>
      <c r="AK457">
        <f t="shared" si="72"/>
        <v>-1</v>
      </c>
      <c r="AL457">
        <f t="shared" si="73"/>
        <v>-1</v>
      </c>
      <c r="AM457">
        <f t="shared" si="74"/>
        <v>-1</v>
      </c>
      <c r="AN457">
        <f t="shared" si="75"/>
        <v>-1</v>
      </c>
      <c r="AO457">
        <f t="shared" si="76"/>
        <v>-1</v>
      </c>
      <c r="AP457">
        <f t="shared" si="77"/>
        <v>-1</v>
      </c>
      <c r="AQ457">
        <v>0</v>
      </c>
      <c r="AR457" t="s">
        <v>2</v>
      </c>
      <c r="AS457">
        <v>-1</v>
      </c>
      <c r="AT457">
        <v>-1</v>
      </c>
      <c r="AU457">
        <v>-1</v>
      </c>
      <c r="AV457">
        <v>-1</v>
      </c>
      <c r="AW457">
        <v>-1</v>
      </c>
      <c r="AX457">
        <v>-1</v>
      </c>
      <c r="AY457">
        <v>-1</v>
      </c>
      <c r="AZ457">
        <v>-1</v>
      </c>
      <c r="BA457">
        <v>-1</v>
      </c>
      <c r="BB457">
        <v>0</v>
      </c>
      <c r="BC457" t="s">
        <v>2</v>
      </c>
      <c r="BD457">
        <v>-1</v>
      </c>
      <c r="BE457">
        <v>-1</v>
      </c>
      <c r="BF457">
        <v>-1</v>
      </c>
      <c r="BG457">
        <v>-1</v>
      </c>
      <c r="BH457">
        <v>-1</v>
      </c>
      <c r="BI457">
        <v>-1</v>
      </c>
      <c r="BJ457">
        <v>-1</v>
      </c>
      <c r="BK457">
        <v>-1</v>
      </c>
      <c r="BL457">
        <v>-1</v>
      </c>
      <c r="BM457">
        <v>-1</v>
      </c>
      <c r="BN457">
        <v>-1</v>
      </c>
      <c r="BO457">
        <v>-1</v>
      </c>
    </row>
    <row r="458" spans="1:67" x14ac:dyDescent="0.25">
      <c r="A458">
        <v>455</v>
      </c>
      <c r="B458">
        <v>9014</v>
      </c>
      <c r="C458" t="str">
        <f>VLOOKUP(B458,[1]resources!$A$2:$D$300,3,FALSE)</f>
        <v>!!FOOD_RUSTYS_MESQUITE_RIBS</v>
      </c>
      <c r="D458">
        <v>37</v>
      </c>
      <c r="E458" t="str">
        <f>VLOOKUP(D458,[1]bonus_paytable!$A$2:$D$300,3,FALSE)</f>
        <v>halloween_anglerfish</v>
      </c>
      <c r="F458">
        <v>-1</v>
      </c>
      <c r="G458">
        <v>-1</v>
      </c>
      <c r="H458">
        <v>1</v>
      </c>
      <c r="I458" t="s">
        <v>1</v>
      </c>
      <c r="J458">
        <v>9000</v>
      </c>
      <c r="K458">
        <v>9014</v>
      </c>
      <c r="L458">
        <v>9015</v>
      </c>
      <c r="M458">
        <v>9018</v>
      </c>
      <c r="N458">
        <v>9019</v>
      </c>
      <c r="O458">
        <v>-1</v>
      </c>
      <c r="P458">
        <v>-1</v>
      </c>
      <c r="Q458">
        <v>-1</v>
      </c>
      <c r="R458">
        <v>-1</v>
      </c>
      <c r="S458">
        <v>-1</v>
      </c>
      <c r="T458">
        <v>-1</v>
      </c>
      <c r="U458" s="2">
        <v>0.2</v>
      </c>
      <c r="V458" s="2">
        <v>0.1</v>
      </c>
      <c r="W458" s="2">
        <v>0.05</v>
      </c>
      <c r="X458" s="2">
        <v>0.05</v>
      </c>
      <c r="Y458" s="2">
        <v>0.01</v>
      </c>
      <c r="Z458" s="2">
        <v>-1</v>
      </c>
      <c r="AA458">
        <v>-1</v>
      </c>
      <c r="AB458">
        <v>-1</v>
      </c>
      <c r="AC458">
        <v>-1</v>
      </c>
      <c r="AD458">
        <v>-1</v>
      </c>
      <c r="AE458">
        <v>-1</v>
      </c>
      <c r="AF458">
        <f t="shared" si="67"/>
        <v>1</v>
      </c>
      <c r="AG458">
        <f t="shared" si="68"/>
        <v>1</v>
      </c>
      <c r="AH458">
        <f t="shared" si="69"/>
        <v>1</v>
      </c>
      <c r="AI458">
        <f t="shared" si="70"/>
        <v>1</v>
      </c>
      <c r="AJ458">
        <f t="shared" si="71"/>
        <v>1</v>
      </c>
      <c r="AK458">
        <f t="shared" si="72"/>
        <v>-1</v>
      </c>
      <c r="AL458">
        <f t="shared" si="73"/>
        <v>-1</v>
      </c>
      <c r="AM458">
        <f t="shared" si="74"/>
        <v>-1</v>
      </c>
      <c r="AN458">
        <f t="shared" si="75"/>
        <v>-1</v>
      </c>
      <c r="AO458">
        <f t="shared" si="76"/>
        <v>-1</v>
      </c>
      <c r="AP458">
        <f t="shared" si="77"/>
        <v>-1</v>
      </c>
      <c r="AQ458">
        <v>0</v>
      </c>
      <c r="AR458" t="s">
        <v>2</v>
      </c>
      <c r="AS458">
        <v>-1</v>
      </c>
      <c r="AT458">
        <v>-1</v>
      </c>
      <c r="AU458">
        <v>-1</v>
      </c>
      <c r="AV458">
        <v>-1</v>
      </c>
      <c r="AW458">
        <v>-1</v>
      </c>
      <c r="AX458">
        <v>-1</v>
      </c>
      <c r="AY458">
        <v>-1</v>
      </c>
      <c r="AZ458">
        <v>-1</v>
      </c>
      <c r="BA458">
        <v>-1</v>
      </c>
      <c r="BB458">
        <v>0</v>
      </c>
      <c r="BC458" t="s">
        <v>2</v>
      </c>
      <c r="BD458">
        <v>-1</v>
      </c>
      <c r="BE458">
        <v>-1</v>
      </c>
      <c r="BF458">
        <v>-1</v>
      </c>
      <c r="BG458">
        <v>-1</v>
      </c>
      <c r="BH458">
        <v>-1</v>
      </c>
      <c r="BI458">
        <v>-1</v>
      </c>
      <c r="BJ458">
        <v>-1</v>
      </c>
      <c r="BK458">
        <v>-1</v>
      </c>
      <c r="BL458">
        <v>-1</v>
      </c>
      <c r="BM458">
        <v>-1</v>
      </c>
      <c r="BN458">
        <v>-1</v>
      </c>
      <c r="BO458">
        <v>-1</v>
      </c>
    </row>
    <row r="459" spans="1:67" x14ac:dyDescent="0.25">
      <c r="A459">
        <v>456</v>
      </c>
      <c r="B459">
        <v>9015</v>
      </c>
      <c r="C459" t="str">
        <f>VLOOKUP(B459,[1]resources!$A$2:$D$300,3,FALSE)</f>
        <v>!!FOOD_RUSTYS_PULLED_PULP_SANDWICH</v>
      </c>
      <c r="D459">
        <v>37</v>
      </c>
      <c r="E459" t="str">
        <f>VLOOKUP(D459,[1]bonus_paytable!$A$2:$D$300,3,FALSE)</f>
        <v>halloween_anglerfish</v>
      </c>
      <c r="F459">
        <v>-1</v>
      </c>
      <c r="G459">
        <v>-1</v>
      </c>
      <c r="H459">
        <v>1</v>
      </c>
      <c r="I459" t="s">
        <v>1</v>
      </c>
      <c r="J459">
        <v>9000</v>
      </c>
      <c r="K459">
        <v>9014</v>
      </c>
      <c r="L459">
        <v>9015</v>
      </c>
      <c r="M459">
        <v>9018</v>
      </c>
      <c r="N459">
        <v>9019</v>
      </c>
      <c r="O459">
        <v>-1</v>
      </c>
      <c r="P459">
        <v>-1</v>
      </c>
      <c r="Q459">
        <v>-1</v>
      </c>
      <c r="R459">
        <v>-1</v>
      </c>
      <c r="S459">
        <v>-1</v>
      </c>
      <c r="T459">
        <v>-1</v>
      </c>
      <c r="U459" s="2">
        <v>0.2</v>
      </c>
      <c r="V459" s="2">
        <v>0.1</v>
      </c>
      <c r="W459" s="2">
        <v>0.05</v>
      </c>
      <c r="X459" s="2">
        <v>0.05</v>
      </c>
      <c r="Y459" s="2">
        <v>0.01</v>
      </c>
      <c r="Z459" s="2">
        <v>-1</v>
      </c>
      <c r="AA459">
        <v>-1</v>
      </c>
      <c r="AB459">
        <v>-1</v>
      </c>
      <c r="AC459">
        <v>-1</v>
      </c>
      <c r="AD459">
        <v>-1</v>
      </c>
      <c r="AE459">
        <v>-1</v>
      </c>
      <c r="AF459">
        <f t="shared" si="67"/>
        <v>1</v>
      </c>
      <c r="AG459">
        <f t="shared" si="68"/>
        <v>1</v>
      </c>
      <c r="AH459">
        <f t="shared" si="69"/>
        <v>1</v>
      </c>
      <c r="AI459">
        <f t="shared" si="70"/>
        <v>1</v>
      </c>
      <c r="AJ459">
        <f t="shared" si="71"/>
        <v>1</v>
      </c>
      <c r="AK459">
        <f t="shared" si="72"/>
        <v>-1</v>
      </c>
      <c r="AL459">
        <f t="shared" si="73"/>
        <v>-1</v>
      </c>
      <c r="AM459">
        <f t="shared" si="74"/>
        <v>-1</v>
      </c>
      <c r="AN459">
        <f t="shared" si="75"/>
        <v>-1</v>
      </c>
      <c r="AO459">
        <f t="shared" si="76"/>
        <v>-1</v>
      </c>
      <c r="AP459">
        <f t="shared" si="77"/>
        <v>-1</v>
      </c>
      <c r="AQ459">
        <v>0</v>
      </c>
      <c r="AR459" t="s">
        <v>2</v>
      </c>
      <c r="AS459">
        <v>-1</v>
      </c>
      <c r="AT459">
        <v>-1</v>
      </c>
      <c r="AU459">
        <v>-1</v>
      </c>
      <c r="AV459">
        <v>-1</v>
      </c>
      <c r="AW459">
        <v>-1</v>
      </c>
      <c r="AX459">
        <v>-1</v>
      </c>
      <c r="AY459">
        <v>-1</v>
      </c>
      <c r="AZ459">
        <v>-1</v>
      </c>
      <c r="BA459">
        <v>-1</v>
      </c>
      <c r="BB459">
        <v>0</v>
      </c>
      <c r="BC459" t="s">
        <v>2</v>
      </c>
      <c r="BD459">
        <v>-1</v>
      </c>
      <c r="BE459">
        <v>-1</v>
      </c>
      <c r="BF459">
        <v>-1</v>
      </c>
      <c r="BG459">
        <v>-1</v>
      </c>
      <c r="BH459">
        <v>-1</v>
      </c>
      <c r="BI459">
        <v>-1</v>
      </c>
      <c r="BJ459">
        <v>-1</v>
      </c>
      <c r="BK459">
        <v>-1</v>
      </c>
      <c r="BL459">
        <v>-1</v>
      </c>
      <c r="BM459">
        <v>-1</v>
      </c>
      <c r="BN459">
        <v>-1</v>
      </c>
      <c r="BO459">
        <v>-1</v>
      </c>
    </row>
    <row r="460" spans="1:67" x14ac:dyDescent="0.25">
      <c r="A460">
        <v>457</v>
      </c>
      <c r="B460">
        <v>9018</v>
      </c>
      <c r="C460" t="str">
        <f>VLOOKUP(B460,[1]resources!$A$2:$D$300,3,FALSE)</f>
        <v>!!FOOD_RUSTYS_SPLINTERED_SLAW</v>
      </c>
      <c r="D460">
        <v>37</v>
      </c>
      <c r="E460" t="str">
        <f>VLOOKUP(D460,[1]bonus_paytable!$A$2:$D$300,3,FALSE)</f>
        <v>halloween_anglerfish</v>
      </c>
      <c r="F460">
        <v>-1</v>
      </c>
      <c r="G460">
        <v>-1</v>
      </c>
      <c r="H460">
        <v>1</v>
      </c>
      <c r="I460" t="s">
        <v>1</v>
      </c>
      <c r="J460">
        <v>9000</v>
      </c>
      <c r="K460">
        <v>9014</v>
      </c>
      <c r="L460">
        <v>9015</v>
      </c>
      <c r="M460">
        <v>9018</v>
      </c>
      <c r="N460">
        <v>9019</v>
      </c>
      <c r="O460">
        <v>-1</v>
      </c>
      <c r="P460">
        <v>-1</v>
      </c>
      <c r="Q460">
        <v>-1</v>
      </c>
      <c r="R460">
        <v>-1</v>
      </c>
      <c r="S460">
        <v>-1</v>
      </c>
      <c r="T460">
        <v>-1</v>
      </c>
      <c r="U460" s="2">
        <v>0.2</v>
      </c>
      <c r="V460" s="2">
        <v>0.1</v>
      </c>
      <c r="W460" s="2">
        <v>0.05</v>
      </c>
      <c r="X460" s="2">
        <v>0.05</v>
      </c>
      <c r="Y460" s="2">
        <v>0.01</v>
      </c>
      <c r="Z460" s="2">
        <v>-1</v>
      </c>
      <c r="AA460">
        <v>-1</v>
      </c>
      <c r="AB460">
        <v>-1</v>
      </c>
      <c r="AC460">
        <v>-1</v>
      </c>
      <c r="AD460">
        <v>-1</v>
      </c>
      <c r="AE460">
        <v>-1</v>
      </c>
      <c r="AF460">
        <f t="shared" si="67"/>
        <v>1</v>
      </c>
      <c r="AG460">
        <f t="shared" si="68"/>
        <v>1</v>
      </c>
      <c r="AH460">
        <f t="shared" si="69"/>
        <v>1</v>
      </c>
      <c r="AI460">
        <f t="shared" si="70"/>
        <v>1</v>
      </c>
      <c r="AJ460">
        <f t="shared" si="71"/>
        <v>1</v>
      </c>
      <c r="AK460">
        <f t="shared" si="72"/>
        <v>-1</v>
      </c>
      <c r="AL460">
        <f t="shared" si="73"/>
        <v>-1</v>
      </c>
      <c r="AM460">
        <f t="shared" si="74"/>
        <v>-1</v>
      </c>
      <c r="AN460">
        <f t="shared" si="75"/>
        <v>-1</v>
      </c>
      <c r="AO460">
        <f t="shared" si="76"/>
        <v>-1</v>
      </c>
      <c r="AP460">
        <f t="shared" si="77"/>
        <v>-1</v>
      </c>
      <c r="AQ460">
        <v>0</v>
      </c>
      <c r="AR460" t="s">
        <v>2</v>
      </c>
      <c r="AS460">
        <v>-1</v>
      </c>
      <c r="AT460">
        <v>-1</v>
      </c>
      <c r="AU460">
        <v>-1</v>
      </c>
      <c r="AV460">
        <v>-1</v>
      </c>
      <c r="AW460">
        <v>-1</v>
      </c>
      <c r="AX460">
        <v>-1</v>
      </c>
      <c r="AY460">
        <v>-1</v>
      </c>
      <c r="AZ460">
        <v>-1</v>
      </c>
      <c r="BA460">
        <v>-1</v>
      </c>
      <c r="BB460">
        <v>0</v>
      </c>
      <c r="BC460" t="s">
        <v>2</v>
      </c>
      <c r="BD460">
        <v>-1</v>
      </c>
      <c r="BE460">
        <v>-1</v>
      </c>
      <c r="BF460">
        <v>-1</v>
      </c>
      <c r="BG460">
        <v>-1</v>
      </c>
      <c r="BH460">
        <v>-1</v>
      </c>
      <c r="BI460">
        <v>-1</v>
      </c>
      <c r="BJ460">
        <v>-1</v>
      </c>
      <c r="BK460">
        <v>-1</v>
      </c>
      <c r="BL460">
        <v>-1</v>
      </c>
      <c r="BM460">
        <v>-1</v>
      </c>
      <c r="BN460">
        <v>-1</v>
      </c>
      <c r="BO460">
        <v>-1</v>
      </c>
    </row>
    <row r="461" spans="1:67" x14ac:dyDescent="0.25">
      <c r="A461">
        <v>458</v>
      </c>
      <c r="B461">
        <v>9019</v>
      </c>
      <c r="C461" t="str">
        <f>VLOOKUP(B461,[1]resources!$A$2:$D$300,3,FALSE)</f>
        <v>!!FOOD_RUSTYS_RIBEYE_SANDWICH</v>
      </c>
      <c r="D461">
        <v>37</v>
      </c>
      <c r="E461" t="str">
        <f>VLOOKUP(D461,[1]bonus_paytable!$A$2:$D$300,3,FALSE)</f>
        <v>halloween_anglerfish</v>
      </c>
      <c r="F461">
        <v>-1</v>
      </c>
      <c r="G461">
        <v>-1</v>
      </c>
      <c r="H461">
        <v>1</v>
      </c>
      <c r="I461" t="s">
        <v>1</v>
      </c>
      <c r="J461">
        <v>9000</v>
      </c>
      <c r="K461">
        <v>9014</v>
      </c>
      <c r="L461">
        <v>9015</v>
      </c>
      <c r="M461">
        <v>9018</v>
      </c>
      <c r="N461">
        <v>9019</v>
      </c>
      <c r="O461">
        <v>-1</v>
      </c>
      <c r="P461">
        <v>-1</v>
      </c>
      <c r="Q461">
        <v>-1</v>
      </c>
      <c r="R461">
        <v>-1</v>
      </c>
      <c r="S461">
        <v>-1</v>
      </c>
      <c r="T461">
        <v>-1</v>
      </c>
      <c r="U461" s="2">
        <v>0.2</v>
      </c>
      <c r="V461" s="2">
        <v>0.1</v>
      </c>
      <c r="W461" s="2">
        <v>0.05</v>
      </c>
      <c r="X461" s="2">
        <v>0.05</v>
      </c>
      <c r="Y461" s="2">
        <v>0.01</v>
      </c>
      <c r="Z461" s="2">
        <v>-1</v>
      </c>
      <c r="AA461">
        <v>-1</v>
      </c>
      <c r="AB461">
        <v>-1</v>
      </c>
      <c r="AC461">
        <v>-1</v>
      </c>
      <c r="AD461">
        <v>-1</v>
      </c>
      <c r="AE461">
        <v>-1</v>
      </c>
      <c r="AF461">
        <f t="shared" si="67"/>
        <v>1</v>
      </c>
      <c r="AG461">
        <f t="shared" si="68"/>
        <v>1</v>
      </c>
      <c r="AH461">
        <f t="shared" si="69"/>
        <v>1</v>
      </c>
      <c r="AI461">
        <f t="shared" si="70"/>
        <v>1</v>
      </c>
      <c r="AJ461">
        <f t="shared" si="71"/>
        <v>1</v>
      </c>
      <c r="AK461">
        <f t="shared" si="72"/>
        <v>-1</v>
      </c>
      <c r="AL461">
        <f t="shared" si="73"/>
        <v>-1</v>
      </c>
      <c r="AM461">
        <f t="shared" si="74"/>
        <v>-1</v>
      </c>
      <c r="AN461">
        <f t="shared" si="75"/>
        <v>-1</v>
      </c>
      <c r="AO461">
        <f t="shared" si="76"/>
        <v>-1</v>
      </c>
      <c r="AP461">
        <f t="shared" si="77"/>
        <v>-1</v>
      </c>
      <c r="AQ461">
        <v>0</v>
      </c>
      <c r="AR461" t="s">
        <v>2</v>
      </c>
      <c r="AS461">
        <v>-1</v>
      </c>
      <c r="AT461">
        <v>-1</v>
      </c>
      <c r="AU461">
        <v>-1</v>
      </c>
      <c r="AV461">
        <v>-1</v>
      </c>
      <c r="AW461">
        <v>-1</v>
      </c>
      <c r="AX461">
        <v>-1</v>
      </c>
      <c r="AY461">
        <v>-1</v>
      </c>
      <c r="AZ461">
        <v>-1</v>
      </c>
      <c r="BA461">
        <v>-1</v>
      </c>
      <c r="BB461">
        <v>0</v>
      </c>
      <c r="BC461" t="s">
        <v>2</v>
      </c>
      <c r="BD461">
        <v>-1</v>
      </c>
      <c r="BE461">
        <v>-1</v>
      </c>
      <c r="BF461">
        <v>-1</v>
      </c>
      <c r="BG461">
        <v>-1</v>
      </c>
      <c r="BH461">
        <v>-1</v>
      </c>
      <c r="BI461">
        <v>-1</v>
      </c>
      <c r="BJ461">
        <v>-1</v>
      </c>
      <c r="BK461">
        <v>-1</v>
      </c>
      <c r="BL461">
        <v>-1</v>
      </c>
      <c r="BM461">
        <v>-1</v>
      </c>
      <c r="BN461">
        <v>-1</v>
      </c>
      <c r="BO461">
        <v>-1</v>
      </c>
    </row>
    <row r="462" spans="1:67" x14ac:dyDescent="0.25">
      <c r="A462">
        <v>459</v>
      </c>
      <c r="B462">
        <v>9016</v>
      </c>
      <c r="C462" t="str">
        <f>VLOOKUP(B462,[1]resources!$A$2:$D$300,3,FALSE)</f>
        <v>!!FOOD_RUSTYS_RUSTY_ON_RYE</v>
      </c>
      <c r="D462">
        <v>38</v>
      </c>
      <c r="E462" t="str">
        <f>VLOOKUP(D462,[1]bonus_paytable!$A$2:$D$300,3,FALSE)</f>
        <v>halloween_hillbillyfish</v>
      </c>
      <c r="F462">
        <v>-1</v>
      </c>
      <c r="G462">
        <v>-1</v>
      </c>
      <c r="H462">
        <v>1</v>
      </c>
      <c r="I462" t="s">
        <v>1</v>
      </c>
      <c r="J462">
        <v>9000</v>
      </c>
      <c r="K462">
        <v>9001</v>
      </c>
      <c r="L462">
        <v>9014</v>
      </c>
      <c r="M462">
        <v>9015</v>
      </c>
      <c r="N462">
        <v>9018</v>
      </c>
      <c r="O462">
        <v>9019</v>
      </c>
      <c r="P462">
        <v>-1</v>
      </c>
      <c r="Q462">
        <v>-1</v>
      </c>
      <c r="R462">
        <v>-1</v>
      </c>
      <c r="S462">
        <v>-1</v>
      </c>
      <c r="T462">
        <v>-1</v>
      </c>
      <c r="U462" s="2">
        <v>0.05</v>
      </c>
      <c r="V462" s="2">
        <v>0.05</v>
      </c>
      <c r="W462" s="2">
        <v>0.05</v>
      </c>
      <c r="X462" s="2">
        <v>0.03</v>
      </c>
      <c r="Y462" s="2">
        <v>0.03</v>
      </c>
      <c r="Z462" s="2">
        <v>0.01</v>
      </c>
      <c r="AA462">
        <v>-1</v>
      </c>
      <c r="AB462">
        <v>-1</v>
      </c>
      <c r="AC462">
        <v>-1</v>
      </c>
      <c r="AD462">
        <v>-1</v>
      </c>
      <c r="AE462">
        <v>-1</v>
      </c>
      <c r="AF462">
        <f t="shared" si="67"/>
        <v>1</v>
      </c>
      <c r="AG462">
        <f t="shared" si="68"/>
        <v>1</v>
      </c>
      <c r="AH462">
        <f t="shared" si="69"/>
        <v>1</v>
      </c>
      <c r="AI462">
        <f t="shared" si="70"/>
        <v>1</v>
      </c>
      <c r="AJ462">
        <f t="shared" si="71"/>
        <v>1</v>
      </c>
      <c r="AK462">
        <f t="shared" si="72"/>
        <v>1</v>
      </c>
      <c r="AL462">
        <f t="shared" si="73"/>
        <v>-1</v>
      </c>
      <c r="AM462">
        <f t="shared" si="74"/>
        <v>-1</v>
      </c>
      <c r="AN462">
        <f t="shared" si="75"/>
        <v>-1</v>
      </c>
      <c r="AO462">
        <f t="shared" si="76"/>
        <v>-1</v>
      </c>
      <c r="AP462">
        <f t="shared" si="77"/>
        <v>-1</v>
      </c>
      <c r="AQ462">
        <v>0</v>
      </c>
      <c r="AR462" t="s">
        <v>2</v>
      </c>
      <c r="AS462">
        <v>-1</v>
      </c>
      <c r="AT462">
        <v>-1</v>
      </c>
      <c r="AU462">
        <v>-1</v>
      </c>
      <c r="AV462">
        <v>-1</v>
      </c>
      <c r="AW462">
        <v>-1</v>
      </c>
      <c r="AX462">
        <v>-1</v>
      </c>
      <c r="AY462">
        <v>-1</v>
      </c>
      <c r="AZ462">
        <v>-1</v>
      </c>
      <c r="BA462">
        <v>-1</v>
      </c>
      <c r="BB462">
        <v>0</v>
      </c>
      <c r="BC462" t="s">
        <v>2</v>
      </c>
      <c r="BD462">
        <v>-1</v>
      </c>
      <c r="BE462">
        <v>-1</v>
      </c>
      <c r="BF462">
        <v>-1</v>
      </c>
      <c r="BG462">
        <v>-1</v>
      </c>
      <c r="BH462">
        <v>-1</v>
      </c>
      <c r="BI462">
        <v>-1</v>
      </c>
      <c r="BJ462">
        <v>-1</v>
      </c>
      <c r="BK462">
        <v>-1</v>
      </c>
      <c r="BL462">
        <v>-1</v>
      </c>
      <c r="BM462">
        <v>-1</v>
      </c>
      <c r="BN462">
        <v>-1</v>
      </c>
      <c r="BO462">
        <v>-1</v>
      </c>
    </row>
    <row r="463" spans="1:67" x14ac:dyDescent="0.25">
      <c r="A463">
        <v>460</v>
      </c>
      <c r="B463">
        <v>9000</v>
      </c>
      <c r="C463" t="str">
        <f>VLOOKUP(B463,[1]resources!$A$2:$D$300,3,FALSE)</f>
        <v>!!FOOD_RUSTYS_BARK_CHOP_SANDWICH</v>
      </c>
      <c r="D463">
        <v>38</v>
      </c>
      <c r="E463" t="str">
        <f>VLOOKUP(D463,[1]bonus_paytable!$A$2:$D$300,3,FALSE)</f>
        <v>halloween_hillbillyfish</v>
      </c>
      <c r="F463">
        <v>-1</v>
      </c>
      <c r="G463">
        <v>-1</v>
      </c>
      <c r="H463">
        <v>1</v>
      </c>
      <c r="I463" t="s">
        <v>1</v>
      </c>
      <c r="J463">
        <v>9000</v>
      </c>
      <c r="K463">
        <v>9001</v>
      </c>
      <c r="L463">
        <v>9014</v>
      </c>
      <c r="M463">
        <v>9015</v>
      </c>
      <c r="N463">
        <v>9018</v>
      </c>
      <c r="O463">
        <v>9019</v>
      </c>
      <c r="P463">
        <v>-1</v>
      </c>
      <c r="Q463">
        <v>-1</v>
      </c>
      <c r="R463">
        <v>-1</v>
      </c>
      <c r="S463">
        <v>-1</v>
      </c>
      <c r="T463">
        <v>-1</v>
      </c>
      <c r="U463" s="2">
        <v>0.05</v>
      </c>
      <c r="V463" s="2">
        <v>0.05</v>
      </c>
      <c r="W463" s="2">
        <v>0.05</v>
      </c>
      <c r="X463" s="2">
        <v>0.03</v>
      </c>
      <c r="Y463" s="2">
        <v>0.03</v>
      </c>
      <c r="Z463" s="2">
        <v>0.01</v>
      </c>
      <c r="AA463">
        <v>-1</v>
      </c>
      <c r="AB463">
        <v>-1</v>
      </c>
      <c r="AC463">
        <v>-1</v>
      </c>
      <c r="AD463">
        <v>-1</v>
      </c>
      <c r="AE463">
        <v>-1</v>
      </c>
      <c r="AF463">
        <f t="shared" si="67"/>
        <v>1</v>
      </c>
      <c r="AG463">
        <f t="shared" si="68"/>
        <v>1</v>
      </c>
      <c r="AH463">
        <f t="shared" si="69"/>
        <v>1</v>
      </c>
      <c r="AI463">
        <f t="shared" si="70"/>
        <v>1</v>
      </c>
      <c r="AJ463">
        <f t="shared" si="71"/>
        <v>1</v>
      </c>
      <c r="AK463">
        <f t="shared" si="72"/>
        <v>1</v>
      </c>
      <c r="AL463">
        <f t="shared" si="73"/>
        <v>-1</v>
      </c>
      <c r="AM463">
        <f t="shared" si="74"/>
        <v>-1</v>
      </c>
      <c r="AN463">
        <f t="shared" si="75"/>
        <v>-1</v>
      </c>
      <c r="AO463">
        <f t="shared" si="76"/>
        <v>-1</v>
      </c>
      <c r="AP463">
        <f t="shared" si="77"/>
        <v>-1</v>
      </c>
      <c r="AQ463">
        <v>0</v>
      </c>
      <c r="AR463" t="s">
        <v>2</v>
      </c>
      <c r="AS463">
        <v>-1</v>
      </c>
      <c r="AT463">
        <v>-1</v>
      </c>
      <c r="AU463">
        <v>-1</v>
      </c>
      <c r="AV463">
        <v>-1</v>
      </c>
      <c r="AW463">
        <v>-1</v>
      </c>
      <c r="AX463">
        <v>-1</v>
      </c>
      <c r="AY463">
        <v>-1</v>
      </c>
      <c r="AZ463">
        <v>-1</v>
      </c>
      <c r="BA463">
        <v>-1</v>
      </c>
      <c r="BB463">
        <v>0</v>
      </c>
      <c r="BC463" t="s">
        <v>2</v>
      </c>
      <c r="BD463">
        <v>-1</v>
      </c>
      <c r="BE463">
        <v>-1</v>
      </c>
      <c r="BF463">
        <v>-1</v>
      </c>
      <c r="BG463">
        <v>-1</v>
      </c>
      <c r="BH463">
        <v>-1</v>
      </c>
      <c r="BI463">
        <v>-1</v>
      </c>
      <c r="BJ463">
        <v>-1</v>
      </c>
      <c r="BK463">
        <v>-1</v>
      </c>
      <c r="BL463">
        <v>-1</v>
      </c>
      <c r="BM463">
        <v>-1</v>
      </c>
      <c r="BN463">
        <v>-1</v>
      </c>
      <c r="BO463">
        <v>-1</v>
      </c>
    </row>
    <row r="464" spans="1:67" x14ac:dyDescent="0.25">
      <c r="A464">
        <v>461</v>
      </c>
      <c r="B464">
        <v>9001</v>
      </c>
      <c r="C464" t="str">
        <f>VLOOKUP(B464,[1]resources!$A$2:$D$300,3,FALSE)</f>
        <v>!!FOOD_RUSTYS_BARKING_BRISKET</v>
      </c>
      <c r="D464">
        <v>38</v>
      </c>
      <c r="E464" t="str">
        <f>VLOOKUP(D464,[1]bonus_paytable!$A$2:$D$300,3,FALSE)</f>
        <v>halloween_hillbillyfish</v>
      </c>
      <c r="F464">
        <v>-1</v>
      </c>
      <c r="G464">
        <v>-1</v>
      </c>
      <c r="H464">
        <v>1</v>
      </c>
      <c r="I464" t="s">
        <v>1</v>
      </c>
      <c r="J464">
        <v>9000</v>
      </c>
      <c r="K464">
        <v>9001</v>
      </c>
      <c r="L464">
        <v>9014</v>
      </c>
      <c r="M464">
        <v>9015</v>
      </c>
      <c r="N464">
        <v>9018</v>
      </c>
      <c r="O464">
        <v>9019</v>
      </c>
      <c r="P464">
        <v>-1</v>
      </c>
      <c r="Q464">
        <v>-1</v>
      </c>
      <c r="R464">
        <v>-1</v>
      </c>
      <c r="S464">
        <v>-1</v>
      </c>
      <c r="T464">
        <v>-1</v>
      </c>
      <c r="U464" s="2">
        <v>0.05</v>
      </c>
      <c r="V464" s="2">
        <v>0.05</v>
      </c>
      <c r="W464" s="2">
        <v>0.05</v>
      </c>
      <c r="X464" s="2">
        <v>0.03</v>
      </c>
      <c r="Y464" s="2">
        <v>0.03</v>
      </c>
      <c r="Z464" s="2">
        <v>0.01</v>
      </c>
      <c r="AA464">
        <v>-1</v>
      </c>
      <c r="AB464">
        <v>-1</v>
      </c>
      <c r="AC464">
        <v>-1</v>
      </c>
      <c r="AD464">
        <v>-1</v>
      </c>
      <c r="AE464">
        <v>-1</v>
      </c>
      <c r="AF464">
        <f t="shared" si="67"/>
        <v>1</v>
      </c>
      <c r="AG464">
        <f t="shared" si="68"/>
        <v>1</v>
      </c>
      <c r="AH464">
        <f t="shared" si="69"/>
        <v>1</v>
      </c>
      <c r="AI464">
        <f t="shared" si="70"/>
        <v>1</v>
      </c>
      <c r="AJ464">
        <f t="shared" si="71"/>
        <v>1</v>
      </c>
      <c r="AK464">
        <f t="shared" si="72"/>
        <v>1</v>
      </c>
      <c r="AL464">
        <f t="shared" si="73"/>
        <v>-1</v>
      </c>
      <c r="AM464">
        <f t="shared" si="74"/>
        <v>-1</v>
      </c>
      <c r="AN464">
        <f t="shared" si="75"/>
        <v>-1</v>
      </c>
      <c r="AO464">
        <f t="shared" si="76"/>
        <v>-1</v>
      </c>
      <c r="AP464">
        <f t="shared" si="77"/>
        <v>-1</v>
      </c>
      <c r="AQ464">
        <v>0</v>
      </c>
      <c r="AR464" t="s">
        <v>2</v>
      </c>
      <c r="AS464">
        <v>-1</v>
      </c>
      <c r="AT464">
        <v>-1</v>
      </c>
      <c r="AU464">
        <v>-1</v>
      </c>
      <c r="AV464">
        <v>-1</v>
      </c>
      <c r="AW464">
        <v>-1</v>
      </c>
      <c r="AX464">
        <v>-1</v>
      </c>
      <c r="AY464">
        <v>-1</v>
      </c>
      <c r="AZ464">
        <v>-1</v>
      </c>
      <c r="BA464">
        <v>-1</v>
      </c>
      <c r="BB464">
        <v>0</v>
      </c>
      <c r="BC464" t="s">
        <v>2</v>
      </c>
      <c r="BD464">
        <v>-1</v>
      </c>
      <c r="BE464">
        <v>-1</v>
      </c>
      <c r="BF464">
        <v>-1</v>
      </c>
      <c r="BG464">
        <v>-1</v>
      </c>
      <c r="BH464">
        <v>-1</v>
      </c>
      <c r="BI464">
        <v>-1</v>
      </c>
      <c r="BJ464">
        <v>-1</v>
      </c>
      <c r="BK464">
        <v>-1</v>
      </c>
      <c r="BL464">
        <v>-1</v>
      </c>
      <c r="BM464">
        <v>-1</v>
      </c>
      <c r="BN464">
        <v>-1</v>
      </c>
      <c r="BO464">
        <v>-1</v>
      </c>
    </row>
    <row r="465" spans="1:67" x14ac:dyDescent="0.25">
      <c r="A465">
        <v>462</v>
      </c>
      <c r="B465">
        <v>9014</v>
      </c>
      <c r="C465" t="str">
        <f>VLOOKUP(B465,[1]resources!$A$2:$D$300,3,FALSE)</f>
        <v>!!FOOD_RUSTYS_MESQUITE_RIBS</v>
      </c>
      <c r="D465">
        <v>38</v>
      </c>
      <c r="E465" t="str">
        <f>VLOOKUP(D465,[1]bonus_paytable!$A$2:$D$300,3,FALSE)</f>
        <v>halloween_hillbillyfish</v>
      </c>
      <c r="F465">
        <v>-1</v>
      </c>
      <c r="G465">
        <v>-1</v>
      </c>
      <c r="H465">
        <v>1</v>
      </c>
      <c r="I465" t="s">
        <v>1</v>
      </c>
      <c r="J465">
        <v>9000</v>
      </c>
      <c r="K465">
        <v>9001</v>
      </c>
      <c r="L465">
        <v>9014</v>
      </c>
      <c r="M465">
        <v>9015</v>
      </c>
      <c r="N465">
        <v>9018</v>
      </c>
      <c r="O465">
        <v>9019</v>
      </c>
      <c r="P465">
        <v>-1</v>
      </c>
      <c r="Q465">
        <v>-1</v>
      </c>
      <c r="R465">
        <v>-1</v>
      </c>
      <c r="S465">
        <v>-1</v>
      </c>
      <c r="T465">
        <v>-1</v>
      </c>
      <c r="U465" s="2">
        <v>0.05</v>
      </c>
      <c r="V465" s="2">
        <v>0.05</v>
      </c>
      <c r="W465" s="2">
        <v>0.05</v>
      </c>
      <c r="X465" s="2">
        <v>0.03</v>
      </c>
      <c r="Y465" s="2">
        <v>0.03</v>
      </c>
      <c r="Z465" s="2">
        <v>0.01</v>
      </c>
      <c r="AA465">
        <v>-1</v>
      </c>
      <c r="AB465">
        <v>-1</v>
      </c>
      <c r="AC465">
        <v>-1</v>
      </c>
      <c r="AD465">
        <v>-1</v>
      </c>
      <c r="AE465">
        <v>-1</v>
      </c>
      <c r="AF465">
        <f t="shared" si="67"/>
        <v>1</v>
      </c>
      <c r="AG465">
        <f t="shared" si="68"/>
        <v>1</v>
      </c>
      <c r="AH465">
        <f t="shared" si="69"/>
        <v>1</v>
      </c>
      <c r="AI465">
        <f t="shared" si="70"/>
        <v>1</v>
      </c>
      <c r="AJ465">
        <f t="shared" si="71"/>
        <v>1</v>
      </c>
      <c r="AK465">
        <f t="shared" si="72"/>
        <v>1</v>
      </c>
      <c r="AL465">
        <f t="shared" si="73"/>
        <v>-1</v>
      </c>
      <c r="AM465">
        <f t="shared" si="74"/>
        <v>-1</v>
      </c>
      <c r="AN465">
        <f t="shared" si="75"/>
        <v>-1</v>
      </c>
      <c r="AO465">
        <f t="shared" si="76"/>
        <v>-1</v>
      </c>
      <c r="AP465">
        <f t="shared" si="77"/>
        <v>-1</v>
      </c>
      <c r="AQ465">
        <v>0</v>
      </c>
      <c r="AR465" t="s">
        <v>2</v>
      </c>
      <c r="AS465">
        <v>-1</v>
      </c>
      <c r="AT465">
        <v>-1</v>
      </c>
      <c r="AU465">
        <v>-1</v>
      </c>
      <c r="AV465">
        <v>-1</v>
      </c>
      <c r="AW465">
        <v>-1</v>
      </c>
      <c r="AX465">
        <v>-1</v>
      </c>
      <c r="AY465">
        <v>-1</v>
      </c>
      <c r="AZ465">
        <v>-1</v>
      </c>
      <c r="BA465">
        <v>-1</v>
      </c>
      <c r="BB465">
        <v>0</v>
      </c>
      <c r="BC465" t="s">
        <v>2</v>
      </c>
      <c r="BD465">
        <v>-1</v>
      </c>
      <c r="BE465">
        <v>-1</v>
      </c>
      <c r="BF465">
        <v>-1</v>
      </c>
      <c r="BG465">
        <v>-1</v>
      </c>
      <c r="BH465">
        <v>-1</v>
      </c>
      <c r="BI465">
        <v>-1</v>
      </c>
      <c r="BJ465">
        <v>-1</v>
      </c>
      <c r="BK465">
        <v>-1</v>
      </c>
      <c r="BL465">
        <v>-1</v>
      </c>
      <c r="BM465">
        <v>-1</v>
      </c>
      <c r="BN465">
        <v>-1</v>
      </c>
      <c r="BO465">
        <v>-1</v>
      </c>
    </row>
    <row r="466" spans="1:67" x14ac:dyDescent="0.25">
      <c r="A466">
        <v>463</v>
      </c>
      <c r="B466">
        <v>9015</v>
      </c>
      <c r="C466" t="str">
        <f>VLOOKUP(B466,[1]resources!$A$2:$D$300,3,FALSE)</f>
        <v>!!FOOD_RUSTYS_PULLED_PULP_SANDWICH</v>
      </c>
      <c r="D466">
        <v>38</v>
      </c>
      <c r="E466" t="str">
        <f>VLOOKUP(D466,[1]bonus_paytable!$A$2:$D$300,3,FALSE)</f>
        <v>halloween_hillbillyfish</v>
      </c>
      <c r="F466">
        <v>-1</v>
      </c>
      <c r="G466">
        <v>-1</v>
      </c>
      <c r="H466">
        <v>1</v>
      </c>
      <c r="I466" t="s">
        <v>1</v>
      </c>
      <c r="J466">
        <v>9000</v>
      </c>
      <c r="K466">
        <v>9001</v>
      </c>
      <c r="L466">
        <v>9014</v>
      </c>
      <c r="M466">
        <v>9015</v>
      </c>
      <c r="N466">
        <v>9018</v>
      </c>
      <c r="O466">
        <v>9019</v>
      </c>
      <c r="P466">
        <v>-1</v>
      </c>
      <c r="Q466">
        <v>-1</v>
      </c>
      <c r="R466">
        <v>-1</v>
      </c>
      <c r="S466">
        <v>-1</v>
      </c>
      <c r="T466">
        <v>-1</v>
      </c>
      <c r="U466" s="2">
        <v>0.05</v>
      </c>
      <c r="V466" s="2">
        <v>0.05</v>
      </c>
      <c r="W466" s="2">
        <v>0.05</v>
      </c>
      <c r="X466" s="2">
        <v>0.03</v>
      </c>
      <c r="Y466" s="2">
        <v>0.03</v>
      </c>
      <c r="Z466" s="2">
        <v>0.01</v>
      </c>
      <c r="AA466">
        <v>-1</v>
      </c>
      <c r="AB466">
        <v>-1</v>
      </c>
      <c r="AC466">
        <v>-1</v>
      </c>
      <c r="AD466">
        <v>-1</v>
      </c>
      <c r="AE466">
        <v>-1</v>
      </c>
      <c r="AF466">
        <f t="shared" si="67"/>
        <v>1</v>
      </c>
      <c r="AG466">
        <f t="shared" si="68"/>
        <v>1</v>
      </c>
      <c r="AH466">
        <f t="shared" si="69"/>
        <v>1</v>
      </c>
      <c r="AI466">
        <f t="shared" si="70"/>
        <v>1</v>
      </c>
      <c r="AJ466">
        <f t="shared" si="71"/>
        <v>1</v>
      </c>
      <c r="AK466">
        <f t="shared" si="72"/>
        <v>1</v>
      </c>
      <c r="AL466">
        <f t="shared" si="73"/>
        <v>-1</v>
      </c>
      <c r="AM466">
        <f t="shared" si="74"/>
        <v>-1</v>
      </c>
      <c r="AN466">
        <f t="shared" si="75"/>
        <v>-1</v>
      </c>
      <c r="AO466">
        <f t="shared" si="76"/>
        <v>-1</v>
      </c>
      <c r="AP466">
        <f t="shared" si="77"/>
        <v>-1</v>
      </c>
      <c r="AQ466">
        <v>0</v>
      </c>
      <c r="AR466" t="s">
        <v>2</v>
      </c>
      <c r="AS466">
        <v>-1</v>
      </c>
      <c r="AT466">
        <v>-1</v>
      </c>
      <c r="AU466">
        <v>-1</v>
      </c>
      <c r="AV466">
        <v>-1</v>
      </c>
      <c r="AW466">
        <v>-1</v>
      </c>
      <c r="AX466">
        <v>-1</v>
      </c>
      <c r="AY466">
        <v>-1</v>
      </c>
      <c r="AZ466">
        <v>-1</v>
      </c>
      <c r="BA466">
        <v>-1</v>
      </c>
      <c r="BB466">
        <v>0</v>
      </c>
      <c r="BC466" t="s">
        <v>2</v>
      </c>
      <c r="BD466">
        <v>-1</v>
      </c>
      <c r="BE466">
        <v>-1</v>
      </c>
      <c r="BF466">
        <v>-1</v>
      </c>
      <c r="BG466">
        <v>-1</v>
      </c>
      <c r="BH466">
        <v>-1</v>
      </c>
      <c r="BI466">
        <v>-1</v>
      </c>
      <c r="BJ466">
        <v>-1</v>
      </c>
      <c r="BK466">
        <v>-1</v>
      </c>
      <c r="BL466">
        <v>-1</v>
      </c>
      <c r="BM466">
        <v>-1</v>
      </c>
      <c r="BN466">
        <v>-1</v>
      </c>
      <c r="BO466">
        <v>-1</v>
      </c>
    </row>
    <row r="467" spans="1:67" x14ac:dyDescent="0.25">
      <c r="A467">
        <v>464</v>
      </c>
      <c r="B467">
        <v>9018</v>
      </c>
      <c r="C467" t="str">
        <f>VLOOKUP(B467,[1]resources!$A$2:$D$300,3,FALSE)</f>
        <v>!!FOOD_RUSTYS_SPLINTERED_SLAW</v>
      </c>
      <c r="D467">
        <v>38</v>
      </c>
      <c r="E467" t="str">
        <f>VLOOKUP(D467,[1]bonus_paytable!$A$2:$D$300,3,FALSE)</f>
        <v>halloween_hillbillyfish</v>
      </c>
      <c r="F467">
        <v>-1</v>
      </c>
      <c r="G467">
        <v>-1</v>
      </c>
      <c r="H467">
        <v>1</v>
      </c>
      <c r="I467" t="s">
        <v>1</v>
      </c>
      <c r="J467">
        <v>9000</v>
      </c>
      <c r="K467">
        <v>9001</v>
      </c>
      <c r="L467">
        <v>9014</v>
      </c>
      <c r="M467">
        <v>9015</v>
      </c>
      <c r="N467">
        <v>9018</v>
      </c>
      <c r="O467">
        <v>9019</v>
      </c>
      <c r="P467">
        <v>-1</v>
      </c>
      <c r="Q467">
        <v>-1</v>
      </c>
      <c r="R467">
        <v>-1</v>
      </c>
      <c r="S467">
        <v>-1</v>
      </c>
      <c r="T467">
        <v>-1</v>
      </c>
      <c r="U467" s="2">
        <v>0.05</v>
      </c>
      <c r="V467" s="2">
        <v>0.05</v>
      </c>
      <c r="W467" s="2">
        <v>0.05</v>
      </c>
      <c r="X467" s="2">
        <v>0.03</v>
      </c>
      <c r="Y467" s="2">
        <v>0.03</v>
      </c>
      <c r="Z467" s="2">
        <v>0.01</v>
      </c>
      <c r="AA467">
        <v>-1</v>
      </c>
      <c r="AB467">
        <v>-1</v>
      </c>
      <c r="AC467">
        <v>-1</v>
      </c>
      <c r="AD467">
        <v>-1</v>
      </c>
      <c r="AE467">
        <v>-1</v>
      </c>
      <c r="AF467">
        <f t="shared" si="67"/>
        <v>1</v>
      </c>
      <c r="AG467">
        <f t="shared" si="68"/>
        <v>1</v>
      </c>
      <c r="AH467">
        <f t="shared" si="69"/>
        <v>1</v>
      </c>
      <c r="AI467">
        <f t="shared" si="70"/>
        <v>1</v>
      </c>
      <c r="AJ467">
        <f t="shared" si="71"/>
        <v>1</v>
      </c>
      <c r="AK467">
        <f t="shared" si="72"/>
        <v>1</v>
      </c>
      <c r="AL467">
        <f t="shared" si="73"/>
        <v>-1</v>
      </c>
      <c r="AM467">
        <f t="shared" si="74"/>
        <v>-1</v>
      </c>
      <c r="AN467">
        <f t="shared" si="75"/>
        <v>-1</v>
      </c>
      <c r="AO467">
        <f t="shared" si="76"/>
        <v>-1</v>
      </c>
      <c r="AP467">
        <f t="shared" si="77"/>
        <v>-1</v>
      </c>
      <c r="AQ467">
        <v>0</v>
      </c>
      <c r="AR467" t="s">
        <v>2</v>
      </c>
      <c r="AS467">
        <v>-1</v>
      </c>
      <c r="AT467">
        <v>-1</v>
      </c>
      <c r="AU467">
        <v>-1</v>
      </c>
      <c r="AV467">
        <v>-1</v>
      </c>
      <c r="AW467">
        <v>-1</v>
      </c>
      <c r="AX467">
        <v>-1</v>
      </c>
      <c r="AY467">
        <v>-1</v>
      </c>
      <c r="AZ467">
        <v>-1</v>
      </c>
      <c r="BA467">
        <v>-1</v>
      </c>
      <c r="BB467">
        <v>0</v>
      </c>
      <c r="BC467" t="s">
        <v>2</v>
      </c>
      <c r="BD467">
        <v>-1</v>
      </c>
      <c r="BE467">
        <v>-1</v>
      </c>
      <c r="BF467">
        <v>-1</v>
      </c>
      <c r="BG467">
        <v>-1</v>
      </c>
      <c r="BH467">
        <v>-1</v>
      </c>
      <c r="BI467">
        <v>-1</v>
      </c>
      <c r="BJ467">
        <v>-1</v>
      </c>
      <c r="BK467">
        <v>-1</v>
      </c>
      <c r="BL467">
        <v>-1</v>
      </c>
      <c r="BM467">
        <v>-1</v>
      </c>
      <c r="BN467">
        <v>-1</v>
      </c>
      <c r="BO467">
        <v>-1</v>
      </c>
    </row>
    <row r="468" spans="1:67" x14ac:dyDescent="0.25">
      <c r="A468">
        <v>465</v>
      </c>
      <c r="B468">
        <v>9019</v>
      </c>
      <c r="C468" t="str">
        <f>VLOOKUP(B468,[1]resources!$A$2:$D$300,3,FALSE)</f>
        <v>!!FOOD_RUSTYS_RIBEYE_SANDWICH</v>
      </c>
      <c r="D468">
        <v>38</v>
      </c>
      <c r="E468" t="str">
        <f>VLOOKUP(D468,[1]bonus_paytable!$A$2:$D$300,3,FALSE)</f>
        <v>halloween_hillbillyfish</v>
      </c>
      <c r="F468">
        <v>-1</v>
      </c>
      <c r="G468">
        <v>-1</v>
      </c>
      <c r="H468">
        <v>1</v>
      </c>
      <c r="I468" t="s">
        <v>1</v>
      </c>
      <c r="J468">
        <v>9000</v>
      </c>
      <c r="K468">
        <v>9001</v>
      </c>
      <c r="L468">
        <v>9014</v>
      </c>
      <c r="M468">
        <v>9015</v>
      </c>
      <c r="N468">
        <v>9018</v>
      </c>
      <c r="O468">
        <v>9019</v>
      </c>
      <c r="P468">
        <v>-1</v>
      </c>
      <c r="Q468">
        <v>-1</v>
      </c>
      <c r="R468">
        <v>-1</v>
      </c>
      <c r="S468">
        <v>-1</v>
      </c>
      <c r="T468">
        <v>-1</v>
      </c>
      <c r="U468" s="2">
        <v>0.05</v>
      </c>
      <c r="V468" s="2">
        <v>0.05</v>
      </c>
      <c r="W468" s="2">
        <v>0.05</v>
      </c>
      <c r="X468" s="2">
        <v>0.03</v>
      </c>
      <c r="Y468" s="2">
        <v>0.03</v>
      </c>
      <c r="Z468" s="2">
        <v>0.01</v>
      </c>
      <c r="AA468">
        <v>-1</v>
      </c>
      <c r="AB468">
        <v>-1</v>
      </c>
      <c r="AC468">
        <v>-1</v>
      </c>
      <c r="AD468">
        <v>-1</v>
      </c>
      <c r="AE468">
        <v>-1</v>
      </c>
      <c r="AF468">
        <f t="shared" si="67"/>
        <v>1</v>
      </c>
      <c r="AG468">
        <f t="shared" si="68"/>
        <v>1</v>
      </c>
      <c r="AH468">
        <f t="shared" si="69"/>
        <v>1</v>
      </c>
      <c r="AI468">
        <f t="shared" si="70"/>
        <v>1</v>
      </c>
      <c r="AJ468">
        <f t="shared" si="71"/>
        <v>1</v>
      </c>
      <c r="AK468">
        <f t="shared" si="72"/>
        <v>1</v>
      </c>
      <c r="AL468">
        <f t="shared" si="73"/>
        <v>-1</v>
      </c>
      <c r="AM468">
        <f t="shared" si="74"/>
        <v>-1</v>
      </c>
      <c r="AN468">
        <f t="shared" si="75"/>
        <v>-1</v>
      </c>
      <c r="AO468">
        <f t="shared" si="76"/>
        <v>-1</v>
      </c>
      <c r="AP468">
        <f t="shared" si="77"/>
        <v>-1</v>
      </c>
      <c r="AQ468">
        <v>0</v>
      </c>
      <c r="AR468" t="s">
        <v>2</v>
      </c>
      <c r="AS468">
        <v>-1</v>
      </c>
      <c r="AT468">
        <v>-1</v>
      </c>
      <c r="AU468">
        <v>-1</v>
      </c>
      <c r="AV468">
        <v>-1</v>
      </c>
      <c r="AW468">
        <v>-1</v>
      </c>
      <c r="AX468">
        <v>-1</v>
      </c>
      <c r="AY468">
        <v>-1</v>
      </c>
      <c r="AZ468">
        <v>-1</v>
      </c>
      <c r="BA468">
        <v>-1</v>
      </c>
      <c r="BB468">
        <v>0</v>
      </c>
      <c r="BC468" t="s">
        <v>2</v>
      </c>
      <c r="BD468">
        <v>-1</v>
      </c>
      <c r="BE468">
        <v>-1</v>
      </c>
      <c r="BF468">
        <v>-1</v>
      </c>
      <c r="BG468">
        <v>-1</v>
      </c>
      <c r="BH468">
        <v>-1</v>
      </c>
      <c r="BI468">
        <v>-1</v>
      </c>
      <c r="BJ468">
        <v>-1</v>
      </c>
      <c r="BK468">
        <v>-1</v>
      </c>
      <c r="BL468">
        <v>-1</v>
      </c>
      <c r="BM468">
        <v>-1</v>
      </c>
      <c r="BN468">
        <v>-1</v>
      </c>
      <c r="BO468">
        <v>-1</v>
      </c>
    </row>
    <row r="469" spans="1:67" x14ac:dyDescent="0.25">
      <c r="A469">
        <v>466</v>
      </c>
      <c r="B469">
        <v>9016</v>
      </c>
      <c r="C469" t="str">
        <f>VLOOKUP(B469,[1]resources!$A$2:$D$300,3,FALSE)</f>
        <v>!!FOOD_RUSTYS_RUSTY_ON_RYE</v>
      </c>
      <c r="D469">
        <v>39</v>
      </c>
      <c r="E469" t="str">
        <f>VLOOKUP(D469,[1]bonus_paytable!$A$2:$D$300,3,FALSE)</f>
        <v>halloween_slashermcgee</v>
      </c>
      <c r="F469">
        <v>-1</v>
      </c>
      <c r="G469">
        <v>-1</v>
      </c>
      <c r="H469">
        <v>1</v>
      </c>
      <c r="I469" t="s">
        <v>1</v>
      </c>
      <c r="J469">
        <v>9000</v>
      </c>
      <c r="K469">
        <v>9001</v>
      </c>
      <c r="L469">
        <v>9014</v>
      </c>
      <c r="M469">
        <v>9015</v>
      </c>
      <c r="N469">
        <v>9018</v>
      </c>
      <c r="O469">
        <v>9019</v>
      </c>
      <c r="P469">
        <v>-1</v>
      </c>
      <c r="Q469">
        <v>-1</v>
      </c>
      <c r="R469">
        <v>-1</v>
      </c>
      <c r="S469">
        <v>-1</v>
      </c>
      <c r="T469">
        <v>-1</v>
      </c>
      <c r="U469" s="2">
        <v>0.05</v>
      </c>
      <c r="V469" s="2">
        <v>0.05</v>
      </c>
      <c r="W469" s="2">
        <v>0.05</v>
      </c>
      <c r="X469" s="2">
        <v>0.03</v>
      </c>
      <c r="Y469" s="2">
        <v>0.03</v>
      </c>
      <c r="Z469" s="2">
        <v>0.01</v>
      </c>
      <c r="AA469">
        <v>-1</v>
      </c>
      <c r="AB469">
        <v>-1</v>
      </c>
      <c r="AC469">
        <v>-1</v>
      </c>
      <c r="AD469">
        <v>-1</v>
      </c>
      <c r="AE469">
        <v>-1</v>
      </c>
      <c r="AF469">
        <f t="shared" si="67"/>
        <v>1</v>
      </c>
      <c r="AG469">
        <f t="shared" si="68"/>
        <v>1</v>
      </c>
      <c r="AH469">
        <f t="shared" si="69"/>
        <v>1</v>
      </c>
      <c r="AI469">
        <f t="shared" si="70"/>
        <v>1</v>
      </c>
      <c r="AJ469">
        <f t="shared" si="71"/>
        <v>1</v>
      </c>
      <c r="AK469">
        <f t="shared" si="72"/>
        <v>1</v>
      </c>
      <c r="AL469">
        <f t="shared" si="73"/>
        <v>-1</v>
      </c>
      <c r="AM469">
        <f t="shared" si="74"/>
        <v>-1</v>
      </c>
      <c r="AN469">
        <f t="shared" si="75"/>
        <v>-1</v>
      </c>
      <c r="AO469">
        <f t="shared" si="76"/>
        <v>-1</v>
      </c>
      <c r="AP469">
        <f t="shared" si="77"/>
        <v>-1</v>
      </c>
      <c r="AQ469">
        <v>0</v>
      </c>
      <c r="AR469" t="s">
        <v>2</v>
      </c>
      <c r="AS469">
        <v>-1</v>
      </c>
      <c r="AT469">
        <v>-1</v>
      </c>
      <c r="AU469">
        <v>-1</v>
      </c>
      <c r="AV469">
        <v>-1</v>
      </c>
      <c r="AW469">
        <v>-1</v>
      </c>
      <c r="AX469">
        <v>-1</v>
      </c>
      <c r="AY469">
        <v>-1</v>
      </c>
      <c r="AZ469">
        <v>-1</v>
      </c>
      <c r="BA469">
        <v>-1</v>
      </c>
      <c r="BB469">
        <v>0</v>
      </c>
      <c r="BC469" t="s">
        <v>2</v>
      </c>
      <c r="BD469">
        <v>-1</v>
      </c>
      <c r="BE469">
        <v>-1</v>
      </c>
      <c r="BF469">
        <v>-1</v>
      </c>
      <c r="BG469">
        <v>-1</v>
      </c>
      <c r="BH469">
        <v>-1</v>
      </c>
      <c r="BI469">
        <v>-1</v>
      </c>
      <c r="BJ469">
        <v>-1</v>
      </c>
      <c r="BK469">
        <v>-1</v>
      </c>
      <c r="BL469">
        <v>-1</v>
      </c>
      <c r="BM469">
        <v>-1</v>
      </c>
      <c r="BN469">
        <v>-1</v>
      </c>
      <c r="BO469">
        <v>-1</v>
      </c>
    </row>
    <row r="470" spans="1:67" x14ac:dyDescent="0.25">
      <c r="A470">
        <v>467</v>
      </c>
      <c r="B470">
        <v>9000</v>
      </c>
      <c r="C470" t="str">
        <f>VLOOKUP(B470,[1]resources!$A$2:$D$300,3,FALSE)</f>
        <v>!!FOOD_RUSTYS_BARK_CHOP_SANDWICH</v>
      </c>
      <c r="D470">
        <v>39</v>
      </c>
      <c r="E470" t="str">
        <f>VLOOKUP(D470,[1]bonus_paytable!$A$2:$D$300,3,FALSE)</f>
        <v>halloween_slashermcgee</v>
      </c>
      <c r="F470">
        <v>-1</v>
      </c>
      <c r="G470">
        <v>-1</v>
      </c>
      <c r="H470">
        <v>1</v>
      </c>
      <c r="I470" t="s">
        <v>1</v>
      </c>
      <c r="J470">
        <v>9000</v>
      </c>
      <c r="K470">
        <v>9001</v>
      </c>
      <c r="L470">
        <v>9014</v>
      </c>
      <c r="M470">
        <v>9015</v>
      </c>
      <c r="N470">
        <v>9018</v>
      </c>
      <c r="O470">
        <v>9019</v>
      </c>
      <c r="P470">
        <v>-1</v>
      </c>
      <c r="Q470">
        <v>-1</v>
      </c>
      <c r="R470">
        <v>-1</v>
      </c>
      <c r="S470">
        <v>-1</v>
      </c>
      <c r="T470">
        <v>-1</v>
      </c>
      <c r="U470" s="2">
        <v>0.05</v>
      </c>
      <c r="V470" s="2">
        <v>0.05</v>
      </c>
      <c r="W470" s="2">
        <v>0.05</v>
      </c>
      <c r="X470" s="2">
        <v>0.03</v>
      </c>
      <c r="Y470" s="2">
        <v>0.03</v>
      </c>
      <c r="Z470" s="2">
        <v>0.01</v>
      </c>
      <c r="AA470">
        <v>-1</v>
      </c>
      <c r="AB470">
        <v>-1</v>
      </c>
      <c r="AC470">
        <v>-1</v>
      </c>
      <c r="AD470">
        <v>-1</v>
      </c>
      <c r="AE470">
        <v>-1</v>
      </c>
      <c r="AF470">
        <f t="shared" si="67"/>
        <v>1</v>
      </c>
      <c r="AG470">
        <f t="shared" si="68"/>
        <v>1</v>
      </c>
      <c r="AH470">
        <f t="shared" si="69"/>
        <v>1</v>
      </c>
      <c r="AI470">
        <f t="shared" si="70"/>
        <v>1</v>
      </c>
      <c r="AJ470">
        <f t="shared" si="71"/>
        <v>1</v>
      </c>
      <c r="AK470">
        <f t="shared" si="72"/>
        <v>1</v>
      </c>
      <c r="AL470">
        <f t="shared" si="73"/>
        <v>-1</v>
      </c>
      <c r="AM470">
        <f t="shared" si="74"/>
        <v>-1</v>
      </c>
      <c r="AN470">
        <f t="shared" si="75"/>
        <v>-1</v>
      </c>
      <c r="AO470">
        <f t="shared" si="76"/>
        <v>-1</v>
      </c>
      <c r="AP470">
        <f t="shared" si="77"/>
        <v>-1</v>
      </c>
      <c r="AQ470">
        <v>0</v>
      </c>
      <c r="AR470" t="s">
        <v>2</v>
      </c>
      <c r="AS470">
        <v>-1</v>
      </c>
      <c r="AT470">
        <v>-1</v>
      </c>
      <c r="AU470">
        <v>-1</v>
      </c>
      <c r="AV470">
        <v>-1</v>
      </c>
      <c r="AW470">
        <v>-1</v>
      </c>
      <c r="AX470">
        <v>-1</v>
      </c>
      <c r="AY470">
        <v>-1</v>
      </c>
      <c r="AZ470">
        <v>-1</v>
      </c>
      <c r="BA470">
        <v>-1</v>
      </c>
      <c r="BB470">
        <v>0</v>
      </c>
      <c r="BC470" t="s">
        <v>2</v>
      </c>
      <c r="BD470">
        <v>-1</v>
      </c>
      <c r="BE470">
        <v>-1</v>
      </c>
      <c r="BF470">
        <v>-1</v>
      </c>
      <c r="BG470">
        <v>-1</v>
      </c>
      <c r="BH470">
        <v>-1</v>
      </c>
      <c r="BI470">
        <v>-1</v>
      </c>
      <c r="BJ470">
        <v>-1</v>
      </c>
      <c r="BK470">
        <v>-1</v>
      </c>
      <c r="BL470">
        <v>-1</v>
      </c>
      <c r="BM470">
        <v>-1</v>
      </c>
      <c r="BN470">
        <v>-1</v>
      </c>
      <c r="BO470">
        <v>-1</v>
      </c>
    </row>
    <row r="471" spans="1:67" x14ac:dyDescent="0.25">
      <c r="A471">
        <v>468</v>
      </c>
      <c r="B471">
        <v>9001</v>
      </c>
      <c r="C471" t="str">
        <f>VLOOKUP(B471,[1]resources!$A$2:$D$300,3,FALSE)</f>
        <v>!!FOOD_RUSTYS_BARKING_BRISKET</v>
      </c>
      <c r="D471">
        <v>39</v>
      </c>
      <c r="E471" t="str">
        <f>VLOOKUP(D471,[1]bonus_paytable!$A$2:$D$300,3,FALSE)</f>
        <v>halloween_slashermcgee</v>
      </c>
      <c r="F471">
        <v>-1</v>
      </c>
      <c r="G471">
        <v>-1</v>
      </c>
      <c r="H471">
        <v>1</v>
      </c>
      <c r="I471" t="s">
        <v>1</v>
      </c>
      <c r="J471">
        <v>9000</v>
      </c>
      <c r="K471">
        <v>9001</v>
      </c>
      <c r="L471">
        <v>9014</v>
      </c>
      <c r="M471">
        <v>9015</v>
      </c>
      <c r="N471">
        <v>9018</v>
      </c>
      <c r="O471">
        <v>9019</v>
      </c>
      <c r="P471">
        <v>-1</v>
      </c>
      <c r="Q471">
        <v>-1</v>
      </c>
      <c r="R471">
        <v>-1</v>
      </c>
      <c r="S471">
        <v>-1</v>
      </c>
      <c r="T471">
        <v>-1</v>
      </c>
      <c r="U471" s="2">
        <v>0.05</v>
      </c>
      <c r="V471" s="2">
        <v>0.05</v>
      </c>
      <c r="W471" s="2">
        <v>0.05</v>
      </c>
      <c r="X471" s="2">
        <v>0.03</v>
      </c>
      <c r="Y471" s="2">
        <v>0.03</v>
      </c>
      <c r="Z471" s="2">
        <v>0.01</v>
      </c>
      <c r="AA471">
        <v>-1</v>
      </c>
      <c r="AB471">
        <v>-1</v>
      </c>
      <c r="AC471">
        <v>-1</v>
      </c>
      <c r="AD471">
        <v>-1</v>
      </c>
      <c r="AE471">
        <v>-1</v>
      </c>
      <c r="AF471">
        <f t="shared" si="67"/>
        <v>1</v>
      </c>
      <c r="AG471">
        <f t="shared" si="68"/>
        <v>1</v>
      </c>
      <c r="AH471">
        <f t="shared" si="69"/>
        <v>1</v>
      </c>
      <c r="AI471">
        <f t="shared" si="70"/>
        <v>1</v>
      </c>
      <c r="AJ471">
        <f t="shared" si="71"/>
        <v>1</v>
      </c>
      <c r="AK471">
        <f t="shared" si="72"/>
        <v>1</v>
      </c>
      <c r="AL471">
        <f t="shared" si="73"/>
        <v>-1</v>
      </c>
      <c r="AM471">
        <f t="shared" si="74"/>
        <v>-1</v>
      </c>
      <c r="AN471">
        <f t="shared" si="75"/>
        <v>-1</v>
      </c>
      <c r="AO471">
        <f t="shared" si="76"/>
        <v>-1</v>
      </c>
      <c r="AP471">
        <f t="shared" si="77"/>
        <v>-1</v>
      </c>
      <c r="AQ471">
        <v>0</v>
      </c>
      <c r="AR471" t="s">
        <v>2</v>
      </c>
      <c r="AS471">
        <v>-1</v>
      </c>
      <c r="AT471">
        <v>-1</v>
      </c>
      <c r="AU471">
        <v>-1</v>
      </c>
      <c r="AV471">
        <v>-1</v>
      </c>
      <c r="AW471">
        <v>-1</v>
      </c>
      <c r="AX471">
        <v>-1</v>
      </c>
      <c r="AY471">
        <v>-1</v>
      </c>
      <c r="AZ471">
        <v>-1</v>
      </c>
      <c r="BA471">
        <v>-1</v>
      </c>
      <c r="BB471">
        <v>0</v>
      </c>
      <c r="BC471" t="s">
        <v>2</v>
      </c>
      <c r="BD471">
        <v>-1</v>
      </c>
      <c r="BE471">
        <v>-1</v>
      </c>
      <c r="BF471">
        <v>-1</v>
      </c>
      <c r="BG471">
        <v>-1</v>
      </c>
      <c r="BH471">
        <v>-1</v>
      </c>
      <c r="BI471">
        <v>-1</v>
      </c>
      <c r="BJ471">
        <v>-1</v>
      </c>
      <c r="BK471">
        <v>-1</v>
      </c>
      <c r="BL471">
        <v>-1</v>
      </c>
      <c r="BM471">
        <v>-1</v>
      </c>
      <c r="BN471">
        <v>-1</v>
      </c>
      <c r="BO471">
        <v>-1</v>
      </c>
    </row>
    <row r="472" spans="1:67" x14ac:dyDescent="0.25">
      <c r="A472">
        <v>469</v>
      </c>
      <c r="B472">
        <v>9014</v>
      </c>
      <c r="C472" t="str">
        <f>VLOOKUP(B472,[1]resources!$A$2:$D$300,3,FALSE)</f>
        <v>!!FOOD_RUSTYS_MESQUITE_RIBS</v>
      </c>
      <c r="D472">
        <v>39</v>
      </c>
      <c r="E472" t="str">
        <f>VLOOKUP(D472,[1]bonus_paytable!$A$2:$D$300,3,FALSE)</f>
        <v>halloween_slashermcgee</v>
      </c>
      <c r="F472">
        <v>-1</v>
      </c>
      <c r="G472">
        <v>-1</v>
      </c>
      <c r="H472">
        <v>1</v>
      </c>
      <c r="I472" t="s">
        <v>1</v>
      </c>
      <c r="J472">
        <v>9000</v>
      </c>
      <c r="K472">
        <v>9001</v>
      </c>
      <c r="L472">
        <v>9014</v>
      </c>
      <c r="M472">
        <v>9015</v>
      </c>
      <c r="N472">
        <v>9018</v>
      </c>
      <c r="O472">
        <v>9019</v>
      </c>
      <c r="P472">
        <v>-1</v>
      </c>
      <c r="Q472">
        <v>-1</v>
      </c>
      <c r="R472">
        <v>-1</v>
      </c>
      <c r="S472">
        <v>-1</v>
      </c>
      <c r="T472">
        <v>-1</v>
      </c>
      <c r="U472" s="2">
        <v>0.05</v>
      </c>
      <c r="V472" s="2">
        <v>0.05</v>
      </c>
      <c r="W472" s="2">
        <v>0.05</v>
      </c>
      <c r="X472" s="2">
        <v>0.03</v>
      </c>
      <c r="Y472" s="2">
        <v>0.03</v>
      </c>
      <c r="Z472" s="2">
        <v>0.01</v>
      </c>
      <c r="AA472">
        <v>-1</v>
      </c>
      <c r="AB472">
        <v>-1</v>
      </c>
      <c r="AC472">
        <v>-1</v>
      </c>
      <c r="AD472">
        <v>-1</v>
      </c>
      <c r="AE472">
        <v>-1</v>
      </c>
      <c r="AF472">
        <f t="shared" si="67"/>
        <v>1</v>
      </c>
      <c r="AG472">
        <f t="shared" si="68"/>
        <v>1</v>
      </c>
      <c r="AH472">
        <f t="shared" si="69"/>
        <v>1</v>
      </c>
      <c r="AI472">
        <f t="shared" si="70"/>
        <v>1</v>
      </c>
      <c r="AJ472">
        <f t="shared" si="71"/>
        <v>1</v>
      </c>
      <c r="AK472">
        <f t="shared" si="72"/>
        <v>1</v>
      </c>
      <c r="AL472">
        <f t="shared" si="73"/>
        <v>-1</v>
      </c>
      <c r="AM472">
        <f t="shared" si="74"/>
        <v>-1</v>
      </c>
      <c r="AN472">
        <f t="shared" si="75"/>
        <v>-1</v>
      </c>
      <c r="AO472">
        <f t="shared" si="76"/>
        <v>-1</v>
      </c>
      <c r="AP472">
        <f t="shared" si="77"/>
        <v>-1</v>
      </c>
      <c r="AQ472">
        <v>0</v>
      </c>
      <c r="AR472" t="s">
        <v>2</v>
      </c>
      <c r="AS472">
        <v>-1</v>
      </c>
      <c r="AT472">
        <v>-1</v>
      </c>
      <c r="AU472">
        <v>-1</v>
      </c>
      <c r="AV472">
        <v>-1</v>
      </c>
      <c r="AW472">
        <v>-1</v>
      </c>
      <c r="AX472">
        <v>-1</v>
      </c>
      <c r="AY472">
        <v>-1</v>
      </c>
      <c r="AZ472">
        <v>-1</v>
      </c>
      <c r="BA472">
        <v>-1</v>
      </c>
      <c r="BB472">
        <v>0</v>
      </c>
      <c r="BC472" t="s">
        <v>2</v>
      </c>
      <c r="BD472">
        <v>-1</v>
      </c>
      <c r="BE472">
        <v>-1</v>
      </c>
      <c r="BF472">
        <v>-1</v>
      </c>
      <c r="BG472">
        <v>-1</v>
      </c>
      <c r="BH472">
        <v>-1</v>
      </c>
      <c r="BI472">
        <v>-1</v>
      </c>
      <c r="BJ472">
        <v>-1</v>
      </c>
      <c r="BK472">
        <v>-1</v>
      </c>
      <c r="BL472">
        <v>-1</v>
      </c>
      <c r="BM472">
        <v>-1</v>
      </c>
      <c r="BN472">
        <v>-1</v>
      </c>
      <c r="BO472">
        <v>-1</v>
      </c>
    </row>
    <row r="473" spans="1:67" x14ac:dyDescent="0.25">
      <c r="A473">
        <v>470</v>
      </c>
      <c r="B473">
        <v>9015</v>
      </c>
      <c r="C473" t="str">
        <f>VLOOKUP(B473,[1]resources!$A$2:$D$300,3,FALSE)</f>
        <v>!!FOOD_RUSTYS_PULLED_PULP_SANDWICH</v>
      </c>
      <c r="D473">
        <v>39</v>
      </c>
      <c r="E473" t="str">
        <f>VLOOKUP(D473,[1]bonus_paytable!$A$2:$D$300,3,FALSE)</f>
        <v>halloween_slashermcgee</v>
      </c>
      <c r="F473">
        <v>-1</v>
      </c>
      <c r="G473">
        <v>-1</v>
      </c>
      <c r="H473">
        <v>1</v>
      </c>
      <c r="I473" t="s">
        <v>1</v>
      </c>
      <c r="J473">
        <v>9000</v>
      </c>
      <c r="K473">
        <v>9001</v>
      </c>
      <c r="L473">
        <v>9014</v>
      </c>
      <c r="M473">
        <v>9015</v>
      </c>
      <c r="N473">
        <v>9018</v>
      </c>
      <c r="O473">
        <v>9019</v>
      </c>
      <c r="P473">
        <v>-1</v>
      </c>
      <c r="Q473">
        <v>-1</v>
      </c>
      <c r="R473">
        <v>-1</v>
      </c>
      <c r="S473">
        <v>-1</v>
      </c>
      <c r="T473">
        <v>-1</v>
      </c>
      <c r="U473" s="2">
        <v>0.05</v>
      </c>
      <c r="V473" s="2">
        <v>0.05</v>
      </c>
      <c r="W473" s="2">
        <v>0.05</v>
      </c>
      <c r="X473" s="2">
        <v>0.03</v>
      </c>
      <c r="Y473" s="2">
        <v>0.03</v>
      </c>
      <c r="Z473" s="2">
        <v>0.01</v>
      </c>
      <c r="AA473">
        <v>-1</v>
      </c>
      <c r="AB473">
        <v>-1</v>
      </c>
      <c r="AC473">
        <v>-1</v>
      </c>
      <c r="AD473">
        <v>-1</v>
      </c>
      <c r="AE473">
        <v>-1</v>
      </c>
      <c r="AF473">
        <f t="shared" si="67"/>
        <v>1</v>
      </c>
      <c r="AG473">
        <f t="shared" si="68"/>
        <v>1</v>
      </c>
      <c r="AH473">
        <f t="shared" si="69"/>
        <v>1</v>
      </c>
      <c r="AI473">
        <f t="shared" si="70"/>
        <v>1</v>
      </c>
      <c r="AJ473">
        <f t="shared" si="71"/>
        <v>1</v>
      </c>
      <c r="AK473">
        <f t="shared" si="72"/>
        <v>1</v>
      </c>
      <c r="AL473">
        <f t="shared" si="73"/>
        <v>-1</v>
      </c>
      <c r="AM473">
        <f t="shared" si="74"/>
        <v>-1</v>
      </c>
      <c r="AN473">
        <f t="shared" si="75"/>
        <v>-1</v>
      </c>
      <c r="AO473">
        <f t="shared" si="76"/>
        <v>-1</v>
      </c>
      <c r="AP473">
        <f t="shared" si="77"/>
        <v>-1</v>
      </c>
      <c r="AQ473">
        <v>0</v>
      </c>
      <c r="AR473" t="s">
        <v>2</v>
      </c>
      <c r="AS473">
        <v>-1</v>
      </c>
      <c r="AT473">
        <v>-1</v>
      </c>
      <c r="AU473">
        <v>-1</v>
      </c>
      <c r="AV473">
        <v>-1</v>
      </c>
      <c r="AW473">
        <v>-1</v>
      </c>
      <c r="AX473">
        <v>-1</v>
      </c>
      <c r="AY473">
        <v>-1</v>
      </c>
      <c r="AZ473">
        <v>-1</v>
      </c>
      <c r="BA473">
        <v>-1</v>
      </c>
      <c r="BB473">
        <v>0</v>
      </c>
      <c r="BC473" t="s">
        <v>2</v>
      </c>
      <c r="BD473">
        <v>-1</v>
      </c>
      <c r="BE473">
        <v>-1</v>
      </c>
      <c r="BF473">
        <v>-1</v>
      </c>
      <c r="BG473">
        <v>-1</v>
      </c>
      <c r="BH473">
        <v>-1</v>
      </c>
      <c r="BI473">
        <v>-1</v>
      </c>
      <c r="BJ473">
        <v>-1</v>
      </c>
      <c r="BK473">
        <v>-1</v>
      </c>
      <c r="BL473">
        <v>-1</v>
      </c>
      <c r="BM473">
        <v>-1</v>
      </c>
      <c r="BN473">
        <v>-1</v>
      </c>
      <c r="BO473">
        <v>-1</v>
      </c>
    </row>
    <row r="474" spans="1:67" x14ac:dyDescent="0.25">
      <c r="A474">
        <v>471</v>
      </c>
      <c r="B474">
        <v>9018</v>
      </c>
      <c r="C474" t="str">
        <f>VLOOKUP(B474,[1]resources!$A$2:$D$300,3,FALSE)</f>
        <v>!!FOOD_RUSTYS_SPLINTERED_SLAW</v>
      </c>
      <c r="D474">
        <v>39</v>
      </c>
      <c r="E474" t="str">
        <f>VLOOKUP(D474,[1]bonus_paytable!$A$2:$D$300,3,FALSE)</f>
        <v>halloween_slashermcgee</v>
      </c>
      <c r="F474">
        <v>-1</v>
      </c>
      <c r="G474">
        <v>-1</v>
      </c>
      <c r="H474">
        <v>1</v>
      </c>
      <c r="I474" t="s">
        <v>1</v>
      </c>
      <c r="J474">
        <v>9000</v>
      </c>
      <c r="K474">
        <v>9001</v>
      </c>
      <c r="L474">
        <v>9014</v>
      </c>
      <c r="M474">
        <v>9015</v>
      </c>
      <c r="N474">
        <v>9018</v>
      </c>
      <c r="O474">
        <v>9019</v>
      </c>
      <c r="P474">
        <v>-1</v>
      </c>
      <c r="Q474">
        <v>-1</v>
      </c>
      <c r="R474">
        <v>-1</v>
      </c>
      <c r="S474">
        <v>-1</v>
      </c>
      <c r="T474">
        <v>-1</v>
      </c>
      <c r="U474" s="2">
        <v>0.05</v>
      </c>
      <c r="V474" s="2">
        <v>0.05</v>
      </c>
      <c r="W474" s="2">
        <v>0.05</v>
      </c>
      <c r="X474" s="2">
        <v>0.03</v>
      </c>
      <c r="Y474" s="2">
        <v>0.03</v>
      </c>
      <c r="Z474" s="2">
        <v>0.01</v>
      </c>
      <c r="AA474">
        <v>-1</v>
      </c>
      <c r="AB474">
        <v>-1</v>
      </c>
      <c r="AC474">
        <v>-1</v>
      </c>
      <c r="AD474">
        <v>-1</v>
      </c>
      <c r="AE474">
        <v>-1</v>
      </c>
      <c r="AF474">
        <f t="shared" si="67"/>
        <v>1</v>
      </c>
      <c r="AG474">
        <f t="shared" si="68"/>
        <v>1</v>
      </c>
      <c r="AH474">
        <f t="shared" si="69"/>
        <v>1</v>
      </c>
      <c r="AI474">
        <f t="shared" si="70"/>
        <v>1</v>
      </c>
      <c r="AJ474">
        <f t="shared" si="71"/>
        <v>1</v>
      </c>
      <c r="AK474">
        <f t="shared" si="72"/>
        <v>1</v>
      </c>
      <c r="AL474">
        <f t="shared" si="73"/>
        <v>-1</v>
      </c>
      <c r="AM474">
        <f t="shared" si="74"/>
        <v>-1</v>
      </c>
      <c r="AN474">
        <f t="shared" si="75"/>
        <v>-1</v>
      </c>
      <c r="AO474">
        <f t="shared" si="76"/>
        <v>-1</v>
      </c>
      <c r="AP474">
        <f t="shared" si="77"/>
        <v>-1</v>
      </c>
      <c r="AQ474">
        <v>0</v>
      </c>
      <c r="AR474" t="s">
        <v>2</v>
      </c>
      <c r="AS474">
        <v>-1</v>
      </c>
      <c r="AT474">
        <v>-1</v>
      </c>
      <c r="AU474">
        <v>-1</v>
      </c>
      <c r="AV474">
        <v>-1</v>
      </c>
      <c r="AW474">
        <v>-1</v>
      </c>
      <c r="AX474">
        <v>-1</v>
      </c>
      <c r="AY474">
        <v>-1</v>
      </c>
      <c r="AZ474">
        <v>-1</v>
      </c>
      <c r="BA474">
        <v>-1</v>
      </c>
      <c r="BB474">
        <v>0</v>
      </c>
      <c r="BC474" t="s">
        <v>2</v>
      </c>
      <c r="BD474">
        <v>-1</v>
      </c>
      <c r="BE474">
        <v>-1</v>
      </c>
      <c r="BF474">
        <v>-1</v>
      </c>
      <c r="BG474">
        <v>-1</v>
      </c>
      <c r="BH474">
        <v>-1</v>
      </c>
      <c r="BI474">
        <v>-1</v>
      </c>
      <c r="BJ474">
        <v>-1</v>
      </c>
      <c r="BK474">
        <v>-1</v>
      </c>
      <c r="BL474">
        <v>-1</v>
      </c>
      <c r="BM474">
        <v>-1</v>
      </c>
      <c r="BN474">
        <v>-1</v>
      </c>
      <c r="BO474">
        <v>-1</v>
      </c>
    </row>
    <row r="475" spans="1:67" x14ac:dyDescent="0.25">
      <c r="A475">
        <v>472</v>
      </c>
      <c r="B475">
        <v>9019</v>
      </c>
      <c r="C475" t="str">
        <f>VLOOKUP(B475,[1]resources!$A$2:$D$300,3,FALSE)</f>
        <v>!!FOOD_RUSTYS_RIBEYE_SANDWICH</v>
      </c>
      <c r="D475">
        <v>39</v>
      </c>
      <c r="E475" t="str">
        <f>VLOOKUP(D475,[1]bonus_paytable!$A$2:$D$300,3,FALSE)</f>
        <v>halloween_slashermcgee</v>
      </c>
      <c r="F475">
        <v>-1</v>
      </c>
      <c r="G475">
        <v>-1</v>
      </c>
      <c r="H475">
        <v>1</v>
      </c>
      <c r="I475" t="s">
        <v>1</v>
      </c>
      <c r="J475">
        <v>9000</v>
      </c>
      <c r="K475">
        <v>9001</v>
      </c>
      <c r="L475">
        <v>9014</v>
      </c>
      <c r="M475">
        <v>9015</v>
      </c>
      <c r="N475">
        <v>9018</v>
      </c>
      <c r="O475">
        <v>9019</v>
      </c>
      <c r="P475">
        <v>-1</v>
      </c>
      <c r="Q475">
        <v>-1</v>
      </c>
      <c r="R475">
        <v>-1</v>
      </c>
      <c r="S475">
        <v>-1</v>
      </c>
      <c r="T475">
        <v>-1</v>
      </c>
      <c r="U475" s="2">
        <v>0.05</v>
      </c>
      <c r="V475" s="2">
        <v>0.05</v>
      </c>
      <c r="W475" s="2">
        <v>0.05</v>
      </c>
      <c r="X475" s="2">
        <v>0.03</v>
      </c>
      <c r="Y475" s="2">
        <v>0.03</v>
      </c>
      <c r="Z475" s="2">
        <v>0.01</v>
      </c>
      <c r="AA475">
        <v>-1</v>
      </c>
      <c r="AB475">
        <v>-1</v>
      </c>
      <c r="AC475">
        <v>-1</v>
      </c>
      <c r="AD475">
        <v>-1</v>
      </c>
      <c r="AE475">
        <v>-1</v>
      </c>
      <c r="AF475">
        <f t="shared" si="67"/>
        <v>1</v>
      </c>
      <c r="AG475">
        <f t="shared" si="68"/>
        <v>1</v>
      </c>
      <c r="AH475">
        <f t="shared" si="69"/>
        <v>1</v>
      </c>
      <c r="AI475">
        <f t="shared" si="70"/>
        <v>1</v>
      </c>
      <c r="AJ475">
        <f t="shared" si="71"/>
        <v>1</v>
      </c>
      <c r="AK475">
        <f t="shared" si="72"/>
        <v>1</v>
      </c>
      <c r="AL475">
        <f t="shared" si="73"/>
        <v>-1</v>
      </c>
      <c r="AM475">
        <f t="shared" si="74"/>
        <v>-1</v>
      </c>
      <c r="AN475">
        <f t="shared" si="75"/>
        <v>-1</v>
      </c>
      <c r="AO475">
        <f t="shared" si="76"/>
        <v>-1</v>
      </c>
      <c r="AP475">
        <f t="shared" si="77"/>
        <v>-1</v>
      </c>
      <c r="AQ475">
        <v>0</v>
      </c>
      <c r="AR475" t="s">
        <v>2</v>
      </c>
      <c r="AS475">
        <v>-1</v>
      </c>
      <c r="AT475">
        <v>-1</v>
      </c>
      <c r="AU475">
        <v>-1</v>
      </c>
      <c r="AV475">
        <v>-1</v>
      </c>
      <c r="AW475">
        <v>-1</v>
      </c>
      <c r="AX475">
        <v>-1</v>
      </c>
      <c r="AY475">
        <v>-1</v>
      </c>
      <c r="AZ475">
        <v>-1</v>
      </c>
      <c r="BA475">
        <v>-1</v>
      </c>
      <c r="BB475">
        <v>0</v>
      </c>
      <c r="BC475" t="s">
        <v>2</v>
      </c>
      <c r="BD475">
        <v>-1</v>
      </c>
      <c r="BE475">
        <v>-1</v>
      </c>
      <c r="BF475">
        <v>-1</v>
      </c>
      <c r="BG475">
        <v>-1</v>
      </c>
      <c r="BH475">
        <v>-1</v>
      </c>
      <c r="BI475">
        <v>-1</v>
      </c>
      <c r="BJ475">
        <v>-1</v>
      </c>
      <c r="BK475">
        <v>-1</v>
      </c>
      <c r="BL475">
        <v>-1</v>
      </c>
      <c r="BM475">
        <v>-1</v>
      </c>
      <c r="BN475">
        <v>-1</v>
      </c>
      <c r="BO475">
        <v>-1</v>
      </c>
    </row>
    <row r="476" spans="1:67" x14ac:dyDescent="0.25">
      <c r="A476">
        <v>473</v>
      </c>
      <c r="B476">
        <v>1</v>
      </c>
      <c r="C476" t="str">
        <f>VLOOKUP(B476,[1]resources!$A$2:$D$300,3,FALSE)</f>
        <v>!!FOOD_KRABBYPATTY</v>
      </c>
      <c r="D476">
        <v>100</v>
      </c>
      <c r="E476" t="str">
        <f>VLOOKUP(D476,[1]bonus_paytable!$A$2:$D$300,3,FALSE)</f>
        <v>halloween_base_ghosts</v>
      </c>
      <c r="F476">
        <v>-1</v>
      </c>
      <c r="G476">
        <v>-1</v>
      </c>
      <c r="H476">
        <v>1</v>
      </c>
      <c r="I476" t="s">
        <v>1</v>
      </c>
      <c r="J476">
        <v>3</v>
      </c>
      <c r="K476">
        <v>3</v>
      </c>
      <c r="L476">
        <v>3</v>
      </c>
      <c r="M476">
        <v>-1</v>
      </c>
      <c r="N476">
        <v>-1</v>
      </c>
      <c r="O476">
        <v>-1</v>
      </c>
      <c r="P476">
        <v>-1</v>
      </c>
      <c r="Q476">
        <v>-1</v>
      </c>
      <c r="R476">
        <v>-1</v>
      </c>
      <c r="S476">
        <v>-1</v>
      </c>
      <c r="T476">
        <v>-1</v>
      </c>
      <c r="U476">
        <v>0.5</v>
      </c>
      <c r="V476">
        <v>0.4</v>
      </c>
      <c r="W476">
        <v>0.1</v>
      </c>
      <c r="X476">
        <v>-1</v>
      </c>
      <c r="Y476">
        <v>-1</v>
      </c>
      <c r="Z476">
        <v>-1</v>
      </c>
      <c r="AA476">
        <v>-1</v>
      </c>
      <c r="AB476">
        <v>-1</v>
      </c>
      <c r="AC476">
        <v>-1</v>
      </c>
      <c r="AD476">
        <v>-1</v>
      </c>
      <c r="AE476">
        <v>-1</v>
      </c>
      <c r="AF476">
        <v>5</v>
      </c>
      <c r="AG476">
        <v>10</v>
      </c>
      <c r="AH476">
        <v>15</v>
      </c>
      <c r="AI476">
        <v>-1</v>
      </c>
      <c r="AJ476">
        <v>-1</v>
      </c>
      <c r="AK476">
        <v>-1</v>
      </c>
      <c r="AL476">
        <v>-1</v>
      </c>
      <c r="AM476">
        <v>-1</v>
      </c>
      <c r="AN476">
        <v>-1</v>
      </c>
      <c r="AO476">
        <v>-1</v>
      </c>
      <c r="AP476">
        <v>-1</v>
      </c>
      <c r="AQ476">
        <v>0.5</v>
      </c>
      <c r="AR476" t="s">
        <v>0</v>
      </c>
      <c r="AS476">
        <v>5</v>
      </c>
      <c r="AT476">
        <v>5</v>
      </c>
      <c r="AU476">
        <v>5</v>
      </c>
      <c r="AV476">
        <v>0.5</v>
      </c>
      <c r="AW476">
        <v>0.4</v>
      </c>
      <c r="AX476">
        <v>0.1</v>
      </c>
      <c r="AY476">
        <v>1</v>
      </c>
      <c r="AZ476">
        <v>2</v>
      </c>
      <c r="BA476">
        <v>5</v>
      </c>
      <c r="BB476">
        <v>0</v>
      </c>
      <c r="BC476" t="s">
        <v>2</v>
      </c>
      <c r="BD476">
        <v>-1</v>
      </c>
      <c r="BE476">
        <v>-1</v>
      </c>
      <c r="BF476">
        <v>-1</v>
      </c>
      <c r="BG476">
        <v>-1</v>
      </c>
      <c r="BH476">
        <v>-1</v>
      </c>
      <c r="BI476">
        <v>-1</v>
      </c>
      <c r="BJ476">
        <v>-1</v>
      </c>
      <c r="BK476">
        <v>-1</v>
      </c>
      <c r="BL476">
        <v>-1</v>
      </c>
      <c r="BM476">
        <v>-1</v>
      </c>
      <c r="BN476">
        <v>-1</v>
      </c>
      <c r="BO476">
        <v>-1</v>
      </c>
    </row>
    <row r="477" spans="1:67" x14ac:dyDescent="0.25">
      <c r="A477">
        <v>474</v>
      </c>
      <c r="B477">
        <v>4</v>
      </c>
      <c r="C477" t="str">
        <f>VLOOKUP(B477,[1]resources!$A$2:$D$300,3,FALSE)</f>
        <v>!!RESOURCE_LEVEL</v>
      </c>
      <c r="D477">
        <v>100</v>
      </c>
      <c r="E477" t="str">
        <f>VLOOKUP(D477,[1]bonus_paytable!$A$2:$D$300,3,FALSE)</f>
        <v>halloween_base_ghosts</v>
      </c>
      <c r="F477">
        <v>-1</v>
      </c>
      <c r="G477">
        <v>-1</v>
      </c>
      <c r="H477">
        <v>1</v>
      </c>
      <c r="I477" t="s">
        <v>1</v>
      </c>
      <c r="J477">
        <v>3</v>
      </c>
      <c r="K477">
        <v>3</v>
      </c>
      <c r="L477">
        <v>3</v>
      </c>
      <c r="M477">
        <v>-1</v>
      </c>
      <c r="N477">
        <v>-1</v>
      </c>
      <c r="O477">
        <v>-1</v>
      </c>
      <c r="P477">
        <v>-1</v>
      </c>
      <c r="Q477">
        <v>-1</v>
      </c>
      <c r="R477">
        <v>-1</v>
      </c>
      <c r="S477">
        <v>-1</v>
      </c>
      <c r="T477">
        <v>-1</v>
      </c>
      <c r="U477">
        <v>0.5</v>
      </c>
      <c r="V477">
        <v>0.4</v>
      </c>
      <c r="W477">
        <v>0.1</v>
      </c>
      <c r="X477">
        <v>-1</v>
      </c>
      <c r="Y477">
        <v>-1</v>
      </c>
      <c r="Z477">
        <v>-1</v>
      </c>
      <c r="AA477">
        <v>-1</v>
      </c>
      <c r="AB477">
        <v>-1</v>
      </c>
      <c r="AC477">
        <v>-1</v>
      </c>
      <c r="AD477">
        <v>-1</v>
      </c>
      <c r="AE477">
        <v>-1</v>
      </c>
      <c r="AF477">
        <v>2</v>
      </c>
      <c r="AG477">
        <v>5</v>
      </c>
      <c r="AH477">
        <v>10</v>
      </c>
      <c r="AI477">
        <v>-1</v>
      </c>
      <c r="AJ477">
        <v>-1</v>
      </c>
      <c r="AK477">
        <v>-1</v>
      </c>
      <c r="AL477">
        <v>-1</v>
      </c>
      <c r="AM477">
        <v>-1</v>
      </c>
      <c r="AN477">
        <v>-1</v>
      </c>
      <c r="AO477">
        <v>-1</v>
      </c>
      <c r="AP477">
        <v>-1</v>
      </c>
      <c r="AQ477">
        <v>0.5</v>
      </c>
      <c r="AR477" t="s">
        <v>0</v>
      </c>
      <c r="AS477">
        <v>5</v>
      </c>
      <c r="AT477">
        <v>5</v>
      </c>
      <c r="AU477">
        <v>5</v>
      </c>
      <c r="AV477">
        <v>0.5</v>
      </c>
      <c r="AW477">
        <v>0.4</v>
      </c>
      <c r="AX477">
        <v>0.1</v>
      </c>
      <c r="AY477">
        <v>1</v>
      </c>
      <c r="AZ477">
        <v>2</v>
      </c>
      <c r="BA477">
        <v>5</v>
      </c>
      <c r="BB477">
        <v>0</v>
      </c>
      <c r="BC477" t="s">
        <v>2</v>
      </c>
      <c r="BD477">
        <v>-1</v>
      </c>
      <c r="BE477">
        <v>-1</v>
      </c>
      <c r="BF477">
        <v>-1</v>
      </c>
      <c r="BG477">
        <v>-1</v>
      </c>
      <c r="BH477">
        <v>-1</v>
      </c>
      <c r="BI477">
        <v>-1</v>
      </c>
      <c r="BJ477">
        <v>-1</v>
      </c>
      <c r="BK477">
        <v>-1</v>
      </c>
      <c r="BL477">
        <v>-1</v>
      </c>
      <c r="BM477">
        <v>-1</v>
      </c>
      <c r="BN477">
        <v>-1</v>
      </c>
      <c r="BO477">
        <v>-1</v>
      </c>
    </row>
    <row r="478" spans="1:67" x14ac:dyDescent="0.25">
      <c r="A478">
        <v>475</v>
      </c>
      <c r="B478">
        <v>15</v>
      </c>
      <c r="C478" t="str">
        <f>VLOOKUP(B478,[1]resources!$A$2:$D$300,3,FALSE)</f>
        <v>!!FOOD_CRYJOHNNY</v>
      </c>
      <c r="D478">
        <v>100</v>
      </c>
      <c r="E478" t="str">
        <f>VLOOKUP(D478,[1]bonus_paytable!$A$2:$D$300,3,FALSE)</f>
        <v>halloween_base_ghosts</v>
      </c>
      <c r="F478">
        <v>-1</v>
      </c>
      <c r="G478">
        <v>-1</v>
      </c>
      <c r="H478">
        <v>1</v>
      </c>
      <c r="I478" t="s">
        <v>1</v>
      </c>
      <c r="J478">
        <v>3</v>
      </c>
      <c r="K478">
        <v>3</v>
      </c>
      <c r="L478">
        <v>3</v>
      </c>
      <c r="M478">
        <v>-1</v>
      </c>
      <c r="N478">
        <v>-1</v>
      </c>
      <c r="O478">
        <v>-1</v>
      </c>
      <c r="P478">
        <v>-1</v>
      </c>
      <c r="Q478">
        <v>-1</v>
      </c>
      <c r="R478">
        <v>-1</v>
      </c>
      <c r="S478">
        <v>-1</v>
      </c>
      <c r="T478">
        <v>-1</v>
      </c>
      <c r="U478">
        <v>0.5</v>
      </c>
      <c r="V478">
        <v>0.4</v>
      </c>
      <c r="W478">
        <v>0.1</v>
      </c>
      <c r="X478">
        <v>-1</v>
      </c>
      <c r="Y478">
        <v>-1</v>
      </c>
      <c r="Z478">
        <v>-1</v>
      </c>
      <c r="AA478">
        <v>-1</v>
      </c>
      <c r="AB478">
        <v>-1</v>
      </c>
      <c r="AC478">
        <v>-1</v>
      </c>
      <c r="AD478">
        <v>-1</v>
      </c>
      <c r="AE478">
        <v>-1</v>
      </c>
      <c r="AF478">
        <v>2</v>
      </c>
      <c r="AG478">
        <v>5</v>
      </c>
      <c r="AH478">
        <v>10</v>
      </c>
      <c r="AI478">
        <v>-1</v>
      </c>
      <c r="AJ478">
        <v>-1</v>
      </c>
      <c r="AK478">
        <v>-1</v>
      </c>
      <c r="AL478">
        <v>-1</v>
      </c>
      <c r="AM478">
        <v>-1</v>
      </c>
      <c r="AN478">
        <v>-1</v>
      </c>
      <c r="AO478">
        <v>-1</v>
      </c>
      <c r="AP478">
        <v>-1</v>
      </c>
      <c r="AQ478">
        <v>0.5</v>
      </c>
      <c r="AR478" t="s">
        <v>0</v>
      </c>
      <c r="AS478">
        <v>5</v>
      </c>
      <c r="AT478">
        <v>5</v>
      </c>
      <c r="AU478">
        <v>5</v>
      </c>
      <c r="AV478">
        <v>0.5</v>
      </c>
      <c r="AW478">
        <v>0.4</v>
      </c>
      <c r="AX478">
        <v>0.1</v>
      </c>
      <c r="AY478">
        <v>1</v>
      </c>
      <c r="AZ478">
        <v>2</v>
      </c>
      <c r="BA478">
        <v>5</v>
      </c>
      <c r="BB478">
        <v>0</v>
      </c>
      <c r="BC478" t="s">
        <v>2</v>
      </c>
      <c r="BD478">
        <v>-1</v>
      </c>
      <c r="BE478">
        <v>-1</v>
      </c>
      <c r="BF478">
        <v>-1</v>
      </c>
      <c r="BG478">
        <v>-1</v>
      </c>
      <c r="BH478">
        <v>-1</v>
      </c>
      <c r="BI478">
        <v>-1</v>
      </c>
      <c r="BJ478">
        <v>-1</v>
      </c>
      <c r="BK478">
        <v>-1</v>
      </c>
      <c r="BL478">
        <v>-1</v>
      </c>
      <c r="BM478">
        <v>-1</v>
      </c>
      <c r="BN478">
        <v>-1</v>
      </c>
      <c r="BO478">
        <v>-1</v>
      </c>
    </row>
    <row r="479" spans="1:67" x14ac:dyDescent="0.25">
      <c r="A479">
        <v>476</v>
      </c>
      <c r="B479">
        <v>16</v>
      </c>
      <c r="C479" t="str">
        <f>VLOOKUP(B479,[1]resources!$A$2:$D$300,3,FALSE)</f>
        <v>!!FOOD_DUTCHDOUBLE</v>
      </c>
      <c r="D479">
        <v>100</v>
      </c>
      <c r="E479" t="str">
        <f>VLOOKUP(D479,[1]bonus_paytable!$A$2:$D$300,3,FALSE)</f>
        <v>halloween_base_ghosts</v>
      </c>
      <c r="F479">
        <v>-1</v>
      </c>
      <c r="G479">
        <v>-1</v>
      </c>
      <c r="H479">
        <v>1</v>
      </c>
      <c r="I479" t="s">
        <v>1</v>
      </c>
      <c r="J479">
        <v>3</v>
      </c>
      <c r="K479">
        <v>3</v>
      </c>
      <c r="L479">
        <v>3</v>
      </c>
      <c r="M479">
        <v>-1</v>
      </c>
      <c r="N479">
        <v>-1</v>
      </c>
      <c r="O479">
        <v>-1</v>
      </c>
      <c r="P479">
        <v>-1</v>
      </c>
      <c r="Q479">
        <v>-1</v>
      </c>
      <c r="R479">
        <v>-1</v>
      </c>
      <c r="S479">
        <v>-1</v>
      </c>
      <c r="T479">
        <v>-1</v>
      </c>
      <c r="U479">
        <v>0.5</v>
      </c>
      <c r="V479">
        <v>0.4</v>
      </c>
      <c r="W479">
        <v>0.1</v>
      </c>
      <c r="X479">
        <v>-1</v>
      </c>
      <c r="Y479">
        <v>-1</v>
      </c>
      <c r="Z479">
        <v>-1</v>
      </c>
      <c r="AA479">
        <v>-1</v>
      </c>
      <c r="AB479">
        <v>-1</v>
      </c>
      <c r="AC479">
        <v>-1</v>
      </c>
      <c r="AD479">
        <v>-1</v>
      </c>
      <c r="AE479">
        <v>-1</v>
      </c>
      <c r="AF479">
        <v>2</v>
      </c>
      <c r="AG479">
        <v>5</v>
      </c>
      <c r="AH479">
        <v>10</v>
      </c>
      <c r="AI479">
        <v>-1</v>
      </c>
      <c r="AJ479">
        <v>-1</v>
      </c>
      <c r="AK479">
        <v>-1</v>
      </c>
      <c r="AL479">
        <v>-1</v>
      </c>
      <c r="AM479">
        <v>-1</v>
      </c>
      <c r="AN479">
        <v>-1</v>
      </c>
      <c r="AO479">
        <v>-1</v>
      </c>
      <c r="AP479">
        <v>-1</v>
      </c>
      <c r="AQ479">
        <v>0.5</v>
      </c>
      <c r="AR479" t="s">
        <v>0</v>
      </c>
      <c r="AS479">
        <v>5</v>
      </c>
      <c r="AT479">
        <v>5</v>
      </c>
      <c r="AU479">
        <v>5</v>
      </c>
      <c r="AV479">
        <v>0.5</v>
      </c>
      <c r="AW479">
        <v>0.4</v>
      </c>
      <c r="AX479">
        <v>0.1</v>
      </c>
      <c r="AY479">
        <v>1</v>
      </c>
      <c r="AZ479">
        <v>2</v>
      </c>
      <c r="BA479">
        <v>5</v>
      </c>
      <c r="BB479">
        <v>0</v>
      </c>
      <c r="BC479" t="s">
        <v>2</v>
      </c>
      <c r="BD479">
        <v>-1</v>
      </c>
      <c r="BE479">
        <v>-1</v>
      </c>
      <c r="BF479">
        <v>-1</v>
      </c>
      <c r="BG479">
        <v>-1</v>
      </c>
      <c r="BH479">
        <v>-1</v>
      </c>
      <c r="BI479">
        <v>-1</v>
      </c>
      <c r="BJ479">
        <v>-1</v>
      </c>
      <c r="BK479">
        <v>-1</v>
      </c>
      <c r="BL479">
        <v>-1</v>
      </c>
      <c r="BM479">
        <v>-1</v>
      </c>
      <c r="BN479">
        <v>-1</v>
      </c>
      <c r="BO479">
        <v>-1</v>
      </c>
    </row>
    <row r="480" spans="1:67" x14ac:dyDescent="0.25">
      <c r="A480">
        <v>477</v>
      </c>
      <c r="B480">
        <v>18</v>
      </c>
      <c r="C480" t="str">
        <f>VLOOKUP(B480,[1]resources!$A$2:$D$300,3,FALSE)</f>
        <v>!!FOOD_KELPFRIES</v>
      </c>
      <c r="D480">
        <v>100</v>
      </c>
      <c r="E480" t="str">
        <f>VLOOKUP(D480,[1]bonus_paytable!$A$2:$D$300,3,FALSE)</f>
        <v>halloween_base_ghosts</v>
      </c>
      <c r="F480">
        <v>-1</v>
      </c>
      <c r="G480">
        <v>-1</v>
      </c>
      <c r="H480">
        <v>1</v>
      </c>
      <c r="I480" t="s">
        <v>1</v>
      </c>
      <c r="J480">
        <v>3</v>
      </c>
      <c r="K480">
        <v>3</v>
      </c>
      <c r="L480">
        <v>3</v>
      </c>
      <c r="M480">
        <v>-1</v>
      </c>
      <c r="N480">
        <v>-1</v>
      </c>
      <c r="O480">
        <v>-1</v>
      </c>
      <c r="P480">
        <v>-1</v>
      </c>
      <c r="Q480">
        <v>-1</v>
      </c>
      <c r="R480">
        <v>-1</v>
      </c>
      <c r="S480">
        <v>-1</v>
      </c>
      <c r="T480">
        <v>-1</v>
      </c>
      <c r="U480">
        <v>0.5</v>
      </c>
      <c r="V480">
        <v>0.4</v>
      </c>
      <c r="W480">
        <v>0.1</v>
      </c>
      <c r="X480">
        <v>-1</v>
      </c>
      <c r="Y480">
        <v>-1</v>
      </c>
      <c r="Z480">
        <v>-1</v>
      </c>
      <c r="AA480">
        <v>-1</v>
      </c>
      <c r="AB480">
        <v>-1</v>
      </c>
      <c r="AC480">
        <v>-1</v>
      </c>
      <c r="AD480">
        <v>-1</v>
      </c>
      <c r="AE480">
        <v>-1</v>
      </c>
      <c r="AF480">
        <v>2</v>
      </c>
      <c r="AG480">
        <v>5</v>
      </c>
      <c r="AH480">
        <v>10</v>
      </c>
      <c r="AI480">
        <v>-1</v>
      </c>
      <c r="AJ480">
        <v>-1</v>
      </c>
      <c r="AK480">
        <v>-1</v>
      </c>
      <c r="AL480">
        <v>-1</v>
      </c>
      <c r="AM480">
        <v>-1</v>
      </c>
      <c r="AN480">
        <v>-1</v>
      </c>
      <c r="AO480">
        <v>-1</v>
      </c>
      <c r="AP480">
        <v>-1</v>
      </c>
      <c r="AQ480">
        <v>0.5</v>
      </c>
      <c r="AR480" t="s">
        <v>0</v>
      </c>
      <c r="AS480">
        <v>5</v>
      </c>
      <c r="AT480">
        <v>5</v>
      </c>
      <c r="AU480">
        <v>5</v>
      </c>
      <c r="AV480">
        <v>0.5</v>
      </c>
      <c r="AW480">
        <v>0.4</v>
      </c>
      <c r="AX480">
        <v>0.1</v>
      </c>
      <c r="AY480">
        <v>1</v>
      </c>
      <c r="AZ480">
        <v>2</v>
      </c>
      <c r="BA480">
        <v>5</v>
      </c>
      <c r="BB480">
        <v>0</v>
      </c>
      <c r="BC480" t="s">
        <v>2</v>
      </c>
      <c r="BD480">
        <v>-1</v>
      </c>
      <c r="BE480">
        <v>-1</v>
      </c>
      <c r="BF480">
        <v>-1</v>
      </c>
      <c r="BG480">
        <v>-1</v>
      </c>
      <c r="BH480">
        <v>-1</v>
      </c>
      <c r="BI480">
        <v>-1</v>
      </c>
      <c r="BJ480">
        <v>-1</v>
      </c>
      <c r="BK480">
        <v>-1</v>
      </c>
      <c r="BL480">
        <v>-1</v>
      </c>
      <c r="BM480">
        <v>-1</v>
      </c>
      <c r="BN480">
        <v>-1</v>
      </c>
      <c r="BO480">
        <v>-1</v>
      </c>
    </row>
    <row r="481" spans="1:67" x14ac:dyDescent="0.25">
      <c r="A481">
        <v>478</v>
      </c>
      <c r="B481">
        <v>19</v>
      </c>
      <c r="C481" t="str">
        <f>VLOOKUP(B481,[1]resources!$A$2:$D$300,3,FALSE)</f>
        <v>!!FOOD_KELPCAKE</v>
      </c>
      <c r="D481">
        <v>100</v>
      </c>
      <c r="E481" t="str">
        <f>VLOOKUP(D481,[1]bonus_paytable!$A$2:$D$300,3,FALSE)</f>
        <v>halloween_base_ghosts</v>
      </c>
      <c r="F481">
        <v>-1</v>
      </c>
      <c r="G481">
        <v>-1</v>
      </c>
      <c r="H481">
        <v>1</v>
      </c>
      <c r="I481" t="s">
        <v>1</v>
      </c>
      <c r="J481">
        <v>3</v>
      </c>
      <c r="K481">
        <v>3</v>
      </c>
      <c r="L481">
        <v>3</v>
      </c>
      <c r="M481">
        <v>-1</v>
      </c>
      <c r="N481">
        <v>-1</v>
      </c>
      <c r="O481">
        <v>-1</v>
      </c>
      <c r="P481">
        <v>-1</v>
      </c>
      <c r="Q481">
        <v>-1</v>
      </c>
      <c r="R481">
        <v>-1</v>
      </c>
      <c r="S481">
        <v>-1</v>
      </c>
      <c r="T481">
        <v>-1</v>
      </c>
      <c r="U481">
        <v>0.5</v>
      </c>
      <c r="V481">
        <v>0.4</v>
      </c>
      <c r="W481">
        <v>0.1</v>
      </c>
      <c r="X481">
        <v>-1</v>
      </c>
      <c r="Y481">
        <v>-1</v>
      </c>
      <c r="Z481">
        <v>-1</v>
      </c>
      <c r="AA481">
        <v>-1</v>
      </c>
      <c r="AB481">
        <v>-1</v>
      </c>
      <c r="AC481">
        <v>-1</v>
      </c>
      <c r="AD481">
        <v>-1</v>
      </c>
      <c r="AE481">
        <v>-1</v>
      </c>
      <c r="AF481">
        <v>2</v>
      </c>
      <c r="AG481">
        <v>5</v>
      </c>
      <c r="AH481">
        <v>10</v>
      </c>
      <c r="AI481">
        <v>-1</v>
      </c>
      <c r="AJ481">
        <v>-1</v>
      </c>
      <c r="AK481">
        <v>-1</v>
      </c>
      <c r="AL481">
        <v>-1</v>
      </c>
      <c r="AM481">
        <v>-1</v>
      </c>
      <c r="AN481">
        <v>-1</v>
      </c>
      <c r="AO481">
        <v>-1</v>
      </c>
      <c r="AP481">
        <v>-1</v>
      </c>
      <c r="AQ481">
        <v>0.5</v>
      </c>
      <c r="AR481" t="s">
        <v>0</v>
      </c>
      <c r="AS481">
        <v>5</v>
      </c>
      <c r="AT481">
        <v>5</v>
      </c>
      <c r="AU481">
        <v>5</v>
      </c>
      <c r="AV481">
        <v>0.5</v>
      </c>
      <c r="AW481">
        <v>0.4</v>
      </c>
      <c r="AX481">
        <v>0.1</v>
      </c>
      <c r="AY481">
        <v>1</v>
      </c>
      <c r="AZ481">
        <v>2</v>
      </c>
      <c r="BA481">
        <v>5</v>
      </c>
      <c r="BB481">
        <v>0</v>
      </c>
      <c r="BC481" t="s">
        <v>2</v>
      </c>
      <c r="BD481">
        <v>-1</v>
      </c>
      <c r="BE481">
        <v>-1</v>
      </c>
      <c r="BF481">
        <v>-1</v>
      </c>
      <c r="BG481">
        <v>-1</v>
      </c>
      <c r="BH481">
        <v>-1</v>
      </c>
      <c r="BI481">
        <v>-1</v>
      </c>
      <c r="BJ481">
        <v>-1</v>
      </c>
      <c r="BK481">
        <v>-1</v>
      </c>
      <c r="BL481">
        <v>-1</v>
      </c>
      <c r="BM481">
        <v>-1</v>
      </c>
      <c r="BN481">
        <v>-1</v>
      </c>
      <c r="BO481">
        <v>-1</v>
      </c>
    </row>
    <row r="482" spans="1:67" x14ac:dyDescent="0.25">
      <c r="A482">
        <v>479</v>
      </c>
      <c r="B482">
        <v>21</v>
      </c>
      <c r="C482" t="str">
        <f>VLOOKUP(B482,[1]resources!$A$2:$D$300,3,FALSE)</f>
        <v>!!FOOD_KELPDOG</v>
      </c>
      <c r="D482">
        <v>100</v>
      </c>
      <c r="E482" t="str">
        <f>VLOOKUP(D482,[1]bonus_paytable!$A$2:$D$300,3,FALSE)</f>
        <v>halloween_base_ghosts</v>
      </c>
      <c r="F482">
        <v>-1</v>
      </c>
      <c r="G482">
        <v>-1</v>
      </c>
      <c r="H482">
        <v>1</v>
      </c>
      <c r="I482" t="s">
        <v>1</v>
      </c>
      <c r="J482">
        <v>3</v>
      </c>
      <c r="K482">
        <v>3</v>
      </c>
      <c r="L482">
        <v>3</v>
      </c>
      <c r="M482">
        <v>-1</v>
      </c>
      <c r="N482">
        <v>-1</v>
      </c>
      <c r="O482">
        <v>-1</v>
      </c>
      <c r="P482">
        <v>-1</v>
      </c>
      <c r="Q482">
        <v>-1</v>
      </c>
      <c r="R482">
        <v>-1</v>
      </c>
      <c r="S482">
        <v>-1</v>
      </c>
      <c r="T482">
        <v>-1</v>
      </c>
      <c r="U482">
        <v>0.5</v>
      </c>
      <c r="V482">
        <v>0.4</v>
      </c>
      <c r="W482">
        <v>0.1</v>
      </c>
      <c r="X482">
        <v>-1</v>
      </c>
      <c r="Y482">
        <v>-1</v>
      </c>
      <c r="Z482">
        <v>-1</v>
      </c>
      <c r="AA482">
        <v>-1</v>
      </c>
      <c r="AB482">
        <v>-1</v>
      </c>
      <c r="AC482">
        <v>-1</v>
      </c>
      <c r="AD482">
        <v>-1</v>
      </c>
      <c r="AE482">
        <v>-1</v>
      </c>
      <c r="AF482">
        <v>2</v>
      </c>
      <c r="AG482">
        <v>5</v>
      </c>
      <c r="AH482">
        <v>10</v>
      </c>
      <c r="AI482">
        <v>-1</v>
      </c>
      <c r="AJ482">
        <v>-1</v>
      </c>
      <c r="AK482">
        <v>-1</v>
      </c>
      <c r="AL482">
        <v>-1</v>
      </c>
      <c r="AM482">
        <v>-1</v>
      </c>
      <c r="AN482">
        <v>-1</v>
      </c>
      <c r="AO482">
        <v>-1</v>
      </c>
      <c r="AP482">
        <v>-1</v>
      </c>
      <c r="AQ482">
        <v>0.5</v>
      </c>
      <c r="AR482" t="s">
        <v>0</v>
      </c>
      <c r="AS482">
        <v>5</v>
      </c>
      <c r="AT482">
        <v>5</v>
      </c>
      <c r="AU482">
        <v>5</v>
      </c>
      <c r="AV482">
        <v>0.5</v>
      </c>
      <c r="AW482">
        <v>0.4</v>
      </c>
      <c r="AX482">
        <v>0.1</v>
      </c>
      <c r="AY482">
        <v>1</v>
      </c>
      <c r="AZ482">
        <v>2</v>
      </c>
      <c r="BA482">
        <v>5</v>
      </c>
      <c r="BB482">
        <v>0</v>
      </c>
      <c r="BC482" t="s">
        <v>2</v>
      </c>
      <c r="BD482">
        <v>-1</v>
      </c>
      <c r="BE482">
        <v>-1</v>
      </c>
      <c r="BF482">
        <v>-1</v>
      </c>
      <c r="BG482">
        <v>-1</v>
      </c>
      <c r="BH482">
        <v>-1</v>
      </c>
      <c r="BI482">
        <v>-1</v>
      </c>
      <c r="BJ482">
        <v>-1</v>
      </c>
      <c r="BK482">
        <v>-1</v>
      </c>
      <c r="BL482">
        <v>-1</v>
      </c>
      <c r="BM482">
        <v>-1</v>
      </c>
      <c r="BN482">
        <v>-1</v>
      </c>
      <c r="BO482">
        <v>-1</v>
      </c>
    </row>
    <row r="483" spans="1:67" x14ac:dyDescent="0.25">
      <c r="A483">
        <v>480</v>
      </c>
      <c r="B483">
        <v>22</v>
      </c>
      <c r="C483" t="str">
        <f>VLOOKUP(B483,[1]resources!$A$2:$D$300,3,FALSE)</f>
        <v>!!FOOD_SEAWEEDSALAD</v>
      </c>
      <c r="D483">
        <v>100</v>
      </c>
      <c r="E483" t="str">
        <f>VLOOKUP(D483,[1]bonus_paytable!$A$2:$D$300,3,FALSE)</f>
        <v>halloween_base_ghosts</v>
      </c>
      <c r="F483">
        <v>-1</v>
      </c>
      <c r="G483">
        <v>-1</v>
      </c>
      <c r="H483">
        <v>1</v>
      </c>
      <c r="I483" t="s">
        <v>1</v>
      </c>
      <c r="J483">
        <v>3</v>
      </c>
      <c r="K483">
        <v>3</v>
      </c>
      <c r="L483">
        <v>3</v>
      </c>
      <c r="M483">
        <v>-1</v>
      </c>
      <c r="N483">
        <v>-1</v>
      </c>
      <c r="O483">
        <v>-1</v>
      </c>
      <c r="P483">
        <v>-1</v>
      </c>
      <c r="Q483">
        <v>-1</v>
      </c>
      <c r="R483">
        <v>-1</v>
      </c>
      <c r="S483">
        <v>-1</v>
      </c>
      <c r="T483">
        <v>-1</v>
      </c>
      <c r="U483">
        <v>0.5</v>
      </c>
      <c r="V483">
        <v>0.4</v>
      </c>
      <c r="W483">
        <v>0.1</v>
      </c>
      <c r="X483">
        <v>-1</v>
      </c>
      <c r="Y483">
        <v>-1</v>
      </c>
      <c r="Z483">
        <v>-1</v>
      </c>
      <c r="AA483">
        <v>-1</v>
      </c>
      <c r="AB483">
        <v>-1</v>
      </c>
      <c r="AC483">
        <v>-1</v>
      </c>
      <c r="AD483">
        <v>-1</v>
      </c>
      <c r="AE483">
        <v>-1</v>
      </c>
      <c r="AF483">
        <v>2</v>
      </c>
      <c r="AG483">
        <v>5</v>
      </c>
      <c r="AH483">
        <v>10</v>
      </c>
      <c r="AI483">
        <v>-1</v>
      </c>
      <c r="AJ483">
        <v>-1</v>
      </c>
      <c r="AK483">
        <v>-1</v>
      </c>
      <c r="AL483">
        <v>-1</v>
      </c>
      <c r="AM483">
        <v>-1</v>
      </c>
      <c r="AN483">
        <v>-1</v>
      </c>
      <c r="AO483">
        <v>-1</v>
      </c>
      <c r="AP483">
        <v>-1</v>
      </c>
      <c r="AQ483">
        <v>0.5</v>
      </c>
      <c r="AR483" t="s">
        <v>0</v>
      </c>
      <c r="AS483">
        <v>5</v>
      </c>
      <c r="AT483">
        <v>5</v>
      </c>
      <c r="AU483">
        <v>5</v>
      </c>
      <c r="AV483">
        <v>0.5</v>
      </c>
      <c r="AW483">
        <v>0.4</v>
      </c>
      <c r="AX483">
        <v>0.1</v>
      </c>
      <c r="AY483">
        <v>1</v>
      </c>
      <c r="AZ483">
        <v>2</v>
      </c>
      <c r="BA483">
        <v>5</v>
      </c>
      <c r="BB483">
        <v>0</v>
      </c>
      <c r="BC483" t="s">
        <v>2</v>
      </c>
      <c r="BD483">
        <v>-1</v>
      </c>
      <c r="BE483">
        <v>-1</v>
      </c>
      <c r="BF483">
        <v>-1</v>
      </c>
      <c r="BG483">
        <v>-1</v>
      </c>
      <c r="BH483">
        <v>-1</v>
      </c>
      <c r="BI483">
        <v>-1</v>
      </c>
      <c r="BJ483">
        <v>-1</v>
      </c>
      <c r="BK483">
        <v>-1</v>
      </c>
      <c r="BL483">
        <v>-1</v>
      </c>
      <c r="BM483">
        <v>-1</v>
      </c>
      <c r="BN483">
        <v>-1</v>
      </c>
      <c r="BO483">
        <v>-1</v>
      </c>
    </row>
    <row r="484" spans="1:67" x14ac:dyDescent="0.25">
      <c r="A484">
        <v>481</v>
      </c>
      <c r="B484">
        <v>23</v>
      </c>
      <c r="C484" t="str">
        <f>VLOOKUP(B484,[1]resources!$A$2:$D$300,3,FALSE)</f>
        <v>!!FOOD_KELPKLT</v>
      </c>
      <c r="D484">
        <v>100</v>
      </c>
      <c r="E484" t="str">
        <f>VLOOKUP(D484,[1]bonus_paytable!$A$2:$D$300,3,FALSE)</f>
        <v>halloween_base_ghosts</v>
      </c>
      <c r="F484">
        <v>-1</v>
      </c>
      <c r="G484">
        <v>-1</v>
      </c>
      <c r="H484">
        <v>1</v>
      </c>
      <c r="I484" t="s">
        <v>1</v>
      </c>
      <c r="J484">
        <v>3</v>
      </c>
      <c r="K484">
        <v>3</v>
      </c>
      <c r="L484">
        <v>3</v>
      </c>
      <c r="M484">
        <v>-1</v>
      </c>
      <c r="N484">
        <v>-1</v>
      </c>
      <c r="O484">
        <v>-1</v>
      </c>
      <c r="P484">
        <v>-1</v>
      </c>
      <c r="Q484">
        <v>-1</v>
      </c>
      <c r="R484">
        <v>-1</v>
      </c>
      <c r="S484">
        <v>-1</v>
      </c>
      <c r="T484">
        <v>-1</v>
      </c>
      <c r="U484">
        <v>0.5</v>
      </c>
      <c r="V484">
        <v>0.4</v>
      </c>
      <c r="W484">
        <v>0.1</v>
      </c>
      <c r="X484">
        <v>-1</v>
      </c>
      <c r="Y484">
        <v>-1</v>
      </c>
      <c r="Z484">
        <v>-1</v>
      </c>
      <c r="AA484">
        <v>-1</v>
      </c>
      <c r="AB484">
        <v>-1</v>
      </c>
      <c r="AC484">
        <v>-1</v>
      </c>
      <c r="AD484">
        <v>-1</v>
      </c>
      <c r="AE484">
        <v>-1</v>
      </c>
      <c r="AF484">
        <v>2</v>
      </c>
      <c r="AG484">
        <v>5</v>
      </c>
      <c r="AH484">
        <v>10</v>
      </c>
      <c r="AI484">
        <v>-1</v>
      </c>
      <c r="AJ484">
        <v>-1</v>
      </c>
      <c r="AK484">
        <v>-1</v>
      </c>
      <c r="AL484">
        <v>-1</v>
      </c>
      <c r="AM484">
        <v>-1</v>
      </c>
      <c r="AN484">
        <v>-1</v>
      </c>
      <c r="AO484">
        <v>-1</v>
      </c>
      <c r="AP484">
        <v>-1</v>
      </c>
      <c r="AQ484">
        <v>0.5</v>
      </c>
      <c r="AR484" t="s">
        <v>0</v>
      </c>
      <c r="AS484">
        <v>5</v>
      </c>
      <c r="AT484">
        <v>5</v>
      </c>
      <c r="AU484">
        <v>5</v>
      </c>
      <c r="AV484">
        <v>0.5</v>
      </c>
      <c r="AW484">
        <v>0.4</v>
      </c>
      <c r="AX484">
        <v>0.1</v>
      </c>
      <c r="AY484">
        <v>1</v>
      </c>
      <c r="AZ484">
        <v>2</v>
      </c>
      <c r="BA484">
        <v>5</v>
      </c>
      <c r="BB484">
        <v>0</v>
      </c>
      <c r="BC484" t="s">
        <v>2</v>
      </c>
      <c r="BD484">
        <v>-1</v>
      </c>
      <c r="BE484">
        <v>-1</v>
      </c>
      <c r="BF484">
        <v>-1</v>
      </c>
      <c r="BG484">
        <v>-1</v>
      </c>
      <c r="BH484">
        <v>-1</v>
      </c>
      <c r="BI484">
        <v>-1</v>
      </c>
      <c r="BJ484">
        <v>-1</v>
      </c>
      <c r="BK484">
        <v>-1</v>
      </c>
      <c r="BL484">
        <v>-1</v>
      </c>
      <c r="BM484">
        <v>-1</v>
      </c>
      <c r="BN484">
        <v>-1</v>
      </c>
      <c r="BO484">
        <v>-1</v>
      </c>
    </row>
    <row r="485" spans="1:67" x14ac:dyDescent="0.25">
      <c r="A485">
        <v>482</v>
      </c>
      <c r="B485">
        <v>27</v>
      </c>
      <c r="C485" t="str">
        <f>VLOOKUP(B485,[1]resources!$A$2:$D$300,3,FALSE)</f>
        <v>!!FOOD_BRUSCHETTA</v>
      </c>
      <c r="D485">
        <v>100</v>
      </c>
      <c r="E485" t="str">
        <f>VLOOKUP(D485,[1]bonus_paytable!$A$2:$D$300,3,FALSE)</f>
        <v>halloween_base_ghosts</v>
      </c>
      <c r="F485">
        <v>-1</v>
      </c>
      <c r="G485">
        <v>-1</v>
      </c>
      <c r="H485">
        <v>1</v>
      </c>
      <c r="I485" t="s">
        <v>1</v>
      </c>
      <c r="J485">
        <v>3</v>
      </c>
      <c r="K485">
        <v>3</v>
      </c>
      <c r="L485">
        <v>3</v>
      </c>
      <c r="M485">
        <v>-1</v>
      </c>
      <c r="N485">
        <v>-1</v>
      </c>
      <c r="O485">
        <v>-1</v>
      </c>
      <c r="P485">
        <v>-1</v>
      </c>
      <c r="Q485">
        <v>-1</v>
      </c>
      <c r="R485">
        <v>-1</v>
      </c>
      <c r="S485">
        <v>-1</v>
      </c>
      <c r="T485">
        <v>-1</v>
      </c>
      <c r="U485">
        <v>0.5</v>
      </c>
      <c r="V485">
        <v>0.4</v>
      </c>
      <c r="W485">
        <v>0.1</v>
      </c>
      <c r="X485">
        <v>-1</v>
      </c>
      <c r="Y485">
        <v>-1</v>
      </c>
      <c r="Z485">
        <v>-1</v>
      </c>
      <c r="AA485">
        <v>-1</v>
      </c>
      <c r="AB485">
        <v>-1</v>
      </c>
      <c r="AC485">
        <v>-1</v>
      </c>
      <c r="AD485">
        <v>-1</v>
      </c>
      <c r="AE485">
        <v>-1</v>
      </c>
      <c r="AF485">
        <v>2</v>
      </c>
      <c r="AG485">
        <v>5</v>
      </c>
      <c r="AH485">
        <v>10</v>
      </c>
      <c r="AI485">
        <v>-1</v>
      </c>
      <c r="AJ485">
        <v>-1</v>
      </c>
      <c r="AK485">
        <v>-1</v>
      </c>
      <c r="AL485">
        <v>-1</v>
      </c>
      <c r="AM485">
        <v>-1</v>
      </c>
      <c r="AN485">
        <v>-1</v>
      </c>
      <c r="AO485">
        <v>-1</v>
      </c>
      <c r="AP485">
        <v>-1</v>
      </c>
      <c r="AQ485">
        <v>0.5</v>
      </c>
      <c r="AR485" t="s">
        <v>0</v>
      </c>
      <c r="AS485">
        <v>5</v>
      </c>
      <c r="AT485">
        <v>5</v>
      </c>
      <c r="AU485">
        <v>5</v>
      </c>
      <c r="AV485">
        <v>0.5</v>
      </c>
      <c r="AW485">
        <v>0.4</v>
      </c>
      <c r="AX485">
        <v>0.1</v>
      </c>
      <c r="AY485">
        <v>1</v>
      </c>
      <c r="AZ485">
        <v>2</v>
      </c>
      <c r="BA485">
        <v>5</v>
      </c>
      <c r="BB485">
        <v>0</v>
      </c>
      <c r="BC485" t="s">
        <v>2</v>
      </c>
      <c r="BD485">
        <v>-1</v>
      </c>
      <c r="BE485">
        <v>-1</v>
      </c>
      <c r="BF485">
        <v>-1</v>
      </c>
      <c r="BG485">
        <v>-1</v>
      </c>
      <c r="BH485">
        <v>-1</v>
      </c>
      <c r="BI485">
        <v>-1</v>
      </c>
      <c r="BJ485">
        <v>-1</v>
      </c>
      <c r="BK485">
        <v>-1</v>
      </c>
      <c r="BL485">
        <v>-1</v>
      </c>
      <c r="BM485">
        <v>-1</v>
      </c>
      <c r="BN485">
        <v>-1</v>
      </c>
      <c r="BO485">
        <v>-1</v>
      </c>
    </row>
    <row r="486" spans="1:67" x14ac:dyDescent="0.25">
      <c r="A486">
        <v>483</v>
      </c>
      <c r="B486">
        <v>28</v>
      </c>
      <c r="C486" t="str">
        <f>VLOOKUP(B486,[1]resources!$A$2:$D$300,3,FALSE)</f>
        <v>!!FOOD_BISQUE</v>
      </c>
      <c r="D486">
        <v>100</v>
      </c>
      <c r="E486" t="str">
        <f>VLOOKUP(D486,[1]bonus_paytable!$A$2:$D$300,3,FALSE)</f>
        <v>halloween_base_ghosts</v>
      </c>
      <c r="F486">
        <v>-1</v>
      </c>
      <c r="G486">
        <v>-1</v>
      </c>
      <c r="H486">
        <v>1</v>
      </c>
      <c r="I486" t="s">
        <v>1</v>
      </c>
      <c r="J486">
        <v>3</v>
      </c>
      <c r="K486">
        <v>3</v>
      </c>
      <c r="L486">
        <v>3</v>
      </c>
      <c r="M486">
        <v>-1</v>
      </c>
      <c r="N486">
        <v>-1</v>
      </c>
      <c r="O486">
        <v>-1</v>
      </c>
      <c r="P486">
        <v>-1</v>
      </c>
      <c r="Q486">
        <v>-1</v>
      </c>
      <c r="R486">
        <v>-1</v>
      </c>
      <c r="S486">
        <v>-1</v>
      </c>
      <c r="T486">
        <v>-1</v>
      </c>
      <c r="U486">
        <v>0.5</v>
      </c>
      <c r="V486">
        <v>0.4</v>
      </c>
      <c r="W486">
        <v>0.1</v>
      </c>
      <c r="X486">
        <v>-1</v>
      </c>
      <c r="Y486">
        <v>-1</v>
      </c>
      <c r="Z486">
        <v>-1</v>
      </c>
      <c r="AA486">
        <v>-1</v>
      </c>
      <c r="AB486">
        <v>-1</v>
      </c>
      <c r="AC486">
        <v>-1</v>
      </c>
      <c r="AD486">
        <v>-1</v>
      </c>
      <c r="AE486">
        <v>-1</v>
      </c>
      <c r="AF486">
        <v>2</v>
      </c>
      <c r="AG486">
        <v>5</v>
      </c>
      <c r="AH486">
        <v>10</v>
      </c>
      <c r="AI486">
        <v>-1</v>
      </c>
      <c r="AJ486">
        <v>-1</v>
      </c>
      <c r="AK486">
        <v>-1</v>
      </c>
      <c r="AL486">
        <v>-1</v>
      </c>
      <c r="AM486">
        <v>-1</v>
      </c>
      <c r="AN486">
        <v>-1</v>
      </c>
      <c r="AO486">
        <v>-1</v>
      </c>
      <c r="AP486">
        <v>-1</v>
      </c>
      <c r="AQ486">
        <v>0.5</v>
      </c>
      <c r="AR486" t="s">
        <v>0</v>
      </c>
      <c r="AS486">
        <v>5</v>
      </c>
      <c r="AT486">
        <v>5</v>
      </c>
      <c r="AU486">
        <v>5</v>
      </c>
      <c r="AV486">
        <v>0.5</v>
      </c>
      <c r="AW486">
        <v>0.4</v>
      </c>
      <c r="AX486">
        <v>0.1</v>
      </c>
      <c r="AY486">
        <v>1</v>
      </c>
      <c r="AZ486">
        <v>2</v>
      </c>
      <c r="BA486">
        <v>5</v>
      </c>
      <c r="BB486">
        <v>0</v>
      </c>
      <c r="BC486" t="s">
        <v>2</v>
      </c>
      <c r="BD486">
        <v>-1</v>
      </c>
      <c r="BE486">
        <v>-1</v>
      </c>
      <c r="BF486">
        <v>-1</v>
      </c>
      <c r="BG486">
        <v>-1</v>
      </c>
      <c r="BH486">
        <v>-1</v>
      </c>
      <c r="BI486">
        <v>-1</v>
      </c>
      <c r="BJ486">
        <v>-1</v>
      </c>
      <c r="BK486">
        <v>-1</v>
      </c>
      <c r="BL486">
        <v>-1</v>
      </c>
      <c r="BM486">
        <v>-1</v>
      </c>
      <c r="BN486">
        <v>-1</v>
      </c>
      <c r="BO486">
        <v>-1</v>
      </c>
    </row>
    <row r="487" spans="1:67" x14ac:dyDescent="0.25">
      <c r="A487">
        <v>484</v>
      </c>
      <c r="B487">
        <v>31</v>
      </c>
      <c r="C487" t="str">
        <f>VLOOKUP(B487,[1]resources!$A$2:$D$300,3,FALSE)</f>
        <v>!!FOOD_CAESAR_SALAD</v>
      </c>
      <c r="D487">
        <v>100</v>
      </c>
      <c r="E487" t="str">
        <f>VLOOKUP(D487,[1]bonus_paytable!$A$2:$D$300,3,FALSE)</f>
        <v>halloween_base_ghosts</v>
      </c>
      <c r="F487">
        <v>-1</v>
      </c>
      <c r="G487">
        <v>-1</v>
      </c>
      <c r="H487">
        <v>1</v>
      </c>
      <c r="I487" t="s">
        <v>1</v>
      </c>
      <c r="J487">
        <v>3</v>
      </c>
      <c r="K487">
        <v>3</v>
      </c>
      <c r="L487">
        <v>3</v>
      </c>
      <c r="M487">
        <v>-1</v>
      </c>
      <c r="N487">
        <v>-1</v>
      </c>
      <c r="O487">
        <v>-1</v>
      </c>
      <c r="P487">
        <v>-1</v>
      </c>
      <c r="Q487">
        <v>-1</v>
      </c>
      <c r="R487">
        <v>-1</v>
      </c>
      <c r="S487">
        <v>-1</v>
      </c>
      <c r="T487">
        <v>-1</v>
      </c>
      <c r="U487">
        <v>0.5</v>
      </c>
      <c r="V487">
        <v>0.4</v>
      </c>
      <c r="W487">
        <v>0.1</v>
      </c>
      <c r="X487">
        <v>-1</v>
      </c>
      <c r="Y487">
        <v>-1</v>
      </c>
      <c r="Z487">
        <v>-1</v>
      </c>
      <c r="AA487">
        <v>-1</v>
      </c>
      <c r="AB487">
        <v>-1</v>
      </c>
      <c r="AC487">
        <v>-1</v>
      </c>
      <c r="AD487">
        <v>-1</v>
      </c>
      <c r="AE487">
        <v>-1</v>
      </c>
      <c r="AF487">
        <v>2</v>
      </c>
      <c r="AG487">
        <v>5</v>
      </c>
      <c r="AH487">
        <v>10</v>
      </c>
      <c r="AI487">
        <v>-1</v>
      </c>
      <c r="AJ487">
        <v>-1</v>
      </c>
      <c r="AK487">
        <v>-1</v>
      </c>
      <c r="AL487">
        <v>-1</v>
      </c>
      <c r="AM487">
        <v>-1</v>
      </c>
      <c r="AN487">
        <v>-1</v>
      </c>
      <c r="AO487">
        <v>-1</v>
      </c>
      <c r="AP487">
        <v>-1</v>
      </c>
      <c r="AQ487">
        <v>0.5</v>
      </c>
      <c r="AR487" t="s">
        <v>0</v>
      </c>
      <c r="AS487">
        <v>5</v>
      </c>
      <c r="AT487">
        <v>5</v>
      </c>
      <c r="AU487">
        <v>5</v>
      </c>
      <c r="AV487">
        <v>0.5</v>
      </c>
      <c r="AW487">
        <v>0.4</v>
      </c>
      <c r="AX487">
        <v>0.1</v>
      </c>
      <c r="AY487">
        <v>1</v>
      </c>
      <c r="AZ487">
        <v>2</v>
      </c>
      <c r="BA487">
        <v>5</v>
      </c>
      <c r="BB487">
        <v>0</v>
      </c>
      <c r="BC487" t="s">
        <v>2</v>
      </c>
      <c r="BD487">
        <v>-1</v>
      </c>
      <c r="BE487">
        <v>-1</v>
      </c>
      <c r="BF487">
        <v>-1</v>
      </c>
      <c r="BG487">
        <v>-1</v>
      </c>
      <c r="BH487">
        <v>-1</v>
      </c>
      <c r="BI487">
        <v>-1</v>
      </c>
      <c r="BJ487">
        <v>-1</v>
      </c>
      <c r="BK487">
        <v>-1</v>
      </c>
      <c r="BL487">
        <v>-1</v>
      </c>
      <c r="BM487">
        <v>-1</v>
      </c>
      <c r="BN487">
        <v>-1</v>
      </c>
      <c r="BO487">
        <v>-1</v>
      </c>
    </row>
    <row r="488" spans="1:67" x14ac:dyDescent="0.25">
      <c r="A488">
        <v>485</v>
      </c>
      <c r="B488">
        <v>32</v>
      </c>
      <c r="C488" t="str">
        <f>VLOOKUP(B488,[1]resources!$A$2:$D$300,3,FALSE)</f>
        <v>!!FOOD_JELLYPATTY</v>
      </c>
      <c r="D488">
        <v>100</v>
      </c>
      <c r="E488" t="str">
        <f>VLOOKUP(D488,[1]bonus_paytable!$A$2:$D$300,3,FALSE)</f>
        <v>halloween_base_ghosts</v>
      </c>
      <c r="F488">
        <v>-1</v>
      </c>
      <c r="G488">
        <v>-1</v>
      </c>
      <c r="H488">
        <v>1</v>
      </c>
      <c r="I488" t="s">
        <v>1</v>
      </c>
      <c r="J488">
        <v>3</v>
      </c>
      <c r="K488">
        <v>3</v>
      </c>
      <c r="L488">
        <v>3</v>
      </c>
      <c r="M488">
        <v>-1</v>
      </c>
      <c r="N488">
        <v>-1</v>
      </c>
      <c r="O488">
        <v>-1</v>
      </c>
      <c r="P488">
        <v>-1</v>
      </c>
      <c r="Q488">
        <v>-1</v>
      </c>
      <c r="R488">
        <v>-1</v>
      </c>
      <c r="S488">
        <v>-1</v>
      </c>
      <c r="T488">
        <v>-1</v>
      </c>
      <c r="U488">
        <v>0.5</v>
      </c>
      <c r="V488">
        <v>0.4</v>
      </c>
      <c r="W488">
        <v>0.1</v>
      </c>
      <c r="X488">
        <v>-1</v>
      </c>
      <c r="Y488">
        <v>-1</v>
      </c>
      <c r="Z488">
        <v>-1</v>
      </c>
      <c r="AA488">
        <v>-1</v>
      </c>
      <c r="AB488">
        <v>-1</v>
      </c>
      <c r="AC488">
        <v>-1</v>
      </c>
      <c r="AD488">
        <v>-1</v>
      </c>
      <c r="AE488">
        <v>-1</v>
      </c>
      <c r="AF488">
        <v>5</v>
      </c>
      <c r="AG488">
        <v>10</v>
      </c>
      <c r="AH488">
        <v>15</v>
      </c>
      <c r="AI488">
        <v>-1</v>
      </c>
      <c r="AJ488">
        <v>-1</v>
      </c>
      <c r="AK488">
        <v>-1</v>
      </c>
      <c r="AL488">
        <v>-1</v>
      </c>
      <c r="AM488">
        <v>-1</v>
      </c>
      <c r="AN488">
        <v>-1</v>
      </c>
      <c r="AO488">
        <v>-1</v>
      </c>
      <c r="AP488">
        <v>-1</v>
      </c>
      <c r="AQ488">
        <v>0.25</v>
      </c>
      <c r="AR488" t="s">
        <v>0</v>
      </c>
      <c r="AS488">
        <v>5</v>
      </c>
      <c r="AT488">
        <v>5</v>
      </c>
      <c r="AU488">
        <v>5</v>
      </c>
      <c r="AV488">
        <v>0.5</v>
      </c>
      <c r="AW488">
        <v>0.4</v>
      </c>
      <c r="AX488">
        <v>0.1</v>
      </c>
      <c r="AY488">
        <v>1</v>
      </c>
      <c r="AZ488">
        <v>2</v>
      </c>
      <c r="BA488">
        <v>5</v>
      </c>
      <c r="BB488">
        <v>0.5</v>
      </c>
      <c r="BC488" t="s">
        <v>0</v>
      </c>
      <c r="BD488">
        <v>2</v>
      </c>
      <c r="BE488">
        <v>2</v>
      </c>
      <c r="BF488">
        <v>2</v>
      </c>
      <c r="BG488">
        <v>2</v>
      </c>
      <c r="BH488">
        <v>0.75</v>
      </c>
      <c r="BI488">
        <v>0.2</v>
      </c>
      <c r="BJ488">
        <v>0.03</v>
      </c>
      <c r="BK488">
        <v>0.02</v>
      </c>
      <c r="BL488">
        <v>1</v>
      </c>
      <c r="BM488">
        <v>2</v>
      </c>
      <c r="BN488">
        <v>5</v>
      </c>
      <c r="BO488">
        <v>25</v>
      </c>
    </row>
    <row r="489" spans="1:67" x14ac:dyDescent="0.25">
      <c r="A489">
        <v>486</v>
      </c>
      <c r="B489">
        <v>40</v>
      </c>
      <c r="C489" t="str">
        <f>VLOOKUP(B489,[1]resources!$A$2:$D$300,3,FALSE)</f>
        <v>!!FOOD_VEGGIEPATTY</v>
      </c>
      <c r="D489">
        <v>100</v>
      </c>
      <c r="E489" t="str">
        <f>VLOOKUP(D489,[1]bonus_paytable!$A$2:$D$300,3,FALSE)</f>
        <v>halloween_base_ghosts</v>
      </c>
      <c r="F489">
        <v>-1</v>
      </c>
      <c r="G489">
        <v>-1</v>
      </c>
      <c r="H489">
        <v>1</v>
      </c>
      <c r="I489" t="s">
        <v>1</v>
      </c>
      <c r="J489">
        <v>3</v>
      </c>
      <c r="K489">
        <v>3</v>
      </c>
      <c r="L489">
        <v>3</v>
      </c>
      <c r="M489">
        <v>-1</v>
      </c>
      <c r="N489">
        <v>-1</v>
      </c>
      <c r="O489">
        <v>-1</v>
      </c>
      <c r="P489">
        <v>-1</v>
      </c>
      <c r="Q489">
        <v>-1</v>
      </c>
      <c r="R489">
        <v>-1</v>
      </c>
      <c r="S489">
        <v>-1</v>
      </c>
      <c r="T489">
        <v>-1</v>
      </c>
      <c r="U489">
        <v>0.5</v>
      </c>
      <c r="V489">
        <v>0.4</v>
      </c>
      <c r="W489">
        <v>0.1</v>
      </c>
      <c r="X489">
        <v>-1</v>
      </c>
      <c r="Y489">
        <v>-1</v>
      </c>
      <c r="Z489">
        <v>-1</v>
      </c>
      <c r="AA489">
        <v>-1</v>
      </c>
      <c r="AB489">
        <v>-1</v>
      </c>
      <c r="AC489">
        <v>-1</v>
      </c>
      <c r="AD489">
        <v>-1</v>
      </c>
      <c r="AE489">
        <v>-1</v>
      </c>
      <c r="AF489">
        <v>2</v>
      </c>
      <c r="AG489">
        <v>5</v>
      </c>
      <c r="AH489">
        <v>10</v>
      </c>
      <c r="AI489">
        <v>-1</v>
      </c>
      <c r="AJ489">
        <v>-1</v>
      </c>
      <c r="AK489">
        <v>-1</v>
      </c>
      <c r="AL489">
        <v>-1</v>
      </c>
      <c r="AM489">
        <v>-1</v>
      </c>
      <c r="AN489">
        <v>-1</v>
      </c>
      <c r="AO489">
        <v>-1</v>
      </c>
      <c r="AP489">
        <v>-1</v>
      </c>
      <c r="AQ489">
        <v>0.5</v>
      </c>
      <c r="AR489" t="s">
        <v>0</v>
      </c>
      <c r="AS489">
        <v>5</v>
      </c>
      <c r="AT489">
        <v>5</v>
      </c>
      <c r="AU489">
        <v>5</v>
      </c>
      <c r="AV489">
        <v>0.5</v>
      </c>
      <c r="AW489">
        <v>0.4</v>
      </c>
      <c r="AX489">
        <v>0.1</v>
      </c>
      <c r="AY489">
        <v>1</v>
      </c>
      <c r="AZ489">
        <v>2</v>
      </c>
      <c r="BA489">
        <v>5</v>
      </c>
      <c r="BB489">
        <v>0</v>
      </c>
      <c r="BC489" t="s">
        <v>2</v>
      </c>
      <c r="BD489">
        <v>-1</v>
      </c>
      <c r="BE489">
        <v>-1</v>
      </c>
      <c r="BF489">
        <v>-1</v>
      </c>
      <c r="BG489">
        <v>-1</v>
      </c>
      <c r="BH489">
        <v>-1</v>
      </c>
      <c r="BI489">
        <v>-1</v>
      </c>
      <c r="BJ489">
        <v>-1</v>
      </c>
      <c r="BK489">
        <v>-1</v>
      </c>
      <c r="BL489">
        <v>-1</v>
      </c>
      <c r="BM489">
        <v>-1</v>
      </c>
      <c r="BN489">
        <v>-1</v>
      </c>
      <c r="BO489">
        <v>-1</v>
      </c>
    </row>
    <row r="490" spans="1:67" x14ac:dyDescent="0.25">
      <c r="A490">
        <v>487</v>
      </c>
      <c r="B490">
        <v>41</v>
      </c>
      <c r="C490" t="str">
        <f>VLOOKUP(B490,[1]resources!$A$2:$D$300,3,FALSE)</f>
        <v>!!FOOD_GARLICBREAD</v>
      </c>
      <c r="D490">
        <v>100</v>
      </c>
      <c r="E490" t="str">
        <f>VLOOKUP(D490,[1]bonus_paytable!$A$2:$D$300,3,FALSE)</f>
        <v>halloween_base_ghosts</v>
      </c>
      <c r="F490">
        <v>-1</v>
      </c>
      <c r="G490">
        <v>-1</v>
      </c>
      <c r="H490">
        <v>1</v>
      </c>
      <c r="I490" t="s">
        <v>1</v>
      </c>
      <c r="J490">
        <v>3</v>
      </c>
      <c r="K490">
        <v>3</v>
      </c>
      <c r="L490">
        <v>3</v>
      </c>
      <c r="M490">
        <v>-1</v>
      </c>
      <c r="N490">
        <v>-1</v>
      </c>
      <c r="O490">
        <v>-1</v>
      </c>
      <c r="P490">
        <v>-1</v>
      </c>
      <c r="Q490">
        <v>-1</v>
      </c>
      <c r="R490">
        <v>-1</v>
      </c>
      <c r="S490">
        <v>-1</v>
      </c>
      <c r="T490">
        <v>-1</v>
      </c>
      <c r="U490">
        <v>0.5</v>
      </c>
      <c r="V490">
        <v>0.4</v>
      </c>
      <c r="W490">
        <v>0.1</v>
      </c>
      <c r="X490">
        <v>-1</v>
      </c>
      <c r="Y490">
        <v>-1</v>
      </c>
      <c r="Z490">
        <v>-1</v>
      </c>
      <c r="AA490">
        <v>-1</v>
      </c>
      <c r="AB490">
        <v>-1</v>
      </c>
      <c r="AC490">
        <v>-1</v>
      </c>
      <c r="AD490">
        <v>-1</v>
      </c>
      <c r="AE490">
        <v>-1</v>
      </c>
      <c r="AF490">
        <v>2</v>
      </c>
      <c r="AG490">
        <v>5</v>
      </c>
      <c r="AH490">
        <v>10</v>
      </c>
      <c r="AI490">
        <v>-1</v>
      </c>
      <c r="AJ490">
        <v>-1</v>
      </c>
      <c r="AK490">
        <v>-1</v>
      </c>
      <c r="AL490">
        <v>-1</v>
      </c>
      <c r="AM490">
        <v>-1</v>
      </c>
      <c r="AN490">
        <v>-1</v>
      </c>
      <c r="AO490">
        <v>-1</v>
      </c>
      <c r="AP490">
        <v>-1</v>
      </c>
      <c r="AQ490">
        <v>0.5</v>
      </c>
      <c r="AR490" t="s">
        <v>0</v>
      </c>
      <c r="AS490">
        <v>5</v>
      </c>
      <c r="AT490">
        <v>5</v>
      </c>
      <c r="AU490">
        <v>5</v>
      </c>
      <c r="AV490">
        <v>0.5</v>
      </c>
      <c r="AW490">
        <v>0.4</v>
      </c>
      <c r="AX490">
        <v>0.1</v>
      </c>
      <c r="AY490">
        <v>1</v>
      </c>
      <c r="AZ490">
        <v>2</v>
      </c>
      <c r="BA490">
        <v>5</v>
      </c>
      <c r="BB490">
        <v>0</v>
      </c>
      <c r="BC490" t="s">
        <v>2</v>
      </c>
      <c r="BD490">
        <v>-1</v>
      </c>
      <c r="BE490">
        <v>-1</v>
      </c>
      <c r="BF490">
        <v>-1</v>
      </c>
      <c r="BG490">
        <v>-1</v>
      </c>
      <c r="BH490">
        <v>-1</v>
      </c>
      <c r="BI490">
        <v>-1</v>
      </c>
      <c r="BJ490">
        <v>-1</v>
      </c>
      <c r="BK490">
        <v>-1</v>
      </c>
      <c r="BL490">
        <v>-1</v>
      </c>
      <c r="BM490">
        <v>-1</v>
      </c>
      <c r="BN490">
        <v>-1</v>
      </c>
      <c r="BO490">
        <v>-1</v>
      </c>
    </row>
    <row r="491" spans="1:67" x14ac:dyDescent="0.25">
      <c r="A491">
        <v>488</v>
      </c>
      <c r="B491">
        <v>46</v>
      </c>
      <c r="C491" t="str">
        <f>VLOOKUP(B491,[1]resources!$A$2:$D$300,3,FALSE)</f>
        <v>!!FOOD_SALAD</v>
      </c>
      <c r="D491">
        <v>100</v>
      </c>
      <c r="E491" t="str">
        <f>VLOOKUP(D491,[1]bonus_paytable!$A$2:$D$300,3,FALSE)</f>
        <v>halloween_base_ghosts</v>
      </c>
      <c r="F491">
        <v>-1</v>
      </c>
      <c r="G491">
        <v>-1</v>
      </c>
      <c r="H491">
        <v>1</v>
      </c>
      <c r="I491" t="s">
        <v>1</v>
      </c>
      <c r="J491">
        <v>3</v>
      </c>
      <c r="K491">
        <v>3</v>
      </c>
      <c r="L491">
        <v>3</v>
      </c>
      <c r="M491">
        <v>-1</v>
      </c>
      <c r="N491">
        <v>-1</v>
      </c>
      <c r="O491">
        <v>-1</v>
      </c>
      <c r="P491">
        <v>-1</v>
      </c>
      <c r="Q491">
        <v>-1</v>
      </c>
      <c r="R491">
        <v>-1</v>
      </c>
      <c r="S491">
        <v>-1</v>
      </c>
      <c r="T491">
        <v>-1</v>
      </c>
      <c r="U491">
        <v>0.5</v>
      </c>
      <c r="V491">
        <v>0.4</v>
      </c>
      <c r="W491">
        <v>0.1</v>
      </c>
      <c r="X491">
        <v>-1</v>
      </c>
      <c r="Y491">
        <v>-1</v>
      </c>
      <c r="Z491">
        <v>-1</v>
      </c>
      <c r="AA491">
        <v>-1</v>
      </c>
      <c r="AB491">
        <v>-1</v>
      </c>
      <c r="AC491">
        <v>-1</v>
      </c>
      <c r="AD491">
        <v>-1</v>
      </c>
      <c r="AE491">
        <v>-1</v>
      </c>
      <c r="AF491">
        <v>5</v>
      </c>
      <c r="AG491">
        <v>10</v>
      </c>
      <c r="AH491">
        <v>15</v>
      </c>
      <c r="AI491">
        <v>-1</v>
      </c>
      <c r="AJ491">
        <v>-1</v>
      </c>
      <c r="AK491">
        <v>-1</v>
      </c>
      <c r="AL491">
        <v>-1</v>
      </c>
      <c r="AM491">
        <v>-1</v>
      </c>
      <c r="AN491">
        <v>-1</v>
      </c>
      <c r="AO491">
        <v>-1</v>
      </c>
      <c r="AP491">
        <v>-1</v>
      </c>
      <c r="AQ491">
        <v>0.5</v>
      </c>
      <c r="AR491" t="s">
        <v>0</v>
      </c>
      <c r="AS491">
        <v>5</v>
      </c>
      <c r="AT491">
        <v>5</v>
      </c>
      <c r="AU491">
        <v>5</v>
      </c>
      <c r="AV491">
        <v>0.5</v>
      </c>
      <c r="AW491">
        <v>0.4</v>
      </c>
      <c r="AX491">
        <v>0.1</v>
      </c>
      <c r="AY491">
        <v>1</v>
      </c>
      <c r="AZ491">
        <v>2</v>
      </c>
      <c r="BA491">
        <v>5</v>
      </c>
      <c r="BB491">
        <v>0</v>
      </c>
      <c r="BC491" t="s">
        <v>2</v>
      </c>
      <c r="BD491">
        <v>-1</v>
      </c>
      <c r="BE491">
        <v>-1</v>
      </c>
      <c r="BF491">
        <v>-1</v>
      </c>
      <c r="BG491">
        <v>-1</v>
      </c>
      <c r="BH491">
        <v>-1</v>
      </c>
      <c r="BI491">
        <v>-1</v>
      </c>
      <c r="BJ491">
        <v>-1</v>
      </c>
      <c r="BK491">
        <v>-1</v>
      </c>
      <c r="BL491">
        <v>-1</v>
      </c>
      <c r="BM491">
        <v>-1</v>
      </c>
      <c r="BN491">
        <v>-1</v>
      </c>
      <c r="BO491">
        <v>-1</v>
      </c>
    </row>
    <row r="492" spans="1:67" x14ac:dyDescent="0.25">
      <c r="A492">
        <v>489</v>
      </c>
      <c r="B492">
        <v>92</v>
      </c>
      <c r="C492" t="str">
        <f>VLOOKUP(B492,[1]resources!$A$2:$D$300,3,FALSE)</f>
        <v>!!FOOD_TOAST</v>
      </c>
      <c r="D492">
        <v>100</v>
      </c>
      <c r="E492" t="str">
        <f>VLOOKUP(D492,[1]bonus_paytable!$A$2:$D$300,3,FALSE)</f>
        <v>halloween_base_ghosts</v>
      </c>
      <c r="F492">
        <v>-1</v>
      </c>
      <c r="G492">
        <v>-1</v>
      </c>
      <c r="H492">
        <v>1</v>
      </c>
      <c r="I492" t="s">
        <v>1</v>
      </c>
      <c r="J492">
        <v>3</v>
      </c>
      <c r="K492">
        <v>3</v>
      </c>
      <c r="L492">
        <v>3</v>
      </c>
      <c r="M492">
        <v>-1</v>
      </c>
      <c r="N492">
        <v>-1</v>
      </c>
      <c r="O492">
        <v>-1</v>
      </c>
      <c r="P492">
        <v>-1</v>
      </c>
      <c r="Q492">
        <v>-1</v>
      </c>
      <c r="R492">
        <v>-1</v>
      </c>
      <c r="S492">
        <v>-1</v>
      </c>
      <c r="T492">
        <v>-1</v>
      </c>
      <c r="U492">
        <v>0.5</v>
      </c>
      <c r="V492">
        <v>0.4</v>
      </c>
      <c r="W492">
        <v>0.1</v>
      </c>
      <c r="X492">
        <v>-1</v>
      </c>
      <c r="Y492">
        <v>-1</v>
      </c>
      <c r="Z492">
        <v>-1</v>
      </c>
      <c r="AA492">
        <v>-1</v>
      </c>
      <c r="AB492">
        <v>-1</v>
      </c>
      <c r="AC492">
        <v>-1</v>
      </c>
      <c r="AD492">
        <v>-1</v>
      </c>
      <c r="AE492">
        <v>-1</v>
      </c>
      <c r="AF492">
        <v>2</v>
      </c>
      <c r="AG492">
        <v>5</v>
      </c>
      <c r="AH492">
        <v>10</v>
      </c>
      <c r="AI492">
        <v>-1</v>
      </c>
      <c r="AJ492">
        <v>-1</v>
      </c>
      <c r="AK492">
        <v>-1</v>
      </c>
      <c r="AL492">
        <v>-1</v>
      </c>
      <c r="AM492">
        <v>-1</v>
      </c>
      <c r="AN492">
        <v>-1</v>
      </c>
      <c r="AO492">
        <v>-1</v>
      </c>
      <c r="AP492">
        <v>-1</v>
      </c>
      <c r="AQ492">
        <v>0.5</v>
      </c>
      <c r="AR492" t="s">
        <v>0</v>
      </c>
      <c r="AS492">
        <v>5</v>
      </c>
      <c r="AT492">
        <v>5</v>
      </c>
      <c r="AU492">
        <v>5</v>
      </c>
      <c r="AV492">
        <v>0.5</v>
      </c>
      <c r="AW492">
        <v>0.4</v>
      </c>
      <c r="AX492">
        <v>0.1</v>
      </c>
      <c r="AY492">
        <v>1</v>
      </c>
      <c r="AZ492">
        <v>2</v>
      </c>
      <c r="BA492">
        <v>5</v>
      </c>
      <c r="BB492">
        <v>0</v>
      </c>
      <c r="BC492" t="s">
        <v>2</v>
      </c>
      <c r="BD492">
        <v>-1</v>
      </c>
      <c r="BE492">
        <v>-1</v>
      </c>
      <c r="BF492">
        <v>-1</v>
      </c>
      <c r="BG492">
        <v>-1</v>
      </c>
      <c r="BH492">
        <v>-1</v>
      </c>
      <c r="BI492">
        <v>-1</v>
      </c>
      <c r="BJ492">
        <v>-1</v>
      </c>
      <c r="BK492">
        <v>-1</v>
      </c>
      <c r="BL492">
        <v>-1</v>
      </c>
      <c r="BM492">
        <v>-1</v>
      </c>
      <c r="BN492">
        <v>-1</v>
      </c>
      <c r="BO492">
        <v>-1</v>
      </c>
    </row>
    <row r="493" spans="1:67" x14ac:dyDescent="0.25">
      <c r="A493">
        <v>490</v>
      </c>
      <c r="B493">
        <v>95</v>
      </c>
      <c r="C493" t="str">
        <f>VLOOKUP(B493,[1]resources!$A$2:$D$300,3,FALSE)</f>
        <v>!!FOOD_CUBEDKETCHUPKABOBS</v>
      </c>
      <c r="D493">
        <v>100</v>
      </c>
      <c r="E493" t="str">
        <f>VLOOKUP(D493,[1]bonus_paytable!$A$2:$D$300,3,FALSE)</f>
        <v>halloween_base_ghosts</v>
      </c>
      <c r="F493">
        <v>-1</v>
      </c>
      <c r="G493">
        <v>-1</v>
      </c>
      <c r="H493">
        <v>1</v>
      </c>
      <c r="I493" t="s">
        <v>1</v>
      </c>
      <c r="J493">
        <v>3</v>
      </c>
      <c r="K493">
        <v>3</v>
      </c>
      <c r="L493">
        <v>3</v>
      </c>
      <c r="M493">
        <v>-1</v>
      </c>
      <c r="N493">
        <v>-1</v>
      </c>
      <c r="O493">
        <v>-1</v>
      </c>
      <c r="P493">
        <v>-1</v>
      </c>
      <c r="Q493">
        <v>-1</v>
      </c>
      <c r="R493">
        <v>-1</v>
      </c>
      <c r="S493">
        <v>-1</v>
      </c>
      <c r="T493">
        <v>-1</v>
      </c>
      <c r="U493">
        <v>0.5</v>
      </c>
      <c r="V493">
        <v>0.4</v>
      </c>
      <c r="W493">
        <v>0.1</v>
      </c>
      <c r="X493">
        <v>-1</v>
      </c>
      <c r="Y493">
        <v>-1</v>
      </c>
      <c r="Z493">
        <v>-1</v>
      </c>
      <c r="AA493">
        <v>-1</v>
      </c>
      <c r="AB493">
        <v>-1</v>
      </c>
      <c r="AC493">
        <v>-1</v>
      </c>
      <c r="AD493">
        <v>-1</v>
      </c>
      <c r="AE493">
        <v>-1</v>
      </c>
      <c r="AF493">
        <v>2</v>
      </c>
      <c r="AG493">
        <v>5</v>
      </c>
      <c r="AH493">
        <v>10</v>
      </c>
      <c r="AI493">
        <v>-1</v>
      </c>
      <c r="AJ493">
        <v>-1</v>
      </c>
      <c r="AK493">
        <v>-1</v>
      </c>
      <c r="AL493">
        <v>-1</v>
      </c>
      <c r="AM493">
        <v>-1</v>
      </c>
      <c r="AN493">
        <v>-1</v>
      </c>
      <c r="AO493">
        <v>-1</v>
      </c>
      <c r="AP493">
        <v>-1</v>
      </c>
      <c r="AQ493">
        <v>0.5</v>
      </c>
      <c r="AR493" t="s">
        <v>0</v>
      </c>
      <c r="AS493">
        <v>5</v>
      </c>
      <c r="AT493">
        <v>5</v>
      </c>
      <c r="AU493">
        <v>5</v>
      </c>
      <c r="AV493">
        <v>0.5</v>
      </c>
      <c r="AW493">
        <v>0.4</v>
      </c>
      <c r="AX493">
        <v>0.1</v>
      </c>
      <c r="AY493">
        <v>1</v>
      </c>
      <c r="AZ493">
        <v>2</v>
      </c>
      <c r="BA493">
        <v>5</v>
      </c>
      <c r="BB493">
        <v>0</v>
      </c>
      <c r="BC493" t="s">
        <v>2</v>
      </c>
      <c r="BD493">
        <v>-1</v>
      </c>
      <c r="BE493">
        <v>-1</v>
      </c>
      <c r="BF493">
        <v>-1</v>
      </c>
      <c r="BG493">
        <v>-1</v>
      </c>
      <c r="BH493">
        <v>-1</v>
      </c>
      <c r="BI493">
        <v>-1</v>
      </c>
      <c r="BJ493">
        <v>-1</v>
      </c>
      <c r="BK493">
        <v>-1</v>
      </c>
      <c r="BL493">
        <v>-1</v>
      </c>
      <c r="BM493">
        <v>-1</v>
      </c>
      <c r="BN493">
        <v>-1</v>
      </c>
      <c r="BO493">
        <v>-1</v>
      </c>
    </row>
    <row r="494" spans="1:67" x14ac:dyDescent="0.25">
      <c r="A494">
        <v>491</v>
      </c>
      <c r="B494">
        <v>96</v>
      </c>
      <c r="C494" t="str">
        <f>VLOOKUP(B494,[1]resources!$A$2:$D$300,3,FALSE)</f>
        <v>!!FOOD_JELLIEDTOAST</v>
      </c>
      <c r="D494">
        <v>100</v>
      </c>
      <c r="E494" t="str">
        <f>VLOOKUP(D494,[1]bonus_paytable!$A$2:$D$300,3,FALSE)</f>
        <v>halloween_base_ghosts</v>
      </c>
      <c r="F494">
        <v>-1</v>
      </c>
      <c r="G494">
        <v>-1</v>
      </c>
      <c r="H494">
        <v>1</v>
      </c>
      <c r="I494" t="s">
        <v>1</v>
      </c>
      <c r="J494">
        <v>3</v>
      </c>
      <c r="K494">
        <v>3</v>
      </c>
      <c r="L494">
        <v>3</v>
      </c>
      <c r="M494">
        <v>-1</v>
      </c>
      <c r="N494">
        <v>-1</v>
      </c>
      <c r="O494">
        <v>-1</v>
      </c>
      <c r="P494">
        <v>-1</v>
      </c>
      <c r="Q494">
        <v>-1</v>
      </c>
      <c r="R494">
        <v>-1</v>
      </c>
      <c r="S494">
        <v>-1</v>
      </c>
      <c r="T494">
        <v>-1</v>
      </c>
      <c r="U494">
        <v>0.5</v>
      </c>
      <c r="V494">
        <v>0.4</v>
      </c>
      <c r="W494">
        <v>0.1</v>
      </c>
      <c r="X494">
        <v>-1</v>
      </c>
      <c r="Y494">
        <v>-1</v>
      </c>
      <c r="Z494">
        <v>-1</v>
      </c>
      <c r="AA494">
        <v>-1</v>
      </c>
      <c r="AB494">
        <v>-1</v>
      </c>
      <c r="AC494">
        <v>-1</v>
      </c>
      <c r="AD494">
        <v>-1</v>
      </c>
      <c r="AE494">
        <v>-1</v>
      </c>
      <c r="AF494">
        <v>5</v>
      </c>
      <c r="AG494">
        <v>10</v>
      </c>
      <c r="AH494">
        <v>15</v>
      </c>
      <c r="AI494">
        <v>-1</v>
      </c>
      <c r="AJ494">
        <v>-1</v>
      </c>
      <c r="AK494">
        <v>-1</v>
      </c>
      <c r="AL494">
        <v>-1</v>
      </c>
      <c r="AM494">
        <v>-1</v>
      </c>
      <c r="AN494">
        <v>-1</v>
      </c>
      <c r="AO494">
        <v>-1</v>
      </c>
      <c r="AP494">
        <v>-1</v>
      </c>
      <c r="AQ494">
        <v>0.25</v>
      </c>
      <c r="AR494" t="s">
        <v>0</v>
      </c>
      <c r="AS494">
        <v>5</v>
      </c>
      <c r="AT494">
        <v>5</v>
      </c>
      <c r="AU494">
        <v>5</v>
      </c>
      <c r="AV494">
        <v>0.5</v>
      </c>
      <c r="AW494">
        <v>0.4</v>
      </c>
      <c r="AX494">
        <v>0.1</v>
      </c>
      <c r="AY494">
        <v>1</v>
      </c>
      <c r="AZ494">
        <v>2</v>
      </c>
      <c r="BA494">
        <v>5</v>
      </c>
      <c r="BB494">
        <v>0.5</v>
      </c>
      <c r="BC494" t="s">
        <v>0</v>
      </c>
      <c r="BD494">
        <v>2</v>
      </c>
      <c r="BE494">
        <v>2</v>
      </c>
      <c r="BF494">
        <v>2</v>
      </c>
      <c r="BG494">
        <v>2</v>
      </c>
      <c r="BH494">
        <v>0.75</v>
      </c>
      <c r="BI494">
        <v>0.2</v>
      </c>
      <c r="BJ494">
        <v>0.03</v>
      </c>
      <c r="BK494">
        <v>0.02</v>
      </c>
      <c r="BL494">
        <v>1</v>
      </c>
      <c r="BM494">
        <v>2</v>
      </c>
      <c r="BN494">
        <v>5</v>
      </c>
      <c r="BO494">
        <v>25</v>
      </c>
    </row>
    <row r="495" spans="1:67" x14ac:dyDescent="0.25">
      <c r="A495">
        <v>492</v>
      </c>
      <c r="B495">
        <v>97</v>
      </c>
      <c r="C495" t="str">
        <f>VLOOKUP(B495,[1]resources!$A$2:$D$300,3,FALSE)</f>
        <v>!!FOOD_PICODEGALLO</v>
      </c>
      <c r="D495">
        <v>100</v>
      </c>
      <c r="E495" t="str">
        <f>VLOOKUP(D495,[1]bonus_paytable!$A$2:$D$300,3,FALSE)</f>
        <v>halloween_base_ghosts</v>
      </c>
      <c r="F495">
        <v>-1</v>
      </c>
      <c r="G495">
        <v>-1</v>
      </c>
      <c r="H495">
        <v>1</v>
      </c>
      <c r="I495" t="s">
        <v>1</v>
      </c>
      <c r="J495">
        <v>3</v>
      </c>
      <c r="K495">
        <v>3</v>
      </c>
      <c r="L495">
        <v>3</v>
      </c>
      <c r="M495">
        <v>-1</v>
      </c>
      <c r="N495">
        <v>-1</v>
      </c>
      <c r="O495">
        <v>-1</v>
      </c>
      <c r="P495">
        <v>-1</v>
      </c>
      <c r="Q495">
        <v>-1</v>
      </c>
      <c r="R495">
        <v>-1</v>
      </c>
      <c r="S495">
        <v>-1</v>
      </c>
      <c r="T495">
        <v>-1</v>
      </c>
      <c r="U495">
        <v>0.5</v>
      </c>
      <c r="V495">
        <v>0.4</v>
      </c>
      <c r="W495">
        <v>0.1</v>
      </c>
      <c r="X495">
        <v>-1</v>
      </c>
      <c r="Y495">
        <v>-1</v>
      </c>
      <c r="Z495">
        <v>-1</v>
      </c>
      <c r="AA495">
        <v>-1</v>
      </c>
      <c r="AB495">
        <v>-1</v>
      </c>
      <c r="AC495">
        <v>-1</v>
      </c>
      <c r="AD495">
        <v>-1</v>
      </c>
      <c r="AE495">
        <v>-1</v>
      </c>
      <c r="AF495">
        <v>2</v>
      </c>
      <c r="AG495">
        <v>5</v>
      </c>
      <c r="AH495">
        <v>10</v>
      </c>
      <c r="AI495">
        <v>-1</v>
      </c>
      <c r="AJ495">
        <v>-1</v>
      </c>
      <c r="AK495">
        <v>-1</v>
      </c>
      <c r="AL495">
        <v>-1</v>
      </c>
      <c r="AM495">
        <v>-1</v>
      </c>
      <c r="AN495">
        <v>-1</v>
      </c>
      <c r="AO495">
        <v>-1</v>
      </c>
      <c r="AP495">
        <v>-1</v>
      </c>
      <c r="AQ495">
        <v>0.5</v>
      </c>
      <c r="AR495" t="s">
        <v>0</v>
      </c>
      <c r="AS495">
        <v>5</v>
      </c>
      <c r="AT495">
        <v>5</v>
      </c>
      <c r="AU495">
        <v>5</v>
      </c>
      <c r="AV495">
        <v>0.5</v>
      </c>
      <c r="AW495">
        <v>0.4</v>
      </c>
      <c r="AX495">
        <v>0.1</v>
      </c>
      <c r="AY495">
        <v>1</v>
      </c>
      <c r="AZ495">
        <v>2</v>
      </c>
      <c r="BA495">
        <v>5</v>
      </c>
      <c r="BB495">
        <v>0</v>
      </c>
      <c r="BC495" t="s">
        <v>2</v>
      </c>
      <c r="BD495">
        <v>-1</v>
      </c>
      <c r="BE495">
        <v>-1</v>
      </c>
      <c r="BF495">
        <v>-1</v>
      </c>
      <c r="BG495">
        <v>-1</v>
      </c>
      <c r="BH495">
        <v>-1</v>
      </c>
      <c r="BI495">
        <v>-1</v>
      </c>
      <c r="BJ495">
        <v>-1</v>
      </c>
      <c r="BK495">
        <v>-1</v>
      </c>
      <c r="BL495">
        <v>-1</v>
      </c>
      <c r="BM495">
        <v>-1</v>
      </c>
      <c r="BN495">
        <v>-1</v>
      </c>
      <c r="BO495">
        <v>-1</v>
      </c>
    </row>
    <row r="496" spans="1:67" x14ac:dyDescent="0.25">
      <c r="A496">
        <v>493</v>
      </c>
      <c r="B496">
        <v>99</v>
      </c>
      <c r="C496" t="str">
        <f>VLOOKUP(B496,[1]resources!$A$2:$D$300,3,FALSE)</f>
        <v>!!FOOD_PIPSQUEAKPATTY</v>
      </c>
      <c r="D496">
        <v>100</v>
      </c>
      <c r="E496" t="str">
        <f>VLOOKUP(D496,[1]bonus_paytable!$A$2:$D$300,3,FALSE)</f>
        <v>halloween_base_ghosts</v>
      </c>
      <c r="F496">
        <v>-1</v>
      </c>
      <c r="G496">
        <v>-1</v>
      </c>
      <c r="H496">
        <v>1</v>
      </c>
      <c r="I496" t="s">
        <v>1</v>
      </c>
      <c r="J496">
        <v>3</v>
      </c>
      <c r="K496">
        <v>3</v>
      </c>
      <c r="L496">
        <v>3</v>
      </c>
      <c r="M496">
        <v>-1</v>
      </c>
      <c r="N496">
        <v>-1</v>
      </c>
      <c r="O496">
        <v>-1</v>
      </c>
      <c r="P496">
        <v>-1</v>
      </c>
      <c r="Q496">
        <v>-1</v>
      </c>
      <c r="R496">
        <v>-1</v>
      </c>
      <c r="S496">
        <v>-1</v>
      </c>
      <c r="T496">
        <v>-1</v>
      </c>
      <c r="U496">
        <v>0.5</v>
      </c>
      <c r="V496">
        <v>0.4</v>
      </c>
      <c r="W496">
        <v>0.1</v>
      </c>
      <c r="X496">
        <v>-1</v>
      </c>
      <c r="Y496">
        <v>-1</v>
      </c>
      <c r="Z496">
        <v>-1</v>
      </c>
      <c r="AA496">
        <v>-1</v>
      </c>
      <c r="AB496">
        <v>-1</v>
      </c>
      <c r="AC496">
        <v>-1</v>
      </c>
      <c r="AD496">
        <v>-1</v>
      </c>
      <c r="AE496">
        <v>-1</v>
      </c>
      <c r="AF496">
        <v>2</v>
      </c>
      <c r="AG496">
        <v>5</v>
      </c>
      <c r="AH496">
        <v>10</v>
      </c>
      <c r="AI496">
        <v>-1</v>
      </c>
      <c r="AJ496">
        <v>-1</v>
      </c>
      <c r="AK496">
        <v>-1</v>
      </c>
      <c r="AL496">
        <v>-1</v>
      </c>
      <c r="AM496">
        <v>-1</v>
      </c>
      <c r="AN496">
        <v>-1</v>
      </c>
      <c r="AO496">
        <v>-1</v>
      </c>
      <c r="AP496">
        <v>-1</v>
      </c>
      <c r="AQ496">
        <v>0.5</v>
      </c>
      <c r="AR496" t="s">
        <v>0</v>
      </c>
      <c r="AS496">
        <v>5</v>
      </c>
      <c r="AT496">
        <v>5</v>
      </c>
      <c r="AU496">
        <v>5</v>
      </c>
      <c r="AV496">
        <v>0.5</v>
      </c>
      <c r="AW496">
        <v>0.4</v>
      </c>
      <c r="AX496">
        <v>0.1</v>
      </c>
      <c r="AY496">
        <v>1</v>
      </c>
      <c r="AZ496">
        <v>2</v>
      </c>
      <c r="BA496">
        <v>5</v>
      </c>
      <c r="BB496">
        <v>0</v>
      </c>
      <c r="BC496" t="s">
        <v>2</v>
      </c>
      <c r="BD496">
        <v>-1</v>
      </c>
      <c r="BE496">
        <v>-1</v>
      </c>
      <c r="BF496">
        <v>-1</v>
      </c>
      <c r="BG496">
        <v>-1</v>
      </c>
      <c r="BH496">
        <v>-1</v>
      </c>
      <c r="BI496">
        <v>-1</v>
      </c>
      <c r="BJ496">
        <v>-1</v>
      </c>
      <c r="BK496">
        <v>-1</v>
      </c>
      <c r="BL496">
        <v>-1</v>
      </c>
      <c r="BM496">
        <v>-1</v>
      </c>
      <c r="BN496">
        <v>-1</v>
      </c>
      <c r="BO496">
        <v>-1</v>
      </c>
    </row>
    <row r="497" spans="1:67" x14ac:dyDescent="0.25">
      <c r="A497">
        <v>494</v>
      </c>
      <c r="B497">
        <v>10000</v>
      </c>
      <c r="C497" t="str">
        <f>VLOOKUP(B497,[1]resources!$A$2:$D$300,3,FALSE)</f>
        <v>!!FOOD_BANANA</v>
      </c>
      <c r="D497">
        <v>100</v>
      </c>
      <c r="E497" t="str">
        <f>VLOOKUP(D497,[1]bonus_paytable!$A$2:$D$300,3,FALSE)</f>
        <v>halloween_base_ghosts</v>
      </c>
      <c r="F497">
        <v>-1</v>
      </c>
      <c r="G497">
        <v>-1</v>
      </c>
      <c r="H497">
        <v>1</v>
      </c>
      <c r="I497" t="s">
        <v>1</v>
      </c>
      <c r="J497">
        <v>3</v>
      </c>
      <c r="K497">
        <v>3</v>
      </c>
      <c r="L497">
        <v>3</v>
      </c>
      <c r="M497">
        <v>-1</v>
      </c>
      <c r="N497">
        <v>-1</v>
      </c>
      <c r="O497">
        <v>-1</v>
      </c>
      <c r="P497">
        <v>-1</v>
      </c>
      <c r="Q497">
        <v>-1</v>
      </c>
      <c r="R497">
        <v>-1</v>
      </c>
      <c r="S497">
        <v>-1</v>
      </c>
      <c r="T497">
        <v>-1</v>
      </c>
      <c r="U497">
        <v>0.5</v>
      </c>
      <c r="V497">
        <v>0.4</v>
      </c>
      <c r="W497">
        <v>0.1</v>
      </c>
      <c r="X497">
        <v>-1</v>
      </c>
      <c r="Y497">
        <v>-1</v>
      </c>
      <c r="Z497">
        <v>-1</v>
      </c>
      <c r="AA497">
        <v>-1</v>
      </c>
      <c r="AB497">
        <v>-1</v>
      </c>
      <c r="AC497">
        <v>-1</v>
      </c>
      <c r="AD497">
        <v>-1</v>
      </c>
      <c r="AE497">
        <v>-1</v>
      </c>
      <c r="AF497">
        <v>2</v>
      </c>
      <c r="AG497">
        <v>5</v>
      </c>
      <c r="AH497">
        <v>10</v>
      </c>
      <c r="AI497">
        <v>-1</v>
      </c>
      <c r="AJ497">
        <v>-1</v>
      </c>
      <c r="AK497">
        <v>-1</v>
      </c>
      <c r="AL497">
        <v>-1</v>
      </c>
      <c r="AM497">
        <v>-1</v>
      </c>
      <c r="AN497">
        <v>-1</v>
      </c>
      <c r="AO497">
        <v>-1</v>
      </c>
      <c r="AP497">
        <v>-1</v>
      </c>
      <c r="AQ497">
        <v>0.5</v>
      </c>
      <c r="AR497" t="s">
        <v>0</v>
      </c>
      <c r="AS497">
        <v>5</v>
      </c>
      <c r="AT497">
        <v>5</v>
      </c>
      <c r="AU497">
        <v>5</v>
      </c>
      <c r="AV497">
        <v>0.5</v>
      </c>
      <c r="AW497">
        <v>0.4</v>
      </c>
      <c r="AX497">
        <v>0.1</v>
      </c>
      <c r="AY497">
        <v>1</v>
      </c>
      <c r="AZ497">
        <v>2</v>
      </c>
      <c r="BA497">
        <v>5</v>
      </c>
      <c r="BB497">
        <v>0</v>
      </c>
      <c r="BC497" t="s">
        <v>2</v>
      </c>
      <c r="BD497">
        <v>-1</v>
      </c>
      <c r="BE497">
        <v>-1</v>
      </c>
      <c r="BF497">
        <v>-1</v>
      </c>
      <c r="BG497">
        <v>-1</v>
      </c>
      <c r="BH497">
        <v>-1</v>
      </c>
      <c r="BI497">
        <v>-1</v>
      </c>
      <c r="BJ497">
        <v>-1</v>
      </c>
      <c r="BK497">
        <v>-1</v>
      </c>
      <c r="BL497">
        <v>-1</v>
      </c>
      <c r="BM497">
        <v>-1</v>
      </c>
      <c r="BN497">
        <v>-1</v>
      </c>
      <c r="BO497">
        <v>-1</v>
      </c>
    </row>
    <row r="498" spans="1:67" x14ac:dyDescent="0.25">
      <c r="A498">
        <v>495</v>
      </c>
      <c r="B498">
        <v>10001</v>
      </c>
      <c r="C498" t="str">
        <f>VLOOKUP(B498,[1]resources!$A$2:$D$300,3,FALSE)</f>
        <v>!!FOOD_APPLE</v>
      </c>
      <c r="D498">
        <v>100</v>
      </c>
      <c r="E498" t="str">
        <f>VLOOKUP(D498,[1]bonus_paytable!$A$2:$D$300,3,FALSE)</f>
        <v>halloween_base_ghosts</v>
      </c>
      <c r="F498">
        <v>-1</v>
      </c>
      <c r="G498">
        <v>-1</v>
      </c>
      <c r="H498">
        <v>1</v>
      </c>
      <c r="I498" t="s">
        <v>1</v>
      </c>
      <c r="J498">
        <v>3</v>
      </c>
      <c r="K498">
        <v>3</v>
      </c>
      <c r="L498">
        <v>3</v>
      </c>
      <c r="M498">
        <v>-1</v>
      </c>
      <c r="N498">
        <v>-1</v>
      </c>
      <c r="O498">
        <v>-1</v>
      </c>
      <c r="P498">
        <v>-1</v>
      </c>
      <c r="Q498">
        <v>-1</v>
      </c>
      <c r="R498">
        <v>-1</v>
      </c>
      <c r="S498">
        <v>-1</v>
      </c>
      <c r="T498">
        <v>-1</v>
      </c>
      <c r="U498">
        <v>0.5</v>
      </c>
      <c r="V498">
        <v>0.4</v>
      </c>
      <c r="W498">
        <v>0.1</v>
      </c>
      <c r="X498">
        <v>-1</v>
      </c>
      <c r="Y498">
        <v>-1</v>
      </c>
      <c r="Z498">
        <v>-1</v>
      </c>
      <c r="AA498">
        <v>-1</v>
      </c>
      <c r="AB498">
        <v>-1</v>
      </c>
      <c r="AC498">
        <v>-1</v>
      </c>
      <c r="AD498">
        <v>-1</v>
      </c>
      <c r="AE498">
        <v>-1</v>
      </c>
      <c r="AF498">
        <v>2</v>
      </c>
      <c r="AG498">
        <v>5</v>
      </c>
      <c r="AH498">
        <v>10</v>
      </c>
      <c r="AI498">
        <v>-1</v>
      </c>
      <c r="AJ498">
        <v>-1</v>
      </c>
      <c r="AK498">
        <v>-1</v>
      </c>
      <c r="AL498">
        <v>-1</v>
      </c>
      <c r="AM498">
        <v>-1</v>
      </c>
      <c r="AN498">
        <v>-1</v>
      </c>
      <c r="AO498">
        <v>-1</v>
      </c>
      <c r="AP498">
        <v>-1</v>
      </c>
      <c r="AQ498">
        <v>0.5</v>
      </c>
      <c r="AR498" t="s">
        <v>0</v>
      </c>
      <c r="AS498">
        <v>5</v>
      </c>
      <c r="AT498">
        <v>5</v>
      </c>
      <c r="AU498">
        <v>5</v>
      </c>
      <c r="AV498">
        <v>0.5</v>
      </c>
      <c r="AW498">
        <v>0.4</v>
      </c>
      <c r="AX498">
        <v>0.1</v>
      </c>
      <c r="AY498">
        <v>1</v>
      </c>
      <c r="AZ498">
        <v>2</v>
      </c>
      <c r="BA498">
        <v>5</v>
      </c>
      <c r="BB498">
        <v>0</v>
      </c>
      <c r="BC498" t="s">
        <v>2</v>
      </c>
      <c r="BD498">
        <v>-1</v>
      </c>
      <c r="BE498">
        <v>-1</v>
      </c>
      <c r="BF498">
        <v>-1</v>
      </c>
      <c r="BG498">
        <v>-1</v>
      </c>
      <c r="BH498">
        <v>-1</v>
      </c>
      <c r="BI498">
        <v>-1</v>
      </c>
      <c r="BJ498">
        <v>-1</v>
      </c>
      <c r="BK498">
        <v>-1</v>
      </c>
      <c r="BL498">
        <v>-1</v>
      </c>
      <c r="BM498">
        <v>-1</v>
      </c>
      <c r="BN498">
        <v>-1</v>
      </c>
      <c r="BO498">
        <v>-1</v>
      </c>
    </row>
    <row r="499" spans="1:67" x14ac:dyDescent="0.25">
      <c r="A499">
        <v>496</v>
      </c>
      <c r="B499">
        <v>10006</v>
      </c>
      <c r="C499" t="str">
        <f>VLOOKUP(B499,[1]resources!$A$2:$D$300,3,FALSE)</f>
        <v>!!FOOD_ORANGE</v>
      </c>
      <c r="D499">
        <v>100</v>
      </c>
      <c r="E499" t="str">
        <f>VLOOKUP(D499,[1]bonus_paytable!$A$2:$D$300,3,FALSE)</f>
        <v>halloween_base_ghosts</v>
      </c>
      <c r="F499">
        <v>-1</v>
      </c>
      <c r="G499">
        <v>-1</v>
      </c>
      <c r="H499">
        <v>1</v>
      </c>
      <c r="I499" t="s">
        <v>1</v>
      </c>
      <c r="J499">
        <v>3</v>
      </c>
      <c r="K499">
        <v>3</v>
      </c>
      <c r="L499">
        <v>3</v>
      </c>
      <c r="M499">
        <v>-1</v>
      </c>
      <c r="N499">
        <v>-1</v>
      </c>
      <c r="O499">
        <v>-1</v>
      </c>
      <c r="P499">
        <v>-1</v>
      </c>
      <c r="Q499">
        <v>-1</v>
      </c>
      <c r="R499">
        <v>-1</v>
      </c>
      <c r="S499">
        <v>-1</v>
      </c>
      <c r="T499">
        <v>-1</v>
      </c>
      <c r="U499">
        <v>0.5</v>
      </c>
      <c r="V499">
        <v>0.4</v>
      </c>
      <c r="W499">
        <v>0.1</v>
      </c>
      <c r="X499">
        <v>-1</v>
      </c>
      <c r="Y499">
        <v>-1</v>
      </c>
      <c r="Z499">
        <v>-1</v>
      </c>
      <c r="AA499">
        <v>-1</v>
      </c>
      <c r="AB499">
        <v>-1</v>
      </c>
      <c r="AC499">
        <v>-1</v>
      </c>
      <c r="AD499">
        <v>-1</v>
      </c>
      <c r="AE499">
        <v>-1</v>
      </c>
      <c r="AF499">
        <v>2</v>
      </c>
      <c r="AG499">
        <v>5</v>
      </c>
      <c r="AH499">
        <v>10</v>
      </c>
      <c r="AI499">
        <v>-1</v>
      </c>
      <c r="AJ499">
        <v>-1</v>
      </c>
      <c r="AK499">
        <v>-1</v>
      </c>
      <c r="AL499">
        <v>-1</v>
      </c>
      <c r="AM499">
        <v>-1</v>
      </c>
      <c r="AN499">
        <v>-1</v>
      </c>
      <c r="AO499">
        <v>-1</v>
      </c>
      <c r="AP499">
        <v>-1</v>
      </c>
      <c r="AQ499">
        <v>0.5</v>
      </c>
      <c r="AR499" t="s">
        <v>0</v>
      </c>
      <c r="AS499">
        <v>5</v>
      </c>
      <c r="AT499">
        <v>5</v>
      </c>
      <c r="AU499">
        <v>5</v>
      </c>
      <c r="AV499">
        <v>0.5</v>
      </c>
      <c r="AW499">
        <v>0.4</v>
      </c>
      <c r="AX499">
        <v>0.1</v>
      </c>
      <c r="AY499">
        <v>1</v>
      </c>
      <c r="AZ499">
        <v>2</v>
      </c>
      <c r="BA499">
        <v>5</v>
      </c>
      <c r="BB499">
        <v>0</v>
      </c>
      <c r="BC499" t="s">
        <v>2</v>
      </c>
      <c r="BD499">
        <v>-1</v>
      </c>
      <c r="BE499">
        <v>-1</v>
      </c>
      <c r="BF499">
        <v>-1</v>
      </c>
      <c r="BG499">
        <v>-1</v>
      </c>
      <c r="BH499">
        <v>-1</v>
      </c>
      <c r="BI499">
        <v>-1</v>
      </c>
      <c r="BJ499">
        <v>-1</v>
      </c>
      <c r="BK499">
        <v>-1</v>
      </c>
      <c r="BL499">
        <v>-1</v>
      </c>
      <c r="BM499">
        <v>-1</v>
      </c>
      <c r="BN499">
        <v>-1</v>
      </c>
      <c r="BO499">
        <v>-1</v>
      </c>
    </row>
    <row r="500" spans="1:67" x14ac:dyDescent="0.25">
      <c r="A500">
        <v>497</v>
      </c>
      <c r="B500">
        <v>10007</v>
      </c>
      <c r="C500" t="str">
        <f>VLOOKUP(B500,[1]resources!$A$2:$D$300,3,FALSE)</f>
        <v>!!FOOD_PEACH</v>
      </c>
      <c r="D500">
        <v>100</v>
      </c>
      <c r="E500" t="str">
        <f>VLOOKUP(D500,[1]bonus_paytable!$A$2:$D$300,3,FALSE)</f>
        <v>halloween_base_ghosts</v>
      </c>
      <c r="F500">
        <v>-1</v>
      </c>
      <c r="G500">
        <v>-1</v>
      </c>
      <c r="H500">
        <v>1</v>
      </c>
      <c r="I500" t="s">
        <v>1</v>
      </c>
      <c r="J500">
        <v>3</v>
      </c>
      <c r="K500">
        <v>3</v>
      </c>
      <c r="L500">
        <v>3</v>
      </c>
      <c r="M500">
        <v>-1</v>
      </c>
      <c r="N500">
        <v>-1</v>
      </c>
      <c r="O500">
        <v>-1</v>
      </c>
      <c r="P500">
        <v>-1</v>
      </c>
      <c r="Q500">
        <v>-1</v>
      </c>
      <c r="R500">
        <v>-1</v>
      </c>
      <c r="S500">
        <v>-1</v>
      </c>
      <c r="T500">
        <v>-1</v>
      </c>
      <c r="U500">
        <v>0.5</v>
      </c>
      <c r="V500">
        <v>0.4</v>
      </c>
      <c r="W500">
        <v>0.1</v>
      </c>
      <c r="X500">
        <v>-1</v>
      </c>
      <c r="Y500">
        <v>-1</v>
      </c>
      <c r="Z500">
        <v>-1</v>
      </c>
      <c r="AA500">
        <v>-1</v>
      </c>
      <c r="AB500">
        <v>-1</v>
      </c>
      <c r="AC500">
        <v>-1</v>
      </c>
      <c r="AD500">
        <v>-1</v>
      </c>
      <c r="AE500">
        <v>-1</v>
      </c>
      <c r="AF500">
        <v>2</v>
      </c>
      <c r="AG500">
        <v>5</v>
      </c>
      <c r="AH500">
        <v>10</v>
      </c>
      <c r="AI500">
        <v>-1</v>
      </c>
      <c r="AJ500">
        <v>-1</v>
      </c>
      <c r="AK500">
        <v>-1</v>
      </c>
      <c r="AL500">
        <v>-1</v>
      </c>
      <c r="AM500">
        <v>-1</v>
      </c>
      <c r="AN500">
        <v>-1</v>
      </c>
      <c r="AO500">
        <v>-1</v>
      </c>
      <c r="AP500">
        <v>-1</v>
      </c>
      <c r="AQ500">
        <v>0.5</v>
      </c>
      <c r="AR500" t="s">
        <v>0</v>
      </c>
      <c r="AS500">
        <v>5</v>
      </c>
      <c r="AT500">
        <v>5</v>
      </c>
      <c r="AU500">
        <v>5</v>
      </c>
      <c r="AV500">
        <v>0.5</v>
      </c>
      <c r="AW500">
        <v>0.4</v>
      </c>
      <c r="AX500">
        <v>0.1</v>
      </c>
      <c r="AY500">
        <v>1</v>
      </c>
      <c r="AZ500">
        <v>2</v>
      </c>
      <c r="BA500">
        <v>5</v>
      </c>
      <c r="BB500">
        <v>0</v>
      </c>
      <c r="BC500" t="s">
        <v>2</v>
      </c>
      <c r="BD500">
        <v>-1</v>
      </c>
      <c r="BE500">
        <v>-1</v>
      </c>
      <c r="BF500">
        <v>-1</v>
      </c>
      <c r="BG500">
        <v>-1</v>
      </c>
      <c r="BH500">
        <v>-1</v>
      </c>
      <c r="BI500">
        <v>-1</v>
      </c>
      <c r="BJ500">
        <v>-1</v>
      </c>
      <c r="BK500">
        <v>-1</v>
      </c>
      <c r="BL500">
        <v>-1</v>
      </c>
      <c r="BM500">
        <v>-1</v>
      </c>
      <c r="BN500">
        <v>-1</v>
      </c>
      <c r="BO500">
        <v>-1</v>
      </c>
    </row>
    <row r="501" spans="1:67" x14ac:dyDescent="0.25">
      <c r="A501">
        <v>498</v>
      </c>
      <c r="B501">
        <v>20000</v>
      </c>
      <c r="C501" t="str">
        <f>VLOOKUP(B501,[1]resources!$A$2:$D$300,3,FALSE)</f>
        <v>!!JUICE_APPLE</v>
      </c>
      <c r="D501">
        <v>100</v>
      </c>
      <c r="E501" t="str">
        <f>VLOOKUP(D501,[1]bonus_paytable!$A$2:$D$300,3,FALSE)</f>
        <v>halloween_base_ghosts</v>
      </c>
      <c r="F501">
        <v>-1</v>
      </c>
      <c r="G501">
        <v>-1</v>
      </c>
      <c r="H501">
        <v>1</v>
      </c>
      <c r="I501" t="s">
        <v>1</v>
      </c>
      <c r="J501">
        <v>3</v>
      </c>
      <c r="K501">
        <v>3</v>
      </c>
      <c r="L501">
        <v>3</v>
      </c>
      <c r="M501">
        <v>-1</v>
      </c>
      <c r="N501">
        <v>-1</v>
      </c>
      <c r="O501">
        <v>-1</v>
      </c>
      <c r="P501">
        <v>-1</v>
      </c>
      <c r="Q501">
        <v>-1</v>
      </c>
      <c r="R501">
        <v>-1</v>
      </c>
      <c r="S501">
        <v>-1</v>
      </c>
      <c r="T501">
        <v>-1</v>
      </c>
      <c r="U501">
        <v>0.5</v>
      </c>
      <c r="V501">
        <v>0.4</v>
      </c>
      <c r="W501">
        <v>0.1</v>
      </c>
      <c r="X501">
        <v>-1</v>
      </c>
      <c r="Y501">
        <v>-1</v>
      </c>
      <c r="Z501">
        <v>-1</v>
      </c>
      <c r="AA501">
        <v>-1</v>
      </c>
      <c r="AB501">
        <v>-1</v>
      </c>
      <c r="AC501">
        <v>-1</v>
      </c>
      <c r="AD501">
        <v>-1</v>
      </c>
      <c r="AE501">
        <v>-1</v>
      </c>
      <c r="AF501">
        <v>2</v>
      </c>
      <c r="AG501">
        <v>5</v>
      </c>
      <c r="AH501">
        <v>10</v>
      </c>
      <c r="AI501">
        <v>-1</v>
      </c>
      <c r="AJ501">
        <v>-1</v>
      </c>
      <c r="AK501">
        <v>-1</v>
      </c>
      <c r="AL501">
        <v>-1</v>
      </c>
      <c r="AM501">
        <v>-1</v>
      </c>
      <c r="AN501">
        <v>-1</v>
      </c>
      <c r="AO501">
        <v>-1</v>
      </c>
      <c r="AP501">
        <v>-1</v>
      </c>
      <c r="AQ501">
        <v>0.5</v>
      </c>
      <c r="AR501" t="s">
        <v>0</v>
      </c>
      <c r="AS501">
        <v>5</v>
      </c>
      <c r="AT501">
        <v>5</v>
      </c>
      <c r="AU501">
        <v>5</v>
      </c>
      <c r="AV501">
        <v>0.5</v>
      </c>
      <c r="AW501">
        <v>0.4</v>
      </c>
      <c r="AX501">
        <v>0.1</v>
      </c>
      <c r="AY501">
        <v>1</v>
      </c>
      <c r="AZ501">
        <v>2</v>
      </c>
      <c r="BA501">
        <v>5</v>
      </c>
      <c r="BB501">
        <v>0</v>
      </c>
      <c r="BC501" t="s">
        <v>2</v>
      </c>
      <c r="BD501">
        <v>-1</v>
      </c>
      <c r="BE501">
        <v>-1</v>
      </c>
      <c r="BF501">
        <v>-1</v>
      </c>
      <c r="BG501">
        <v>-1</v>
      </c>
      <c r="BH501">
        <v>-1</v>
      </c>
      <c r="BI501">
        <v>-1</v>
      </c>
      <c r="BJ501">
        <v>-1</v>
      </c>
      <c r="BK501">
        <v>-1</v>
      </c>
      <c r="BL501">
        <v>-1</v>
      </c>
      <c r="BM501">
        <v>-1</v>
      </c>
      <c r="BN501">
        <v>-1</v>
      </c>
      <c r="BO501">
        <v>-1</v>
      </c>
    </row>
    <row r="502" spans="1:67" x14ac:dyDescent="0.25">
      <c r="A502">
        <v>499</v>
      </c>
      <c r="B502">
        <v>20001</v>
      </c>
      <c r="C502" t="str">
        <f>VLOOKUP(B502,[1]resources!$A$2:$D$300,3,FALSE)</f>
        <v>!!JUICE_LEMONADE</v>
      </c>
      <c r="D502">
        <v>100</v>
      </c>
      <c r="E502" t="str">
        <f>VLOOKUP(D502,[1]bonus_paytable!$A$2:$D$300,3,FALSE)</f>
        <v>halloween_base_ghosts</v>
      </c>
      <c r="F502">
        <v>-1</v>
      </c>
      <c r="G502">
        <v>-1</v>
      </c>
      <c r="H502">
        <v>1</v>
      </c>
      <c r="I502" t="s">
        <v>1</v>
      </c>
      <c r="J502">
        <v>3</v>
      </c>
      <c r="K502">
        <v>3</v>
      </c>
      <c r="L502">
        <v>3</v>
      </c>
      <c r="M502">
        <v>-1</v>
      </c>
      <c r="N502">
        <v>-1</v>
      </c>
      <c r="O502">
        <v>-1</v>
      </c>
      <c r="P502">
        <v>-1</v>
      </c>
      <c r="Q502">
        <v>-1</v>
      </c>
      <c r="R502">
        <v>-1</v>
      </c>
      <c r="S502">
        <v>-1</v>
      </c>
      <c r="T502">
        <v>-1</v>
      </c>
      <c r="U502">
        <v>0.5</v>
      </c>
      <c r="V502">
        <v>0.4</v>
      </c>
      <c r="W502">
        <v>0.1</v>
      </c>
      <c r="X502">
        <v>-1</v>
      </c>
      <c r="Y502">
        <v>-1</v>
      </c>
      <c r="Z502">
        <v>-1</v>
      </c>
      <c r="AA502">
        <v>-1</v>
      </c>
      <c r="AB502">
        <v>-1</v>
      </c>
      <c r="AC502">
        <v>-1</v>
      </c>
      <c r="AD502">
        <v>-1</v>
      </c>
      <c r="AE502">
        <v>-1</v>
      </c>
      <c r="AF502">
        <v>2</v>
      </c>
      <c r="AG502">
        <v>5</v>
      </c>
      <c r="AH502">
        <v>10</v>
      </c>
      <c r="AI502">
        <v>-1</v>
      </c>
      <c r="AJ502">
        <v>-1</v>
      </c>
      <c r="AK502">
        <v>-1</v>
      </c>
      <c r="AL502">
        <v>-1</v>
      </c>
      <c r="AM502">
        <v>-1</v>
      </c>
      <c r="AN502">
        <v>-1</v>
      </c>
      <c r="AO502">
        <v>-1</v>
      </c>
      <c r="AP502">
        <v>-1</v>
      </c>
      <c r="AQ502">
        <v>0.5</v>
      </c>
      <c r="AR502" t="s">
        <v>0</v>
      </c>
      <c r="AS502">
        <v>5</v>
      </c>
      <c r="AT502">
        <v>5</v>
      </c>
      <c r="AU502">
        <v>5</v>
      </c>
      <c r="AV502">
        <v>0.5</v>
      </c>
      <c r="AW502">
        <v>0.4</v>
      </c>
      <c r="AX502">
        <v>0.1</v>
      </c>
      <c r="AY502">
        <v>1</v>
      </c>
      <c r="AZ502">
        <v>2</v>
      </c>
      <c r="BA502">
        <v>5</v>
      </c>
      <c r="BB502">
        <v>0</v>
      </c>
      <c r="BC502" t="s">
        <v>2</v>
      </c>
      <c r="BD502">
        <v>-1</v>
      </c>
      <c r="BE502">
        <v>-1</v>
      </c>
      <c r="BF502">
        <v>-1</v>
      </c>
      <c r="BG502">
        <v>-1</v>
      </c>
      <c r="BH502">
        <v>-1</v>
      </c>
      <c r="BI502">
        <v>-1</v>
      </c>
      <c r="BJ502">
        <v>-1</v>
      </c>
      <c r="BK502">
        <v>-1</v>
      </c>
      <c r="BL502">
        <v>-1</v>
      </c>
      <c r="BM502">
        <v>-1</v>
      </c>
      <c r="BN502">
        <v>-1</v>
      </c>
      <c r="BO502">
        <v>-1</v>
      </c>
    </row>
    <row r="503" spans="1:67" x14ac:dyDescent="0.25">
      <c r="A503">
        <v>500</v>
      </c>
      <c r="B503">
        <v>20002</v>
      </c>
      <c r="C503" t="str">
        <f>VLOOKUP(B503,[1]resources!$A$2:$D$300,3,FALSE)</f>
        <v>!!JUICE_LIMEADE</v>
      </c>
      <c r="D503">
        <v>100</v>
      </c>
      <c r="E503" t="str">
        <f>VLOOKUP(D503,[1]bonus_paytable!$A$2:$D$300,3,FALSE)</f>
        <v>halloween_base_ghosts</v>
      </c>
      <c r="F503">
        <v>-1</v>
      </c>
      <c r="G503">
        <v>-1</v>
      </c>
      <c r="H503">
        <v>1</v>
      </c>
      <c r="I503" t="s">
        <v>1</v>
      </c>
      <c r="J503">
        <v>3</v>
      </c>
      <c r="K503">
        <v>3</v>
      </c>
      <c r="L503">
        <v>3</v>
      </c>
      <c r="M503">
        <v>-1</v>
      </c>
      <c r="N503">
        <v>-1</v>
      </c>
      <c r="O503">
        <v>-1</v>
      </c>
      <c r="P503">
        <v>-1</v>
      </c>
      <c r="Q503">
        <v>-1</v>
      </c>
      <c r="R503">
        <v>-1</v>
      </c>
      <c r="S503">
        <v>-1</v>
      </c>
      <c r="T503">
        <v>-1</v>
      </c>
      <c r="U503">
        <v>0.5</v>
      </c>
      <c r="V503">
        <v>0.4</v>
      </c>
      <c r="W503">
        <v>0.1</v>
      </c>
      <c r="X503">
        <v>-1</v>
      </c>
      <c r="Y503">
        <v>-1</v>
      </c>
      <c r="Z503">
        <v>-1</v>
      </c>
      <c r="AA503">
        <v>-1</v>
      </c>
      <c r="AB503">
        <v>-1</v>
      </c>
      <c r="AC503">
        <v>-1</v>
      </c>
      <c r="AD503">
        <v>-1</v>
      </c>
      <c r="AE503">
        <v>-1</v>
      </c>
      <c r="AF503">
        <v>2</v>
      </c>
      <c r="AG503">
        <v>5</v>
      </c>
      <c r="AH503">
        <v>10</v>
      </c>
      <c r="AI503">
        <v>-1</v>
      </c>
      <c r="AJ503">
        <v>-1</v>
      </c>
      <c r="AK503">
        <v>-1</v>
      </c>
      <c r="AL503">
        <v>-1</v>
      </c>
      <c r="AM503">
        <v>-1</v>
      </c>
      <c r="AN503">
        <v>-1</v>
      </c>
      <c r="AO503">
        <v>-1</v>
      </c>
      <c r="AP503">
        <v>-1</v>
      </c>
      <c r="AQ503">
        <v>0.5</v>
      </c>
      <c r="AR503" t="s">
        <v>0</v>
      </c>
      <c r="AS503">
        <v>5</v>
      </c>
      <c r="AT503">
        <v>5</v>
      </c>
      <c r="AU503">
        <v>5</v>
      </c>
      <c r="AV503">
        <v>0.5</v>
      </c>
      <c r="AW503">
        <v>0.4</v>
      </c>
      <c r="AX503">
        <v>0.1</v>
      </c>
      <c r="AY503">
        <v>1</v>
      </c>
      <c r="AZ503">
        <v>2</v>
      </c>
      <c r="BA503">
        <v>5</v>
      </c>
      <c r="BB503">
        <v>0</v>
      </c>
      <c r="BC503" t="s">
        <v>2</v>
      </c>
      <c r="BD503">
        <v>-1</v>
      </c>
      <c r="BE503">
        <v>-1</v>
      </c>
      <c r="BF503">
        <v>-1</v>
      </c>
      <c r="BG503">
        <v>-1</v>
      </c>
      <c r="BH503">
        <v>-1</v>
      </c>
      <c r="BI503">
        <v>-1</v>
      </c>
      <c r="BJ503">
        <v>-1</v>
      </c>
      <c r="BK503">
        <v>-1</v>
      </c>
      <c r="BL503">
        <v>-1</v>
      </c>
      <c r="BM503">
        <v>-1</v>
      </c>
      <c r="BN503">
        <v>-1</v>
      </c>
      <c r="BO503">
        <v>-1</v>
      </c>
    </row>
    <row r="504" spans="1:67" x14ac:dyDescent="0.25">
      <c r="A504">
        <v>501</v>
      </c>
      <c r="B504">
        <v>20003</v>
      </c>
      <c r="C504" t="str">
        <f>VLOOKUP(B504,[1]resources!$A$2:$D$300,3,FALSE)</f>
        <v>!!JUICE_ORANGE</v>
      </c>
      <c r="D504">
        <v>100</v>
      </c>
      <c r="E504" t="str">
        <f>VLOOKUP(D504,[1]bonus_paytable!$A$2:$D$300,3,FALSE)</f>
        <v>halloween_base_ghosts</v>
      </c>
      <c r="F504">
        <v>-1</v>
      </c>
      <c r="G504">
        <v>-1</v>
      </c>
      <c r="H504">
        <v>1</v>
      </c>
      <c r="I504" t="s">
        <v>1</v>
      </c>
      <c r="J504">
        <v>3</v>
      </c>
      <c r="K504">
        <v>3</v>
      </c>
      <c r="L504">
        <v>3</v>
      </c>
      <c r="M504">
        <v>-1</v>
      </c>
      <c r="N504">
        <v>-1</v>
      </c>
      <c r="O504">
        <v>-1</v>
      </c>
      <c r="P504">
        <v>-1</v>
      </c>
      <c r="Q504">
        <v>-1</v>
      </c>
      <c r="R504">
        <v>-1</v>
      </c>
      <c r="S504">
        <v>-1</v>
      </c>
      <c r="T504">
        <v>-1</v>
      </c>
      <c r="U504">
        <v>0.5</v>
      </c>
      <c r="V504">
        <v>0.4</v>
      </c>
      <c r="W504">
        <v>0.1</v>
      </c>
      <c r="X504">
        <v>-1</v>
      </c>
      <c r="Y504">
        <v>-1</v>
      </c>
      <c r="Z504">
        <v>-1</v>
      </c>
      <c r="AA504">
        <v>-1</v>
      </c>
      <c r="AB504">
        <v>-1</v>
      </c>
      <c r="AC504">
        <v>-1</v>
      </c>
      <c r="AD504">
        <v>-1</v>
      </c>
      <c r="AE504">
        <v>-1</v>
      </c>
      <c r="AF504">
        <v>2</v>
      </c>
      <c r="AG504">
        <v>5</v>
      </c>
      <c r="AH504">
        <v>10</v>
      </c>
      <c r="AI504">
        <v>-1</v>
      </c>
      <c r="AJ504">
        <v>-1</v>
      </c>
      <c r="AK504">
        <v>-1</v>
      </c>
      <c r="AL504">
        <v>-1</v>
      </c>
      <c r="AM504">
        <v>-1</v>
      </c>
      <c r="AN504">
        <v>-1</v>
      </c>
      <c r="AO504">
        <v>-1</v>
      </c>
      <c r="AP504">
        <v>-1</v>
      </c>
      <c r="AQ504">
        <v>0.5</v>
      </c>
      <c r="AR504" t="s">
        <v>0</v>
      </c>
      <c r="AS504">
        <v>5</v>
      </c>
      <c r="AT504">
        <v>5</v>
      </c>
      <c r="AU504">
        <v>5</v>
      </c>
      <c r="AV504">
        <v>0.5</v>
      </c>
      <c r="AW504">
        <v>0.4</v>
      </c>
      <c r="AX504">
        <v>0.1</v>
      </c>
      <c r="AY504">
        <v>1</v>
      </c>
      <c r="AZ504">
        <v>2</v>
      </c>
      <c r="BA504">
        <v>5</v>
      </c>
      <c r="BB504">
        <v>0</v>
      </c>
      <c r="BC504" t="s">
        <v>2</v>
      </c>
      <c r="BD504">
        <v>-1</v>
      </c>
      <c r="BE504">
        <v>-1</v>
      </c>
      <c r="BF504">
        <v>-1</v>
      </c>
      <c r="BG504">
        <v>-1</v>
      </c>
      <c r="BH504">
        <v>-1</v>
      </c>
      <c r="BI504">
        <v>-1</v>
      </c>
      <c r="BJ504">
        <v>-1</v>
      </c>
      <c r="BK504">
        <v>-1</v>
      </c>
      <c r="BL504">
        <v>-1</v>
      </c>
      <c r="BM504">
        <v>-1</v>
      </c>
      <c r="BN504">
        <v>-1</v>
      </c>
      <c r="BO504">
        <v>-1</v>
      </c>
    </row>
    <row r="505" spans="1:67" x14ac:dyDescent="0.25">
      <c r="A505">
        <v>502</v>
      </c>
      <c r="B505">
        <v>20004</v>
      </c>
      <c r="C505" t="str">
        <f>VLOOKUP(B505,[1]resources!$A$2:$D$300,3,FALSE)</f>
        <v>!!JUICE_PEACHNECTAR</v>
      </c>
      <c r="D505">
        <v>100</v>
      </c>
      <c r="E505" t="str">
        <f>VLOOKUP(D505,[1]bonus_paytable!$A$2:$D$300,3,FALSE)</f>
        <v>halloween_base_ghosts</v>
      </c>
      <c r="F505">
        <v>-1</v>
      </c>
      <c r="G505">
        <v>-1</v>
      </c>
      <c r="H505">
        <v>1</v>
      </c>
      <c r="I505" t="s">
        <v>1</v>
      </c>
      <c r="J505">
        <v>3</v>
      </c>
      <c r="K505">
        <v>3</v>
      </c>
      <c r="L505">
        <v>3</v>
      </c>
      <c r="M505">
        <v>-1</v>
      </c>
      <c r="N505">
        <v>-1</v>
      </c>
      <c r="O505">
        <v>-1</v>
      </c>
      <c r="P505">
        <v>-1</v>
      </c>
      <c r="Q505">
        <v>-1</v>
      </c>
      <c r="R505">
        <v>-1</v>
      </c>
      <c r="S505">
        <v>-1</v>
      </c>
      <c r="T505">
        <v>-1</v>
      </c>
      <c r="U505">
        <v>0.5</v>
      </c>
      <c r="V505">
        <v>0.4</v>
      </c>
      <c r="W505">
        <v>0.1</v>
      </c>
      <c r="X505">
        <v>-1</v>
      </c>
      <c r="Y505">
        <v>-1</v>
      </c>
      <c r="Z505">
        <v>-1</v>
      </c>
      <c r="AA505">
        <v>-1</v>
      </c>
      <c r="AB505">
        <v>-1</v>
      </c>
      <c r="AC505">
        <v>-1</v>
      </c>
      <c r="AD505">
        <v>-1</v>
      </c>
      <c r="AE505">
        <v>-1</v>
      </c>
      <c r="AF505">
        <v>2</v>
      </c>
      <c r="AG505">
        <v>5</v>
      </c>
      <c r="AH505">
        <v>10</v>
      </c>
      <c r="AI505">
        <v>-1</v>
      </c>
      <c r="AJ505">
        <v>-1</v>
      </c>
      <c r="AK505">
        <v>-1</v>
      </c>
      <c r="AL505">
        <v>-1</v>
      </c>
      <c r="AM505">
        <v>-1</v>
      </c>
      <c r="AN505">
        <v>-1</v>
      </c>
      <c r="AO505">
        <v>-1</v>
      </c>
      <c r="AP505">
        <v>-1</v>
      </c>
      <c r="AQ505">
        <v>0.5</v>
      </c>
      <c r="AR505" t="s">
        <v>0</v>
      </c>
      <c r="AS505">
        <v>5</v>
      </c>
      <c r="AT505">
        <v>5</v>
      </c>
      <c r="AU505">
        <v>5</v>
      </c>
      <c r="AV505">
        <v>0.5</v>
      </c>
      <c r="AW505">
        <v>0.4</v>
      </c>
      <c r="AX505">
        <v>0.1</v>
      </c>
      <c r="AY505">
        <v>1</v>
      </c>
      <c r="AZ505">
        <v>2</v>
      </c>
      <c r="BA505">
        <v>5</v>
      </c>
      <c r="BB505">
        <v>0</v>
      </c>
      <c r="BC505" t="s">
        <v>2</v>
      </c>
      <c r="BD505">
        <v>-1</v>
      </c>
      <c r="BE505">
        <v>-1</v>
      </c>
      <c r="BF505">
        <v>-1</v>
      </c>
      <c r="BG505">
        <v>-1</v>
      </c>
      <c r="BH505">
        <v>-1</v>
      </c>
      <c r="BI505">
        <v>-1</v>
      </c>
      <c r="BJ505">
        <v>-1</v>
      </c>
      <c r="BK505">
        <v>-1</v>
      </c>
      <c r="BL505">
        <v>-1</v>
      </c>
      <c r="BM505">
        <v>-1</v>
      </c>
      <c r="BN505">
        <v>-1</v>
      </c>
      <c r="BO505">
        <v>-1</v>
      </c>
    </row>
    <row r="506" spans="1:67" x14ac:dyDescent="0.25">
      <c r="A506">
        <v>503</v>
      </c>
      <c r="B506">
        <v>30000</v>
      </c>
      <c r="C506" t="str">
        <f>VLOOKUP(B506,[1]resources!$A$2:$D$300,3,FALSE)</f>
        <v>!!SMOOTHIE_BANANA_BREAKER</v>
      </c>
      <c r="D506">
        <v>100</v>
      </c>
      <c r="E506" t="str">
        <f>VLOOKUP(D506,[1]bonus_paytable!$A$2:$D$300,3,FALSE)</f>
        <v>halloween_base_ghosts</v>
      </c>
      <c r="F506">
        <v>-1</v>
      </c>
      <c r="G506">
        <v>-1</v>
      </c>
      <c r="H506">
        <v>1</v>
      </c>
      <c r="I506" t="s">
        <v>1</v>
      </c>
      <c r="J506">
        <v>3</v>
      </c>
      <c r="K506">
        <v>3</v>
      </c>
      <c r="L506">
        <v>3</v>
      </c>
      <c r="M506">
        <v>-1</v>
      </c>
      <c r="N506">
        <v>-1</v>
      </c>
      <c r="O506">
        <v>-1</v>
      </c>
      <c r="P506">
        <v>-1</v>
      </c>
      <c r="Q506">
        <v>-1</v>
      </c>
      <c r="R506">
        <v>-1</v>
      </c>
      <c r="S506">
        <v>-1</v>
      </c>
      <c r="T506">
        <v>-1</v>
      </c>
      <c r="U506">
        <v>0.5</v>
      </c>
      <c r="V506">
        <v>0.4</v>
      </c>
      <c r="W506">
        <v>0.1</v>
      </c>
      <c r="X506">
        <v>-1</v>
      </c>
      <c r="Y506">
        <v>-1</v>
      </c>
      <c r="Z506">
        <v>-1</v>
      </c>
      <c r="AA506">
        <v>-1</v>
      </c>
      <c r="AB506">
        <v>-1</v>
      </c>
      <c r="AC506">
        <v>-1</v>
      </c>
      <c r="AD506">
        <v>-1</v>
      </c>
      <c r="AE506">
        <v>-1</v>
      </c>
      <c r="AF506">
        <v>2</v>
      </c>
      <c r="AG506">
        <v>5</v>
      </c>
      <c r="AH506">
        <v>10</v>
      </c>
      <c r="AI506">
        <v>-1</v>
      </c>
      <c r="AJ506">
        <v>-1</v>
      </c>
      <c r="AK506">
        <v>-1</v>
      </c>
      <c r="AL506">
        <v>-1</v>
      </c>
      <c r="AM506">
        <v>-1</v>
      </c>
      <c r="AN506">
        <v>-1</v>
      </c>
      <c r="AO506">
        <v>-1</v>
      </c>
      <c r="AP506">
        <v>-1</v>
      </c>
      <c r="AQ506">
        <v>0.5</v>
      </c>
      <c r="AR506" t="s">
        <v>0</v>
      </c>
      <c r="AS506">
        <v>5</v>
      </c>
      <c r="AT506">
        <v>5</v>
      </c>
      <c r="AU506">
        <v>5</v>
      </c>
      <c r="AV506">
        <v>0.5</v>
      </c>
      <c r="AW506">
        <v>0.4</v>
      </c>
      <c r="AX506">
        <v>0.1</v>
      </c>
      <c r="AY506">
        <v>1</v>
      </c>
      <c r="AZ506">
        <v>2</v>
      </c>
      <c r="BA506">
        <v>5</v>
      </c>
      <c r="BB506">
        <v>0</v>
      </c>
      <c r="BC506" t="s">
        <v>2</v>
      </c>
      <c r="BD506">
        <v>-1</v>
      </c>
      <c r="BE506">
        <v>-1</v>
      </c>
      <c r="BF506">
        <v>-1</v>
      </c>
      <c r="BG506">
        <v>-1</v>
      </c>
      <c r="BH506">
        <v>-1</v>
      </c>
      <c r="BI506">
        <v>-1</v>
      </c>
      <c r="BJ506">
        <v>-1</v>
      </c>
      <c r="BK506">
        <v>-1</v>
      </c>
      <c r="BL506">
        <v>-1</v>
      </c>
      <c r="BM506">
        <v>-1</v>
      </c>
      <c r="BN506">
        <v>-1</v>
      </c>
      <c r="BO506">
        <v>-1</v>
      </c>
    </row>
    <row r="507" spans="1:67" x14ac:dyDescent="0.25">
      <c r="A507">
        <v>504</v>
      </c>
      <c r="B507">
        <v>30001</v>
      </c>
      <c r="C507" t="str">
        <f>VLOOKUP(B507,[1]resources!$A$2:$D$300,3,FALSE)</f>
        <v>!!SMOOTHIE_BERRY_BLAST</v>
      </c>
      <c r="D507">
        <v>100</v>
      </c>
      <c r="E507" t="str">
        <f>VLOOKUP(D507,[1]bonus_paytable!$A$2:$D$300,3,FALSE)</f>
        <v>halloween_base_ghosts</v>
      </c>
      <c r="F507">
        <v>-1</v>
      </c>
      <c r="G507">
        <v>-1</v>
      </c>
      <c r="H507">
        <v>1</v>
      </c>
      <c r="I507" t="s">
        <v>1</v>
      </c>
      <c r="J507">
        <v>3</v>
      </c>
      <c r="K507">
        <v>3</v>
      </c>
      <c r="L507">
        <v>3</v>
      </c>
      <c r="M507">
        <v>-1</v>
      </c>
      <c r="N507">
        <v>-1</v>
      </c>
      <c r="O507">
        <v>-1</v>
      </c>
      <c r="P507">
        <v>-1</v>
      </c>
      <c r="Q507">
        <v>-1</v>
      </c>
      <c r="R507">
        <v>-1</v>
      </c>
      <c r="S507">
        <v>-1</v>
      </c>
      <c r="T507">
        <v>-1</v>
      </c>
      <c r="U507">
        <v>0.5</v>
      </c>
      <c r="V507">
        <v>0.4</v>
      </c>
      <c r="W507">
        <v>0.1</v>
      </c>
      <c r="X507">
        <v>-1</v>
      </c>
      <c r="Y507">
        <v>-1</v>
      </c>
      <c r="Z507">
        <v>-1</v>
      </c>
      <c r="AA507">
        <v>-1</v>
      </c>
      <c r="AB507">
        <v>-1</v>
      </c>
      <c r="AC507">
        <v>-1</v>
      </c>
      <c r="AD507">
        <v>-1</v>
      </c>
      <c r="AE507">
        <v>-1</v>
      </c>
      <c r="AF507">
        <v>2</v>
      </c>
      <c r="AG507">
        <v>5</v>
      </c>
      <c r="AH507">
        <v>10</v>
      </c>
      <c r="AI507">
        <v>-1</v>
      </c>
      <c r="AJ507">
        <v>-1</v>
      </c>
      <c r="AK507">
        <v>-1</v>
      </c>
      <c r="AL507">
        <v>-1</v>
      </c>
      <c r="AM507">
        <v>-1</v>
      </c>
      <c r="AN507">
        <v>-1</v>
      </c>
      <c r="AO507">
        <v>-1</v>
      </c>
      <c r="AP507">
        <v>-1</v>
      </c>
      <c r="AQ507">
        <v>0.5</v>
      </c>
      <c r="AR507" t="s">
        <v>0</v>
      </c>
      <c r="AS507">
        <v>5</v>
      </c>
      <c r="AT507">
        <v>5</v>
      </c>
      <c r="AU507">
        <v>5</v>
      </c>
      <c r="AV507">
        <v>0.5</v>
      </c>
      <c r="AW507">
        <v>0.4</v>
      </c>
      <c r="AX507">
        <v>0.1</v>
      </c>
      <c r="AY507">
        <v>1</v>
      </c>
      <c r="AZ507">
        <v>2</v>
      </c>
      <c r="BA507">
        <v>5</v>
      </c>
      <c r="BB507">
        <v>0</v>
      </c>
      <c r="BC507" t="s">
        <v>2</v>
      </c>
      <c r="BD507">
        <v>-1</v>
      </c>
      <c r="BE507">
        <v>-1</v>
      </c>
      <c r="BF507">
        <v>-1</v>
      </c>
      <c r="BG507">
        <v>-1</v>
      </c>
      <c r="BH507">
        <v>-1</v>
      </c>
      <c r="BI507">
        <v>-1</v>
      </c>
      <c r="BJ507">
        <v>-1</v>
      </c>
      <c r="BK507">
        <v>-1</v>
      </c>
      <c r="BL507">
        <v>-1</v>
      </c>
      <c r="BM507">
        <v>-1</v>
      </c>
      <c r="BN507">
        <v>-1</v>
      </c>
      <c r="BO507">
        <v>-1</v>
      </c>
    </row>
    <row r="508" spans="1:67" x14ac:dyDescent="0.25">
      <c r="A508">
        <v>505</v>
      </c>
      <c r="B508">
        <v>30002</v>
      </c>
      <c r="C508" t="str">
        <f>VLOOKUP(B508,[1]resources!$A$2:$D$300,3,FALSE)</f>
        <v>!!SMOOTHIE_CHERRY_SLURVEY</v>
      </c>
      <c r="D508">
        <v>100</v>
      </c>
      <c r="E508" t="str">
        <f>VLOOKUP(D508,[1]bonus_paytable!$A$2:$D$300,3,FALSE)</f>
        <v>halloween_base_ghosts</v>
      </c>
      <c r="F508">
        <v>-1</v>
      </c>
      <c r="G508">
        <v>-1</v>
      </c>
      <c r="H508">
        <v>1</v>
      </c>
      <c r="I508" t="s">
        <v>1</v>
      </c>
      <c r="J508">
        <v>3</v>
      </c>
      <c r="K508">
        <v>3</v>
      </c>
      <c r="L508">
        <v>3</v>
      </c>
      <c r="M508">
        <v>-1</v>
      </c>
      <c r="N508">
        <v>-1</v>
      </c>
      <c r="O508">
        <v>-1</v>
      </c>
      <c r="P508">
        <v>-1</v>
      </c>
      <c r="Q508">
        <v>-1</v>
      </c>
      <c r="R508">
        <v>-1</v>
      </c>
      <c r="S508">
        <v>-1</v>
      </c>
      <c r="T508">
        <v>-1</v>
      </c>
      <c r="U508">
        <v>0.5</v>
      </c>
      <c r="V508">
        <v>0.4</v>
      </c>
      <c r="W508">
        <v>0.1</v>
      </c>
      <c r="X508">
        <v>-1</v>
      </c>
      <c r="Y508">
        <v>-1</v>
      </c>
      <c r="Z508">
        <v>-1</v>
      </c>
      <c r="AA508">
        <v>-1</v>
      </c>
      <c r="AB508">
        <v>-1</v>
      </c>
      <c r="AC508">
        <v>-1</v>
      </c>
      <c r="AD508">
        <v>-1</v>
      </c>
      <c r="AE508">
        <v>-1</v>
      </c>
      <c r="AF508">
        <v>2</v>
      </c>
      <c r="AG508">
        <v>5</v>
      </c>
      <c r="AH508">
        <v>10</v>
      </c>
      <c r="AI508">
        <v>-1</v>
      </c>
      <c r="AJ508">
        <v>-1</v>
      </c>
      <c r="AK508">
        <v>-1</v>
      </c>
      <c r="AL508">
        <v>-1</v>
      </c>
      <c r="AM508">
        <v>-1</v>
      </c>
      <c r="AN508">
        <v>-1</v>
      </c>
      <c r="AO508">
        <v>-1</v>
      </c>
      <c r="AP508">
        <v>-1</v>
      </c>
      <c r="AQ508">
        <v>0.5</v>
      </c>
      <c r="AR508" t="s">
        <v>0</v>
      </c>
      <c r="AS508">
        <v>5</v>
      </c>
      <c r="AT508">
        <v>5</v>
      </c>
      <c r="AU508">
        <v>5</v>
      </c>
      <c r="AV508">
        <v>0.5</v>
      </c>
      <c r="AW508">
        <v>0.4</v>
      </c>
      <c r="AX508">
        <v>0.1</v>
      </c>
      <c r="AY508">
        <v>1</v>
      </c>
      <c r="AZ508">
        <v>2</v>
      </c>
      <c r="BA508">
        <v>5</v>
      </c>
      <c r="BB508">
        <v>0</v>
      </c>
      <c r="BC508" t="s">
        <v>2</v>
      </c>
      <c r="BD508">
        <v>-1</v>
      </c>
      <c r="BE508">
        <v>-1</v>
      </c>
      <c r="BF508">
        <v>-1</v>
      </c>
      <c r="BG508">
        <v>-1</v>
      </c>
      <c r="BH508">
        <v>-1</v>
      </c>
      <c r="BI508">
        <v>-1</v>
      </c>
      <c r="BJ508">
        <v>-1</v>
      </c>
      <c r="BK508">
        <v>-1</v>
      </c>
      <c r="BL508">
        <v>-1</v>
      </c>
      <c r="BM508">
        <v>-1</v>
      </c>
      <c r="BN508">
        <v>-1</v>
      </c>
      <c r="BO508">
        <v>-1</v>
      </c>
    </row>
    <row r="509" spans="1:67" x14ac:dyDescent="0.25">
      <c r="A509">
        <v>506</v>
      </c>
      <c r="B509">
        <v>30003</v>
      </c>
      <c r="C509" t="str">
        <f>VLOOKUP(B509,[1]resources!$A$2:$D$300,3,FALSE)</f>
        <v>!!SMOOTHIE_CHERRYADE_CHILLER</v>
      </c>
      <c r="D509">
        <v>100</v>
      </c>
      <c r="E509" t="str">
        <f>VLOOKUP(D509,[1]bonus_paytable!$A$2:$D$300,3,FALSE)</f>
        <v>halloween_base_ghosts</v>
      </c>
      <c r="F509">
        <v>-1</v>
      </c>
      <c r="G509">
        <v>-1</v>
      </c>
      <c r="H509">
        <v>1</v>
      </c>
      <c r="I509" t="s">
        <v>1</v>
      </c>
      <c r="J509">
        <v>3</v>
      </c>
      <c r="K509">
        <v>3</v>
      </c>
      <c r="L509">
        <v>3</v>
      </c>
      <c r="M509">
        <v>-1</v>
      </c>
      <c r="N509">
        <v>-1</v>
      </c>
      <c r="O509">
        <v>-1</v>
      </c>
      <c r="P509">
        <v>-1</v>
      </c>
      <c r="Q509">
        <v>-1</v>
      </c>
      <c r="R509">
        <v>-1</v>
      </c>
      <c r="S509">
        <v>-1</v>
      </c>
      <c r="T509">
        <v>-1</v>
      </c>
      <c r="U509">
        <v>0.5</v>
      </c>
      <c r="V509">
        <v>0.4</v>
      </c>
      <c r="W509">
        <v>0.1</v>
      </c>
      <c r="X509">
        <v>-1</v>
      </c>
      <c r="Y509">
        <v>-1</v>
      </c>
      <c r="Z509">
        <v>-1</v>
      </c>
      <c r="AA509">
        <v>-1</v>
      </c>
      <c r="AB509">
        <v>-1</v>
      </c>
      <c r="AC509">
        <v>-1</v>
      </c>
      <c r="AD509">
        <v>-1</v>
      </c>
      <c r="AE509">
        <v>-1</v>
      </c>
      <c r="AF509">
        <v>2</v>
      </c>
      <c r="AG509">
        <v>5</v>
      </c>
      <c r="AH509">
        <v>10</v>
      </c>
      <c r="AI509">
        <v>-1</v>
      </c>
      <c r="AJ509">
        <v>-1</v>
      </c>
      <c r="AK509">
        <v>-1</v>
      </c>
      <c r="AL509">
        <v>-1</v>
      </c>
      <c r="AM509">
        <v>-1</v>
      </c>
      <c r="AN509">
        <v>-1</v>
      </c>
      <c r="AO509">
        <v>-1</v>
      </c>
      <c r="AP509">
        <v>-1</v>
      </c>
      <c r="AQ509">
        <v>0.5</v>
      </c>
      <c r="AR509" t="s">
        <v>0</v>
      </c>
      <c r="AS509">
        <v>5</v>
      </c>
      <c r="AT509">
        <v>5</v>
      </c>
      <c r="AU509">
        <v>5</v>
      </c>
      <c r="AV509">
        <v>0.5</v>
      </c>
      <c r="AW509">
        <v>0.4</v>
      </c>
      <c r="AX509">
        <v>0.1</v>
      </c>
      <c r="AY509">
        <v>1</v>
      </c>
      <c r="AZ509">
        <v>2</v>
      </c>
      <c r="BA509">
        <v>5</v>
      </c>
      <c r="BB509">
        <v>0</v>
      </c>
      <c r="BC509" t="s">
        <v>2</v>
      </c>
      <c r="BD509">
        <v>-1</v>
      </c>
      <c r="BE509">
        <v>-1</v>
      </c>
      <c r="BF509">
        <v>-1</v>
      </c>
      <c r="BG509">
        <v>-1</v>
      </c>
      <c r="BH509">
        <v>-1</v>
      </c>
      <c r="BI509">
        <v>-1</v>
      </c>
      <c r="BJ509">
        <v>-1</v>
      </c>
      <c r="BK509">
        <v>-1</v>
      </c>
      <c r="BL509">
        <v>-1</v>
      </c>
      <c r="BM509">
        <v>-1</v>
      </c>
      <c r="BN509">
        <v>-1</v>
      </c>
      <c r="BO509">
        <v>-1</v>
      </c>
    </row>
    <row r="510" spans="1:67" x14ac:dyDescent="0.25">
      <c r="A510">
        <v>507</v>
      </c>
      <c r="B510">
        <v>30004</v>
      </c>
      <c r="C510" t="str">
        <f>VLOOKUP(B510,[1]resources!$A$2:$D$300,3,FALSE)</f>
        <v>!!SMOOTHIE_CITRUS_SLURVEY</v>
      </c>
      <c r="D510">
        <v>100</v>
      </c>
      <c r="E510" t="str">
        <f>VLOOKUP(D510,[1]bonus_paytable!$A$2:$D$300,3,FALSE)</f>
        <v>halloween_base_ghosts</v>
      </c>
      <c r="F510">
        <v>-1</v>
      </c>
      <c r="G510">
        <v>-1</v>
      </c>
      <c r="H510">
        <v>1</v>
      </c>
      <c r="I510" t="s">
        <v>1</v>
      </c>
      <c r="J510">
        <v>3</v>
      </c>
      <c r="K510">
        <v>3</v>
      </c>
      <c r="L510">
        <v>3</v>
      </c>
      <c r="M510">
        <v>-1</v>
      </c>
      <c r="N510">
        <v>-1</v>
      </c>
      <c r="O510">
        <v>-1</v>
      </c>
      <c r="P510">
        <v>-1</v>
      </c>
      <c r="Q510">
        <v>-1</v>
      </c>
      <c r="R510">
        <v>-1</v>
      </c>
      <c r="S510">
        <v>-1</v>
      </c>
      <c r="T510">
        <v>-1</v>
      </c>
      <c r="U510">
        <v>0.5</v>
      </c>
      <c r="V510">
        <v>0.4</v>
      </c>
      <c r="W510">
        <v>0.1</v>
      </c>
      <c r="X510">
        <v>-1</v>
      </c>
      <c r="Y510">
        <v>-1</v>
      </c>
      <c r="Z510">
        <v>-1</v>
      </c>
      <c r="AA510">
        <v>-1</v>
      </c>
      <c r="AB510">
        <v>-1</v>
      </c>
      <c r="AC510">
        <v>-1</v>
      </c>
      <c r="AD510">
        <v>-1</v>
      </c>
      <c r="AE510">
        <v>-1</v>
      </c>
      <c r="AF510">
        <v>2</v>
      </c>
      <c r="AG510">
        <v>5</v>
      </c>
      <c r="AH510">
        <v>10</v>
      </c>
      <c r="AI510">
        <v>-1</v>
      </c>
      <c r="AJ510">
        <v>-1</v>
      </c>
      <c r="AK510">
        <v>-1</v>
      </c>
      <c r="AL510">
        <v>-1</v>
      </c>
      <c r="AM510">
        <v>-1</v>
      </c>
      <c r="AN510">
        <v>-1</v>
      </c>
      <c r="AO510">
        <v>-1</v>
      </c>
      <c r="AP510">
        <v>-1</v>
      </c>
      <c r="AQ510">
        <v>0.5</v>
      </c>
      <c r="AR510" t="s">
        <v>0</v>
      </c>
      <c r="AS510">
        <v>5</v>
      </c>
      <c r="AT510">
        <v>5</v>
      </c>
      <c r="AU510">
        <v>5</v>
      </c>
      <c r="AV510">
        <v>0.5</v>
      </c>
      <c r="AW510">
        <v>0.4</v>
      </c>
      <c r="AX510">
        <v>0.1</v>
      </c>
      <c r="AY510">
        <v>1</v>
      </c>
      <c r="AZ510">
        <v>2</v>
      </c>
      <c r="BA510">
        <v>5</v>
      </c>
      <c r="BB510">
        <v>0</v>
      </c>
      <c r="BC510" t="s">
        <v>2</v>
      </c>
      <c r="BD510">
        <v>-1</v>
      </c>
      <c r="BE510">
        <v>-1</v>
      </c>
      <c r="BF510">
        <v>-1</v>
      </c>
      <c r="BG510">
        <v>-1</v>
      </c>
      <c r="BH510">
        <v>-1</v>
      </c>
      <c r="BI510">
        <v>-1</v>
      </c>
      <c r="BJ510">
        <v>-1</v>
      </c>
      <c r="BK510">
        <v>-1</v>
      </c>
      <c r="BL510">
        <v>-1</v>
      </c>
      <c r="BM510">
        <v>-1</v>
      </c>
      <c r="BN510">
        <v>-1</v>
      </c>
      <c r="BO510">
        <v>-1</v>
      </c>
    </row>
    <row r="511" spans="1:67" x14ac:dyDescent="0.25">
      <c r="A511">
        <v>508</v>
      </c>
      <c r="B511">
        <v>30005</v>
      </c>
      <c r="C511" t="str">
        <f>VLOOKUP(B511,[1]resources!$A$2:$D$300,3,FALSE)</f>
        <v>!!SMOOTHIE_HANG_8</v>
      </c>
      <c r="D511">
        <v>100</v>
      </c>
      <c r="E511" t="str">
        <f>VLOOKUP(D511,[1]bonus_paytable!$A$2:$D$300,3,FALSE)</f>
        <v>halloween_base_ghosts</v>
      </c>
      <c r="F511">
        <v>-1</v>
      </c>
      <c r="G511">
        <v>-1</v>
      </c>
      <c r="H511">
        <v>1</v>
      </c>
      <c r="I511" t="s">
        <v>1</v>
      </c>
      <c r="J511">
        <v>3</v>
      </c>
      <c r="K511">
        <v>3</v>
      </c>
      <c r="L511">
        <v>3</v>
      </c>
      <c r="M511">
        <v>-1</v>
      </c>
      <c r="N511">
        <v>-1</v>
      </c>
      <c r="O511">
        <v>-1</v>
      </c>
      <c r="P511">
        <v>-1</v>
      </c>
      <c r="Q511">
        <v>-1</v>
      </c>
      <c r="R511">
        <v>-1</v>
      </c>
      <c r="S511">
        <v>-1</v>
      </c>
      <c r="T511">
        <v>-1</v>
      </c>
      <c r="U511">
        <v>0.5</v>
      </c>
      <c r="V511">
        <v>0.4</v>
      </c>
      <c r="W511">
        <v>0.1</v>
      </c>
      <c r="X511">
        <v>-1</v>
      </c>
      <c r="Y511">
        <v>-1</v>
      </c>
      <c r="Z511">
        <v>-1</v>
      </c>
      <c r="AA511">
        <v>-1</v>
      </c>
      <c r="AB511">
        <v>-1</v>
      </c>
      <c r="AC511">
        <v>-1</v>
      </c>
      <c r="AD511">
        <v>-1</v>
      </c>
      <c r="AE511">
        <v>-1</v>
      </c>
      <c r="AF511">
        <v>2</v>
      </c>
      <c r="AG511">
        <v>5</v>
      </c>
      <c r="AH511">
        <v>10</v>
      </c>
      <c r="AI511">
        <v>-1</v>
      </c>
      <c r="AJ511">
        <v>-1</v>
      </c>
      <c r="AK511">
        <v>-1</v>
      </c>
      <c r="AL511">
        <v>-1</v>
      </c>
      <c r="AM511">
        <v>-1</v>
      </c>
      <c r="AN511">
        <v>-1</v>
      </c>
      <c r="AO511">
        <v>-1</v>
      </c>
      <c r="AP511">
        <v>-1</v>
      </c>
      <c r="AQ511">
        <v>0.5</v>
      </c>
      <c r="AR511" t="s">
        <v>0</v>
      </c>
      <c r="AS511">
        <v>5</v>
      </c>
      <c r="AT511">
        <v>5</v>
      </c>
      <c r="AU511">
        <v>5</v>
      </c>
      <c r="AV511">
        <v>0.5</v>
      </c>
      <c r="AW511">
        <v>0.4</v>
      </c>
      <c r="AX511">
        <v>0.1</v>
      </c>
      <c r="AY511">
        <v>1</v>
      </c>
      <c r="AZ511">
        <v>2</v>
      </c>
      <c r="BA511">
        <v>5</v>
      </c>
      <c r="BB511">
        <v>0</v>
      </c>
      <c r="BC511" t="s">
        <v>2</v>
      </c>
      <c r="BD511">
        <v>-1</v>
      </c>
      <c r="BE511">
        <v>-1</v>
      </c>
      <c r="BF511">
        <v>-1</v>
      </c>
      <c r="BG511">
        <v>-1</v>
      </c>
      <c r="BH511">
        <v>-1</v>
      </c>
      <c r="BI511">
        <v>-1</v>
      </c>
      <c r="BJ511">
        <v>-1</v>
      </c>
      <c r="BK511">
        <v>-1</v>
      </c>
      <c r="BL511">
        <v>-1</v>
      </c>
      <c r="BM511">
        <v>-1</v>
      </c>
      <c r="BN511">
        <v>-1</v>
      </c>
      <c r="BO511">
        <v>-1</v>
      </c>
    </row>
    <row r="512" spans="1:67" x14ac:dyDescent="0.25">
      <c r="A512">
        <v>509</v>
      </c>
      <c r="B512">
        <v>30006</v>
      </c>
      <c r="C512" t="str">
        <f>VLOOKUP(B512,[1]resources!$A$2:$D$300,3,FALSE)</f>
        <v>!!SMOOTHIE_LIQUID_COBBLER</v>
      </c>
      <c r="D512">
        <v>100</v>
      </c>
      <c r="E512" t="str">
        <f>VLOOKUP(D512,[1]bonus_paytable!$A$2:$D$300,3,FALSE)</f>
        <v>halloween_base_ghosts</v>
      </c>
      <c r="F512">
        <v>-1</v>
      </c>
      <c r="G512">
        <v>-1</v>
      </c>
      <c r="H512">
        <v>1</v>
      </c>
      <c r="I512" t="s">
        <v>1</v>
      </c>
      <c r="J512">
        <v>3</v>
      </c>
      <c r="K512">
        <v>3</v>
      </c>
      <c r="L512">
        <v>3</v>
      </c>
      <c r="M512">
        <v>-1</v>
      </c>
      <c r="N512">
        <v>-1</v>
      </c>
      <c r="O512">
        <v>-1</v>
      </c>
      <c r="P512">
        <v>-1</v>
      </c>
      <c r="Q512">
        <v>-1</v>
      </c>
      <c r="R512">
        <v>-1</v>
      </c>
      <c r="S512">
        <v>-1</v>
      </c>
      <c r="T512">
        <v>-1</v>
      </c>
      <c r="U512">
        <v>0.5</v>
      </c>
      <c r="V512">
        <v>0.4</v>
      </c>
      <c r="W512">
        <v>0.1</v>
      </c>
      <c r="X512">
        <v>-1</v>
      </c>
      <c r="Y512">
        <v>-1</v>
      </c>
      <c r="Z512">
        <v>-1</v>
      </c>
      <c r="AA512">
        <v>-1</v>
      </c>
      <c r="AB512">
        <v>-1</v>
      </c>
      <c r="AC512">
        <v>-1</v>
      </c>
      <c r="AD512">
        <v>-1</v>
      </c>
      <c r="AE512">
        <v>-1</v>
      </c>
      <c r="AF512">
        <v>2</v>
      </c>
      <c r="AG512">
        <v>5</v>
      </c>
      <c r="AH512">
        <v>10</v>
      </c>
      <c r="AI512">
        <v>-1</v>
      </c>
      <c r="AJ512">
        <v>-1</v>
      </c>
      <c r="AK512">
        <v>-1</v>
      </c>
      <c r="AL512">
        <v>-1</v>
      </c>
      <c r="AM512">
        <v>-1</v>
      </c>
      <c r="AN512">
        <v>-1</v>
      </c>
      <c r="AO512">
        <v>-1</v>
      </c>
      <c r="AP512">
        <v>-1</v>
      </c>
      <c r="AQ512">
        <v>0.5</v>
      </c>
      <c r="AR512" t="s">
        <v>0</v>
      </c>
      <c r="AS512">
        <v>5</v>
      </c>
      <c r="AT512">
        <v>5</v>
      </c>
      <c r="AU512">
        <v>5</v>
      </c>
      <c r="AV512">
        <v>0.5</v>
      </c>
      <c r="AW512">
        <v>0.4</v>
      </c>
      <c r="AX512">
        <v>0.1</v>
      </c>
      <c r="AY512">
        <v>1</v>
      </c>
      <c r="AZ512">
        <v>2</v>
      </c>
      <c r="BA512">
        <v>5</v>
      </c>
      <c r="BB512">
        <v>0</v>
      </c>
      <c r="BC512" t="s">
        <v>2</v>
      </c>
      <c r="BD512">
        <v>-1</v>
      </c>
      <c r="BE512">
        <v>-1</v>
      </c>
      <c r="BF512">
        <v>-1</v>
      </c>
      <c r="BG512">
        <v>-1</v>
      </c>
      <c r="BH512">
        <v>-1</v>
      </c>
      <c r="BI512">
        <v>-1</v>
      </c>
      <c r="BJ512">
        <v>-1</v>
      </c>
      <c r="BK512">
        <v>-1</v>
      </c>
      <c r="BL512">
        <v>-1</v>
      </c>
      <c r="BM512">
        <v>-1</v>
      </c>
      <c r="BN512">
        <v>-1</v>
      </c>
      <c r="BO512">
        <v>-1</v>
      </c>
    </row>
    <row r="513" spans="1:67" x14ac:dyDescent="0.25">
      <c r="A513">
        <v>510</v>
      </c>
      <c r="B513">
        <v>30007</v>
      </c>
      <c r="C513" t="str">
        <f>VLOOKUP(B513,[1]resources!$A$2:$D$300,3,FALSE)</f>
        <v>!!SMOOTHIE_NANNAS_C_SERENADE</v>
      </c>
      <c r="D513">
        <v>100</v>
      </c>
      <c r="E513" t="str">
        <f>VLOOKUP(D513,[1]bonus_paytable!$A$2:$D$300,3,FALSE)</f>
        <v>halloween_base_ghosts</v>
      </c>
      <c r="F513">
        <v>-1</v>
      </c>
      <c r="G513">
        <v>-1</v>
      </c>
      <c r="H513">
        <v>1</v>
      </c>
      <c r="I513" t="s">
        <v>1</v>
      </c>
      <c r="J513">
        <v>3</v>
      </c>
      <c r="K513">
        <v>3</v>
      </c>
      <c r="L513">
        <v>3</v>
      </c>
      <c r="M513">
        <v>-1</v>
      </c>
      <c r="N513">
        <v>-1</v>
      </c>
      <c r="O513">
        <v>-1</v>
      </c>
      <c r="P513">
        <v>-1</v>
      </c>
      <c r="Q513">
        <v>-1</v>
      </c>
      <c r="R513">
        <v>-1</v>
      </c>
      <c r="S513">
        <v>-1</v>
      </c>
      <c r="T513">
        <v>-1</v>
      </c>
      <c r="U513">
        <v>0.5</v>
      </c>
      <c r="V513">
        <v>0.4</v>
      </c>
      <c r="W513">
        <v>0.1</v>
      </c>
      <c r="X513">
        <v>-1</v>
      </c>
      <c r="Y513">
        <v>-1</v>
      </c>
      <c r="Z513">
        <v>-1</v>
      </c>
      <c r="AA513">
        <v>-1</v>
      </c>
      <c r="AB513">
        <v>-1</v>
      </c>
      <c r="AC513">
        <v>-1</v>
      </c>
      <c r="AD513">
        <v>-1</v>
      </c>
      <c r="AE513">
        <v>-1</v>
      </c>
      <c r="AF513">
        <v>2</v>
      </c>
      <c r="AG513">
        <v>5</v>
      </c>
      <c r="AH513">
        <v>10</v>
      </c>
      <c r="AI513">
        <v>-1</v>
      </c>
      <c r="AJ513">
        <v>-1</v>
      </c>
      <c r="AK513">
        <v>-1</v>
      </c>
      <c r="AL513">
        <v>-1</v>
      </c>
      <c r="AM513">
        <v>-1</v>
      </c>
      <c r="AN513">
        <v>-1</v>
      </c>
      <c r="AO513">
        <v>-1</v>
      </c>
      <c r="AP513">
        <v>-1</v>
      </c>
      <c r="AQ513">
        <v>0.5</v>
      </c>
      <c r="AR513" t="s">
        <v>0</v>
      </c>
      <c r="AS513">
        <v>5</v>
      </c>
      <c r="AT513">
        <v>5</v>
      </c>
      <c r="AU513">
        <v>5</v>
      </c>
      <c r="AV513">
        <v>0.5</v>
      </c>
      <c r="AW513">
        <v>0.4</v>
      </c>
      <c r="AX513">
        <v>0.1</v>
      </c>
      <c r="AY513">
        <v>1</v>
      </c>
      <c r="AZ513">
        <v>2</v>
      </c>
      <c r="BA513">
        <v>5</v>
      </c>
      <c r="BB513">
        <v>0</v>
      </c>
      <c r="BC513" t="s">
        <v>2</v>
      </c>
      <c r="BD513">
        <v>-1</v>
      </c>
      <c r="BE513">
        <v>-1</v>
      </c>
      <c r="BF513">
        <v>-1</v>
      </c>
      <c r="BG513">
        <v>-1</v>
      </c>
      <c r="BH513">
        <v>-1</v>
      </c>
      <c r="BI513">
        <v>-1</v>
      </c>
      <c r="BJ513">
        <v>-1</v>
      </c>
      <c r="BK513">
        <v>-1</v>
      </c>
      <c r="BL513">
        <v>-1</v>
      </c>
      <c r="BM513">
        <v>-1</v>
      </c>
      <c r="BN513">
        <v>-1</v>
      </c>
      <c r="BO513">
        <v>-1</v>
      </c>
    </row>
    <row r="514" spans="1:67" x14ac:dyDescent="0.25">
      <c r="A514">
        <v>511</v>
      </c>
      <c r="B514">
        <v>30008</v>
      </c>
      <c r="C514" t="str">
        <f>VLOOKUP(B514,[1]resources!$A$2:$D$300,3,FALSE)</f>
        <v>!!SMOOTHIE_ORANGE_NUT</v>
      </c>
      <c r="D514">
        <v>100</v>
      </c>
      <c r="E514" t="str">
        <f>VLOOKUP(D514,[1]bonus_paytable!$A$2:$D$300,3,FALSE)</f>
        <v>halloween_base_ghosts</v>
      </c>
      <c r="F514">
        <v>-1</v>
      </c>
      <c r="G514">
        <v>-1</v>
      </c>
      <c r="H514">
        <v>1</v>
      </c>
      <c r="I514" t="s">
        <v>1</v>
      </c>
      <c r="J514">
        <v>3</v>
      </c>
      <c r="K514">
        <v>3</v>
      </c>
      <c r="L514">
        <v>3</v>
      </c>
      <c r="M514">
        <v>-1</v>
      </c>
      <c r="N514">
        <v>-1</v>
      </c>
      <c r="O514">
        <v>-1</v>
      </c>
      <c r="P514">
        <v>-1</v>
      </c>
      <c r="Q514">
        <v>-1</v>
      </c>
      <c r="R514">
        <v>-1</v>
      </c>
      <c r="S514">
        <v>-1</v>
      </c>
      <c r="T514">
        <v>-1</v>
      </c>
      <c r="U514">
        <v>0.5</v>
      </c>
      <c r="V514">
        <v>0.4</v>
      </c>
      <c r="W514">
        <v>0.1</v>
      </c>
      <c r="X514">
        <v>-1</v>
      </c>
      <c r="Y514">
        <v>-1</v>
      </c>
      <c r="Z514">
        <v>-1</v>
      </c>
      <c r="AA514">
        <v>-1</v>
      </c>
      <c r="AB514">
        <v>-1</v>
      </c>
      <c r="AC514">
        <v>-1</v>
      </c>
      <c r="AD514">
        <v>-1</v>
      </c>
      <c r="AE514">
        <v>-1</v>
      </c>
      <c r="AF514">
        <v>2</v>
      </c>
      <c r="AG514">
        <v>5</v>
      </c>
      <c r="AH514">
        <v>10</v>
      </c>
      <c r="AI514">
        <v>-1</v>
      </c>
      <c r="AJ514">
        <v>-1</v>
      </c>
      <c r="AK514">
        <v>-1</v>
      </c>
      <c r="AL514">
        <v>-1</v>
      </c>
      <c r="AM514">
        <v>-1</v>
      </c>
      <c r="AN514">
        <v>-1</v>
      </c>
      <c r="AO514">
        <v>-1</v>
      </c>
      <c r="AP514">
        <v>-1</v>
      </c>
      <c r="AQ514">
        <v>0.5</v>
      </c>
      <c r="AR514" t="s">
        <v>0</v>
      </c>
      <c r="AS514">
        <v>5</v>
      </c>
      <c r="AT514">
        <v>5</v>
      </c>
      <c r="AU514">
        <v>5</v>
      </c>
      <c r="AV514">
        <v>0.5</v>
      </c>
      <c r="AW514">
        <v>0.4</v>
      </c>
      <c r="AX514">
        <v>0.1</v>
      </c>
      <c r="AY514">
        <v>1</v>
      </c>
      <c r="AZ514">
        <v>2</v>
      </c>
      <c r="BA514">
        <v>5</v>
      </c>
      <c r="BB514">
        <v>0</v>
      </c>
      <c r="BC514" t="s">
        <v>2</v>
      </c>
      <c r="BD514">
        <v>-1</v>
      </c>
      <c r="BE514">
        <v>-1</v>
      </c>
      <c r="BF514">
        <v>-1</v>
      </c>
      <c r="BG514">
        <v>-1</v>
      </c>
      <c r="BH514">
        <v>-1</v>
      </c>
      <c r="BI514">
        <v>-1</v>
      </c>
      <c r="BJ514">
        <v>-1</v>
      </c>
      <c r="BK514">
        <v>-1</v>
      </c>
      <c r="BL514">
        <v>-1</v>
      </c>
      <c r="BM514">
        <v>-1</v>
      </c>
      <c r="BN514">
        <v>-1</v>
      </c>
      <c r="BO514">
        <v>-1</v>
      </c>
    </row>
    <row r="515" spans="1:67" x14ac:dyDescent="0.25">
      <c r="A515">
        <v>512</v>
      </c>
      <c r="B515">
        <v>30009</v>
      </c>
      <c r="C515" t="str">
        <f>VLOOKUP(B515,[1]resources!$A$2:$D$300,3,FALSE)</f>
        <v>!!SMOOTHIE_STRAWBERRY_SQUEEZE</v>
      </c>
      <c r="D515">
        <v>100</v>
      </c>
      <c r="E515" t="str">
        <f>VLOOKUP(D515,[1]bonus_paytable!$A$2:$D$300,3,FALSE)</f>
        <v>halloween_base_ghosts</v>
      </c>
      <c r="F515">
        <v>-1</v>
      </c>
      <c r="G515">
        <v>-1</v>
      </c>
      <c r="H515">
        <v>1</v>
      </c>
      <c r="I515" t="s">
        <v>1</v>
      </c>
      <c r="J515">
        <v>3</v>
      </c>
      <c r="K515">
        <v>3</v>
      </c>
      <c r="L515">
        <v>3</v>
      </c>
      <c r="M515">
        <v>-1</v>
      </c>
      <c r="N515">
        <v>-1</v>
      </c>
      <c r="O515">
        <v>-1</v>
      </c>
      <c r="P515">
        <v>-1</v>
      </c>
      <c r="Q515">
        <v>-1</v>
      </c>
      <c r="R515">
        <v>-1</v>
      </c>
      <c r="S515">
        <v>-1</v>
      </c>
      <c r="T515">
        <v>-1</v>
      </c>
      <c r="U515">
        <v>0.5</v>
      </c>
      <c r="V515">
        <v>0.4</v>
      </c>
      <c r="W515">
        <v>0.1</v>
      </c>
      <c r="X515">
        <v>-1</v>
      </c>
      <c r="Y515">
        <v>-1</v>
      </c>
      <c r="Z515">
        <v>-1</v>
      </c>
      <c r="AA515">
        <v>-1</v>
      </c>
      <c r="AB515">
        <v>-1</v>
      </c>
      <c r="AC515">
        <v>-1</v>
      </c>
      <c r="AD515">
        <v>-1</v>
      </c>
      <c r="AE515">
        <v>-1</v>
      </c>
      <c r="AF515">
        <v>2</v>
      </c>
      <c r="AG515">
        <v>5</v>
      </c>
      <c r="AH515">
        <v>10</v>
      </c>
      <c r="AI515">
        <v>-1</v>
      </c>
      <c r="AJ515">
        <v>-1</v>
      </c>
      <c r="AK515">
        <v>-1</v>
      </c>
      <c r="AL515">
        <v>-1</v>
      </c>
      <c r="AM515">
        <v>-1</v>
      </c>
      <c r="AN515">
        <v>-1</v>
      </c>
      <c r="AO515">
        <v>-1</v>
      </c>
      <c r="AP515">
        <v>-1</v>
      </c>
      <c r="AQ515">
        <v>0.5</v>
      </c>
      <c r="AR515" t="s">
        <v>0</v>
      </c>
      <c r="AS515">
        <v>5</v>
      </c>
      <c r="AT515">
        <v>5</v>
      </c>
      <c r="AU515">
        <v>5</v>
      </c>
      <c r="AV515">
        <v>0.5</v>
      </c>
      <c r="AW515">
        <v>0.4</v>
      </c>
      <c r="AX515">
        <v>0.1</v>
      </c>
      <c r="AY515">
        <v>1</v>
      </c>
      <c r="AZ515">
        <v>2</v>
      </c>
      <c r="BA515">
        <v>5</v>
      </c>
      <c r="BB515">
        <v>0</v>
      </c>
      <c r="BC515" t="s">
        <v>2</v>
      </c>
      <c r="BD515">
        <v>-1</v>
      </c>
      <c r="BE515">
        <v>-1</v>
      </c>
      <c r="BF515">
        <v>-1</v>
      </c>
      <c r="BG515">
        <v>-1</v>
      </c>
      <c r="BH515">
        <v>-1</v>
      </c>
      <c r="BI515">
        <v>-1</v>
      </c>
      <c r="BJ515">
        <v>-1</v>
      </c>
      <c r="BK515">
        <v>-1</v>
      </c>
      <c r="BL515">
        <v>-1</v>
      </c>
      <c r="BM515">
        <v>-1</v>
      </c>
      <c r="BN515">
        <v>-1</v>
      </c>
      <c r="BO515">
        <v>-1</v>
      </c>
    </row>
    <row r="516" spans="1:67" x14ac:dyDescent="0.25">
      <c r="A516">
        <v>513</v>
      </c>
      <c r="B516">
        <v>30010</v>
      </c>
      <c r="C516" t="str">
        <f>VLOOKUP(B516,[1]resources!$A$2:$D$300,3,FALSE)</f>
        <v>!!SMOOTHIE_STRAWNANA_TSUNAMI</v>
      </c>
      <c r="D516">
        <v>100</v>
      </c>
      <c r="E516" t="str">
        <f>VLOOKUP(D516,[1]bonus_paytable!$A$2:$D$300,3,FALSE)</f>
        <v>halloween_base_ghosts</v>
      </c>
      <c r="F516">
        <v>-1</v>
      </c>
      <c r="G516">
        <v>-1</v>
      </c>
      <c r="H516">
        <v>1</v>
      </c>
      <c r="I516" t="s">
        <v>1</v>
      </c>
      <c r="J516">
        <v>3</v>
      </c>
      <c r="K516">
        <v>3</v>
      </c>
      <c r="L516">
        <v>3</v>
      </c>
      <c r="M516">
        <v>-1</v>
      </c>
      <c r="N516">
        <v>-1</v>
      </c>
      <c r="O516">
        <v>-1</v>
      </c>
      <c r="P516">
        <v>-1</v>
      </c>
      <c r="Q516">
        <v>-1</v>
      </c>
      <c r="R516">
        <v>-1</v>
      </c>
      <c r="S516">
        <v>-1</v>
      </c>
      <c r="T516">
        <v>-1</v>
      </c>
      <c r="U516">
        <v>0.5</v>
      </c>
      <c r="V516">
        <v>0.4</v>
      </c>
      <c r="W516">
        <v>0.1</v>
      </c>
      <c r="X516">
        <v>-1</v>
      </c>
      <c r="Y516">
        <v>-1</v>
      </c>
      <c r="Z516">
        <v>-1</v>
      </c>
      <c r="AA516">
        <v>-1</v>
      </c>
      <c r="AB516">
        <v>-1</v>
      </c>
      <c r="AC516">
        <v>-1</v>
      </c>
      <c r="AD516">
        <v>-1</v>
      </c>
      <c r="AE516">
        <v>-1</v>
      </c>
      <c r="AF516">
        <v>2</v>
      </c>
      <c r="AG516">
        <v>5</v>
      </c>
      <c r="AH516">
        <v>10</v>
      </c>
      <c r="AI516">
        <v>-1</v>
      </c>
      <c r="AJ516">
        <v>-1</v>
      </c>
      <c r="AK516">
        <v>-1</v>
      </c>
      <c r="AL516">
        <v>-1</v>
      </c>
      <c r="AM516">
        <v>-1</v>
      </c>
      <c r="AN516">
        <v>-1</v>
      </c>
      <c r="AO516">
        <v>-1</v>
      </c>
      <c r="AP516">
        <v>-1</v>
      </c>
      <c r="AQ516">
        <v>0.5</v>
      </c>
      <c r="AR516" t="s">
        <v>0</v>
      </c>
      <c r="AS516">
        <v>5</v>
      </c>
      <c r="AT516">
        <v>5</v>
      </c>
      <c r="AU516">
        <v>5</v>
      </c>
      <c r="AV516">
        <v>0.5</v>
      </c>
      <c r="AW516">
        <v>0.4</v>
      </c>
      <c r="AX516">
        <v>0.1</v>
      </c>
      <c r="AY516">
        <v>1</v>
      </c>
      <c r="AZ516">
        <v>2</v>
      </c>
      <c r="BA516">
        <v>5</v>
      </c>
      <c r="BB516">
        <v>0</v>
      </c>
      <c r="BC516" t="s">
        <v>2</v>
      </c>
      <c r="BD516">
        <v>-1</v>
      </c>
      <c r="BE516">
        <v>-1</v>
      </c>
      <c r="BF516">
        <v>-1</v>
      </c>
      <c r="BG516">
        <v>-1</v>
      </c>
      <c r="BH516">
        <v>-1</v>
      </c>
      <c r="BI516">
        <v>-1</v>
      </c>
      <c r="BJ516">
        <v>-1</v>
      </c>
      <c r="BK516">
        <v>-1</v>
      </c>
      <c r="BL516">
        <v>-1</v>
      </c>
      <c r="BM516">
        <v>-1</v>
      </c>
      <c r="BN516">
        <v>-1</v>
      </c>
      <c r="BO516">
        <v>-1</v>
      </c>
    </row>
    <row r="517" spans="1:67" x14ac:dyDescent="0.25">
      <c r="A517">
        <v>514</v>
      </c>
      <c r="B517">
        <v>30011</v>
      </c>
      <c r="C517" t="str">
        <f>VLOOKUP(B517,[1]resources!$A$2:$D$300,3,FALSE)</f>
        <v>!!SMOOTHIE_WANNANANA</v>
      </c>
      <c r="D517">
        <v>100</v>
      </c>
      <c r="E517" t="str">
        <f>VLOOKUP(D517,[1]bonus_paytable!$A$2:$D$300,3,FALSE)</f>
        <v>halloween_base_ghosts</v>
      </c>
      <c r="F517">
        <v>-1</v>
      </c>
      <c r="G517">
        <v>-1</v>
      </c>
      <c r="H517">
        <v>1</v>
      </c>
      <c r="I517" t="s">
        <v>1</v>
      </c>
      <c r="J517">
        <v>3</v>
      </c>
      <c r="K517">
        <v>3</v>
      </c>
      <c r="L517">
        <v>3</v>
      </c>
      <c r="M517">
        <v>-1</v>
      </c>
      <c r="N517">
        <v>-1</v>
      </c>
      <c r="O517">
        <v>-1</v>
      </c>
      <c r="P517">
        <v>-1</v>
      </c>
      <c r="Q517">
        <v>-1</v>
      </c>
      <c r="R517">
        <v>-1</v>
      </c>
      <c r="S517">
        <v>-1</v>
      </c>
      <c r="T517">
        <v>-1</v>
      </c>
      <c r="U517">
        <v>0.5</v>
      </c>
      <c r="V517">
        <v>0.4</v>
      </c>
      <c r="W517">
        <v>0.1</v>
      </c>
      <c r="X517">
        <v>-1</v>
      </c>
      <c r="Y517">
        <v>-1</v>
      </c>
      <c r="Z517">
        <v>-1</v>
      </c>
      <c r="AA517">
        <v>-1</v>
      </c>
      <c r="AB517">
        <v>-1</v>
      </c>
      <c r="AC517">
        <v>-1</v>
      </c>
      <c r="AD517">
        <v>-1</v>
      </c>
      <c r="AE517">
        <v>-1</v>
      </c>
      <c r="AF517">
        <v>2</v>
      </c>
      <c r="AG517">
        <v>5</v>
      </c>
      <c r="AH517">
        <v>10</v>
      </c>
      <c r="AI517">
        <v>-1</v>
      </c>
      <c r="AJ517">
        <v>-1</v>
      </c>
      <c r="AK517">
        <v>-1</v>
      </c>
      <c r="AL517">
        <v>-1</v>
      </c>
      <c r="AM517">
        <v>-1</v>
      </c>
      <c r="AN517">
        <v>-1</v>
      </c>
      <c r="AO517">
        <v>-1</v>
      </c>
      <c r="AP517">
        <v>-1</v>
      </c>
      <c r="AQ517">
        <v>0.5</v>
      </c>
      <c r="AR517" t="s">
        <v>0</v>
      </c>
      <c r="AS517">
        <v>5</v>
      </c>
      <c r="AT517">
        <v>5</v>
      </c>
      <c r="AU517">
        <v>5</v>
      </c>
      <c r="AV517">
        <v>0.5</v>
      </c>
      <c r="AW517">
        <v>0.4</v>
      </c>
      <c r="AX517">
        <v>0.1</v>
      </c>
      <c r="AY517">
        <v>1</v>
      </c>
      <c r="AZ517">
        <v>2</v>
      </c>
      <c r="BA517">
        <v>5</v>
      </c>
      <c r="BB517">
        <v>0</v>
      </c>
      <c r="BC517" t="s">
        <v>2</v>
      </c>
      <c r="BD517">
        <v>-1</v>
      </c>
      <c r="BE517">
        <v>-1</v>
      </c>
      <c r="BF517">
        <v>-1</v>
      </c>
      <c r="BG517">
        <v>-1</v>
      </c>
      <c r="BH517">
        <v>-1</v>
      </c>
      <c r="BI517">
        <v>-1</v>
      </c>
      <c r="BJ517">
        <v>-1</v>
      </c>
      <c r="BK517">
        <v>-1</v>
      </c>
      <c r="BL517">
        <v>-1</v>
      </c>
      <c r="BM517">
        <v>-1</v>
      </c>
      <c r="BN517">
        <v>-1</v>
      </c>
      <c r="BO517">
        <v>-1</v>
      </c>
    </row>
    <row r="518" spans="1:67" x14ac:dyDescent="0.25">
      <c r="A518">
        <v>515</v>
      </c>
      <c r="B518">
        <v>40000</v>
      </c>
      <c r="C518" t="str">
        <f>VLOOKUP(B518,[1]resources!$A$2:$D$300,3,FALSE)</f>
        <v>!!ICECREAM_BANANA</v>
      </c>
      <c r="D518">
        <v>100</v>
      </c>
      <c r="E518" t="str">
        <f>VLOOKUP(D518,[1]bonus_paytable!$A$2:$D$300,3,FALSE)</f>
        <v>halloween_base_ghosts</v>
      </c>
      <c r="F518">
        <v>-1</v>
      </c>
      <c r="G518">
        <v>-1</v>
      </c>
      <c r="H518">
        <v>1</v>
      </c>
      <c r="I518" t="s">
        <v>1</v>
      </c>
      <c r="J518">
        <v>3</v>
      </c>
      <c r="K518">
        <v>3</v>
      </c>
      <c r="L518">
        <v>3</v>
      </c>
      <c r="M518">
        <v>-1</v>
      </c>
      <c r="N518">
        <v>-1</v>
      </c>
      <c r="O518">
        <v>-1</v>
      </c>
      <c r="P518">
        <v>-1</v>
      </c>
      <c r="Q518">
        <v>-1</v>
      </c>
      <c r="R518">
        <v>-1</v>
      </c>
      <c r="S518">
        <v>-1</v>
      </c>
      <c r="T518">
        <v>-1</v>
      </c>
      <c r="U518">
        <v>0.5</v>
      </c>
      <c r="V518">
        <v>0.4</v>
      </c>
      <c r="W518">
        <v>0.1</v>
      </c>
      <c r="X518">
        <v>-1</v>
      </c>
      <c r="Y518">
        <v>-1</v>
      </c>
      <c r="Z518">
        <v>-1</v>
      </c>
      <c r="AA518">
        <v>-1</v>
      </c>
      <c r="AB518">
        <v>-1</v>
      </c>
      <c r="AC518">
        <v>-1</v>
      </c>
      <c r="AD518">
        <v>-1</v>
      </c>
      <c r="AE518">
        <v>-1</v>
      </c>
      <c r="AF518">
        <v>2</v>
      </c>
      <c r="AG518">
        <v>5</v>
      </c>
      <c r="AH518">
        <v>10</v>
      </c>
      <c r="AI518">
        <v>-1</v>
      </c>
      <c r="AJ518">
        <v>-1</v>
      </c>
      <c r="AK518">
        <v>-1</v>
      </c>
      <c r="AL518">
        <v>-1</v>
      </c>
      <c r="AM518">
        <v>-1</v>
      </c>
      <c r="AN518">
        <v>-1</v>
      </c>
      <c r="AO518">
        <v>-1</v>
      </c>
      <c r="AP518">
        <v>-1</v>
      </c>
      <c r="AQ518">
        <v>0.5</v>
      </c>
      <c r="AR518" t="s">
        <v>0</v>
      </c>
      <c r="AS518">
        <v>5</v>
      </c>
      <c r="AT518">
        <v>5</v>
      </c>
      <c r="AU518">
        <v>5</v>
      </c>
      <c r="AV518">
        <v>0.5</v>
      </c>
      <c r="AW518">
        <v>0.4</v>
      </c>
      <c r="AX518">
        <v>0.1</v>
      </c>
      <c r="AY518">
        <v>1</v>
      </c>
      <c r="AZ518">
        <v>2</v>
      </c>
      <c r="BA518">
        <v>5</v>
      </c>
      <c r="BB518">
        <v>0</v>
      </c>
      <c r="BC518" t="s">
        <v>2</v>
      </c>
      <c r="BD518">
        <v>-1</v>
      </c>
      <c r="BE518">
        <v>-1</v>
      </c>
      <c r="BF518">
        <v>-1</v>
      </c>
      <c r="BG518">
        <v>-1</v>
      </c>
      <c r="BH518">
        <v>-1</v>
      </c>
      <c r="BI518">
        <v>-1</v>
      </c>
      <c r="BJ518">
        <v>-1</v>
      </c>
      <c r="BK518">
        <v>-1</v>
      </c>
      <c r="BL518">
        <v>-1</v>
      </c>
      <c r="BM518">
        <v>-1</v>
      </c>
      <c r="BN518">
        <v>-1</v>
      </c>
      <c r="BO518">
        <v>-1</v>
      </c>
    </row>
    <row r="519" spans="1:67" x14ac:dyDescent="0.25">
      <c r="A519">
        <v>516</v>
      </c>
      <c r="B519">
        <v>40001</v>
      </c>
      <c r="C519" t="str">
        <f>VLOOKUP(B519,[1]resources!$A$2:$D$300,3,FALSE)</f>
        <v>!!ICECREAM_BANANA_SPLIT</v>
      </c>
      <c r="D519">
        <v>100</v>
      </c>
      <c r="E519" t="str">
        <f>VLOOKUP(D519,[1]bonus_paytable!$A$2:$D$300,3,FALSE)</f>
        <v>halloween_base_ghosts</v>
      </c>
      <c r="F519">
        <v>-1</v>
      </c>
      <c r="G519">
        <v>-1</v>
      </c>
      <c r="H519">
        <v>1</v>
      </c>
      <c r="I519" t="s">
        <v>1</v>
      </c>
      <c r="J519">
        <v>3</v>
      </c>
      <c r="K519">
        <v>3</v>
      </c>
      <c r="L519">
        <v>3</v>
      </c>
      <c r="M519">
        <v>-1</v>
      </c>
      <c r="N519">
        <v>-1</v>
      </c>
      <c r="O519">
        <v>-1</v>
      </c>
      <c r="P519">
        <v>-1</v>
      </c>
      <c r="Q519">
        <v>-1</v>
      </c>
      <c r="R519">
        <v>-1</v>
      </c>
      <c r="S519">
        <v>-1</v>
      </c>
      <c r="T519">
        <v>-1</v>
      </c>
      <c r="U519">
        <v>0.5</v>
      </c>
      <c r="V519">
        <v>0.4</v>
      </c>
      <c r="W519">
        <v>0.1</v>
      </c>
      <c r="X519">
        <v>-1</v>
      </c>
      <c r="Y519">
        <v>-1</v>
      </c>
      <c r="Z519">
        <v>-1</v>
      </c>
      <c r="AA519">
        <v>-1</v>
      </c>
      <c r="AB519">
        <v>-1</v>
      </c>
      <c r="AC519">
        <v>-1</v>
      </c>
      <c r="AD519">
        <v>-1</v>
      </c>
      <c r="AE519">
        <v>-1</v>
      </c>
      <c r="AF519">
        <v>2</v>
      </c>
      <c r="AG519">
        <v>5</v>
      </c>
      <c r="AH519">
        <v>10</v>
      </c>
      <c r="AI519">
        <v>-1</v>
      </c>
      <c r="AJ519">
        <v>-1</v>
      </c>
      <c r="AK519">
        <v>-1</v>
      </c>
      <c r="AL519">
        <v>-1</v>
      </c>
      <c r="AM519">
        <v>-1</v>
      </c>
      <c r="AN519">
        <v>-1</v>
      </c>
      <c r="AO519">
        <v>-1</v>
      </c>
      <c r="AP519">
        <v>-1</v>
      </c>
      <c r="AQ519">
        <v>0.5</v>
      </c>
      <c r="AR519" t="s">
        <v>0</v>
      </c>
      <c r="AS519">
        <v>5</v>
      </c>
      <c r="AT519">
        <v>5</v>
      </c>
      <c r="AU519">
        <v>5</v>
      </c>
      <c r="AV519">
        <v>0.5</v>
      </c>
      <c r="AW519">
        <v>0.4</v>
      </c>
      <c r="AX519">
        <v>0.1</v>
      </c>
      <c r="AY519">
        <v>1</v>
      </c>
      <c r="AZ519">
        <v>2</v>
      </c>
      <c r="BA519">
        <v>5</v>
      </c>
      <c r="BB519">
        <v>0</v>
      </c>
      <c r="BC519" t="s">
        <v>2</v>
      </c>
      <c r="BD519">
        <v>-1</v>
      </c>
      <c r="BE519">
        <v>-1</v>
      </c>
      <c r="BF519">
        <v>-1</v>
      </c>
      <c r="BG519">
        <v>-1</v>
      </c>
      <c r="BH519">
        <v>-1</v>
      </c>
      <c r="BI519">
        <v>-1</v>
      </c>
      <c r="BJ519">
        <v>-1</v>
      </c>
      <c r="BK519">
        <v>-1</v>
      </c>
      <c r="BL519">
        <v>-1</v>
      </c>
      <c r="BM519">
        <v>-1</v>
      </c>
      <c r="BN519">
        <v>-1</v>
      </c>
      <c r="BO519">
        <v>-1</v>
      </c>
    </row>
    <row r="520" spans="1:67" x14ac:dyDescent="0.25">
      <c r="A520">
        <v>517</v>
      </c>
      <c r="B520">
        <v>40002</v>
      </c>
      <c r="C520" t="str">
        <f>VLOOKUP(B520,[1]resources!$A$2:$D$300,3,FALSE)</f>
        <v>!!ICECREAM_BERRY_SCOOPS</v>
      </c>
      <c r="D520">
        <v>100</v>
      </c>
      <c r="E520" t="str">
        <f>VLOOKUP(D520,[1]bonus_paytable!$A$2:$D$300,3,FALSE)</f>
        <v>halloween_base_ghosts</v>
      </c>
      <c r="F520">
        <v>-1</v>
      </c>
      <c r="G520">
        <v>-1</v>
      </c>
      <c r="H520">
        <v>1</v>
      </c>
      <c r="I520" t="s">
        <v>1</v>
      </c>
      <c r="J520">
        <v>3</v>
      </c>
      <c r="K520">
        <v>3</v>
      </c>
      <c r="L520">
        <v>3</v>
      </c>
      <c r="M520">
        <v>-1</v>
      </c>
      <c r="N520">
        <v>-1</v>
      </c>
      <c r="O520">
        <v>-1</v>
      </c>
      <c r="P520">
        <v>-1</v>
      </c>
      <c r="Q520">
        <v>-1</v>
      </c>
      <c r="R520">
        <v>-1</v>
      </c>
      <c r="S520">
        <v>-1</v>
      </c>
      <c r="T520">
        <v>-1</v>
      </c>
      <c r="U520">
        <v>0.5</v>
      </c>
      <c r="V520">
        <v>0.4</v>
      </c>
      <c r="W520">
        <v>0.1</v>
      </c>
      <c r="X520">
        <v>-1</v>
      </c>
      <c r="Y520">
        <v>-1</v>
      </c>
      <c r="Z520">
        <v>-1</v>
      </c>
      <c r="AA520">
        <v>-1</v>
      </c>
      <c r="AB520">
        <v>-1</v>
      </c>
      <c r="AC520">
        <v>-1</v>
      </c>
      <c r="AD520">
        <v>-1</v>
      </c>
      <c r="AE520">
        <v>-1</v>
      </c>
      <c r="AF520">
        <v>2</v>
      </c>
      <c r="AG520">
        <v>5</v>
      </c>
      <c r="AH520">
        <v>10</v>
      </c>
      <c r="AI520">
        <v>-1</v>
      </c>
      <c r="AJ520">
        <v>-1</v>
      </c>
      <c r="AK520">
        <v>-1</v>
      </c>
      <c r="AL520">
        <v>-1</v>
      </c>
      <c r="AM520">
        <v>-1</v>
      </c>
      <c r="AN520">
        <v>-1</v>
      </c>
      <c r="AO520">
        <v>-1</v>
      </c>
      <c r="AP520">
        <v>-1</v>
      </c>
      <c r="AQ520">
        <v>0.5</v>
      </c>
      <c r="AR520" t="s">
        <v>0</v>
      </c>
      <c r="AS520">
        <v>5</v>
      </c>
      <c r="AT520">
        <v>5</v>
      </c>
      <c r="AU520">
        <v>5</v>
      </c>
      <c r="AV520">
        <v>0.5</v>
      </c>
      <c r="AW520">
        <v>0.4</v>
      </c>
      <c r="AX520">
        <v>0.1</v>
      </c>
      <c r="AY520">
        <v>1</v>
      </c>
      <c r="AZ520">
        <v>2</v>
      </c>
      <c r="BA520">
        <v>5</v>
      </c>
      <c r="BB520">
        <v>0</v>
      </c>
      <c r="BC520" t="s">
        <v>2</v>
      </c>
      <c r="BD520">
        <v>-1</v>
      </c>
      <c r="BE520">
        <v>-1</v>
      </c>
      <c r="BF520">
        <v>-1</v>
      </c>
      <c r="BG520">
        <v>-1</v>
      </c>
      <c r="BH520">
        <v>-1</v>
      </c>
      <c r="BI520">
        <v>-1</v>
      </c>
      <c r="BJ520">
        <v>-1</v>
      </c>
      <c r="BK520">
        <v>-1</v>
      </c>
      <c r="BL520">
        <v>-1</v>
      </c>
      <c r="BM520">
        <v>-1</v>
      </c>
      <c r="BN520">
        <v>-1</v>
      </c>
      <c r="BO520">
        <v>-1</v>
      </c>
    </row>
    <row r="521" spans="1:67" x14ac:dyDescent="0.25">
      <c r="A521">
        <v>518</v>
      </c>
      <c r="B521">
        <v>40003</v>
      </c>
      <c r="C521" t="str">
        <f>VLOOKUP(B521,[1]resources!$A$2:$D$300,3,FALSE)</f>
        <v>!!ICECREAM_CARAMEL</v>
      </c>
      <c r="D521">
        <v>100</v>
      </c>
      <c r="E521" t="str">
        <f>VLOOKUP(D521,[1]bonus_paytable!$A$2:$D$300,3,FALSE)</f>
        <v>halloween_base_ghosts</v>
      </c>
      <c r="F521">
        <v>-1</v>
      </c>
      <c r="G521">
        <v>-1</v>
      </c>
      <c r="H521">
        <v>1</v>
      </c>
      <c r="I521" t="s">
        <v>1</v>
      </c>
      <c r="J521">
        <v>3</v>
      </c>
      <c r="K521">
        <v>3</v>
      </c>
      <c r="L521">
        <v>3</v>
      </c>
      <c r="M521">
        <v>-1</v>
      </c>
      <c r="N521">
        <v>-1</v>
      </c>
      <c r="O521">
        <v>-1</v>
      </c>
      <c r="P521">
        <v>-1</v>
      </c>
      <c r="Q521">
        <v>-1</v>
      </c>
      <c r="R521">
        <v>-1</v>
      </c>
      <c r="S521">
        <v>-1</v>
      </c>
      <c r="T521">
        <v>-1</v>
      </c>
      <c r="U521">
        <v>0.5</v>
      </c>
      <c r="V521">
        <v>0.4</v>
      </c>
      <c r="W521">
        <v>0.1</v>
      </c>
      <c r="X521">
        <v>-1</v>
      </c>
      <c r="Y521">
        <v>-1</v>
      </c>
      <c r="Z521">
        <v>-1</v>
      </c>
      <c r="AA521">
        <v>-1</v>
      </c>
      <c r="AB521">
        <v>-1</v>
      </c>
      <c r="AC521">
        <v>-1</v>
      </c>
      <c r="AD521">
        <v>-1</v>
      </c>
      <c r="AE521">
        <v>-1</v>
      </c>
      <c r="AF521">
        <v>2</v>
      </c>
      <c r="AG521">
        <v>5</v>
      </c>
      <c r="AH521">
        <v>10</v>
      </c>
      <c r="AI521">
        <v>-1</v>
      </c>
      <c r="AJ521">
        <v>-1</v>
      </c>
      <c r="AK521">
        <v>-1</v>
      </c>
      <c r="AL521">
        <v>-1</v>
      </c>
      <c r="AM521">
        <v>-1</v>
      </c>
      <c r="AN521">
        <v>-1</v>
      </c>
      <c r="AO521">
        <v>-1</v>
      </c>
      <c r="AP521">
        <v>-1</v>
      </c>
      <c r="AQ521">
        <v>0.5</v>
      </c>
      <c r="AR521" t="s">
        <v>0</v>
      </c>
      <c r="AS521">
        <v>5</v>
      </c>
      <c r="AT521">
        <v>5</v>
      </c>
      <c r="AU521">
        <v>5</v>
      </c>
      <c r="AV521">
        <v>0.5</v>
      </c>
      <c r="AW521">
        <v>0.4</v>
      </c>
      <c r="AX521">
        <v>0.1</v>
      </c>
      <c r="AY521">
        <v>1</v>
      </c>
      <c r="AZ521">
        <v>2</v>
      </c>
      <c r="BA521">
        <v>5</v>
      </c>
      <c r="BB521">
        <v>0</v>
      </c>
      <c r="BC521" t="s">
        <v>2</v>
      </c>
      <c r="BD521">
        <v>-1</v>
      </c>
      <c r="BE521">
        <v>-1</v>
      </c>
      <c r="BF521">
        <v>-1</v>
      </c>
      <c r="BG521">
        <v>-1</v>
      </c>
      <c r="BH521">
        <v>-1</v>
      </c>
      <c r="BI521">
        <v>-1</v>
      </c>
      <c r="BJ521">
        <v>-1</v>
      </c>
      <c r="BK521">
        <v>-1</v>
      </c>
      <c r="BL521">
        <v>-1</v>
      </c>
      <c r="BM521">
        <v>-1</v>
      </c>
      <c r="BN521">
        <v>-1</v>
      </c>
      <c r="BO521">
        <v>-1</v>
      </c>
    </row>
    <row r="522" spans="1:67" x14ac:dyDescent="0.25">
      <c r="A522">
        <v>519</v>
      </c>
      <c r="B522">
        <v>40004</v>
      </c>
      <c r="C522" t="str">
        <f>VLOOKUP(B522,[1]resources!$A$2:$D$300,3,FALSE)</f>
        <v>!!ICECREAM_CORAL_BITS</v>
      </c>
      <c r="D522">
        <v>100</v>
      </c>
      <c r="E522" t="str">
        <f>VLOOKUP(D522,[1]bonus_paytable!$A$2:$D$300,3,FALSE)</f>
        <v>halloween_base_ghosts</v>
      </c>
      <c r="F522">
        <v>-1</v>
      </c>
      <c r="G522">
        <v>-1</v>
      </c>
      <c r="H522">
        <v>1</v>
      </c>
      <c r="I522" t="s">
        <v>1</v>
      </c>
      <c r="J522">
        <v>3</v>
      </c>
      <c r="K522">
        <v>3</v>
      </c>
      <c r="L522">
        <v>3</v>
      </c>
      <c r="M522">
        <v>-1</v>
      </c>
      <c r="N522">
        <v>-1</v>
      </c>
      <c r="O522">
        <v>-1</v>
      </c>
      <c r="P522">
        <v>-1</v>
      </c>
      <c r="Q522">
        <v>-1</v>
      </c>
      <c r="R522">
        <v>-1</v>
      </c>
      <c r="S522">
        <v>-1</v>
      </c>
      <c r="T522">
        <v>-1</v>
      </c>
      <c r="U522">
        <v>0.5</v>
      </c>
      <c r="V522">
        <v>0.4</v>
      </c>
      <c r="W522">
        <v>0.1</v>
      </c>
      <c r="X522">
        <v>-1</v>
      </c>
      <c r="Y522">
        <v>-1</v>
      </c>
      <c r="Z522">
        <v>-1</v>
      </c>
      <c r="AA522">
        <v>-1</v>
      </c>
      <c r="AB522">
        <v>-1</v>
      </c>
      <c r="AC522">
        <v>-1</v>
      </c>
      <c r="AD522">
        <v>-1</v>
      </c>
      <c r="AE522">
        <v>-1</v>
      </c>
      <c r="AF522">
        <v>2</v>
      </c>
      <c r="AG522">
        <v>5</v>
      </c>
      <c r="AH522">
        <v>10</v>
      </c>
      <c r="AI522">
        <v>-1</v>
      </c>
      <c r="AJ522">
        <v>-1</v>
      </c>
      <c r="AK522">
        <v>-1</v>
      </c>
      <c r="AL522">
        <v>-1</v>
      </c>
      <c r="AM522">
        <v>-1</v>
      </c>
      <c r="AN522">
        <v>-1</v>
      </c>
      <c r="AO522">
        <v>-1</v>
      </c>
      <c r="AP522">
        <v>-1</v>
      </c>
      <c r="AQ522">
        <v>0.5</v>
      </c>
      <c r="AR522" t="s">
        <v>0</v>
      </c>
      <c r="AS522">
        <v>5</v>
      </c>
      <c r="AT522">
        <v>5</v>
      </c>
      <c r="AU522">
        <v>5</v>
      </c>
      <c r="AV522">
        <v>0.5</v>
      </c>
      <c r="AW522">
        <v>0.4</v>
      </c>
      <c r="AX522">
        <v>0.1</v>
      </c>
      <c r="AY522">
        <v>1</v>
      </c>
      <c r="AZ522">
        <v>2</v>
      </c>
      <c r="BA522">
        <v>5</v>
      </c>
      <c r="BB522">
        <v>0</v>
      </c>
      <c r="BC522" t="s">
        <v>2</v>
      </c>
      <c r="BD522">
        <v>-1</v>
      </c>
      <c r="BE522">
        <v>-1</v>
      </c>
      <c r="BF522">
        <v>-1</v>
      </c>
      <c r="BG522">
        <v>-1</v>
      </c>
      <c r="BH522">
        <v>-1</v>
      </c>
      <c r="BI522">
        <v>-1</v>
      </c>
      <c r="BJ522">
        <v>-1</v>
      </c>
      <c r="BK522">
        <v>-1</v>
      </c>
      <c r="BL522">
        <v>-1</v>
      </c>
      <c r="BM522">
        <v>-1</v>
      </c>
      <c r="BN522">
        <v>-1</v>
      </c>
      <c r="BO522">
        <v>-1</v>
      </c>
    </row>
    <row r="523" spans="1:67" x14ac:dyDescent="0.25">
      <c r="A523">
        <v>520</v>
      </c>
      <c r="B523">
        <v>40005</v>
      </c>
      <c r="C523" t="str">
        <f>VLOOKUP(B523,[1]resources!$A$2:$D$300,3,FALSE)</f>
        <v>!!ICECREAM_LEMON_GELATO</v>
      </c>
      <c r="D523">
        <v>100</v>
      </c>
      <c r="E523" t="str">
        <f>VLOOKUP(D523,[1]bonus_paytable!$A$2:$D$300,3,FALSE)</f>
        <v>halloween_base_ghosts</v>
      </c>
      <c r="F523">
        <v>-1</v>
      </c>
      <c r="G523">
        <v>-1</v>
      </c>
      <c r="H523">
        <v>1</v>
      </c>
      <c r="I523" t="s">
        <v>1</v>
      </c>
      <c r="J523">
        <v>3</v>
      </c>
      <c r="K523">
        <v>3</v>
      </c>
      <c r="L523">
        <v>3</v>
      </c>
      <c r="M523">
        <v>-1</v>
      </c>
      <c r="N523">
        <v>-1</v>
      </c>
      <c r="O523">
        <v>-1</v>
      </c>
      <c r="P523">
        <v>-1</v>
      </c>
      <c r="Q523">
        <v>-1</v>
      </c>
      <c r="R523">
        <v>-1</v>
      </c>
      <c r="S523">
        <v>-1</v>
      </c>
      <c r="T523">
        <v>-1</v>
      </c>
      <c r="U523">
        <v>0.5</v>
      </c>
      <c r="V523">
        <v>0.4</v>
      </c>
      <c r="W523">
        <v>0.1</v>
      </c>
      <c r="X523">
        <v>-1</v>
      </c>
      <c r="Y523">
        <v>-1</v>
      </c>
      <c r="Z523">
        <v>-1</v>
      </c>
      <c r="AA523">
        <v>-1</v>
      </c>
      <c r="AB523">
        <v>-1</v>
      </c>
      <c r="AC523">
        <v>-1</v>
      </c>
      <c r="AD523">
        <v>-1</v>
      </c>
      <c r="AE523">
        <v>-1</v>
      </c>
      <c r="AF523">
        <v>2</v>
      </c>
      <c r="AG523">
        <v>5</v>
      </c>
      <c r="AH523">
        <v>10</v>
      </c>
      <c r="AI523">
        <v>-1</v>
      </c>
      <c r="AJ523">
        <v>-1</v>
      </c>
      <c r="AK523">
        <v>-1</v>
      </c>
      <c r="AL523">
        <v>-1</v>
      </c>
      <c r="AM523">
        <v>-1</v>
      </c>
      <c r="AN523">
        <v>-1</v>
      </c>
      <c r="AO523">
        <v>-1</v>
      </c>
      <c r="AP523">
        <v>-1</v>
      </c>
      <c r="AQ523">
        <v>0.5</v>
      </c>
      <c r="AR523" t="s">
        <v>0</v>
      </c>
      <c r="AS523">
        <v>5</v>
      </c>
      <c r="AT523">
        <v>5</v>
      </c>
      <c r="AU523">
        <v>5</v>
      </c>
      <c r="AV523">
        <v>0.5</v>
      </c>
      <c r="AW523">
        <v>0.4</v>
      </c>
      <c r="AX523">
        <v>0.1</v>
      </c>
      <c r="AY523">
        <v>1</v>
      </c>
      <c r="AZ523">
        <v>2</v>
      </c>
      <c r="BA523">
        <v>5</v>
      </c>
      <c r="BB523">
        <v>0</v>
      </c>
      <c r="BC523" t="s">
        <v>2</v>
      </c>
      <c r="BD523">
        <v>-1</v>
      </c>
      <c r="BE523">
        <v>-1</v>
      </c>
      <c r="BF523">
        <v>-1</v>
      </c>
      <c r="BG523">
        <v>-1</v>
      </c>
      <c r="BH523">
        <v>-1</v>
      </c>
      <c r="BI523">
        <v>-1</v>
      </c>
      <c r="BJ523">
        <v>-1</v>
      </c>
      <c r="BK523">
        <v>-1</v>
      </c>
      <c r="BL523">
        <v>-1</v>
      </c>
      <c r="BM523">
        <v>-1</v>
      </c>
      <c r="BN523">
        <v>-1</v>
      </c>
      <c r="BO523">
        <v>-1</v>
      </c>
    </row>
    <row r="524" spans="1:67" x14ac:dyDescent="0.25">
      <c r="A524">
        <v>521</v>
      </c>
      <c r="B524">
        <v>40006</v>
      </c>
      <c r="C524" t="str">
        <f>VLOOKUP(B524,[1]resources!$A$2:$D$300,3,FALSE)</f>
        <v>!!ICECREAM_SEASALT</v>
      </c>
      <c r="D524">
        <v>100</v>
      </c>
      <c r="E524" t="str">
        <f>VLOOKUP(D524,[1]bonus_paytable!$A$2:$D$300,3,FALSE)</f>
        <v>halloween_base_ghosts</v>
      </c>
      <c r="F524">
        <v>-1</v>
      </c>
      <c r="G524">
        <v>-1</v>
      </c>
      <c r="H524">
        <v>1</v>
      </c>
      <c r="I524" t="s">
        <v>1</v>
      </c>
      <c r="J524">
        <v>3</v>
      </c>
      <c r="K524">
        <v>3</v>
      </c>
      <c r="L524">
        <v>3</v>
      </c>
      <c r="M524">
        <v>-1</v>
      </c>
      <c r="N524">
        <v>-1</v>
      </c>
      <c r="O524">
        <v>-1</v>
      </c>
      <c r="P524">
        <v>-1</v>
      </c>
      <c r="Q524">
        <v>-1</v>
      </c>
      <c r="R524">
        <v>-1</v>
      </c>
      <c r="S524">
        <v>-1</v>
      </c>
      <c r="T524">
        <v>-1</v>
      </c>
      <c r="U524">
        <v>0.5</v>
      </c>
      <c r="V524">
        <v>0.4</v>
      </c>
      <c r="W524">
        <v>0.1</v>
      </c>
      <c r="X524">
        <v>-1</v>
      </c>
      <c r="Y524">
        <v>-1</v>
      </c>
      <c r="Z524">
        <v>-1</v>
      </c>
      <c r="AA524">
        <v>-1</v>
      </c>
      <c r="AB524">
        <v>-1</v>
      </c>
      <c r="AC524">
        <v>-1</v>
      </c>
      <c r="AD524">
        <v>-1</v>
      </c>
      <c r="AE524">
        <v>-1</v>
      </c>
      <c r="AF524">
        <v>2</v>
      </c>
      <c r="AG524">
        <v>5</v>
      </c>
      <c r="AH524">
        <v>10</v>
      </c>
      <c r="AI524">
        <v>-1</v>
      </c>
      <c r="AJ524">
        <v>-1</v>
      </c>
      <c r="AK524">
        <v>-1</v>
      </c>
      <c r="AL524">
        <v>-1</v>
      </c>
      <c r="AM524">
        <v>-1</v>
      </c>
      <c r="AN524">
        <v>-1</v>
      </c>
      <c r="AO524">
        <v>-1</v>
      </c>
      <c r="AP524">
        <v>-1</v>
      </c>
      <c r="AQ524">
        <v>0.5</v>
      </c>
      <c r="AR524" t="s">
        <v>0</v>
      </c>
      <c r="AS524">
        <v>5</v>
      </c>
      <c r="AT524">
        <v>5</v>
      </c>
      <c r="AU524">
        <v>5</v>
      </c>
      <c r="AV524">
        <v>0.5</v>
      </c>
      <c r="AW524">
        <v>0.4</v>
      </c>
      <c r="AX524">
        <v>0.1</v>
      </c>
      <c r="AY524">
        <v>1</v>
      </c>
      <c r="AZ524">
        <v>2</v>
      </c>
      <c r="BA524">
        <v>5</v>
      </c>
      <c r="BB524">
        <v>0</v>
      </c>
      <c r="BC524" t="s">
        <v>2</v>
      </c>
      <c r="BD524">
        <v>-1</v>
      </c>
      <c r="BE524">
        <v>-1</v>
      </c>
      <c r="BF524">
        <v>-1</v>
      </c>
      <c r="BG524">
        <v>-1</v>
      </c>
      <c r="BH524">
        <v>-1</v>
      </c>
      <c r="BI524">
        <v>-1</v>
      </c>
      <c r="BJ524">
        <v>-1</v>
      </c>
      <c r="BK524">
        <v>-1</v>
      </c>
      <c r="BL524">
        <v>-1</v>
      </c>
      <c r="BM524">
        <v>-1</v>
      </c>
      <c r="BN524">
        <v>-1</v>
      </c>
      <c r="BO524">
        <v>-1</v>
      </c>
    </row>
    <row r="525" spans="1:67" x14ac:dyDescent="0.25">
      <c r="A525">
        <v>522</v>
      </c>
      <c r="B525">
        <v>40007</v>
      </c>
      <c r="C525" t="str">
        <f>VLOOKUP(B525,[1]resources!$A$2:$D$300,3,FALSE)</f>
        <v>!!ICECREAM_STRAWBERRY</v>
      </c>
      <c r="D525">
        <v>100</v>
      </c>
      <c r="E525" t="str">
        <f>VLOOKUP(D525,[1]bonus_paytable!$A$2:$D$300,3,FALSE)</f>
        <v>halloween_base_ghosts</v>
      </c>
      <c r="F525">
        <v>-1</v>
      </c>
      <c r="G525">
        <v>-1</v>
      </c>
      <c r="H525">
        <v>1</v>
      </c>
      <c r="I525" t="s">
        <v>1</v>
      </c>
      <c r="J525">
        <v>3</v>
      </c>
      <c r="K525">
        <v>3</v>
      </c>
      <c r="L525">
        <v>3</v>
      </c>
      <c r="M525">
        <v>-1</v>
      </c>
      <c r="N525">
        <v>-1</v>
      </c>
      <c r="O525">
        <v>-1</v>
      </c>
      <c r="P525">
        <v>-1</v>
      </c>
      <c r="Q525">
        <v>-1</v>
      </c>
      <c r="R525">
        <v>-1</v>
      </c>
      <c r="S525">
        <v>-1</v>
      </c>
      <c r="T525">
        <v>-1</v>
      </c>
      <c r="U525">
        <v>0.5</v>
      </c>
      <c r="V525">
        <v>0.4</v>
      </c>
      <c r="W525">
        <v>0.1</v>
      </c>
      <c r="X525">
        <v>-1</v>
      </c>
      <c r="Y525">
        <v>-1</v>
      </c>
      <c r="Z525">
        <v>-1</v>
      </c>
      <c r="AA525">
        <v>-1</v>
      </c>
      <c r="AB525">
        <v>-1</v>
      </c>
      <c r="AC525">
        <v>-1</v>
      </c>
      <c r="AD525">
        <v>-1</v>
      </c>
      <c r="AE525">
        <v>-1</v>
      </c>
      <c r="AF525">
        <v>2</v>
      </c>
      <c r="AG525">
        <v>5</v>
      </c>
      <c r="AH525">
        <v>10</v>
      </c>
      <c r="AI525">
        <v>-1</v>
      </c>
      <c r="AJ525">
        <v>-1</v>
      </c>
      <c r="AK525">
        <v>-1</v>
      </c>
      <c r="AL525">
        <v>-1</v>
      </c>
      <c r="AM525">
        <v>-1</v>
      </c>
      <c r="AN525">
        <v>-1</v>
      </c>
      <c r="AO525">
        <v>-1</v>
      </c>
      <c r="AP525">
        <v>-1</v>
      </c>
      <c r="AQ525">
        <v>0.5</v>
      </c>
      <c r="AR525" t="s">
        <v>0</v>
      </c>
      <c r="AS525">
        <v>5</v>
      </c>
      <c r="AT525">
        <v>5</v>
      </c>
      <c r="AU525">
        <v>5</v>
      </c>
      <c r="AV525">
        <v>0.5</v>
      </c>
      <c r="AW525">
        <v>0.4</v>
      </c>
      <c r="AX525">
        <v>0.1</v>
      </c>
      <c r="AY525">
        <v>1</v>
      </c>
      <c r="AZ525">
        <v>2</v>
      </c>
      <c r="BA525">
        <v>5</v>
      </c>
      <c r="BB525">
        <v>0</v>
      </c>
      <c r="BC525" t="s">
        <v>2</v>
      </c>
      <c r="BD525">
        <v>-1</v>
      </c>
      <c r="BE525">
        <v>-1</v>
      </c>
      <c r="BF525">
        <v>-1</v>
      </c>
      <c r="BG525">
        <v>-1</v>
      </c>
      <c r="BH525">
        <v>-1</v>
      </c>
      <c r="BI525">
        <v>-1</v>
      </c>
      <c r="BJ525">
        <v>-1</v>
      </c>
      <c r="BK525">
        <v>-1</v>
      </c>
      <c r="BL525">
        <v>-1</v>
      </c>
      <c r="BM525">
        <v>-1</v>
      </c>
      <c r="BN525">
        <v>-1</v>
      </c>
      <c r="BO525">
        <v>-1</v>
      </c>
    </row>
    <row r="526" spans="1:67" x14ac:dyDescent="0.25">
      <c r="A526">
        <v>523</v>
      </c>
      <c r="B526">
        <v>40008</v>
      </c>
      <c r="C526" t="str">
        <f>VLOOKUP(B526,[1]resources!$A$2:$D$300,3,FALSE)</f>
        <v>!!ICECREAM_VANILLA</v>
      </c>
      <c r="D526">
        <v>100</v>
      </c>
      <c r="E526" t="str">
        <f>VLOOKUP(D526,[1]bonus_paytable!$A$2:$D$300,3,FALSE)</f>
        <v>halloween_base_ghosts</v>
      </c>
      <c r="F526">
        <v>-1</v>
      </c>
      <c r="G526">
        <v>-1</v>
      </c>
      <c r="H526">
        <v>1</v>
      </c>
      <c r="I526" t="s">
        <v>1</v>
      </c>
      <c r="J526">
        <v>3</v>
      </c>
      <c r="K526">
        <v>3</v>
      </c>
      <c r="L526">
        <v>3</v>
      </c>
      <c r="M526">
        <v>-1</v>
      </c>
      <c r="N526">
        <v>-1</v>
      </c>
      <c r="O526">
        <v>-1</v>
      </c>
      <c r="P526">
        <v>-1</v>
      </c>
      <c r="Q526">
        <v>-1</v>
      </c>
      <c r="R526">
        <v>-1</v>
      </c>
      <c r="S526">
        <v>-1</v>
      </c>
      <c r="T526">
        <v>-1</v>
      </c>
      <c r="U526">
        <v>0.5</v>
      </c>
      <c r="V526">
        <v>0.4</v>
      </c>
      <c r="W526">
        <v>0.1</v>
      </c>
      <c r="X526">
        <v>-1</v>
      </c>
      <c r="Y526">
        <v>-1</v>
      </c>
      <c r="Z526">
        <v>-1</v>
      </c>
      <c r="AA526">
        <v>-1</v>
      </c>
      <c r="AB526">
        <v>-1</v>
      </c>
      <c r="AC526">
        <v>-1</v>
      </c>
      <c r="AD526">
        <v>-1</v>
      </c>
      <c r="AE526">
        <v>-1</v>
      </c>
      <c r="AF526">
        <v>2</v>
      </c>
      <c r="AG526">
        <v>5</v>
      </c>
      <c r="AH526">
        <v>10</v>
      </c>
      <c r="AI526">
        <v>-1</v>
      </c>
      <c r="AJ526">
        <v>-1</v>
      </c>
      <c r="AK526">
        <v>-1</v>
      </c>
      <c r="AL526">
        <v>-1</v>
      </c>
      <c r="AM526">
        <v>-1</v>
      </c>
      <c r="AN526">
        <v>-1</v>
      </c>
      <c r="AO526">
        <v>-1</v>
      </c>
      <c r="AP526">
        <v>-1</v>
      </c>
      <c r="AQ526">
        <v>0.5</v>
      </c>
      <c r="AR526" t="s">
        <v>0</v>
      </c>
      <c r="AS526">
        <v>5</v>
      </c>
      <c r="AT526">
        <v>5</v>
      </c>
      <c r="AU526">
        <v>5</v>
      </c>
      <c r="AV526">
        <v>0.5</v>
      </c>
      <c r="AW526">
        <v>0.4</v>
      </c>
      <c r="AX526">
        <v>0.1</v>
      </c>
      <c r="AY526">
        <v>1</v>
      </c>
      <c r="AZ526">
        <v>2</v>
      </c>
      <c r="BA526">
        <v>5</v>
      </c>
      <c r="BB526">
        <v>0</v>
      </c>
      <c r="BC526" t="s">
        <v>2</v>
      </c>
      <c r="BD526">
        <v>-1</v>
      </c>
      <c r="BE526">
        <v>-1</v>
      </c>
      <c r="BF526">
        <v>-1</v>
      </c>
      <c r="BG526">
        <v>-1</v>
      </c>
      <c r="BH526">
        <v>-1</v>
      </c>
      <c r="BI526">
        <v>-1</v>
      </c>
      <c r="BJ526">
        <v>-1</v>
      </c>
      <c r="BK526">
        <v>-1</v>
      </c>
      <c r="BL526">
        <v>-1</v>
      </c>
      <c r="BM526">
        <v>-1</v>
      </c>
      <c r="BN526">
        <v>-1</v>
      </c>
      <c r="BO526">
        <v>-1</v>
      </c>
    </row>
    <row r="527" spans="1:67" x14ac:dyDescent="0.25">
      <c r="A527">
        <v>524</v>
      </c>
      <c r="B527">
        <v>50000</v>
      </c>
      <c r="C527" t="str">
        <f>VLOOKUP(B527,[1]resources!$A$2:$D$300,3,FALSE)</f>
        <v>!!SHAKE_BANANAS_N_BITS</v>
      </c>
      <c r="D527">
        <v>100</v>
      </c>
      <c r="E527" t="str">
        <f>VLOOKUP(D527,[1]bonus_paytable!$A$2:$D$300,3,FALSE)</f>
        <v>halloween_base_ghosts</v>
      </c>
      <c r="F527">
        <v>-1</v>
      </c>
      <c r="G527">
        <v>-1</v>
      </c>
      <c r="H527">
        <v>1</v>
      </c>
      <c r="I527" t="s">
        <v>1</v>
      </c>
      <c r="J527">
        <v>3</v>
      </c>
      <c r="K527">
        <v>3</v>
      </c>
      <c r="L527">
        <v>3</v>
      </c>
      <c r="M527">
        <v>-1</v>
      </c>
      <c r="N527">
        <v>-1</v>
      </c>
      <c r="O527">
        <v>-1</v>
      </c>
      <c r="P527">
        <v>-1</v>
      </c>
      <c r="Q527">
        <v>-1</v>
      </c>
      <c r="R527">
        <v>-1</v>
      </c>
      <c r="S527">
        <v>-1</v>
      </c>
      <c r="T527">
        <v>-1</v>
      </c>
      <c r="U527">
        <v>0.5</v>
      </c>
      <c r="V527">
        <v>0.4</v>
      </c>
      <c r="W527">
        <v>0.1</v>
      </c>
      <c r="X527">
        <v>-1</v>
      </c>
      <c r="Y527">
        <v>-1</v>
      </c>
      <c r="Z527">
        <v>-1</v>
      </c>
      <c r="AA527">
        <v>-1</v>
      </c>
      <c r="AB527">
        <v>-1</v>
      </c>
      <c r="AC527">
        <v>-1</v>
      </c>
      <c r="AD527">
        <v>-1</v>
      </c>
      <c r="AE527">
        <v>-1</v>
      </c>
      <c r="AF527">
        <v>2</v>
      </c>
      <c r="AG527">
        <v>5</v>
      </c>
      <c r="AH527">
        <v>10</v>
      </c>
      <c r="AI527">
        <v>-1</v>
      </c>
      <c r="AJ527">
        <v>-1</v>
      </c>
      <c r="AK527">
        <v>-1</v>
      </c>
      <c r="AL527">
        <v>-1</v>
      </c>
      <c r="AM527">
        <v>-1</v>
      </c>
      <c r="AN527">
        <v>-1</v>
      </c>
      <c r="AO527">
        <v>-1</v>
      </c>
      <c r="AP527">
        <v>-1</v>
      </c>
      <c r="AQ527">
        <v>0.5</v>
      </c>
      <c r="AR527" t="s">
        <v>0</v>
      </c>
      <c r="AS527">
        <v>5</v>
      </c>
      <c r="AT527">
        <v>5</v>
      </c>
      <c r="AU527">
        <v>5</v>
      </c>
      <c r="AV527">
        <v>0.5</v>
      </c>
      <c r="AW527">
        <v>0.4</v>
      </c>
      <c r="AX527">
        <v>0.1</v>
      </c>
      <c r="AY527">
        <v>1</v>
      </c>
      <c r="AZ527">
        <v>2</v>
      </c>
      <c r="BA527">
        <v>5</v>
      </c>
      <c r="BB527">
        <v>0</v>
      </c>
      <c r="BC527" t="s">
        <v>2</v>
      </c>
      <c r="BD527">
        <v>-1</v>
      </c>
      <c r="BE527">
        <v>-1</v>
      </c>
      <c r="BF527">
        <v>-1</v>
      </c>
      <c r="BG527">
        <v>-1</v>
      </c>
      <c r="BH527">
        <v>-1</v>
      </c>
      <c r="BI527">
        <v>-1</v>
      </c>
      <c r="BJ527">
        <v>-1</v>
      </c>
      <c r="BK527">
        <v>-1</v>
      </c>
      <c r="BL527">
        <v>-1</v>
      </c>
      <c r="BM527">
        <v>-1</v>
      </c>
      <c r="BN527">
        <v>-1</v>
      </c>
      <c r="BO527">
        <v>-1</v>
      </c>
    </row>
    <row r="528" spans="1:67" x14ac:dyDescent="0.25">
      <c r="A528">
        <v>525</v>
      </c>
      <c r="B528">
        <v>50001</v>
      </c>
      <c r="C528" t="str">
        <f>VLOOKUP(B528,[1]resources!$A$2:$D$300,3,FALSE)</f>
        <v>!!SHAKE_BERRY_BLISS</v>
      </c>
      <c r="D528">
        <v>100</v>
      </c>
      <c r="E528" t="str">
        <f>VLOOKUP(D528,[1]bonus_paytable!$A$2:$D$300,3,FALSE)</f>
        <v>halloween_base_ghosts</v>
      </c>
      <c r="F528">
        <v>-1</v>
      </c>
      <c r="G528">
        <v>-1</v>
      </c>
      <c r="H528">
        <v>1</v>
      </c>
      <c r="I528" t="s">
        <v>1</v>
      </c>
      <c r="J528">
        <v>3</v>
      </c>
      <c r="K528">
        <v>3</v>
      </c>
      <c r="L528">
        <v>3</v>
      </c>
      <c r="M528">
        <v>-1</v>
      </c>
      <c r="N528">
        <v>-1</v>
      </c>
      <c r="O528">
        <v>-1</v>
      </c>
      <c r="P528">
        <v>-1</v>
      </c>
      <c r="Q528">
        <v>-1</v>
      </c>
      <c r="R528">
        <v>-1</v>
      </c>
      <c r="S528">
        <v>-1</v>
      </c>
      <c r="T528">
        <v>-1</v>
      </c>
      <c r="U528">
        <v>0.5</v>
      </c>
      <c r="V528">
        <v>0.4</v>
      </c>
      <c r="W528">
        <v>0.1</v>
      </c>
      <c r="X528">
        <v>-1</v>
      </c>
      <c r="Y528">
        <v>-1</v>
      </c>
      <c r="Z528">
        <v>-1</v>
      </c>
      <c r="AA528">
        <v>-1</v>
      </c>
      <c r="AB528">
        <v>-1</v>
      </c>
      <c r="AC528">
        <v>-1</v>
      </c>
      <c r="AD528">
        <v>-1</v>
      </c>
      <c r="AE528">
        <v>-1</v>
      </c>
      <c r="AF528">
        <v>2</v>
      </c>
      <c r="AG528">
        <v>5</v>
      </c>
      <c r="AH528">
        <v>10</v>
      </c>
      <c r="AI528">
        <v>-1</v>
      </c>
      <c r="AJ528">
        <v>-1</v>
      </c>
      <c r="AK528">
        <v>-1</v>
      </c>
      <c r="AL528">
        <v>-1</v>
      </c>
      <c r="AM528">
        <v>-1</v>
      </c>
      <c r="AN528">
        <v>-1</v>
      </c>
      <c r="AO528">
        <v>-1</v>
      </c>
      <c r="AP528">
        <v>-1</v>
      </c>
      <c r="AQ528">
        <v>0.5</v>
      </c>
      <c r="AR528" t="s">
        <v>0</v>
      </c>
      <c r="AS528">
        <v>5</v>
      </c>
      <c r="AT528">
        <v>5</v>
      </c>
      <c r="AU528">
        <v>5</v>
      </c>
      <c r="AV528">
        <v>0.5</v>
      </c>
      <c r="AW528">
        <v>0.4</v>
      </c>
      <c r="AX528">
        <v>0.1</v>
      </c>
      <c r="AY528">
        <v>1</v>
      </c>
      <c r="AZ528">
        <v>2</v>
      </c>
      <c r="BA528">
        <v>5</v>
      </c>
      <c r="BB528">
        <v>0</v>
      </c>
      <c r="BC528" t="s">
        <v>2</v>
      </c>
      <c r="BD528">
        <v>-1</v>
      </c>
      <c r="BE528">
        <v>-1</v>
      </c>
      <c r="BF528">
        <v>-1</v>
      </c>
      <c r="BG528">
        <v>-1</v>
      </c>
      <c r="BH528">
        <v>-1</v>
      </c>
      <c r="BI528">
        <v>-1</v>
      </c>
      <c r="BJ528">
        <v>-1</v>
      </c>
      <c r="BK528">
        <v>-1</v>
      </c>
      <c r="BL528">
        <v>-1</v>
      </c>
      <c r="BM528">
        <v>-1</v>
      </c>
      <c r="BN528">
        <v>-1</v>
      </c>
      <c r="BO528">
        <v>-1</v>
      </c>
    </row>
    <row r="529" spans="1:67" x14ac:dyDescent="0.25">
      <c r="A529">
        <v>526</v>
      </c>
      <c r="B529">
        <v>50002</v>
      </c>
      <c r="C529" t="str">
        <f>VLOOKUP(B529,[1]resources!$A$2:$D$300,3,FALSE)</f>
        <v>!!SHAKE_CORAL_CRUSH</v>
      </c>
      <c r="D529">
        <v>100</v>
      </c>
      <c r="E529" t="str">
        <f>VLOOKUP(D529,[1]bonus_paytable!$A$2:$D$300,3,FALSE)</f>
        <v>halloween_base_ghosts</v>
      </c>
      <c r="F529">
        <v>-1</v>
      </c>
      <c r="G529">
        <v>-1</v>
      </c>
      <c r="H529">
        <v>1</v>
      </c>
      <c r="I529" t="s">
        <v>1</v>
      </c>
      <c r="J529">
        <v>3</v>
      </c>
      <c r="K529">
        <v>3</v>
      </c>
      <c r="L529">
        <v>3</v>
      </c>
      <c r="M529">
        <v>-1</v>
      </c>
      <c r="N529">
        <v>-1</v>
      </c>
      <c r="O529">
        <v>-1</v>
      </c>
      <c r="P529">
        <v>-1</v>
      </c>
      <c r="Q529">
        <v>-1</v>
      </c>
      <c r="R529">
        <v>-1</v>
      </c>
      <c r="S529">
        <v>-1</v>
      </c>
      <c r="T529">
        <v>-1</v>
      </c>
      <c r="U529">
        <v>0.5</v>
      </c>
      <c r="V529">
        <v>0.4</v>
      </c>
      <c r="W529">
        <v>0.1</v>
      </c>
      <c r="X529">
        <v>-1</v>
      </c>
      <c r="Y529">
        <v>-1</v>
      </c>
      <c r="Z529">
        <v>-1</v>
      </c>
      <c r="AA529">
        <v>-1</v>
      </c>
      <c r="AB529">
        <v>-1</v>
      </c>
      <c r="AC529">
        <v>-1</v>
      </c>
      <c r="AD529">
        <v>-1</v>
      </c>
      <c r="AE529">
        <v>-1</v>
      </c>
      <c r="AF529">
        <v>2</v>
      </c>
      <c r="AG529">
        <v>5</v>
      </c>
      <c r="AH529">
        <v>10</v>
      </c>
      <c r="AI529">
        <v>-1</v>
      </c>
      <c r="AJ529">
        <v>-1</v>
      </c>
      <c r="AK529">
        <v>-1</v>
      </c>
      <c r="AL529">
        <v>-1</v>
      </c>
      <c r="AM529">
        <v>-1</v>
      </c>
      <c r="AN529">
        <v>-1</v>
      </c>
      <c r="AO529">
        <v>-1</v>
      </c>
      <c r="AP529">
        <v>-1</v>
      </c>
      <c r="AQ529">
        <v>0.5</v>
      </c>
      <c r="AR529" t="s">
        <v>0</v>
      </c>
      <c r="AS529">
        <v>5</v>
      </c>
      <c r="AT529">
        <v>5</v>
      </c>
      <c r="AU529">
        <v>5</v>
      </c>
      <c r="AV529">
        <v>0.5</v>
      </c>
      <c r="AW529">
        <v>0.4</v>
      </c>
      <c r="AX529">
        <v>0.1</v>
      </c>
      <c r="AY529">
        <v>1</v>
      </c>
      <c r="AZ529">
        <v>2</v>
      </c>
      <c r="BA529">
        <v>5</v>
      </c>
      <c r="BB529">
        <v>0</v>
      </c>
      <c r="BC529" t="s">
        <v>2</v>
      </c>
      <c r="BD529">
        <v>-1</v>
      </c>
      <c r="BE529">
        <v>-1</v>
      </c>
      <c r="BF529">
        <v>-1</v>
      </c>
      <c r="BG529">
        <v>-1</v>
      </c>
      <c r="BH529">
        <v>-1</v>
      </c>
      <c r="BI529">
        <v>-1</v>
      </c>
      <c r="BJ529">
        <v>-1</v>
      </c>
      <c r="BK529">
        <v>-1</v>
      </c>
      <c r="BL529">
        <v>-1</v>
      </c>
      <c r="BM529">
        <v>-1</v>
      </c>
      <c r="BN529">
        <v>-1</v>
      </c>
      <c r="BO529">
        <v>-1</v>
      </c>
    </row>
    <row r="530" spans="1:67" x14ac:dyDescent="0.25">
      <c r="A530">
        <v>527</v>
      </c>
      <c r="B530">
        <v>50003</v>
      </c>
      <c r="C530" t="str">
        <f>VLOOKUP(B530,[1]resources!$A$2:$D$300,3,FALSE)</f>
        <v>!!SHAKE_FRUTIY_BREEZE</v>
      </c>
      <c r="D530">
        <v>100</v>
      </c>
      <c r="E530" t="str">
        <f>VLOOKUP(D530,[1]bonus_paytable!$A$2:$D$300,3,FALSE)</f>
        <v>halloween_base_ghosts</v>
      </c>
      <c r="F530">
        <v>-1</v>
      </c>
      <c r="G530">
        <v>-1</v>
      </c>
      <c r="H530">
        <v>1</v>
      </c>
      <c r="I530" t="s">
        <v>1</v>
      </c>
      <c r="J530">
        <v>3</v>
      </c>
      <c r="K530">
        <v>3</v>
      </c>
      <c r="L530">
        <v>3</v>
      </c>
      <c r="M530">
        <v>-1</v>
      </c>
      <c r="N530">
        <v>-1</v>
      </c>
      <c r="O530">
        <v>-1</v>
      </c>
      <c r="P530">
        <v>-1</v>
      </c>
      <c r="Q530">
        <v>-1</v>
      </c>
      <c r="R530">
        <v>-1</v>
      </c>
      <c r="S530">
        <v>-1</v>
      </c>
      <c r="T530">
        <v>-1</v>
      </c>
      <c r="U530">
        <v>0.5</v>
      </c>
      <c r="V530">
        <v>0.4</v>
      </c>
      <c r="W530">
        <v>0.1</v>
      </c>
      <c r="X530">
        <v>-1</v>
      </c>
      <c r="Y530">
        <v>-1</v>
      </c>
      <c r="Z530">
        <v>-1</v>
      </c>
      <c r="AA530">
        <v>-1</v>
      </c>
      <c r="AB530">
        <v>-1</v>
      </c>
      <c r="AC530">
        <v>-1</v>
      </c>
      <c r="AD530">
        <v>-1</v>
      </c>
      <c r="AE530">
        <v>-1</v>
      </c>
      <c r="AF530">
        <v>2</v>
      </c>
      <c r="AG530">
        <v>5</v>
      </c>
      <c r="AH530">
        <v>10</v>
      </c>
      <c r="AI530">
        <v>-1</v>
      </c>
      <c r="AJ530">
        <v>-1</v>
      </c>
      <c r="AK530">
        <v>-1</v>
      </c>
      <c r="AL530">
        <v>-1</v>
      </c>
      <c r="AM530">
        <v>-1</v>
      </c>
      <c r="AN530">
        <v>-1</v>
      </c>
      <c r="AO530">
        <v>-1</v>
      </c>
      <c r="AP530">
        <v>-1</v>
      </c>
      <c r="AQ530">
        <v>0.5</v>
      </c>
      <c r="AR530" t="s">
        <v>0</v>
      </c>
      <c r="AS530">
        <v>5</v>
      </c>
      <c r="AT530">
        <v>5</v>
      </c>
      <c r="AU530">
        <v>5</v>
      </c>
      <c r="AV530">
        <v>0.5</v>
      </c>
      <c r="AW530">
        <v>0.4</v>
      </c>
      <c r="AX530">
        <v>0.1</v>
      </c>
      <c r="AY530">
        <v>1</v>
      </c>
      <c r="AZ530">
        <v>2</v>
      </c>
      <c r="BA530">
        <v>5</v>
      </c>
      <c r="BB530">
        <v>0</v>
      </c>
      <c r="BC530" t="s">
        <v>2</v>
      </c>
      <c r="BD530">
        <v>-1</v>
      </c>
      <c r="BE530">
        <v>-1</v>
      </c>
      <c r="BF530">
        <v>-1</v>
      </c>
      <c r="BG530">
        <v>-1</v>
      </c>
      <c r="BH530">
        <v>-1</v>
      </c>
      <c r="BI530">
        <v>-1</v>
      </c>
      <c r="BJ530">
        <v>-1</v>
      </c>
      <c r="BK530">
        <v>-1</v>
      </c>
      <c r="BL530">
        <v>-1</v>
      </c>
      <c r="BM530">
        <v>-1</v>
      </c>
      <c r="BN530">
        <v>-1</v>
      </c>
      <c r="BO530">
        <v>-1</v>
      </c>
    </row>
    <row r="531" spans="1:67" x14ac:dyDescent="0.25">
      <c r="A531">
        <v>528</v>
      </c>
      <c r="B531">
        <v>50004</v>
      </c>
      <c r="C531" t="str">
        <f>VLOOKUP(B531,[1]resources!$A$2:$D$300,3,FALSE)</f>
        <v>!!SHAKE_SALTY_BANANA</v>
      </c>
      <c r="D531">
        <v>100</v>
      </c>
      <c r="E531" t="str">
        <f>VLOOKUP(D531,[1]bonus_paytable!$A$2:$D$300,3,FALSE)</f>
        <v>halloween_base_ghosts</v>
      </c>
      <c r="F531">
        <v>-1</v>
      </c>
      <c r="G531">
        <v>-1</v>
      </c>
      <c r="H531">
        <v>1</v>
      </c>
      <c r="I531" t="s">
        <v>1</v>
      </c>
      <c r="J531">
        <v>3</v>
      </c>
      <c r="K531">
        <v>3</v>
      </c>
      <c r="L531">
        <v>3</v>
      </c>
      <c r="M531">
        <v>-1</v>
      </c>
      <c r="N531">
        <v>-1</v>
      </c>
      <c r="O531">
        <v>-1</v>
      </c>
      <c r="P531">
        <v>-1</v>
      </c>
      <c r="Q531">
        <v>-1</v>
      </c>
      <c r="R531">
        <v>-1</v>
      </c>
      <c r="S531">
        <v>-1</v>
      </c>
      <c r="T531">
        <v>-1</v>
      </c>
      <c r="U531">
        <v>0.5</v>
      </c>
      <c r="V531">
        <v>0.4</v>
      </c>
      <c r="W531">
        <v>0.1</v>
      </c>
      <c r="X531">
        <v>-1</v>
      </c>
      <c r="Y531">
        <v>-1</v>
      </c>
      <c r="Z531">
        <v>-1</v>
      </c>
      <c r="AA531">
        <v>-1</v>
      </c>
      <c r="AB531">
        <v>-1</v>
      </c>
      <c r="AC531">
        <v>-1</v>
      </c>
      <c r="AD531">
        <v>-1</v>
      </c>
      <c r="AE531">
        <v>-1</v>
      </c>
      <c r="AF531">
        <v>2</v>
      </c>
      <c r="AG531">
        <v>5</v>
      </c>
      <c r="AH531">
        <v>10</v>
      </c>
      <c r="AI531">
        <v>-1</v>
      </c>
      <c r="AJ531">
        <v>-1</v>
      </c>
      <c r="AK531">
        <v>-1</v>
      </c>
      <c r="AL531">
        <v>-1</v>
      </c>
      <c r="AM531">
        <v>-1</v>
      </c>
      <c r="AN531">
        <v>-1</v>
      </c>
      <c r="AO531">
        <v>-1</v>
      </c>
      <c r="AP531">
        <v>-1</v>
      </c>
      <c r="AQ531">
        <v>0.5</v>
      </c>
      <c r="AR531" t="s">
        <v>0</v>
      </c>
      <c r="AS531">
        <v>5</v>
      </c>
      <c r="AT531">
        <v>5</v>
      </c>
      <c r="AU531">
        <v>5</v>
      </c>
      <c r="AV531">
        <v>0.5</v>
      </c>
      <c r="AW531">
        <v>0.4</v>
      </c>
      <c r="AX531">
        <v>0.1</v>
      </c>
      <c r="AY531">
        <v>1</v>
      </c>
      <c r="AZ531">
        <v>2</v>
      </c>
      <c r="BA531">
        <v>5</v>
      </c>
      <c r="BB531">
        <v>0</v>
      </c>
      <c r="BC531" t="s">
        <v>2</v>
      </c>
      <c r="BD531">
        <v>-1</v>
      </c>
      <c r="BE531">
        <v>-1</v>
      </c>
      <c r="BF531">
        <v>-1</v>
      </c>
      <c r="BG531">
        <v>-1</v>
      </c>
      <c r="BH531">
        <v>-1</v>
      </c>
      <c r="BI531">
        <v>-1</v>
      </c>
      <c r="BJ531">
        <v>-1</v>
      </c>
      <c r="BK531">
        <v>-1</v>
      </c>
      <c r="BL531">
        <v>-1</v>
      </c>
      <c r="BM531">
        <v>-1</v>
      </c>
      <c r="BN531">
        <v>-1</v>
      </c>
      <c r="BO531">
        <v>-1</v>
      </c>
    </row>
    <row r="532" spans="1:67" x14ac:dyDescent="0.25">
      <c r="A532">
        <v>529</v>
      </c>
      <c r="B532">
        <v>50005</v>
      </c>
      <c r="C532" t="str">
        <f>VLOOKUP(B532,[1]resources!$A$2:$D$300,3,FALSE)</f>
        <v>!!SHAKE_STRAWBERRY_RIPTIDE</v>
      </c>
      <c r="D532">
        <v>100</v>
      </c>
      <c r="E532" t="str">
        <f>VLOOKUP(D532,[1]bonus_paytable!$A$2:$D$300,3,FALSE)</f>
        <v>halloween_base_ghosts</v>
      </c>
      <c r="F532">
        <v>-1</v>
      </c>
      <c r="G532">
        <v>-1</v>
      </c>
      <c r="H532">
        <v>1</v>
      </c>
      <c r="I532" t="s">
        <v>1</v>
      </c>
      <c r="J532">
        <v>3</v>
      </c>
      <c r="K532">
        <v>3</v>
      </c>
      <c r="L532">
        <v>3</v>
      </c>
      <c r="M532">
        <v>-1</v>
      </c>
      <c r="N532">
        <v>-1</v>
      </c>
      <c r="O532">
        <v>-1</v>
      </c>
      <c r="P532">
        <v>-1</v>
      </c>
      <c r="Q532">
        <v>-1</v>
      </c>
      <c r="R532">
        <v>-1</v>
      </c>
      <c r="S532">
        <v>-1</v>
      </c>
      <c r="T532">
        <v>-1</v>
      </c>
      <c r="U532">
        <v>0.5</v>
      </c>
      <c r="V532">
        <v>0.4</v>
      </c>
      <c r="W532">
        <v>0.1</v>
      </c>
      <c r="X532">
        <v>-1</v>
      </c>
      <c r="Y532">
        <v>-1</v>
      </c>
      <c r="Z532">
        <v>-1</v>
      </c>
      <c r="AA532">
        <v>-1</v>
      </c>
      <c r="AB532">
        <v>-1</v>
      </c>
      <c r="AC532">
        <v>-1</v>
      </c>
      <c r="AD532">
        <v>-1</v>
      </c>
      <c r="AE532">
        <v>-1</v>
      </c>
      <c r="AF532">
        <v>2</v>
      </c>
      <c r="AG532">
        <v>5</v>
      </c>
      <c r="AH532">
        <v>10</v>
      </c>
      <c r="AI532">
        <v>-1</v>
      </c>
      <c r="AJ532">
        <v>-1</v>
      </c>
      <c r="AK532">
        <v>-1</v>
      </c>
      <c r="AL532">
        <v>-1</v>
      </c>
      <c r="AM532">
        <v>-1</v>
      </c>
      <c r="AN532">
        <v>-1</v>
      </c>
      <c r="AO532">
        <v>-1</v>
      </c>
      <c r="AP532">
        <v>-1</v>
      </c>
      <c r="AQ532">
        <v>0.5</v>
      </c>
      <c r="AR532" t="s">
        <v>0</v>
      </c>
      <c r="AS532">
        <v>5</v>
      </c>
      <c r="AT532">
        <v>5</v>
      </c>
      <c r="AU532">
        <v>5</v>
      </c>
      <c r="AV532">
        <v>0.5</v>
      </c>
      <c r="AW532">
        <v>0.4</v>
      </c>
      <c r="AX532">
        <v>0.1</v>
      </c>
      <c r="AY532">
        <v>1</v>
      </c>
      <c r="AZ532">
        <v>2</v>
      </c>
      <c r="BA532">
        <v>5</v>
      </c>
      <c r="BB532">
        <v>0</v>
      </c>
      <c r="BC532" t="s">
        <v>2</v>
      </c>
      <c r="BD532">
        <v>-1</v>
      </c>
      <c r="BE532">
        <v>-1</v>
      </c>
      <c r="BF532">
        <v>-1</v>
      </c>
      <c r="BG532">
        <v>-1</v>
      </c>
      <c r="BH532">
        <v>-1</v>
      </c>
      <c r="BI532">
        <v>-1</v>
      </c>
      <c r="BJ532">
        <v>-1</v>
      </c>
      <c r="BK532">
        <v>-1</v>
      </c>
      <c r="BL532">
        <v>-1</v>
      </c>
      <c r="BM532">
        <v>-1</v>
      </c>
      <c r="BN532">
        <v>-1</v>
      </c>
      <c r="BO532">
        <v>-1</v>
      </c>
    </row>
    <row r="533" spans="1:67" x14ac:dyDescent="0.25">
      <c r="A533">
        <v>530</v>
      </c>
      <c r="B533">
        <v>50006</v>
      </c>
      <c r="C533" t="str">
        <f>VLOOKUP(B533,[1]resources!$A$2:$D$300,3,FALSE)</f>
        <v>!!SHAKE_TARTBERRY_TWIST</v>
      </c>
      <c r="D533">
        <v>100</v>
      </c>
      <c r="E533" t="str">
        <f>VLOOKUP(D533,[1]bonus_paytable!$A$2:$D$300,3,FALSE)</f>
        <v>halloween_base_ghosts</v>
      </c>
      <c r="F533">
        <v>-1</v>
      </c>
      <c r="G533">
        <v>-1</v>
      </c>
      <c r="H533">
        <v>1</v>
      </c>
      <c r="I533" t="s">
        <v>1</v>
      </c>
      <c r="J533">
        <v>3</v>
      </c>
      <c r="K533">
        <v>3</v>
      </c>
      <c r="L533">
        <v>3</v>
      </c>
      <c r="M533">
        <v>-1</v>
      </c>
      <c r="N533">
        <v>-1</v>
      </c>
      <c r="O533">
        <v>-1</v>
      </c>
      <c r="P533">
        <v>-1</v>
      </c>
      <c r="Q533">
        <v>-1</v>
      </c>
      <c r="R533">
        <v>-1</v>
      </c>
      <c r="S533">
        <v>-1</v>
      </c>
      <c r="T533">
        <v>-1</v>
      </c>
      <c r="U533">
        <v>0.5</v>
      </c>
      <c r="V533">
        <v>0.4</v>
      </c>
      <c r="W533">
        <v>0.1</v>
      </c>
      <c r="X533">
        <v>-1</v>
      </c>
      <c r="Y533">
        <v>-1</v>
      </c>
      <c r="Z533">
        <v>-1</v>
      </c>
      <c r="AA533">
        <v>-1</v>
      </c>
      <c r="AB533">
        <v>-1</v>
      </c>
      <c r="AC533">
        <v>-1</v>
      </c>
      <c r="AD533">
        <v>-1</v>
      </c>
      <c r="AE533">
        <v>-1</v>
      </c>
      <c r="AF533">
        <v>2</v>
      </c>
      <c r="AG533">
        <v>5</v>
      </c>
      <c r="AH533">
        <v>10</v>
      </c>
      <c r="AI533">
        <v>-1</v>
      </c>
      <c r="AJ533">
        <v>-1</v>
      </c>
      <c r="AK533">
        <v>-1</v>
      </c>
      <c r="AL533">
        <v>-1</v>
      </c>
      <c r="AM533">
        <v>-1</v>
      </c>
      <c r="AN533">
        <v>-1</v>
      </c>
      <c r="AO533">
        <v>-1</v>
      </c>
      <c r="AP533">
        <v>-1</v>
      </c>
      <c r="AQ533">
        <v>0.5</v>
      </c>
      <c r="AR533" t="s">
        <v>0</v>
      </c>
      <c r="AS533">
        <v>5</v>
      </c>
      <c r="AT533">
        <v>5</v>
      </c>
      <c r="AU533">
        <v>5</v>
      </c>
      <c r="AV533">
        <v>0.5</v>
      </c>
      <c r="AW533">
        <v>0.4</v>
      </c>
      <c r="AX533">
        <v>0.1</v>
      </c>
      <c r="AY533">
        <v>1</v>
      </c>
      <c r="AZ533">
        <v>2</v>
      </c>
      <c r="BA533">
        <v>5</v>
      </c>
      <c r="BB533">
        <v>0</v>
      </c>
      <c r="BC533" t="s">
        <v>2</v>
      </c>
      <c r="BD533">
        <v>-1</v>
      </c>
      <c r="BE533">
        <v>-1</v>
      </c>
      <c r="BF533">
        <v>-1</v>
      </c>
      <c r="BG533">
        <v>-1</v>
      </c>
      <c r="BH533">
        <v>-1</v>
      </c>
      <c r="BI533">
        <v>-1</v>
      </c>
      <c r="BJ533">
        <v>-1</v>
      </c>
      <c r="BK533">
        <v>-1</v>
      </c>
      <c r="BL533">
        <v>-1</v>
      </c>
      <c r="BM533">
        <v>-1</v>
      </c>
      <c r="BN533">
        <v>-1</v>
      </c>
      <c r="BO533">
        <v>-1</v>
      </c>
    </row>
    <row r="534" spans="1:67" x14ac:dyDescent="0.25">
      <c r="A534">
        <v>531</v>
      </c>
      <c r="B534">
        <v>50007</v>
      </c>
      <c r="C534" t="str">
        <f>VLOOKUP(B534,[1]resources!$A$2:$D$300,3,FALSE)</f>
        <v>!!SHAKE_VANILLA_BLAST</v>
      </c>
      <c r="D534">
        <v>100</v>
      </c>
      <c r="E534" t="str">
        <f>VLOOKUP(D534,[1]bonus_paytable!$A$2:$D$300,3,FALSE)</f>
        <v>halloween_base_ghosts</v>
      </c>
      <c r="F534">
        <v>-1</v>
      </c>
      <c r="G534">
        <v>-1</v>
      </c>
      <c r="H534">
        <v>1</v>
      </c>
      <c r="I534" t="s">
        <v>1</v>
      </c>
      <c r="J534">
        <v>3</v>
      </c>
      <c r="K534">
        <v>3</v>
      </c>
      <c r="L534">
        <v>3</v>
      </c>
      <c r="M534">
        <v>-1</v>
      </c>
      <c r="N534">
        <v>-1</v>
      </c>
      <c r="O534">
        <v>-1</v>
      </c>
      <c r="P534">
        <v>-1</v>
      </c>
      <c r="Q534">
        <v>-1</v>
      </c>
      <c r="R534">
        <v>-1</v>
      </c>
      <c r="S534">
        <v>-1</v>
      </c>
      <c r="T534">
        <v>-1</v>
      </c>
      <c r="U534">
        <v>0.5</v>
      </c>
      <c r="V534">
        <v>0.4</v>
      </c>
      <c r="W534">
        <v>0.1</v>
      </c>
      <c r="X534">
        <v>-1</v>
      </c>
      <c r="Y534">
        <v>-1</v>
      </c>
      <c r="Z534">
        <v>-1</v>
      </c>
      <c r="AA534">
        <v>-1</v>
      </c>
      <c r="AB534">
        <v>-1</v>
      </c>
      <c r="AC534">
        <v>-1</v>
      </c>
      <c r="AD534">
        <v>-1</v>
      </c>
      <c r="AE534">
        <v>-1</v>
      </c>
      <c r="AF534">
        <v>2</v>
      </c>
      <c r="AG534">
        <v>5</v>
      </c>
      <c r="AH534">
        <v>10</v>
      </c>
      <c r="AI534">
        <v>-1</v>
      </c>
      <c r="AJ534">
        <v>-1</v>
      </c>
      <c r="AK534">
        <v>-1</v>
      </c>
      <c r="AL534">
        <v>-1</v>
      </c>
      <c r="AM534">
        <v>-1</v>
      </c>
      <c r="AN534">
        <v>-1</v>
      </c>
      <c r="AO534">
        <v>-1</v>
      </c>
      <c r="AP534">
        <v>-1</v>
      </c>
      <c r="AQ534">
        <v>0.5</v>
      </c>
      <c r="AR534" t="s">
        <v>0</v>
      </c>
      <c r="AS534">
        <v>5</v>
      </c>
      <c r="AT534">
        <v>5</v>
      </c>
      <c r="AU534">
        <v>5</v>
      </c>
      <c r="AV534">
        <v>0.5</v>
      </c>
      <c r="AW534">
        <v>0.4</v>
      </c>
      <c r="AX534">
        <v>0.1</v>
      </c>
      <c r="AY534">
        <v>1</v>
      </c>
      <c r="AZ534">
        <v>2</v>
      </c>
      <c r="BA534">
        <v>5</v>
      </c>
      <c r="BB534">
        <v>0</v>
      </c>
      <c r="BC534" t="s">
        <v>2</v>
      </c>
      <c r="BD534">
        <v>-1</v>
      </c>
      <c r="BE534">
        <v>-1</v>
      </c>
      <c r="BF534">
        <v>-1</v>
      </c>
      <c r="BG534">
        <v>-1</v>
      </c>
      <c r="BH534">
        <v>-1</v>
      </c>
      <c r="BI534">
        <v>-1</v>
      </c>
      <c r="BJ534">
        <v>-1</v>
      </c>
      <c r="BK534">
        <v>-1</v>
      </c>
      <c r="BL534">
        <v>-1</v>
      </c>
      <c r="BM534">
        <v>-1</v>
      </c>
      <c r="BN534">
        <v>-1</v>
      </c>
      <c r="BO534">
        <v>-1</v>
      </c>
    </row>
    <row r="535" spans="1:67" x14ac:dyDescent="0.25">
      <c r="A535">
        <v>532</v>
      </c>
      <c r="B535">
        <v>60000</v>
      </c>
      <c r="C535" t="str">
        <f>VLOOKUP(B535,[1]resources!$A$2:$D$300,3,FALSE)</f>
        <v>!!FLOWERCORAL_BRANCHCORAL</v>
      </c>
      <c r="D535">
        <v>100</v>
      </c>
      <c r="E535" t="str">
        <f>VLOOKUP(D535,[1]bonus_paytable!$A$2:$D$300,3,FALSE)</f>
        <v>halloween_base_ghosts</v>
      </c>
      <c r="F535">
        <v>-1</v>
      </c>
      <c r="G535">
        <v>-1</v>
      </c>
      <c r="H535">
        <v>1</v>
      </c>
      <c r="I535" t="s">
        <v>1</v>
      </c>
      <c r="J535">
        <v>3</v>
      </c>
      <c r="K535">
        <v>3</v>
      </c>
      <c r="L535">
        <v>3</v>
      </c>
      <c r="M535">
        <v>-1</v>
      </c>
      <c r="N535">
        <v>-1</v>
      </c>
      <c r="O535">
        <v>-1</v>
      </c>
      <c r="P535">
        <v>-1</v>
      </c>
      <c r="Q535">
        <v>-1</v>
      </c>
      <c r="R535">
        <v>-1</v>
      </c>
      <c r="S535">
        <v>-1</v>
      </c>
      <c r="T535">
        <v>-1</v>
      </c>
      <c r="U535">
        <v>0.5</v>
      </c>
      <c r="V535">
        <v>0.4</v>
      </c>
      <c r="W535">
        <v>0.1</v>
      </c>
      <c r="X535">
        <v>-1</v>
      </c>
      <c r="Y535">
        <v>-1</v>
      </c>
      <c r="Z535">
        <v>-1</v>
      </c>
      <c r="AA535">
        <v>-1</v>
      </c>
      <c r="AB535">
        <v>-1</v>
      </c>
      <c r="AC535">
        <v>-1</v>
      </c>
      <c r="AD535">
        <v>-1</v>
      </c>
      <c r="AE535">
        <v>-1</v>
      </c>
      <c r="AF535">
        <v>2</v>
      </c>
      <c r="AG535">
        <v>5</v>
      </c>
      <c r="AH535">
        <v>10</v>
      </c>
      <c r="AI535">
        <v>-1</v>
      </c>
      <c r="AJ535">
        <v>-1</v>
      </c>
      <c r="AK535">
        <v>-1</v>
      </c>
      <c r="AL535">
        <v>-1</v>
      </c>
      <c r="AM535">
        <v>-1</v>
      </c>
      <c r="AN535">
        <v>-1</v>
      </c>
      <c r="AO535">
        <v>-1</v>
      </c>
      <c r="AP535">
        <v>-1</v>
      </c>
      <c r="AQ535">
        <v>0.5</v>
      </c>
      <c r="AR535" t="s">
        <v>0</v>
      </c>
      <c r="AS535">
        <v>5</v>
      </c>
      <c r="AT535">
        <v>5</v>
      </c>
      <c r="AU535">
        <v>5</v>
      </c>
      <c r="AV535">
        <v>0.5</v>
      </c>
      <c r="AW535">
        <v>0.4</v>
      </c>
      <c r="AX535">
        <v>0.1</v>
      </c>
      <c r="AY535">
        <v>1</v>
      </c>
      <c r="AZ535">
        <v>2</v>
      </c>
      <c r="BA535">
        <v>5</v>
      </c>
      <c r="BB535">
        <v>0</v>
      </c>
      <c r="BC535" t="s">
        <v>2</v>
      </c>
      <c r="BD535">
        <v>-1</v>
      </c>
      <c r="BE535">
        <v>-1</v>
      </c>
      <c r="BF535">
        <v>-1</v>
      </c>
      <c r="BG535">
        <v>-1</v>
      </c>
      <c r="BH535">
        <v>-1</v>
      </c>
      <c r="BI535">
        <v>-1</v>
      </c>
      <c r="BJ535">
        <v>-1</v>
      </c>
      <c r="BK535">
        <v>-1</v>
      </c>
      <c r="BL535">
        <v>-1</v>
      </c>
      <c r="BM535">
        <v>-1</v>
      </c>
      <c r="BN535">
        <v>-1</v>
      </c>
      <c r="BO535">
        <v>-1</v>
      </c>
    </row>
    <row r="536" spans="1:67" x14ac:dyDescent="0.25">
      <c r="A536">
        <v>533</v>
      </c>
      <c r="B536">
        <v>60001</v>
      </c>
      <c r="C536" t="str">
        <f>VLOOKUP(B536,[1]resources!$A$2:$D$300,3,FALSE)</f>
        <v>!!FLOWERCORAL_CUPCORAL</v>
      </c>
      <c r="D536">
        <v>100</v>
      </c>
      <c r="E536" t="str">
        <f>VLOOKUP(D536,[1]bonus_paytable!$A$2:$D$300,3,FALSE)</f>
        <v>halloween_base_ghosts</v>
      </c>
      <c r="F536">
        <v>-1</v>
      </c>
      <c r="G536">
        <v>-1</v>
      </c>
      <c r="H536">
        <v>1</v>
      </c>
      <c r="I536" t="s">
        <v>1</v>
      </c>
      <c r="J536">
        <v>3</v>
      </c>
      <c r="K536">
        <v>3</v>
      </c>
      <c r="L536">
        <v>3</v>
      </c>
      <c r="M536">
        <v>-1</v>
      </c>
      <c r="N536">
        <v>-1</v>
      </c>
      <c r="O536">
        <v>-1</v>
      </c>
      <c r="P536">
        <v>-1</v>
      </c>
      <c r="Q536">
        <v>-1</v>
      </c>
      <c r="R536">
        <v>-1</v>
      </c>
      <c r="S536">
        <v>-1</v>
      </c>
      <c r="T536">
        <v>-1</v>
      </c>
      <c r="U536">
        <v>0.5</v>
      </c>
      <c r="V536">
        <v>0.4</v>
      </c>
      <c r="W536">
        <v>0.1</v>
      </c>
      <c r="X536">
        <v>-1</v>
      </c>
      <c r="Y536">
        <v>-1</v>
      </c>
      <c r="Z536">
        <v>-1</v>
      </c>
      <c r="AA536">
        <v>-1</v>
      </c>
      <c r="AB536">
        <v>-1</v>
      </c>
      <c r="AC536">
        <v>-1</v>
      </c>
      <c r="AD536">
        <v>-1</v>
      </c>
      <c r="AE536">
        <v>-1</v>
      </c>
      <c r="AF536">
        <v>2</v>
      </c>
      <c r="AG536">
        <v>5</v>
      </c>
      <c r="AH536">
        <v>10</v>
      </c>
      <c r="AI536">
        <v>-1</v>
      </c>
      <c r="AJ536">
        <v>-1</v>
      </c>
      <c r="AK536">
        <v>-1</v>
      </c>
      <c r="AL536">
        <v>-1</v>
      </c>
      <c r="AM536">
        <v>-1</v>
      </c>
      <c r="AN536">
        <v>-1</v>
      </c>
      <c r="AO536">
        <v>-1</v>
      </c>
      <c r="AP536">
        <v>-1</v>
      </c>
      <c r="AQ536">
        <v>0.5</v>
      </c>
      <c r="AR536" t="s">
        <v>0</v>
      </c>
      <c r="AS536">
        <v>5</v>
      </c>
      <c r="AT536">
        <v>5</v>
      </c>
      <c r="AU536">
        <v>5</v>
      </c>
      <c r="AV536">
        <v>0.5</v>
      </c>
      <c r="AW536">
        <v>0.4</v>
      </c>
      <c r="AX536">
        <v>0.1</v>
      </c>
      <c r="AY536">
        <v>1</v>
      </c>
      <c r="AZ536">
        <v>2</v>
      </c>
      <c r="BA536">
        <v>5</v>
      </c>
      <c r="BB536">
        <v>0</v>
      </c>
      <c r="BC536" t="s">
        <v>2</v>
      </c>
      <c r="BD536">
        <v>-1</v>
      </c>
      <c r="BE536">
        <v>-1</v>
      </c>
      <c r="BF536">
        <v>-1</v>
      </c>
      <c r="BG536">
        <v>-1</v>
      </c>
      <c r="BH536">
        <v>-1</v>
      </c>
      <c r="BI536">
        <v>-1</v>
      </c>
      <c r="BJ536">
        <v>-1</v>
      </c>
      <c r="BK536">
        <v>-1</v>
      </c>
      <c r="BL536">
        <v>-1</v>
      </c>
      <c r="BM536">
        <v>-1</v>
      </c>
      <c r="BN536">
        <v>-1</v>
      </c>
      <c r="BO536">
        <v>-1</v>
      </c>
    </row>
    <row r="537" spans="1:67" x14ac:dyDescent="0.25">
      <c r="A537">
        <v>534</v>
      </c>
      <c r="B537">
        <v>60002</v>
      </c>
      <c r="C537" t="str">
        <f>VLOOKUP(B537,[1]resources!$A$2:$D$300,3,FALSE)</f>
        <v>!!FLOWERCORAL_FLOWER</v>
      </c>
      <c r="D537">
        <v>100</v>
      </c>
      <c r="E537" t="str">
        <f>VLOOKUP(D537,[1]bonus_paytable!$A$2:$D$300,3,FALSE)</f>
        <v>halloween_base_ghosts</v>
      </c>
      <c r="F537">
        <v>-1</v>
      </c>
      <c r="G537">
        <v>-1</v>
      </c>
      <c r="H537">
        <v>1</v>
      </c>
      <c r="I537" t="s">
        <v>1</v>
      </c>
      <c r="J537">
        <v>3</v>
      </c>
      <c r="K537">
        <v>3</v>
      </c>
      <c r="L537">
        <v>3</v>
      </c>
      <c r="M537">
        <v>-1</v>
      </c>
      <c r="N537">
        <v>-1</v>
      </c>
      <c r="O537">
        <v>-1</v>
      </c>
      <c r="P537">
        <v>-1</v>
      </c>
      <c r="Q537">
        <v>-1</v>
      </c>
      <c r="R537">
        <v>-1</v>
      </c>
      <c r="S537">
        <v>-1</v>
      </c>
      <c r="T537">
        <v>-1</v>
      </c>
      <c r="U537">
        <v>0.5</v>
      </c>
      <c r="V537">
        <v>0.4</v>
      </c>
      <c r="W537">
        <v>0.1</v>
      </c>
      <c r="X537">
        <v>-1</v>
      </c>
      <c r="Y537">
        <v>-1</v>
      </c>
      <c r="Z537">
        <v>-1</v>
      </c>
      <c r="AA537">
        <v>-1</v>
      </c>
      <c r="AB537">
        <v>-1</v>
      </c>
      <c r="AC537">
        <v>-1</v>
      </c>
      <c r="AD537">
        <v>-1</v>
      </c>
      <c r="AE537">
        <v>-1</v>
      </c>
      <c r="AF537">
        <v>2</v>
      </c>
      <c r="AG537">
        <v>5</v>
      </c>
      <c r="AH537">
        <v>10</v>
      </c>
      <c r="AI537">
        <v>-1</v>
      </c>
      <c r="AJ537">
        <v>-1</v>
      </c>
      <c r="AK537">
        <v>-1</v>
      </c>
      <c r="AL537">
        <v>-1</v>
      </c>
      <c r="AM537">
        <v>-1</v>
      </c>
      <c r="AN537">
        <v>-1</v>
      </c>
      <c r="AO537">
        <v>-1</v>
      </c>
      <c r="AP537">
        <v>-1</v>
      </c>
      <c r="AQ537">
        <v>0.5</v>
      </c>
      <c r="AR537" t="s">
        <v>0</v>
      </c>
      <c r="AS537">
        <v>5</v>
      </c>
      <c r="AT537">
        <v>5</v>
      </c>
      <c r="AU537">
        <v>5</v>
      </c>
      <c r="AV537">
        <v>0.5</v>
      </c>
      <c r="AW537">
        <v>0.4</v>
      </c>
      <c r="AX537">
        <v>0.1</v>
      </c>
      <c r="AY537">
        <v>1</v>
      </c>
      <c r="AZ537">
        <v>2</v>
      </c>
      <c r="BA537">
        <v>5</v>
      </c>
      <c r="BB537">
        <v>0</v>
      </c>
      <c r="BC537" t="s">
        <v>2</v>
      </c>
      <c r="BD537">
        <v>-1</v>
      </c>
      <c r="BE537">
        <v>-1</v>
      </c>
      <c r="BF537">
        <v>-1</v>
      </c>
      <c r="BG537">
        <v>-1</v>
      </c>
      <c r="BH537">
        <v>-1</v>
      </c>
      <c r="BI537">
        <v>-1</v>
      </c>
      <c r="BJ537">
        <v>-1</v>
      </c>
      <c r="BK537">
        <v>-1</v>
      </c>
      <c r="BL537">
        <v>-1</v>
      </c>
      <c r="BM537">
        <v>-1</v>
      </c>
      <c r="BN537">
        <v>-1</v>
      </c>
      <c r="BO537">
        <v>-1</v>
      </c>
    </row>
    <row r="538" spans="1:67" x14ac:dyDescent="0.25">
      <c r="A538">
        <v>535</v>
      </c>
      <c r="B538">
        <v>60003</v>
      </c>
      <c r="C538" t="str">
        <f>VLOOKUP(B538,[1]resources!$A$2:$D$300,3,FALSE)</f>
        <v>!!FLOWERCORAL_STINKYSEAROSE</v>
      </c>
      <c r="D538">
        <v>100</v>
      </c>
      <c r="E538" t="str">
        <f>VLOOKUP(D538,[1]bonus_paytable!$A$2:$D$300,3,FALSE)</f>
        <v>halloween_base_ghosts</v>
      </c>
      <c r="F538">
        <v>-1</v>
      </c>
      <c r="G538">
        <v>-1</v>
      </c>
      <c r="H538">
        <v>1</v>
      </c>
      <c r="I538" t="s">
        <v>1</v>
      </c>
      <c r="J538">
        <v>3</v>
      </c>
      <c r="K538">
        <v>3</v>
      </c>
      <c r="L538">
        <v>3</v>
      </c>
      <c r="M538">
        <v>-1</v>
      </c>
      <c r="N538">
        <v>-1</v>
      </c>
      <c r="O538">
        <v>-1</v>
      </c>
      <c r="P538">
        <v>-1</v>
      </c>
      <c r="Q538">
        <v>-1</v>
      </c>
      <c r="R538">
        <v>-1</v>
      </c>
      <c r="S538">
        <v>-1</v>
      </c>
      <c r="T538">
        <v>-1</v>
      </c>
      <c r="U538">
        <v>0.5</v>
      </c>
      <c r="V538">
        <v>0.4</v>
      </c>
      <c r="W538">
        <v>0.1</v>
      </c>
      <c r="X538">
        <v>-1</v>
      </c>
      <c r="Y538">
        <v>-1</v>
      </c>
      <c r="Z538">
        <v>-1</v>
      </c>
      <c r="AA538">
        <v>-1</v>
      </c>
      <c r="AB538">
        <v>-1</v>
      </c>
      <c r="AC538">
        <v>-1</v>
      </c>
      <c r="AD538">
        <v>-1</v>
      </c>
      <c r="AE538">
        <v>-1</v>
      </c>
      <c r="AF538">
        <v>2</v>
      </c>
      <c r="AG538">
        <v>5</v>
      </c>
      <c r="AH538">
        <v>10</v>
      </c>
      <c r="AI538">
        <v>-1</v>
      </c>
      <c r="AJ538">
        <v>-1</v>
      </c>
      <c r="AK538">
        <v>-1</v>
      </c>
      <c r="AL538">
        <v>-1</v>
      </c>
      <c r="AM538">
        <v>-1</v>
      </c>
      <c r="AN538">
        <v>-1</v>
      </c>
      <c r="AO538">
        <v>-1</v>
      </c>
      <c r="AP538">
        <v>-1</v>
      </c>
      <c r="AQ538">
        <v>0.5</v>
      </c>
      <c r="AR538" t="s">
        <v>0</v>
      </c>
      <c r="AS538">
        <v>5</v>
      </c>
      <c r="AT538">
        <v>5</v>
      </c>
      <c r="AU538">
        <v>5</v>
      </c>
      <c r="AV538">
        <v>0.5</v>
      </c>
      <c r="AW538">
        <v>0.4</v>
      </c>
      <c r="AX538">
        <v>0.1</v>
      </c>
      <c r="AY538">
        <v>1</v>
      </c>
      <c r="AZ538">
        <v>2</v>
      </c>
      <c r="BA538">
        <v>5</v>
      </c>
      <c r="BB538">
        <v>0</v>
      </c>
      <c r="BC538" t="s">
        <v>2</v>
      </c>
      <c r="BD538">
        <v>-1</v>
      </c>
      <c r="BE538">
        <v>-1</v>
      </c>
      <c r="BF538">
        <v>-1</v>
      </c>
      <c r="BG538">
        <v>-1</v>
      </c>
      <c r="BH538">
        <v>-1</v>
      </c>
      <c r="BI538">
        <v>-1</v>
      </c>
      <c r="BJ538">
        <v>-1</v>
      </c>
      <c r="BK538">
        <v>-1</v>
      </c>
      <c r="BL538">
        <v>-1</v>
      </c>
      <c r="BM538">
        <v>-1</v>
      </c>
      <c r="BN538">
        <v>-1</v>
      </c>
      <c r="BO538">
        <v>-1</v>
      </c>
    </row>
    <row r="539" spans="1:67" x14ac:dyDescent="0.25">
      <c r="A539">
        <v>536</v>
      </c>
      <c r="B539">
        <v>60004</v>
      </c>
      <c r="C539" t="str">
        <f>VLOOKUP(B539,[1]resources!$A$2:$D$300,3,FALSE)</f>
        <v>!!FLOWERCORAL_TUBECORAL</v>
      </c>
      <c r="D539">
        <v>100</v>
      </c>
      <c r="E539" t="str">
        <f>VLOOKUP(D539,[1]bonus_paytable!$A$2:$D$300,3,FALSE)</f>
        <v>halloween_base_ghosts</v>
      </c>
      <c r="F539">
        <v>-1</v>
      </c>
      <c r="G539">
        <v>-1</v>
      </c>
      <c r="H539">
        <v>1</v>
      </c>
      <c r="I539" t="s">
        <v>1</v>
      </c>
      <c r="J539">
        <v>3</v>
      </c>
      <c r="K539">
        <v>3</v>
      </c>
      <c r="L539">
        <v>3</v>
      </c>
      <c r="M539">
        <v>-1</v>
      </c>
      <c r="N539">
        <v>-1</v>
      </c>
      <c r="O539">
        <v>-1</v>
      </c>
      <c r="P539">
        <v>-1</v>
      </c>
      <c r="Q539">
        <v>-1</v>
      </c>
      <c r="R539">
        <v>-1</v>
      </c>
      <c r="S539">
        <v>-1</v>
      </c>
      <c r="T539">
        <v>-1</v>
      </c>
      <c r="U539">
        <v>0.5</v>
      </c>
      <c r="V539">
        <v>0.4</v>
      </c>
      <c r="W539">
        <v>0.1</v>
      </c>
      <c r="X539">
        <v>-1</v>
      </c>
      <c r="Y539">
        <v>-1</v>
      </c>
      <c r="Z539">
        <v>-1</v>
      </c>
      <c r="AA539">
        <v>-1</v>
      </c>
      <c r="AB539">
        <v>-1</v>
      </c>
      <c r="AC539">
        <v>-1</v>
      </c>
      <c r="AD539">
        <v>-1</v>
      </c>
      <c r="AE539">
        <v>-1</v>
      </c>
      <c r="AF539">
        <v>2</v>
      </c>
      <c r="AG539">
        <v>5</v>
      </c>
      <c r="AH539">
        <v>10</v>
      </c>
      <c r="AI539">
        <v>-1</v>
      </c>
      <c r="AJ539">
        <v>-1</v>
      </c>
      <c r="AK539">
        <v>-1</v>
      </c>
      <c r="AL539">
        <v>-1</v>
      </c>
      <c r="AM539">
        <v>-1</v>
      </c>
      <c r="AN539">
        <v>-1</v>
      </c>
      <c r="AO539">
        <v>-1</v>
      </c>
      <c r="AP539">
        <v>-1</v>
      </c>
      <c r="AQ539">
        <v>0.5</v>
      </c>
      <c r="AR539" t="s">
        <v>0</v>
      </c>
      <c r="AS539">
        <v>5</v>
      </c>
      <c r="AT539">
        <v>5</v>
      </c>
      <c r="AU539">
        <v>5</v>
      </c>
      <c r="AV539">
        <v>0.5</v>
      </c>
      <c r="AW539">
        <v>0.4</v>
      </c>
      <c r="AX539">
        <v>0.1</v>
      </c>
      <c r="AY539">
        <v>1</v>
      </c>
      <c r="AZ539">
        <v>2</v>
      </c>
      <c r="BA539">
        <v>5</v>
      </c>
      <c r="BB539">
        <v>0</v>
      </c>
      <c r="BC539" t="s">
        <v>2</v>
      </c>
      <c r="BD539">
        <v>-1</v>
      </c>
      <c r="BE539">
        <v>-1</v>
      </c>
      <c r="BF539">
        <v>-1</v>
      </c>
      <c r="BG539">
        <v>-1</v>
      </c>
      <c r="BH539">
        <v>-1</v>
      </c>
      <c r="BI539">
        <v>-1</v>
      </c>
      <c r="BJ539">
        <v>-1</v>
      </c>
      <c r="BK539">
        <v>-1</v>
      </c>
      <c r="BL539">
        <v>-1</v>
      </c>
      <c r="BM539">
        <v>-1</v>
      </c>
      <c r="BN539">
        <v>-1</v>
      </c>
      <c r="BO539">
        <v>-1</v>
      </c>
    </row>
    <row r="540" spans="1:67" x14ac:dyDescent="0.25">
      <c r="A540">
        <v>537</v>
      </c>
      <c r="B540">
        <v>60014</v>
      </c>
      <c r="C540" t="str">
        <f>VLOOKUP(B540,[1]resources!$A$2:$D$300,3,FALSE)</f>
        <v>!!BOUQUET_FLOWERCORAL_FRIENDLYFLOWER</v>
      </c>
      <c r="D540">
        <v>100</v>
      </c>
      <c r="E540" t="str">
        <f>VLOOKUP(D540,[1]bonus_paytable!$A$2:$D$300,3,FALSE)</f>
        <v>halloween_base_ghosts</v>
      </c>
      <c r="F540">
        <v>-1</v>
      </c>
      <c r="G540">
        <v>-1</v>
      </c>
      <c r="H540">
        <v>1</v>
      </c>
      <c r="I540" t="s">
        <v>1</v>
      </c>
      <c r="J540">
        <v>3</v>
      </c>
      <c r="K540">
        <v>3</v>
      </c>
      <c r="L540">
        <v>3</v>
      </c>
      <c r="M540">
        <v>-1</v>
      </c>
      <c r="N540">
        <v>-1</v>
      </c>
      <c r="O540">
        <v>-1</v>
      </c>
      <c r="P540">
        <v>-1</v>
      </c>
      <c r="Q540">
        <v>-1</v>
      </c>
      <c r="R540">
        <v>-1</v>
      </c>
      <c r="S540">
        <v>-1</v>
      </c>
      <c r="T540">
        <v>-1</v>
      </c>
      <c r="U540">
        <v>0.5</v>
      </c>
      <c r="V540">
        <v>0.4</v>
      </c>
      <c r="W540">
        <v>0.1</v>
      </c>
      <c r="X540">
        <v>-1</v>
      </c>
      <c r="Y540">
        <v>-1</v>
      </c>
      <c r="Z540">
        <v>-1</v>
      </c>
      <c r="AA540">
        <v>-1</v>
      </c>
      <c r="AB540">
        <v>-1</v>
      </c>
      <c r="AC540">
        <v>-1</v>
      </c>
      <c r="AD540">
        <v>-1</v>
      </c>
      <c r="AE540">
        <v>-1</v>
      </c>
      <c r="AF540">
        <v>2</v>
      </c>
      <c r="AG540">
        <v>5</v>
      </c>
      <c r="AH540">
        <v>10</v>
      </c>
      <c r="AI540">
        <v>-1</v>
      </c>
      <c r="AJ540">
        <v>-1</v>
      </c>
      <c r="AK540">
        <v>-1</v>
      </c>
      <c r="AL540">
        <v>-1</v>
      </c>
      <c r="AM540">
        <v>-1</v>
      </c>
      <c r="AN540">
        <v>-1</v>
      </c>
      <c r="AO540">
        <v>-1</v>
      </c>
      <c r="AP540">
        <v>-1</v>
      </c>
      <c r="AQ540">
        <v>0.5</v>
      </c>
      <c r="AR540" t="s">
        <v>0</v>
      </c>
      <c r="AS540">
        <v>5</v>
      </c>
      <c r="AT540">
        <v>5</v>
      </c>
      <c r="AU540">
        <v>5</v>
      </c>
      <c r="AV540">
        <v>0.5</v>
      </c>
      <c r="AW540">
        <v>0.4</v>
      </c>
      <c r="AX540">
        <v>0.1</v>
      </c>
      <c r="AY540">
        <v>1</v>
      </c>
      <c r="AZ540">
        <v>2</v>
      </c>
      <c r="BA540">
        <v>5</v>
      </c>
      <c r="BB540">
        <v>0</v>
      </c>
      <c r="BC540" t="s">
        <v>2</v>
      </c>
      <c r="BD540">
        <v>-1</v>
      </c>
      <c r="BE540">
        <v>-1</v>
      </c>
      <c r="BF540">
        <v>-1</v>
      </c>
      <c r="BG540">
        <v>-1</v>
      </c>
      <c r="BH540">
        <v>-1</v>
      </c>
      <c r="BI540">
        <v>-1</v>
      </c>
      <c r="BJ540">
        <v>-1</v>
      </c>
      <c r="BK540">
        <v>-1</v>
      </c>
      <c r="BL540">
        <v>-1</v>
      </c>
      <c r="BM540">
        <v>-1</v>
      </c>
      <c r="BN540">
        <v>-1</v>
      </c>
      <c r="BO540">
        <v>-1</v>
      </c>
    </row>
    <row r="541" spans="1:67" x14ac:dyDescent="0.25">
      <c r="A541">
        <v>538</v>
      </c>
      <c r="B541">
        <v>60015</v>
      </c>
      <c r="C541" t="str">
        <f>VLOOKUP(B541,[1]resources!$A$2:$D$300,3,FALSE)</f>
        <v>!!BOUQUET_FLOWERCORAL_CUPN2FLOWERS</v>
      </c>
      <c r="D541">
        <v>100</v>
      </c>
      <c r="E541" t="str">
        <f>VLOOKUP(D541,[1]bonus_paytable!$A$2:$D$300,3,FALSE)</f>
        <v>halloween_base_ghosts</v>
      </c>
      <c r="F541">
        <v>-1</v>
      </c>
      <c r="G541">
        <v>-1</v>
      </c>
      <c r="H541">
        <v>1</v>
      </c>
      <c r="I541" t="s">
        <v>1</v>
      </c>
      <c r="J541">
        <v>3</v>
      </c>
      <c r="K541">
        <v>3</v>
      </c>
      <c r="L541">
        <v>3</v>
      </c>
      <c r="M541">
        <v>-1</v>
      </c>
      <c r="N541">
        <v>-1</v>
      </c>
      <c r="O541">
        <v>-1</v>
      </c>
      <c r="P541">
        <v>-1</v>
      </c>
      <c r="Q541">
        <v>-1</v>
      </c>
      <c r="R541">
        <v>-1</v>
      </c>
      <c r="S541">
        <v>-1</v>
      </c>
      <c r="T541">
        <v>-1</v>
      </c>
      <c r="U541">
        <v>0.5</v>
      </c>
      <c r="V541">
        <v>0.4</v>
      </c>
      <c r="W541">
        <v>0.1</v>
      </c>
      <c r="X541">
        <v>-1</v>
      </c>
      <c r="Y541">
        <v>-1</v>
      </c>
      <c r="Z541">
        <v>-1</v>
      </c>
      <c r="AA541">
        <v>-1</v>
      </c>
      <c r="AB541">
        <v>-1</v>
      </c>
      <c r="AC541">
        <v>-1</v>
      </c>
      <c r="AD541">
        <v>-1</v>
      </c>
      <c r="AE541">
        <v>-1</v>
      </c>
      <c r="AF541">
        <v>2</v>
      </c>
      <c r="AG541">
        <v>5</v>
      </c>
      <c r="AH541">
        <v>10</v>
      </c>
      <c r="AI541">
        <v>-1</v>
      </c>
      <c r="AJ541">
        <v>-1</v>
      </c>
      <c r="AK541">
        <v>-1</v>
      </c>
      <c r="AL541">
        <v>-1</v>
      </c>
      <c r="AM541">
        <v>-1</v>
      </c>
      <c r="AN541">
        <v>-1</v>
      </c>
      <c r="AO541">
        <v>-1</v>
      </c>
      <c r="AP541">
        <v>-1</v>
      </c>
      <c r="AQ541">
        <v>0.5</v>
      </c>
      <c r="AR541" t="s">
        <v>0</v>
      </c>
      <c r="AS541">
        <v>5</v>
      </c>
      <c r="AT541">
        <v>5</v>
      </c>
      <c r="AU541">
        <v>5</v>
      </c>
      <c r="AV541">
        <v>0.5</v>
      </c>
      <c r="AW541">
        <v>0.4</v>
      </c>
      <c r="AX541">
        <v>0.1</v>
      </c>
      <c r="AY541">
        <v>1</v>
      </c>
      <c r="AZ541">
        <v>2</v>
      </c>
      <c r="BA541">
        <v>5</v>
      </c>
      <c r="BB541">
        <v>0</v>
      </c>
      <c r="BC541" t="s">
        <v>2</v>
      </c>
      <c r="BD541">
        <v>-1</v>
      </c>
      <c r="BE541">
        <v>-1</v>
      </c>
      <c r="BF541">
        <v>-1</v>
      </c>
      <c r="BG541">
        <v>-1</v>
      </c>
      <c r="BH541">
        <v>-1</v>
      </c>
      <c r="BI541">
        <v>-1</v>
      </c>
      <c r="BJ541">
        <v>-1</v>
      </c>
      <c r="BK541">
        <v>-1</v>
      </c>
      <c r="BL541">
        <v>-1</v>
      </c>
      <c r="BM541">
        <v>-1</v>
      </c>
      <c r="BN541">
        <v>-1</v>
      </c>
      <c r="BO541">
        <v>-1</v>
      </c>
    </row>
    <row r="542" spans="1:67" x14ac:dyDescent="0.25">
      <c r="A542">
        <v>539</v>
      </c>
      <c r="B542">
        <v>60016</v>
      </c>
      <c r="C542" t="str">
        <f>VLOOKUP(B542,[1]resources!$A$2:$D$300,3,FALSE)</f>
        <v>!!BOUQUET_FLOWERCORAL_BUNCHOBRANCHES</v>
      </c>
      <c r="D542">
        <v>100</v>
      </c>
      <c r="E542" t="str">
        <f>VLOOKUP(D542,[1]bonus_paytable!$A$2:$D$300,3,FALSE)</f>
        <v>halloween_base_ghosts</v>
      </c>
      <c r="F542">
        <v>-1</v>
      </c>
      <c r="G542">
        <v>-1</v>
      </c>
      <c r="H542">
        <v>1</v>
      </c>
      <c r="I542" t="s">
        <v>1</v>
      </c>
      <c r="J542">
        <v>3</v>
      </c>
      <c r="K542">
        <v>3</v>
      </c>
      <c r="L542">
        <v>3</v>
      </c>
      <c r="M542">
        <v>-1</v>
      </c>
      <c r="N542">
        <v>-1</v>
      </c>
      <c r="O542">
        <v>-1</v>
      </c>
      <c r="P542">
        <v>-1</v>
      </c>
      <c r="Q542">
        <v>-1</v>
      </c>
      <c r="R542">
        <v>-1</v>
      </c>
      <c r="S542">
        <v>-1</v>
      </c>
      <c r="T542">
        <v>-1</v>
      </c>
      <c r="U542">
        <v>0.5</v>
      </c>
      <c r="V542">
        <v>0.4</v>
      </c>
      <c r="W542">
        <v>0.1</v>
      </c>
      <c r="X542">
        <v>-1</v>
      </c>
      <c r="Y542">
        <v>-1</v>
      </c>
      <c r="Z542">
        <v>-1</v>
      </c>
      <c r="AA542">
        <v>-1</v>
      </c>
      <c r="AB542">
        <v>-1</v>
      </c>
      <c r="AC542">
        <v>-1</v>
      </c>
      <c r="AD542">
        <v>-1</v>
      </c>
      <c r="AE542">
        <v>-1</v>
      </c>
      <c r="AF542">
        <v>2</v>
      </c>
      <c r="AG542">
        <v>5</v>
      </c>
      <c r="AH542">
        <v>10</v>
      </c>
      <c r="AI542">
        <v>-1</v>
      </c>
      <c r="AJ542">
        <v>-1</v>
      </c>
      <c r="AK542">
        <v>-1</v>
      </c>
      <c r="AL542">
        <v>-1</v>
      </c>
      <c r="AM542">
        <v>-1</v>
      </c>
      <c r="AN542">
        <v>-1</v>
      </c>
      <c r="AO542">
        <v>-1</v>
      </c>
      <c r="AP542">
        <v>-1</v>
      </c>
      <c r="AQ542">
        <v>0.5</v>
      </c>
      <c r="AR542" t="s">
        <v>0</v>
      </c>
      <c r="AS542">
        <v>5</v>
      </c>
      <c r="AT542">
        <v>5</v>
      </c>
      <c r="AU542">
        <v>5</v>
      </c>
      <c r="AV542">
        <v>0.5</v>
      </c>
      <c r="AW542">
        <v>0.4</v>
      </c>
      <c r="AX542">
        <v>0.1</v>
      </c>
      <c r="AY542">
        <v>1</v>
      </c>
      <c r="AZ542">
        <v>2</v>
      </c>
      <c r="BA542">
        <v>5</v>
      </c>
      <c r="BB542">
        <v>0</v>
      </c>
      <c r="BC542" t="s">
        <v>2</v>
      </c>
      <c r="BD542">
        <v>-1</v>
      </c>
      <c r="BE542">
        <v>-1</v>
      </c>
      <c r="BF542">
        <v>-1</v>
      </c>
      <c r="BG542">
        <v>-1</v>
      </c>
      <c r="BH542">
        <v>-1</v>
      </c>
      <c r="BI542">
        <v>-1</v>
      </c>
      <c r="BJ542">
        <v>-1</v>
      </c>
      <c r="BK542">
        <v>-1</v>
      </c>
      <c r="BL542">
        <v>-1</v>
      </c>
      <c r="BM542">
        <v>-1</v>
      </c>
      <c r="BN542">
        <v>-1</v>
      </c>
      <c r="BO542">
        <v>-1</v>
      </c>
    </row>
    <row r="543" spans="1:67" x14ac:dyDescent="0.25">
      <c r="A543">
        <v>540</v>
      </c>
      <c r="B543">
        <v>60017</v>
      </c>
      <c r="C543" t="str">
        <f>VLOOKUP(B543,[1]resources!$A$2:$D$300,3,FALSE)</f>
        <v>!!BOUQUET_FLOWERCORAL_CUPCORALTREE</v>
      </c>
      <c r="D543">
        <v>100</v>
      </c>
      <c r="E543" t="str">
        <f>VLOOKUP(D543,[1]bonus_paytable!$A$2:$D$300,3,FALSE)</f>
        <v>halloween_base_ghosts</v>
      </c>
      <c r="F543">
        <v>-1</v>
      </c>
      <c r="G543">
        <v>-1</v>
      </c>
      <c r="H543">
        <v>1</v>
      </c>
      <c r="I543" t="s">
        <v>1</v>
      </c>
      <c r="J543">
        <v>3</v>
      </c>
      <c r="K543">
        <v>3</v>
      </c>
      <c r="L543">
        <v>3</v>
      </c>
      <c r="M543">
        <v>-1</v>
      </c>
      <c r="N543">
        <v>-1</v>
      </c>
      <c r="O543">
        <v>-1</v>
      </c>
      <c r="P543">
        <v>-1</v>
      </c>
      <c r="Q543">
        <v>-1</v>
      </c>
      <c r="R543">
        <v>-1</v>
      </c>
      <c r="S543">
        <v>-1</v>
      </c>
      <c r="T543">
        <v>-1</v>
      </c>
      <c r="U543">
        <v>0.5</v>
      </c>
      <c r="V543">
        <v>0.4</v>
      </c>
      <c r="W543">
        <v>0.1</v>
      </c>
      <c r="X543">
        <v>-1</v>
      </c>
      <c r="Y543">
        <v>-1</v>
      </c>
      <c r="Z543">
        <v>-1</v>
      </c>
      <c r="AA543">
        <v>-1</v>
      </c>
      <c r="AB543">
        <v>-1</v>
      </c>
      <c r="AC543">
        <v>-1</v>
      </c>
      <c r="AD543">
        <v>-1</v>
      </c>
      <c r="AE543">
        <v>-1</v>
      </c>
      <c r="AF543">
        <v>2</v>
      </c>
      <c r="AG543">
        <v>5</v>
      </c>
      <c r="AH543">
        <v>10</v>
      </c>
      <c r="AI543">
        <v>-1</v>
      </c>
      <c r="AJ543">
        <v>-1</v>
      </c>
      <c r="AK543">
        <v>-1</v>
      </c>
      <c r="AL543">
        <v>-1</v>
      </c>
      <c r="AM543">
        <v>-1</v>
      </c>
      <c r="AN543">
        <v>-1</v>
      </c>
      <c r="AO543">
        <v>-1</v>
      </c>
      <c r="AP543">
        <v>-1</v>
      </c>
      <c r="AQ543">
        <v>0.5</v>
      </c>
      <c r="AR543" t="s">
        <v>0</v>
      </c>
      <c r="AS543">
        <v>5</v>
      </c>
      <c r="AT543">
        <v>5</v>
      </c>
      <c r="AU543">
        <v>5</v>
      </c>
      <c r="AV543">
        <v>0.5</v>
      </c>
      <c r="AW543">
        <v>0.4</v>
      </c>
      <c r="AX543">
        <v>0.1</v>
      </c>
      <c r="AY543">
        <v>1</v>
      </c>
      <c r="AZ543">
        <v>2</v>
      </c>
      <c r="BA543">
        <v>5</v>
      </c>
      <c r="BB543">
        <v>0</v>
      </c>
      <c r="BC543" t="s">
        <v>2</v>
      </c>
      <c r="BD543">
        <v>-1</v>
      </c>
      <c r="BE543">
        <v>-1</v>
      </c>
      <c r="BF543">
        <v>-1</v>
      </c>
      <c r="BG543">
        <v>-1</v>
      </c>
      <c r="BH543">
        <v>-1</v>
      </c>
      <c r="BI543">
        <v>-1</v>
      </c>
      <c r="BJ543">
        <v>-1</v>
      </c>
      <c r="BK543">
        <v>-1</v>
      </c>
      <c r="BL543">
        <v>-1</v>
      </c>
      <c r="BM543">
        <v>-1</v>
      </c>
      <c r="BN543">
        <v>-1</v>
      </c>
      <c r="BO543">
        <v>-1</v>
      </c>
    </row>
    <row r="544" spans="1:67" x14ac:dyDescent="0.25">
      <c r="A544">
        <v>541</v>
      </c>
      <c r="B544">
        <v>60018</v>
      </c>
      <c r="C544" t="str">
        <f>VLOOKUP(B544,[1]resources!$A$2:$D$300,3,FALSE)</f>
        <v>!!BOUQUET_FLOWERCORAL_CORALPARADISE</v>
      </c>
      <c r="D544">
        <v>100</v>
      </c>
      <c r="E544" t="str">
        <f>VLOOKUP(D544,[1]bonus_paytable!$A$2:$D$300,3,FALSE)</f>
        <v>halloween_base_ghosts</v>
      </c>
      <c r="F544">
        <v>-1</v>
      </c>
      <c r="G544">
        <v>-1</v>
      </c>
      <c r="H544">
        <v>1</v>
      </c>
      <c r="I544" t="s">
        <v>1</v>
      </c>
      <c r="J544">
        <v>3</v>
      </c>
      <c r="K544">
        <v>3</v>
      </c>
      <c r="L544">
        <v>3</v>
      </c>
      <c r="M544">
        <v>-1</v>
      </c>
      <c r="N544">
        <v>-1</v>
      </c>
      <c r="O544">
        <v>-1</v>
      </c>
      <c r="P544">
        <v>-1</v>
      </c>
      <c r="Q544">
        <v>-1</v>
      </c>
      <c r="R544">
        <v>-1</v>
      </c>
      <c r="S544">
        <v>-1</v>
      </c>
      <c r="T544">
        <v>-1</v>
      </c>
      <c r="U544">
        <v>0.5</v>
      </c>
      <c r="V544">
        <v>0.4</v>
      </c>
      <c r="W544">
        <v>0.1</v>
      </c>
      <c r="X544">
        <v>-1</v>
      </c>
      <c r="Y544">
        <v>-1</v>
      </c>
      <c r="Z544">
        <v>-1</v>
      </c>
      <c r="AA544">
        <v>-1</v>
      </c>
      <c r="AB544">
        <v>-1</v>
      </c>
      <c r="AC544">
        <v>-1</v>
      </c>
      <c r="AD544">
        <v>-1</v>
      </c>
      <c r="AE544">
        <v>-1</v>
      </c>
      <c r="AF544">
        <v>2</v>
      </c>
      <c r="AG544">
        <v>5</v>
      </c>
      <c r="AH544">
        <v>10</v>
      </c>
      <c r="AI544">
        <v>-1</v>
      </c>
      <c r="AJ544">
        <v>-1</v>
      </c>
      <c r="AK544">
        <v>-1</v>
      </c>
      <c r="AL544">
        <v>-1</v>
      </c>
      <c r="AM544">
        <v>-1</v>
      </c>
      <c r="AN544">
        <v>-1</v>
      </c>
      <c r="AO544">
        <v>-1</v>
      </c>
      <c r="AP544">
        <v>-1</v>
      </c>
      <c r="AQ544">
        <v>0.5</v>
      </c>
      <c r="AR544" t="s">
        <v>0</v>
      </c>
      <c r="AS544">
        <v>5</v>
      </c>
      <c r="AT544">
        <v>5</v>
      </c>
      <c r="AU544">
        <v>5</v>
      </c>
      <c r="AV544">
        <v>0.5</v>
      </c>
      <c r="AW544">
        <v>0.4</v>
      </c>
      <c r="AX544">
        <v>0.1</v>
      </c>
      <c r="AY544">
        <v>1</v>
      </c>
      <c r="AZ544">
        <v>2</v>
      </c>
      <c r="BA544">
        <v>5</v>
      </c>
      <c r="BB544">
        <v>0</v>
      </c>
      <c r="BC544" t="s">
        <v>2</v>
      </c>
      <c r="BD544">
        <v>-1</v>
      </c>
      <c r="BE544">
        <v>-1</v>
      </c>
      <c r="BF544">
        <v>-1</v>
      </c>
      <c r="BG544">
        <v>-1</v>
      </c>
      <c r="BH544">
        <v>-1</v>
      </c>
      <c r="BI544">
        <v>-1</v>
      </c>
      <c r="BJ544">
        <v>-1</v>
      </c>
      <c r="BK544">
        <v>-1</v>
      </c>
      <c r="BL544">
        <v>-1</v>
      </c>
      <c r="BM544">
        <v>-1</v>
      </c>
      <c r="BN544">
        <v>-1</v>
      </c>
      <c r="BO544">
        <v>-1</v>
      </c>
    </row>
    <row r="545" spans="1:67" x14ac:dyDescent="0.25">
      <c r="A545">
        <v>542</v>
      </c>
      <c r="B545">
        <v>70000</v>
      </c>
      <c r="C545" t="str">
        <f>VLOOKUP(B545,[1]resources!$A$2:$D$300,3,FALSE)</f>
        <v>!!PERFUME_4OFCUPS</v>
      </c>
      <c r="D545">
        <v>100</v>
      </c>
      <c r="E545" t="str">
        <f>VLOOKUP(D545,[1]bonus_paytable!$A$2:$D$300,3,FALSE)</f>
        <v>halloween_base_ghosts</v>
      </c>
      <c r="F545">
        <v>-1</v>
      </c>
      <c r="G545">
        <v>-1</v>
      </c>
      <c r="H545">
        <v>1</v>
      </c>
      <c r="I545" t="s">
        <v>1</v>
      </c>
      <c r="J545">
        <v>3</v>
      </c>
      <c r="K545">
        <v>3</v>
      </c>
      <c r="L545">
        <v>3</v>
      </c>
      <c r="M545">
        <v>-1</v>
      </c>
      <c r="N545">
        <v>-1</v>
      </c>
      <c r="O545">
        <v>-1</v>
      </c>
      <c r="P545">
        <v>-1</v>
      </c>
      <c r="Q545">
        <v>-1</v>
      </c>
      <c r="R545">
        <v>-1</v>
      </c>
      <c r="S545">
        <v>-1</v>
      </c>
      <c r="T545">
        <v>-1</v>
      </c>
      <c r="U545">
        <v>0.5</v>
      </c>
      <c r="V545">
        <v>0.4</v>
      </c>
      <c r="W545">
        <v>0.1</v>
      </c>
      <c r="X545">
        <v>-1</v>
      </c>
      <c r="Y545">
        <v>-1</v>
      </c>
      <c r="Z545">
        <v>-1</v>
      </c>
      <c r="AA545">
        <v>-1</v>
      </c>
      <c r="AB545">
        <v>-1</v>
      </c>
      <c r="AC545">
        <v>-1</v>
      </c>
      <c r="AD545">
        <v>-1</v>
      </c>
      <c r="AE545">
        <v>-1</v>
      </c>
      <c r="AF545">
        <v>2</v>
      </c>
      <c r="AG545">
        <v>5</v>
      </c>
      <c r="AH545">
        <v>10</v>
      </c>
      <c r="AI545">
        <v>-1</v>
      </c>
      <c r="AJ545">
        <v>-1</v>
      </c>
      <c r="AK545">
        <v>-1</v>
      </c>
      <c r="AL545">
        <v>-1</v>
      </c>
      <c r="AM545">
        <v>-1</v>
      </c>
      <c r="AN545">
        <v>-1</v>
      </c>
      <c r="AO545">
        <v>-1</v>
      </c>
      <c r="AP545">
        <v>-1</v>
      </c>
      <c r="AQ545">
        <v>0.5</v>
      </c>
      <c r="AR545" t="s">
        <v>0</v>
      </c>
      <c r="AS545">
        <v>5</v>
      </c>
      <c r="AT545">
        <v>5</v>
      </c>
      <c r="AU545">
        <v>5</v>
      </c>
      <c r="AV545">
        <v>0.5</v>
      </c>
      <c r="AW545">
        <v>0.4</v>
      </c>
      <c r="AX545">
        <v>0.1</v>
      </c>
      <c r="AY545">
        <v>1</v>
      </c>
      <c r="AZ545">
        <v>2</v>
      </c>
      <c r="BA545">
        <v>5</v>
      </c>
      <c r="BB545">
        <v>0</v>
      </c>
      <c r="BC545" t="s">
        <v>2</v>
      </c>
      <c r="BD545">
        <v>-1</v>
      </c>
      <c r="BE545">
        <v>-1</v>
      </c>
      <c r="BF545">
        <v>-1</v>
      </c>
      <c r="BG545">
        <v>-1</v>
      </c>
      <c r="BH545">
        <v>-1</v>
      </c>
      <c r="BI545">
        <v>-1</v>
      </c>
      <c r="BJ545">
        <v>-1</v>
      </c>
      <c r="BK545">
        <v>-1</v>
      </c>
      <c r="BL545">
        <v>-1</v>
      </c>
      <c r="BM545">
        <v>-1</v>
      </c>
      <c r="BN545">
        <v>-1</v>
      </c>
      <c r="BO545">
        <v>-1</v>
      </c>
    </row>
    <row r="546" spans="1:67" x14ac:dyDescent="0.25">
      <c r="A546">
        <v>543</v>
      </c>
      <c r="B546">
        <v>70001</v>
      </c>
      <c r="C546" t="str">
        <f>VLOOKUP(B546,[1]resources!$A$2:$D$300,3,FALSE)</f>
        <v>!!PERFUME_CAPSIZEFORHER</v>
      </c>
      <c r="D546">
        <v>100</v>
      </c>
      <c r="E546" t="str">
        <f>VLOOKUP(D546,[1]bonus_paytable!$A$2:$D$300,3,FALSE)</f>
        <v>halloween_base_ghosts</v>
      </c>
      <c r="F546">
        <v>-1</v>
      </c>
      <c r="G546">
        <v>-1</v>
      </c>
      <c r="H546">
        <v>1</v>
      </c>
      <c r="I546" t="s">
        <v>1</v>
      </c>
      <c r="J546">
        <v>3</v>
      </c>
      <c r="K546">
        <v>3</v>
      </c>
      <c r="L546">
        <v>3</v>
      </c>
      <c r="M546">
        <v>-1</v>
      </c>
      <c r="N546">
        <v>-1</v>
      </c>
      <c r="O546">
        <v>-1</v>
      </c>
      <c r="P546">
        <v>-1</v>
      </c>
      <c r="Q546">
        <v>-1</v>
      </c>
      <c r="R546">
        <v>-1</v>
      </c>
      <c r="S546">
        <v>-1</v>
      </c>
      <c r="T546">
        <v>-1</v>
      </c>
      <c r="U546">
        <v>0.5</v>
      </c>
      <c r="V546">
        <v>0.4</v>
      </c>
      <c r="W546">
        <v>0.1</v>
      </c>
      <c r="X546">
        <v>-1</v>
      </c>
      <c r="Y546">
        <v>-1</v>
      </c>
      <c r="Z546">
        <v>-1</v>
      </c>
      <c r="AA546">
        <v>-1</v>
      </c>
      <c r="AB546">
        <v>-1</v>
      </c>
      <c r="AC546">
        <v>-1</v>
      </c>
      <c r="AD546">
        <v>-1</v>
      </c>
      <c r="AE546">
        <v>-1</v>
      </c>
      <c r="AF546">
        <v>2</v>
      </c>
      <c r="AG546">
        <v>5</v>
      </c>
      <c r="AH546">
        <v>10</v>
      </c>
      <c r="AI546">
        <v>-1</v>
      </c>
      <c r="AJ546">
        <v>-1</v>
      </c>
      <c r="AK546">
        <v>-1</v>
      </c>
      <c r="AL546">
        <v>-1</v>
      </c>
      <c r="AM546">
        <v>-1</v>
      </c>
      <c r="AN546">
        <v>-1</v>
      </c>
      <c r="AO546">
        <v>-1</v>
      </c>
      <c r="AP546">
        <v>-1</v>
      </c>
      <c r="AQ546">
        <v>0.5</v>
      </c>
      <c r="AR546" t="s">
        <v>0</v>
      </c>
      <c r="AS546">
        <v>5</v>
      </c>
      <c r="AT546">
        <v>5</v>
      </c>
      <c r="AU546">
        <v>5</v>
      </c>
      <c r="AV546">
        <v>0.5</v>
      </c>
      <c r="AW546">
        <v>0.4</v>
      </c>
      <c r="AX546">
        <v>0.1</v>
      </c>
      <c r="AY546">
        <v>1</v>
      </c>
      <c r="AZ546">
        <v>2</v>
      </c>
      <c r="BA546">
        <v>5</v>
      </c>
      <c r="BB546">
        <v>0</v>
      </c>
      <c r="BC546" t="s">
        <v>2</v>
      </c>
      <c r="BD546">
        <v>-1</v>
      </c>
      <c r="BE546">
        <v>-1</v>
      </c>
      <c r="BF546">
        <v>-1</v>
      </c>
      <c r="BG546">
        <v>-1</v>
      </c>
      <c r="BH546">
        <v>-1</v>
      </c>
      <c r="BI546">
        <v>-1</v>
      </c>
      <c r="BJ546">
        <v>-1</v>
      </c>
      <c r="BK546">
        <v>-1</v>
      </c>
      <c r="BL546">
        <v>-1</v>
      </c>
      <c r="BM546">
        <v>-1</v>
      </c>
      <c r="BN546">
        <v>-1</v>
      </c>
      <c r="BO546">
        <v>-1</v>
      </c>
    </row>
    <row r="547" spans="1:67" x14ac:dyDescent="0.25">
      <c r="A547">
        <v>544</v>
      </c>
      <c r="B547">
        <v>70002</v>
      </c>
      <c r="C547" t="str">
        <f>VLOOKUP(B547,[1]resources!$A$2:$D$300,3,FALSE)</f>
        <v>!!PERFUME_CAPSIZEFORHIM</v>
      </c>
      <c r="D547">
        <v>100</v>
      </c>
      <c r="E547" t="str">
        <f>VLOOKUP(D547,[1]bonus_paytable!$A$2:$D$300,3,FALSE)</f>
        <v>halloween_base_ghosts</v>
      </c>
      <c r="F547">
        <v>-1</v>
      </c>
      <c r="G547">
        <v>-1</v>
      </c>
      <c r="H547">
        <v>1</v>
      </c>
      <c r="I547" t="s">
        <v>1</v>
      </c>
      <c r="J547">
        <v>3</v>
      </c>
      <c r="K547">
        <v>3</v>
      </c>
      <c r="L547">
        <v>3</v>
      </c>
      <c r="M547">
        <v>-1</v>
      </c>
      <c r="N547">
        <v>-1</v>
      </c>
      <c r="O547">
        <v>-1</v>
      </c>
      <c r="P547">
        <v>-1</v>
      </c>
      <c r="Q547">
        <v>-1</v>
      </c>
      <c r="R547">
        <v>-1</v>
      </c>
      <c r="S547">
        <v>-1</v>
      </c>
      <c r="T547">
        <v>-1</v>
      </c>
      <c r="U547">
        <v>0.5</v>
      </c>
      <c r="V547">
        <v>0.4</v>
      </c>
      <c r="W547">
        <v>0.1</v>
      </c>
      <c r="X547">
        <v>-1</v>
      </c>
      <c r="Y547">
        <v>-1</v>
      </c>
      <c r="Z547">
        <v>-1</v>
      </c>
      <c r="AA547">
        <v>-1</v>
      </c>
      <c r="AB547">
        <v>-1</v>
      </c>
      <c r="AC547">
        <v>-1</v>
      </c>
      <c r="AD547">
        <v>-1</v>
      </c>
      <c r="AE547">
        <v>-1</v>
      </c>
      <c r="AF547">
        <v>2</v>
      </c>
      <c r="AG547">
        <v>5</v>
      </c>
      <c r="AH547">
        <v>10</v>
      </c>
      <c r="AI547">
        <v>-1</v>
      </c>
      <c r="AJ547">
        <v>-1</v>
      </c>
      <c r="AK547">
        <v>-1</v>
      </c>
      <c r="AL547">
        <v>-1</v>
      </c>
      <c r="AM547">
        <v>-1</v>
      </c>
      <c r="AN547">
        <v>-1</v>
      </c>
      <c r="AO547">
        <v>-1</v>
      </c>
      <c r="AP547">
        <v>-1</v>
      </c>
      <c r="AQ547">
        <v>0.5</v>
      </c>
      <c r="AR547" t="s">
        <v>0</v>
      </c>
      <c r="AS547">
        <v>5</v>
      </c>
      <c r="AT547">
        <v>5</v>
      </c>
      <c r="AU547">
        <v>5</v>
      </c>
      <c r="AV547">
        <v>0.5</v>
      </c>
      <c r="AW547">
        <v>0.4</v>
      </c>
      <c r="AX547">
        <v>0.1</v>
      </c>
      <c r="AY547">
        <v>1</v>
      </c>
      <c r="AZ547">
        <v>2</v>
      </c>
      <c r="BA547">
        <v>5</v>
      </c>
      <c r="BB547">
        <v>0</v>
      </c>
      <c r="BC547" t="s">
        <v>2</v>
      </c>
      <c r="BD547">
        <v>-1</v>
      </c>
      <c r="BE547">
        <v>-1</v>
      </c>
      <c r="BF547">
        <v>-1</v>
      </c>
      <c r="BG547">
        <v>-1</v>
      </c>
      <c r="BH547">
        <v>-1</v>
      </c>
      <c r="BI547">
        <v>-1</v>
      </c>
      <c r="BJ547">
        <v>-1</v>
      </c>
      <c r="BK547">
        <v>-1</v>
      </c>
      <c r="BL547">
        <v>-1</v>
      </c>
      <c r="BM547">
        <v>-1</v>
      </c>
      <c r="BN547">
        <v>-1</v>
      </c>
      <c r="BO547">
        <v>-1</v>
      </c>
    </row>
    <row r="548" spans="1:67" x14ac:dyDescent="0.25">
      <c r="A548">
        <v>545</v>
      </c>
      <c r="B548">
        <v>70003</v>
      </c>
      <c r="C548" t="str">
        <f>VLOOKUP(B548,[1]resources!$A$2:$D$300,3,FALSE)</f>
        <v>!!PERFUME_CHUMODERANT</v>
      </c>
      <c r="D548">
        <v>100</v>
      </c>
      <c r="E548" t="str">
        <f>VLOOKUP(D548,[1]bonus_paytable!$A$2:$D$300,3,FALSE)</f>
        <v>halloween_base_ghosts</v>
      </c>
      <c r="F548">
        <v>-1</v>
      </c>
      <c r="G548">
        <v>-1</v>
      </c>
      <c r="H548">
        <v>1</v>
      </c>
      <c r="I548" t="s">
        <v>1</v>
      </c>
      <c r="J548">
        <v>3</v>
      </c>
      <c r="K548">
        <v>3</v>
      </c>
      <c r="L548">
        <v>3</v>
      </c>
      <c r="M548">
        <v>-1</v>
      </c>
      <c r="N548">
        <v>-1</v>
      </c>
      <c r="O548">
        <v>-1</v>
      </c>
      <c r="P548">
        <v>-1</v>
      </c>
      <c r="Q548">
        <v>-1</v>
      </c>
      <c r="R548">
        <v>-1</v>
      </c>
      <c r="S548">
        <v>-1</v>
      </c>
      <c r="T548">
        <v>-1</v>
      </c>
      <c r="U548">
        <v>0.5</v>
      </c>
      <c r="V548">
        <v>0.4</v>
      </c>
      <c r="W548">
        <v>0.1</v>
      </c>
      <c r="X548">
        <v>-1</v>
      </c>
      <c r="Y548">
        <v>-1</v>
      </c>
      <c r="Z548">
        <v>-1</v>
      </c>
      <c r="AA548">
        <v>-1</v>
      </c>
      <c r="AB548">
        <v>-1</v>
      </c>
      <c r="AC548">
        <v>-1</v>
      </c>
      <c r="AD548">
        <v>-1</v>
      </c>
      <c r="AE548">
        <v>-1</v>
      </c>
      <c r="AF548">
        <v>2</v>
      </c>
      <c r="AG548">
        <v>5</v>
      </c>
      <c r="AH548">
        <v>10</v>
      </c>
      <c r="AI548">
        <v>-1</v>
      </c>
      <c r="AJ548">
        <v>-1</v>
      </c>
      <c r="AK548">
        <v>-1</v>
      </c>
      <c r="AL548">
        <v>-1</v>
      </c>
      <c r="AM548">
        <v>-1</v>
      </c>
      <c r="AN548">
        <v>-1</v>
      </c>
      <c r="AO548">
        <v>-1</v>
      </c>
      <c r="AP548">
        <v>-1</v>
      </c>
      <c r="AQ548">
        <v>0.5</v>
      </c>
      <c r="AR548" t="s">
        <v>0</v>
      </c>
      <c r="AS548">
        <v>5</v>
      </c>
      <c r="AT548">
        <v>5</v>
      </c>
      <c r="AU548">
        <v>5</v>
      </c>
      <c r="AV548">
        <v>0.5</v>
      </c>
      <c r="AW548">
        <v>0.4</v>
      </c>
      <c r="AX548">
        <v>0.1</v>
      </c>
      <c r="AY548">
        <v>1</v>
      </c>
      <c r="AZ548">
        <v>2</v>
      </c>
      <c r="BA548">
        <v>5</v>
      </c>
      <c r="BB548">
        <v>0</v>
      </c>
      <c r="BC548" t="s">
        <v>2</v>
      </c>
      <c r="BD548">
        <v>-1</v>
      </c>
      <c r="BE548">
        <v>-1</v>
      </c>
      <c r="BF548">
        <v>-1</v>
      </c>
      <c r="BG548">
        <v>-1</v>
      </c>
      <c r="BH548">
        <v>-1</v>
      </c>
      <c r="BI548">
        <v>-1</v>
      </c>
      <c r="BJ548">
        <v>-1</v>
      </c>
      <c r="BK548">
        <v>-1</v>
      </c>
      <c r="BL548">
        <v>-1</v>
      </c>
      <c r="BM548">
        <v>-1</v>
      </c>
      <c r="BN548">
        <v>-1</v>
      </c>
      <c r="BO548">
        <v>-1</v>
      </c>
    </row>
    <row r="549" spans="1:67" x14ac:dyDescent="0.25">
      <c r="A549">
        <v>546</v>
      </c>
      <c r="B549">
        <v>70004</v>
      </c>
      <c r="C549" t="str">
        <f>VLOOKUP(B549,[1]resources!$A$2:$D$300,3,FALSE)</f>
        <v>!!PERFUME_CHUMSNIFF</v>
      </c>
      <c r="D549">
        <v>100</v>
      </c>
      <c r="E549" t="str">
        <f>VLOOKUP(D549,[1]bonus_paytable!$A$2:$D$300,3,FALSE)</f>
        <v>halloween_base_ghosts</v>
      </c>
      <c r="F549">
        <v>-1</v>
      </c>
      <c r="G549">
        <v>-1</v>
      </c>
      <c r="H549">
        <v>1</v>
      </c>
      <c r="I549" t="s">
        <v>1</v>
      </c>
      <c r="J549">
        <v>3</v>
      </c>
      <c r="K549">
        <v>3</v>
      </c>
      <c r="L549">
        <v>3</v>
      </c>
      <c r="M549">
        <v>-1</v>
      </c>
      <c r="N549">
        <v>-1</v>
      </c>
      <c r="O549">
        <v>-1</v>
      </c>
      <c r="P549">
        <v>-1</v>
      </c>
      <c r="Q549">
        <v>-1</v>
      </c>
      <c r="R549">
        <v>-1</v>
      </c>
      <c r="S549">
        <v>-1</v>
      </c>
      <c r="T549">
        <v>-1</v>
      </c>
      <c r="U549">
        <v>0.5</v>
      </c>
      <c r="V549">
        <v>0.4</v>
      </c>
      <c r="W549">
        <v>0.1</v>
      </c>
      <c r="X549">
        <v>-1</v>
      </c>
      <c r="Y549">
        <v>-1</v>
      </c>
      <c r="Z549">
        <v>-1</v>
      </c>
      <c r="AA549">
        <v>-1</v>
      </c>
      <c r="AB549">
        <v>-1</v>
      </c>
      <c r="AC549">
        <v>-1</v>
      </c>
      <c r="AD549">
        <v>-1</v>
      </c>
      <c r="AE549">
        <v>-1</v>
      </c>
      <c r="AF549">
        <v>2</v>
      </c>
      <c r="AG549">
        <v>5</v>
      </c>
      <c r="AH549">
        <v>10</v>
      </c>
      <c r="AI549">
        <v>-1</v>
      </c>
      <c r="AJ549">
        <v>-1</v>
      </c>
      <c r="AK549">
        <v>-1</v>
      </c>
      <c r="AL549">
        <v>-1</v>
      </c>
      <c r="AM549">
        <v>-1</v>
      </c>
      <c r="AN549">
        <v>-1</v>
      </c>
      <c r="AO549">
        <v>-1</v>
      </c>
      <c r="AP549">
        <v>-1</v>
      </c>
      <c r="AQ549">
        <v>0.5</v>
      </c>
      <c r="AR549" t="s">
        <v>0</v>
      </c>
      <c r="AS549">
        <v>5</v>
      </c>
      <c r="AT549">
        <v>5</v>
      </c>
      <c r="AU549">
        <v>5</v>
      </c>
      <c r="AV549">
        <v>0.5</v>
      </c>
      <c r="AW549">
        <v>0.4</v>
      </c>
      <c r="AX549">
        <v>0.1</v>
      </c>
      <c r="AY549">
        <v>1</v>
      </c>
      <c r="AZ549">
        <v>2</v>
      </c>
      <c r="BA549">
        <v>5</v>
      </c>
      <c r="BB549">
        <v>0</v>
      </c>
      <c r="BC549" t="s">
        <v>2</v>
      </c>
      <c r="BD549">
        <v>-1</v>
      </c>
      <c r="BE549">
        <v>-1</v>
      </c>
      <c r="BF549">
        <v>-1</v>
      </c>
      <c r="BG549">
        <v>-1</v>
      </c>
      <c r="BH549">
        <v>-1</v>
      </c>
      <c r="BI549">
        <v>-1</v>
      </c>
      <c r="BJ549">
        <v>-1</v>
      </c>
      <c r="BK549">
        <v>-1</v>
      </c>
      <c r="BL549">
        <v>-1</v>
      </c>
      <c r="BM549">
        <v>-1</v>
      </c>
      <c r="BN549">
        <v>-1</v>
      </c>
      <c r="BO549">
        <v>-1</v>
      </c>
    </row>
    <row r="550" spans="1:67" x14ac:dyDescent="0.25">
      <c r="A550">
        <v>547</v>
      </c>
      <c r="B550">
        <v>70005</v>
      </c>
      <c r="C550" t="str">
        <f>VLOOKUP(B550,[1]resources!$A$2:$D$300,3,FALSE)</f>
        <v>!!PERFUME_CORALBREEZE</v>
      </c>
      <c r="D550">
        <v>100</v>
      </c>
      <c r="E550" t="str">
        <f>VLOOKUP(D550,[1]bonus_paytable!$A$2:$D$300,3,FALSE)</f>
        <v>halloween_base_ghosts</v>
      </c>
      <c r="F550">
        <v>-1</v>
      </c>
      <c r="G550">
        <v>-1</v>
      </c>
      <c r="H550">
        <v>1</v>
      </c>
      <c r="I550" t="s">
        <v>1</v>
      </c>
      <c r="J550">
        <v>3</v>
      </c>
      <c r="K550">
        <v>3</v>
      </c>
      <c r="L550">
        <v>3</v>
      </c>
      <c r="M550">
        <v>-1</v>
      </c>
      <c r="N550">
        <v>-1</v>
      </c>
      <c r="O550">
        <v>-1</v>
      </c>
      <c r="P550">
        <v>-1</v>
      </c>
      <c r="Q550">
        <v>-1</v>
      </c>
      <c r="R550">
        <v>-1</v>
      </c>
      <c r="S550">
        <v>-1</v>
      </c>
      <c r="T550">
        <v>-1</v>
      </c>
      <c r="U550">
        <v>0.5</v>
      </c>
      <c r="V550">
        <v>0.4</v>
      </c>
      <c r="W550">
        <v>0.1</v>
      </c>
      <c r="X550">
        <v>-1</v>
      </c>
      <c r="Y550">
        <v>-1</v>
      </c>
      <c r="Z550">
        <v>-1</v>
      </c>
      <c r="AA550">
        <v>-1</v>
      </c>
      <c r="AB550">
        <v>-1</v>
      </c>
      <c r="AC550">
        <v>-1</v>
      </c>
      <c r="AD550">
        <v>-1</v>
      </c>
      <c r="AE550">
        <v>-1</v>
      </c>
      <c r="AF550">
        <v>2</v>
      </c>
      <c r="AG550">
        <v>5</v>
      </c>
      <c r="AH550">
        <v>10</v>
      </c>
      <c r="AI550">
        <v>-1</v>
      </c>
      <c r="AJ550">
        <v>-1</v>
      </c>
      <c r="AK550">
        <v>-1</v>
      </c>
      <c r="AL550">
        <v>-1</v>
      </c>
      <c r="AM550">
        <v>-1</v>
      </c>
      <c r="AN550">
        <v>-1</v>
      </c>
      <c r="AO550">
        <v>-1</v>
      </c>
      <c r="AP550">
        <v>-1</v>
      </c>
      <c r="AQ550">
        <v>0.5</v>
      </c>
      <c r="AR550" t="s">
        <v>0</v>
      </c>
      <c r="AS550">
        <v>5</v>
      </c>
      <c r="AT550">
        <v>5</v>
      </c>
      <c r="AU550">
        <v>5</v>
      </c>
      <c r="AV550">
        <v>0.5</v>
      </c>
      <c r="AW550">
        <v>0.4</v>
      </c>
      <c r="AX550">
        <v>0.1</v>
      </c>
      <c r="AY550">
        <v>1</v>
      </c>
      <c r="AZ550">
        <v>2</v>
      </c>
      <c r="BA550">
        <v>5</v>
      </c>
      <c r="BB550">
        <v>0</v>
      </c>
      <c r="BC550" t="s">
        <v>2</v>
      </c>
      <c r="BD550">
        <v>-1</v>
      </c>
      <c r="BE550">
        <v>-1</v>
      </c>
      <c r="BF550">
        <v>-1</v>
      </c>
      <c r="BG550">
        <v>-1</v>
      </c>
      <c r="BH550">
        <v>-1</v>
      </c>
      <c r="BI550">
        <v>-1</v>
      </c>
      <c r="BJ550">
        <v>-1</v>
      </c>
      <c r="BK550">
        <v>-1</v>
      </c>
      <c r="BL550">
        <v>-1</v>
      </c>
      <c r="BM550">
        <v>-1</v>
      </c>
      <c r="BN550">
        <v>-1</v>
      </c>
      <c r="BO550">
        <v>-1</v>
      </c>
    </row>
    <row r="551" spans="1:67" x14ac:dyDescent="0.25">
      <c r="A551">
        <v>548</v>
      </c>
      <c r="B551">
        <v>70006</v>
      </c>
      <c r="C551" t="str">
        <f>VLOOKUP(B551,[1]resources!$A$2:$D$300,3,FALSE)</f>
        <v>!!PERFUME_FISHERMANSFLOWERS</v>
      </c>
      <c r="D551">
        <v>100</v>
      </c>
      <c r="E551" t="str">
        <f>VLOOKUP(D551,[1]bonus_paytable!$A$2:$D$300,3,FALSE)</f>
        <v>halloween_base_ghosts</v>
      </c>
      <c r="F551">
        <v>-1</v>
      </c>
      <c r="G551">
        <v>-1</v>
      </c>
      <c r="H551">
        <v>1</v>
      </c>
      <c r="I551" t="s">
        <v>1</v>
      </c>
      <c r="J551">
        <v>3</v>
      </c>
      <c r="K551">
        <v>3</v>
      </c>
      <c r="L551">
        <v>3</v>
      </c>
      <c r="M551">
        <v>-1</v>
      </c>
      <c r="N551">
        <v>-1</v>
      </c>
      <c r="O551">
        <v>-1</v>
      </c>
      <c r="P551">
        <v>-1</v>
      </c>
      <c r="Q551">
        <v>-1</v>
      </c>
      <c r="R551">
        <v>-1</v>
      </c>
      <c r="S551">
        <v>-1</v>
      </c>
      <c r="T551">
        <v>-1</v>
      </c>
      <c r="U551">
        <v>0.5</v>
      </c>
      <c r="V551">
        <v>0.4</v>
      </c>
      <c r="W551">
        <v>0.1</v>
      </c>
      <c r="X551">
        <v>-1</v>
      </c>
      <c r="Y551">
        <v>-1</v>
      </c>
      <c r="Z551">
        <v>-1</v>
      </c>
      <c r="AA551">
        <v>-1</v>
      </c>
      <c r="AB551">
        <v>-1</v>
      </c>
      <c r="AC551">
        <v>-1</v>
      </c>
      <c r="AD551">
        <v>-1</v>
      </c>
      <c r="AE551">
        <v>-1</v>
      </c>
      <c r="AF551">
        <v>2</v>
      </c>
      <c r="AG551">
        <v>5</v>
      </c>
      <c r="AH551">
        <v>10</v>
      </c>
      <c r="AI551">
        <v>-1</v>
      </c>
      <c r="AJ551">
        <v>-1</v>
      </c>
      <c r="AK551">
        <v>-1</v>
      </c>
      <c r="AL551">
        <v>-1</v>
      </c>
      <c r="AM551">
        <v>-1</v>
      </c>
      <c r="AN551">
        <v>-1</v>
      </c>
      <c r="AO551">
        <v>-1</v>
      </c>
      <c r="AP551">
        <v>-1</v>
      </c>
      <c r="AQ551">
        <v>0.5</v>
      </c>
      <c r="AR551" t="s">
        <v>0</v>
      </c>
      <c r="AS551">
        <v>5</v>
      </c>
      <c r="AT551">
        <v>5</v>
      </c>
      <c r="AU551">
        <v>5</v>
      </c>
      <c r="AV551">
        <v>0.5</v>
      </c>
      <c r="AW551">
        <v>0.4</v>
      </c>
      <c r="AX551">
        <v>0.1</v>
      </c>
      <c r="AY551">
        <v>1</v>
      </c>
      <c r="AZ551">
        <v>2</v>
      </c>
      <c r="BA551">
        <v>5</v>
      </c>
      <c r="BB551">
        <v>0</v>
      </c>
      <c r="BC551" t="s">
        <v>2</v>
      </c>
      <c r="BD551">
        <v>-1</v>
      </c>
      <c r="BE551">
        <v>-1</v>
      </c>
      <c r="BF551">
        <v>-1</v>
      </c>
      <c r="BG551">
        <v>-1</v>
      </c>
      <c r="BH551">
        <v>-1</v>
      </c>
      <c r="BI551">
        <v>-1</v>
      </c>
      <c r="BJ551">
        <v>-1</v>
      </c>
      <c r="BK551">
        <v>-1</v>
      </c>
      <c r="BL551">
        <v>-1</v>
      </c>
      <c r="BM551">
        <v>-1</v>
      </c>
      <c r="BN551">
        <v>-1</v>
      </c>
      <c r="BO551">
        <v>-1</v>
      </c>
    </row>
    <row r="552" spans="1:67" x14ac:dyDescent="0.25">
      <c r="A552">
        <v>549</v>
      </c>
      <c r="B552">
        <v>70007</v>
      </c>
      <c r="C552" t="str">
        <f>VLOOKUP(B552,[1]resources!$A$2:$D$300,3,FALSE)</f>
        <v>!!PERFUME_LAMPREYAWAY</v>
      </c>
      <c r="D552">
        <v>100</v>
      </c>
      <c r="E552" t="str">
        <f>VLOOKUP(D552,[1]bonus_paytable!$A$2:$D$300,3,FALSE)</f>
        <v>halloween_base_ghosts</v>
      </c>
      <c r="F552">
        <v>-1</v>
      </c>
      <c r="G552">
        <v>-1</v>
      </c>
      <c r="H552">
        <v>1</v>
      </c>
      <c r="I552" t="s">
        <v>1</v>
      </c>
      <c r="J552">
        <v>3</v>
      </c>
      <c r="K552">
        <v>3</v>
      </c>
      <c r="L552">
        <v>3</v>
      </c>
      <c r="M552">
        <v>-1</v>
      </c>
      <c r="N552">
        <v>-1</v>
      </c>
      <c r="O552">
        <v>-1</v>
      </c>
      <c r="P552">
        <v>-1</v>
      </c>
      <c r="Q552">
        <v>-1</v>
      </c>
      <c r="R552">
        <v>-1</v>
      </c>
      <c r="S552">
        <v>-1</v>
      </c>
      <c r="T552">
        <v>-1</v>
      </c>
      <c r="U552">
        <v>0.5</v>
      </c>
      <c r="V552">
        <v>0.4</v>
      </c>
      <c r="W552">
        <v>0.1</v>
      </c>
      <c r="X552">
        <v>-1</v>
      </c>
      <c r="Y552">
        <v>-1</v>
      </c>
      <c r="Z552">
        <v>-1</v>
      </c>
      <c r="AA552">
        <v>-1</v>
      </c>
      <c r="AB552">
        <v>-1</v>
      </c>
      <c r="AC552">
        <v>-1</v>
      </c>
      <c r="AD552">
        <v>-1</v>
      </c>
      <c r="AE552">
        <v>-1</v>
      </c>
      <c r="AF552">
        <v>2</v>
      </c>
      <c r="AG552">
        <v>5</v>
      </c>
      <c r="AH552">
        <v>10</v>
      </c>
      <c r="AI552">
        <v>-1</v>
      </c>
      <c r="AJ552">
        <v>-1</v>
      </c>
      <c r="AK552">
        <v>-1</v>
      </c>
      <c r="AL552">
        <v>-1</v>
      </c>
      <c r="AM552">
        <v>-1</v>
      </c>
      <c r="AN552">
        <v>-1</v>
      </c>
      <c r="AO552">
        <v>-1</v>
      </c>
      <c r="AP552">
        <v>-1</v>
      </c>
      <c r="AQ552">
        <v>0.5</v>
      </c>
      <c r="AR552" t="s">
        <v>0</v>
      </c>
      <c r="AS552">
        <v>5</v>
      </c>
      <c r="AT552">
        <v>5</v>
      </c>
      <c r="AU552">
        <v>5</v>
      </c>
      <c r="AV552">
        <v>0.5</v>
      </c>
      <c r="AW552">
        <v>0.4</v>
      </c>
      <c r="AX552">
        <v>0.1</v>
      </c>
      <c r="AY552">
        <v>1</v>
      </c>
      <c r="AZ552">
        <v>2</v>
      </c>
      <c r="BA552">
        <v>5</v>
      </c>
      <c r="BB552">
        <v>0</v>
      </c>
      <c r="BC552" t="s">
        <v>2</v>
      </c>
      <c r="BD552">
        <v>-1</v>
      </c>
      <c r="BE552">
        <v>-1</v>
      </c>
      <c r="BF552">
        <v>-1</v>
      </c>
      <c r="BG552">
        <v>-1</v>
      </c>
      <c r="BH552">
        <v>-1</v>
      </c>
      <c r="BI552">
        <v>-1</v>
      </c>
      <c r="BJ552">
        <v>-1</v>
      </c>
      <c r="BK552">
        <v>-1</v>
      </c>
      <c r="BL552">
        <v>-1</v>
      </c>
      <c r="BM552">
        <v>-1</v>
      </c>
      <c r="BN552">
        <v>-1</v>
      </c>
      <c r="BO552">
        <v>-1</v>
      </c>
    </row>
    <row r="553" spans="1:67" x14ac:dyDescent="0.25">
      <c r="A553">
        <v>550</v>
      </c>
      <c r="B553">
        <v>70008</v>
      </c>
      <c r="C553" t="str">
        <f>VLOOKUP(B553,[1]resources!$A$2:$D$300,3,FALSE)</f>
        <v>!!PERFUME_SCENTOSAILOR</v>
      </c>
      <c r="D553">
        <v>100</v>
      </c>
      <c r="E553" t="str">
        <f>VLOOKUP(D553,[1]bonus_paytable!$A$2:$D$300,3,FALSE)</f>
        <v>halloween_base_ghosts</v>
      </c>
      <c r="F553">
        <v>-1</v>
      </c>
      <c r="G553">
        <v>-1</v>
      </c>
      <c r="H553">
        <v>1</v>
      </c>
      <c r="I553" t="s">
        <v>1</v>
      </c>
      <c r="J553">
        <v>3</v>
      </c>
      <c r="K553">
        <v>3</v>
      </c>
      <c r="L553">
        <v>3</v>
      </c>
      <c r="M553">
        <v>-1</v>
      </c>
      <c r="N553">
        <v>-1</v>
      </c>
      <c r="O553">
        <v>-1</v>
      </c>
      <c r="P553">
        <v>-1</v>
      </c>
      <c r="Q553">
        <v>-1</v>
      </c>
      <c r="R553">
        <v>-1</v>
      </c>
      <c r="S553">
        <v>-1</v>
      </c>
      <c r="T553">
        <v>-1</v>
      </c>
      <c r="U553">
        <v>0.5</v>
      </c>
      <c r="V553">
        <v>0.4</v>
      </c>
      <c r="W553">
        <v>0.1</v>
      </c>
      <c r="X553">
        <v>-1</v>
      </c>
      <c r="Y553">
        <v>-1</v>
      </c>
      <c r="Z553">
        <v>-1</v>
      </c>
      <c r="AA553">
        <v>-1</v>
      </c>
      <c r="AB553">
        <v>-1</v>
      </c>
      <c r="AC553">
        <v>-1</v>
      </c>
      <c r="AD553">
        <v>-1</v>
      </c>
      <c r="AE553">
        <v>-1</v>
      </c>
      <c r="AF553">
        <v>2</v>
      </c>
      <c r="AG553">
        <v>5</v>
      </c>
      <c r="AH553">
        <v>10</v>
      </c>
      <c r="AI553">
        <v>-1</v>
      </c>
      <c r="AJ553">
        <v>-1</v>
      </c>
      <c r="AK553">
        <v>-1</v>
      </c>
      <c r="AL553">
        <v>-1</v>
      </c>
      <c r="AM553">
        <v>-1</v>
      </c>
      <c r="AN553">
        <v>-1</v>
      </c>
      <c r="AO553">
        <v>-1</v>
      </c>
      <c r="AP553">
        <v>-1</v>
      </c>
      <c r="AQ553">
        <v>0.5</v>
      </c>
      <c r="AR553" t="s">
        <v>0</v>
      </c>
      <c r="AS553">
        <v>5</v>
      </c>
      <c r="AT553">
        <v>5</v>
      </c>
      <c r="AU553">
        <v>5</v>
      </c>
      <c r="AV553">
        <v>0.5</v>
      </c>
      <c r="AW553">
        <v>0.4</v>
      </c>
      <c r="AX553">
        <v>0.1</v>
      </c>
      <c r="AY553">
        <v>1</v>
      </c>
      <c r="AZ553">
        <v>2</v>
      </c>
      <c r="BA553">
        <v>5</v>
      </c>
      <c r="BB553">
        <v>0</v>
      </c>
      <c r="BC553" t="s">
        <v>2</v>
      </c>
      <c r="BD553">
        <v>-1</v>
      </c>
      <c r="BE553">
        <v>-1</v>
      </c>
      <c r="BF553">
        <v>-1</v>
      </c>
      <c r="BG553">
        <v>-1</v>
      </c>
      <c r="BH553">
        <v>-1</v>
      </c>
      <c r="BI553">
        <v>-1</v>
      </c>
      <c r="BJ553">
        <v>-1</v>
      </c>
      <c r="BK553">
        <v>-1</v>
      </c>
      <c r="BL553">
        <v>-1</v>
      </c>
      <c r="BM553">
        <v>-1</v>
      </c>
      <c r="BN553">
        <v>-1</v>
      </c>
      <c r="BO553">
        <v>-1</v>
      </c>
    </row>
    <row r="554" spans="1:67" x14ac:dyDescent="0.25">
      <c r="A554">
        <v>551</v>
      </c>
      <c r="B554">
        <v>70009</v>
      </c>
      <c r="C554" t="str">
        <f>VLOOKUP(B554,[1]resources!$A$2:$D$300,3,FALSE)</f>
        <v>!!PERFUME_SEASHANTY</v>
      </c>
      <c r="D554">
        <v>100</v>
      </c>
      <c r="E554" t="str">
        <f>VLOOKUP(D554,[1]bonus_paytable!$A$2:$D$300,3,FALSE)</f>
        <v>halloween_base_ghosts</v>
      </c>
      <c r="F554">
        <v>-1</v>
      </c>
      <c r="G554">
        <v>-1</v>
      </c>
      <c r="H554">
        <v>1</v>
      </c>
      <c r="I554" t="s">
        <v>1</v>
      </c>
      <c r="J554">
        <v>3</v>
      </c>
      <c r="K554">
        <v>3</v>
      </c>
      <c r="L554">
        <v>3</v>
      </c>
      <c r="M554">
        <v>-1</v>
      </c>
      <c r="N554">
        <v>-1</v>
      </c>
      <c r="O554">
        <v>-1</v>
      </c>
      <c r="P554">
        <v>-1</v>
      </c>
      <c r="Q554">
        <v>-1</v>
      </c>
      <c r="R554">
        <v>-1</v>
      </c>
      <c r="S554">
        <v>-1</v>
      </c>
      <c r="T554">
        <v>-1</v>
      </c>
      <c r="U554">
        <v>0.5</v>
      </c>
      <c r="V554">
        <v>0.4</v>
      </c>
      <c r="W554">
        <v>0.1</v>
      </c>
      <c r="X554">
        <v>-1</v>
      </c>
      <c r="Y554">
        <v>-1</v>
      </c>
      <c r="Z554">
        <v>-1</v>
      </c>
      <c r="AA554">
        <v>-1</v>
      </c>
      <c r="AB554">
        <v>-1</v>
      </c>
      <c r="AC554">
        <v>-1</v>
      </c>
      <c r="AD554">
        <v>-1</v>
      </c>
      <c r="AE554">
        <v>-1</v>
      </c>
      <c r="AF554">
        <v>2</v>
      </c>
      <c r="AG554">
        <v>5</v>
      </c>
      <c r="AH554">
        <v>10</v>
      </c>
      <c r="AI554">
        <v>-1</v>
      </c>
      <c r="AJ554">
        <v>-1</v>
      </c>
      <c r="AK554">
        <v>-1</v>
      </c>
      <c r="AL554">
        <v>-1</v>
      </c>
      <c r="AM554">
        <v>-1</v>
      </c>
      <c r="AN554">
        <v>-1</v>
      </c>
      <c r="AO554">
        <v>-1</v>
      </c>
      <c r="AP554">
        <v>-1</v>
      </c>
      <c r="AQ554">
        <v>0.5</v>
      </c>
      <c r="AR554" t="s">
        <v>0</v>
      </c>
      <c r="AS554">
        <v>5</v>
      </c>
      <c r="AT554">
        <v>5</v>
      </c>
      <c r="AU554">
        <v>5</v>
      </c>
      <c r="AV554">
        <v>0.5</v>
      </c>
      <c r="AW554">
        <v>0.4</v>
      </c>
      <c r="AX554">
        <v>0.1</v>
      </c>
      <c r="AY554">
        <v>1</v>
      </c>
      <c r="AZ554">
        <v>2</v>
      </c>
      <c r="BA554">
        <v>5</v>
      </c>
      <c r="BB554">
        <v>0</v>
      </c>
      <c r="BC554" t="s">
        <v>2</v>
      </c>
      <c r="BD554">
        <v>-1</v>
      </c>
      <c r="BE554">
        <v>-1</v>
      </c>
      <c r="BF554">
        <v>-1</v>
      </c>
      <c r="BG554">
        <v>-1</v>
      </c>
      <c r="BH554">
        <v>-1</v>
      </c>
      <c r="BI554">
        <v>-1</v>
      </c>
      <c r="BJ554">
        <v>-1</v>
      </c>
      <c r="BK554">
        <v>-1</v>
      </c>
      <c r="BL554">
        <v>-1</v>
      </c>
      <c r="BM554">
        <v>-1</v>
      </c>
      <c r="BN554">
        <v>-1</v>
      </c>
      <c r="BO554">
        <v>-1</v>
      </c>
    </row>
    <row r="555" spans="1:67" x14ac:dyDescent="0.25">
      <c r="A555">
        <v>552</v>
      </c>
      <c r="B555">
        <v>70010</v>
      </c>
      <c r="C555" t="str">
        <f>VLOOKUP(B555,[1]resources!$A$2:$D$300,3,FALSE)</f>
        <v>!!PERFUME_THATSSOCORAL</v>
      </c>
      <c r="D555">
        <v>100</v>
      </c>
      <c r="E555" t="str">
        <f>VLOOKUP(D555,[1]bonus_paytable!$A$2:$D$300,3,FALSE)</f>
        <v>halloween_base_ghosts</v>
      </c>
      <c r="F555">
        <v>-1</v>
      </c>
      <c r="G555">
        <v>-1</v>
      </c>
      <c r="H555">
        <v>1</v>
      </c>
      <c r="I555" t="s">
        <v>1</v>
      </c>
      <c r="J555">
        <v>3</v>
      </c>
      <c r="K555">
        <v>3</v>
      </c>
      <c r="L555">
        <v>3</v>
      </c>
      <c r="M555">
        <v>-1</v>
      </c>
      <c r="N555">
        <v>-1</v>
      </c>
      <c r="O555">
        <v>-1</v>
      </c>
      <c r="P555">
        <v>-1</v>
      </c>
      <c r="Q555">
        <v>-1</v>
      </c>
      <c r="R555">
        <v>-1</v>
      </c>
      <c r="S555">
        <v>-1</v>
      </c>
      <c r="T555">
        <v>-1</v>
      </c>
      <c r="U555">
        <v>0.5</v>
      </c>
      <c r="V555">
        <v>0.4</v>
      </c>
      <c r="W555">
        <v>0.1</v>
      </c>
      <c r="X555">
        <v>-1</v>
      </c>
      <c r="Y555">
        <v>-1</v>
      </c>
      <c r="Z555">
        <v>-1</v>
      </c>
      <c r="AA555">
        <v>-1</v>
      </c>
      <c r="AB555">
        <v>-1</v>
      </c>
      <c r="AC555">
        <v>-1</v>
      </c>
      <c r="AD555">
        <v>-1</v>
      </c>
      <c r="AE555">
        <v>-1</v>
      </c>
      <c r="AF555">
        <v>2</v>
      </c>
      <c r="AG555">
        <v>5</v>
      </c>
      <c r="AH555">
        <v>10</v>
      </c>
      <c r="AI555">
        <v>-1</v>
      </c>
      <c r="AJ555">
        <v>-1</v>
      </c>
      <c r="AK555">
        <v>-1</v>
      </c>
      <c r="AL555">
        <v>-1</v>
      </c>
      <c r="AM555">
        <v>-1</v>
      </c>
      <c r="AN555">
        <v>-1</v>
      </c>
      <c r="AO555">
        <v>-1</v>
      </c>
      <c r="AP555">
        <v>-1</v>
      </c>
      <c r="AQ555">
        <v>0.5</v>
      </c>
      <c r="AR555" t="s">
        <v>0</v>
      </c>
      <c r="AS555">
        <v>5</v>
      </c>
      <c r="AT555">
        <v>5</v>
      </c>
      <c r="AU555">
        <v>5</v>
      </c>
      <c r="AV555">
        <v>0.5</v>
      </c>
      <c r="AW555">
        <v>0.4</v>
      </c>
      <c r="AX555">
        <v>0.1</v>
      </c>
      <c r="AY555">
        <v>1</v>
      </c>
      <c r="AZ555">
        <v>2</v>
      </c>
      <c r="BA555">
        <v>5</v>
      </c>
      <c r="BB555">
        <v>0</v>
      </c>
      <c r="BC555" t="s">
        <v>2</v>
      </c>
      <c r="BD555">
        <v>-1</v>
      </c>
      <c r="BE555">
        <v>-1</v>
      </c>
      <c r="BF555">
        <v>-1</v>
      </c>
      <c r="BG555">
        <v>-1</v>
      </c>
      <c r="BH555">
        <v>-1</v>
      </c>
      <c r="BI555">
        <v>-1</v>
      </c>
      <c r="BJ555">
        <v>-1</v>
      </c>
      <c r="BK555">
        <v>-1</v>
      </c>
      <c r="BL555">
        <v>-1</v>
      </c>
      <c r="BM555">
        <v>-1</v>
      </c>
      <c r="BN555">
        <v>-1</v>
      </c>
      <c r="BO555">
        <v>-1</v>
      </c>
    </row>
    <row r="556" spans="1:67" x14ac:dyDescent="0.25">
      <c r="A556">
        <v>553</v>
      </c>
      <c r="B556">
        <v>70011</v>
      </c>
      <c r="C556" t="str">
        <f>VLOOKUP(B556,[1]resources!$A$2:$D$300,3,FALSE)</f>
        <v>!!PERFUME_THEDUMP</v>
      </c>
      <c r="D556">
        <v>100</v>
      </c>
      <c r="E556" t="str">
        <f>VLOOKUP(D556,[1]bonus_paytable!$A$2:$D$300,3,FALSE)</f>
        <v>halloween_base_ghosts</v>
      </c>
      <c r="F556">
        <v>-1</v>
      </c>
      <c r="G556">
        <v>-1</v>
      </c>
      <c r="H556">
        <v>1</v>
      </c>
      <c r="I556" t="s">
        <v>1</v>
      </c>
      <c r="J556">
        <v>3</v>
      </c>
      <c r="K556">
        <v>3</v>
      </c>
      <c r="L556">
        <v>3</v>
      </c>
      <c r="M556">
        <v>-1</v>
      </c>
      <c r="N556">
        <v>-1</v>
      </c>
      <c r="O556">
        <v>-1</v>
      </c>
      <c r="P556">
        <v>-1</v>
      </c>
      <c r="Q556">
        <v>-1</v>
      </c>
      <c r="R556">
        <v>-1</v>
      </c>
      <c r="S556">
        <v>-1</v>
      </c>
      <c r="T556">
        <v>-1</v>
      </c>
      <c r="U556">
        <v>0.5</v>
      </c>
      <c r="V556">
        <v>0.4</v>
      </c>
      <c r="W556">
        <v>0.1</v>
      </c>
      <c r="X556">
        <v>-1</v>
      </c>
      <c r="Y556">
        <v>-1</v>
      </c>
      <c r="Z556">
        <v>-1</v>
      </c>
      <c r="AA556">
        <v>-1</v>
      </c>
      <c r="AB556">
        <v>-1</v>
      </c>
      <c r="AC556">
        <v>-1</v>
      </c>
      <c r="AD556">
        <v>-1</v>
      </c>
      <c r="AE556">
        <v>-1</v>
      </c>
      <c r="AF556">
        <v>2</v>
      </c>
      <c r="AG556">
        <v>5</v>
      </c>
      <c r="AH556">
        <v>10</v>
      </c>
      <c r="AI556">
        <v>-1</v>
      </c>
      <c r="AJ556">
        <v>-1</v>
      </c>
      <c r="AK556">
        <v>-1</v>
      </c>
      <c r="AL556">
        <v>-1</v>
      </c>
      <c r="AM556">
        <v>-1</v>
      </c>
      <c r="AN556">
        <v>-1</v>
      </c>
      <c r="AO556">
        <v>-1</v>
      </c>
      <c r="AP556">
        <v>-1</v>
      </c>
      <c r="AQ556">
        <v>0.5</v>
      </c>
      <c r="AR556" t="s">
        <v>0</v>
      </c>
      <c r="AS556">
        <v>5</v>
      </c>
      <c r="AT556">
        <v>5</v>
      </c>
      <c r="AU556">
        <v>5</v>
      </c>
      <c r="AV556">
        <v>0.5</v>
      </c>
      <c r="AW556">
        <v>0.4</v>
      </c>
      <c r="AX556">
        <v>0.1</v>
      </c>
      <c r="AY556">
        <v>1</v>
      </c>
      <c r="AZ556">
        <v>2</v>
      </c>
      <c r="BA556">
        <v>5</v>
      </c>
      <c r="BB556">
        <v>0</v>
      </c>
      <c r="BC556" t="s">
        <v>2</v>
      </c>
      <c r="BD556">
        <v>-1</v>
      </c>
      <c r="BE556">
        <v>-1</v>
      </c>
      <c r="BF556">
        <v>-1</v>
      </c>
      <c r="BG556">
        <v>-1</v>
      </c>
      <c r="BH556">
        <v>-1</v>
      </c>
      <c r="BI556">
        <v>-1</v>
      </c>
      <c r="BJ556">
        <v>-1</v>
      </c>
      <c r="BK556">
        <v>-1</v>
      </c>
      <c r="BL556">
        <v>-1</v>
      </c>
      <c r="BM556">
        <v>-1</v>
      </c>
      <c r="BN556">
        <v>-1</v>
      </c>
      <c r="BO556">
        <v>-1</v>
      </c>
    </row>
    <row r="557" spans="1:67" x14ac:dyDescent="0.25">
      <c r="A557">
        <v>554</v>
      </c>
      <c r="B557">
        <v>80000</v>
      </c>
      <c r="C557" t="str">
        <f>VLOOKUP(B557,[1]resources!$A$2:$D$300,3,FALSE)</f>
        <v>!!FOOD_BAKED_BANANABANANABREAD</v>
      </c>
      <c r="D557">
        <v>100</v>
      </c>
      <c r="E557" t="str">
        <f>VLOOKUP(D557,[1]bonus_paytable!$A$2:$D$300,3,FALSE)</f>
        <v>halloween_base_ghosts</v>
      </c>
      <c r="F557">
        <v>-1</v>
      </c>
      <c r="G557">
        <v>-1</v>
      </c>
      <c r="H557">
        <v>1</v>
      </c>
      <c r="I557" t="s">
        <v>1</v>
      </c>
      <c r="J557">
        <v>3</v>
      </c>
      <c r="K557">
        <v>3</v>
      </c>
      <c r="L557">
        <v>3</v>
      </c>
      <c r="M557">
        <v>-1</v>
      </c>
      <c r="N557">
        <v>-1</v>
      </c>
      <c r="O557">
        <v>-1</v>
      </c>
      <c r="P557">
        <v>-1</v>
      </c>
      <c r="Q557">
        <v>-1</v>
      </c>
      <c r="R557">
        <v>-1</v>
      </c>
      <c r="S557">
        <v>-1</v>
      </c>
      <c r="T557">
        <v>-1</v>
      </c>
      <c r="U557">
        <v>0.5</v>
      </c>
      <c r="V557">
        <v>0.4</v>
      </c>
      <c r="W557">
        <v>0.1</v>
      </c>
      <c r="X557">
        <v>-1</v>
      </c>
      <c r="Y557">
        <v>-1</v>
      </c>
      <c r="Z557">
        <v>-1</v>
      </c>
      <c r="AA557">
        <v>-1</v>
      </c>
      <c r="AB557">
        <v>-1</v>
      </c>
      <c r="AC557">
        <v>-1</v>
      </c>
      <c r="AD557">
        <v>-1</v>
      </c>
      <c r="AE557">
        <v>-1</v>
      </c>
      <c r="AF557">
        <v>2</v>
      </c>
      <c r="AG557">
        <v>5</v>
      </c>
      <c r="AH557">
        <v>10</v>
      </c>
      <c r="AI557">
        <v>-1</v>
      </c>
      <c r="AJ557">
        <v>-1</v>
      </c>
      <c r="AK557">
        <v>-1</v>
      </c>
      <c r="AL557">
        <v>-1</v>
      </c>
      <c r="AM557">
        <v>-1</v>
      </c>
      <c r="AN557">
        <v>-1</v>
      </c>
      <c r="AO557">
        <v>-1</v>
      </c>
      <c r="AP557">
        <v>-1</v>
      </c>
      <c r="AQ557">
        <v>0.5</v>
      </c>
      <c r="AR557" t="s">
        <v>0</v>
      </c>
      <c r="AS557">
        <v>5</v>
      </c>
      <c r="AT557">
        <v>5</v>
      </c>
      <c r="AU557">
        <v>5</v>
      </c>
      <c r="AV557">
        <v>0.5</v>
      </c>
      <c r="AW557">
        <v>0.4</v>
      </c>
      <c r="AX557">
        <v>0.1</v>
      </c>
      <c r="AY557">
        <v>1</v>
      </c>
      <c r="AZ557">
        <v>2</v>
      </c>
      <c r="BA557">
        <v>5</v>
      </c>
      <c r="BB557">
        <v>0</v>
      </c>
      <c r="BC557" t="s">
        <v>2</v>
      </c>
      <c r="BD557">
        <v>-1</v>
      </c>
      <c r="BE557">
        <v>-1</v>
      </c>
      <c r="BF557">
        <v>-1</v>
      </c>
      <c r="BG557">
        <v>-1</v>
      </c>
      <c r="BH557">
        <v>-1</v>
      </c>
      <c r="BI557">
        <v>-1</v>
      </c>
      <c r="BJ557">
        <v>-1</v>
      </c>
      <c r="BK557">
        <v>-1</v>
      </c>
      <c r="BL557">
        <v>-1</v>
      </c>
      <c r="BM557">
        <v>-1</v>
      </c>
      <c r="BN557">
        <v>-1</v>
      </c>
      <c r="BO557">
        <v>-1</v>
      </c>
    </row>
    <row r="558" spans="1:67" x14ac:dyDescent="0.25">
      <c r="A558">
        <v>555</v>
      </c>
      <c r="B558">
        <v>80001</v>
      </c>
      <c r="C558" t="str">
        <f>VLOOKUP(B558,[1]resources!$A$2:$D$300,3,FALSE)</f>
        <v>!!FOOD_BAKED_CHERRIESGARY</v>
      </c>
      <c r="D558">
        <v>100</v>
      </c>
      <c r="E558" t="str">
        <f>VLOOKUP(D558,[1]bonus_paytable!$A$2:$D$300,3,FALSE)</f>
        <v>halloween_base_ghosts</v>
      </c>
      <c r="F558">
        <v>-1</v>
      </c>
      <c r="G558">
        <v>-1</v>
      </c>
      <c r="H558">
        <v>1</v>
      </c>
      <c r="I558" t="s">
        <v>1</v>
      </c>
      <c r="J558">
        <v>3</v>
      </c>
      <c r="K558">
        <v>3</v>
      </c>
      <c r="L558">
        <v>3</v>
      </c>
      <c r="M558">
        <v>-1</v>
      </c>
      <c r="N558">
        <v>-1</v>
      </c>
      <c r="O558">
        <v>-1</v>
      </c>
      <c r="P558">
        <v>-1</v>
      </c>
      <c r="Q558">
        <v>-1</v>
      </c>
      <c r="R558">
        <v>-1</v>
      </c>
      <c r="S558">
        <v>-1</v>
      </c>
      <c r="T558">
        <v>-1</v>
      </c>
      <c r="U558">
        <v>0.5</v>
      </c>
      <c r="V558">
        <v>0.4</v>
      </c>
      <c r="W558">
        <v>0.1</v>
      </c>
      <c r="X558">
        <v>-1</v>
      </c>
      <c r="Y558">
        <v>-1</v>
      </c>
      <c r="Z558">
        <v>-1</v>
      </c>
      <c r="AA558">
        <v>-1</v>
      </c>
      <c r="AB558">
        <v>-1</v>
      </c>
      <c r="AC558">
        <v>-1</v>
      </c>
      <c r="AD558">
        <v>-1</v>
      </c>
      <c r="AE558">
        <v>-1</v>
      </c>
      <c r="AF558">
        <v>2</v>
      </c>
      <c r="AG558">
        <v>5</v>
      </c>
      <c r="AH558">
        <v>10</v>
      </c>
      <c r="AI558">
        <v>-1</v>
      </c>
      <c r="AJ558">
        <v>-1</v>
      </c>
      <c r="AK558">
        <v>-1</v>
      </c>
      <c r="AL558">
        <v>-1</v>
      </c>
      <c r="AM558">
        <v>-1</v>
      </c>
      <c r="AN558">
        <v>-1</v>
      </c>
      <c r="AO558">
        <v>-1</v>
      </c>
      <c r="AP558">
        <v>-1</v>
      </c>
      <c r="AQ558">
        <v>0.5</v>
      </c>
      <c r="AR558" t="s">
        <v>0</v>
      </c>
      <c r="AS558">
        <v>5</v>
      </c>
      <c r="AT558">
        <v>5</v>
      </c>
      <c r="AU558">
        <v>5</v>
      </c>
      <c r="AV558">
        <v>0.5</v>
      </c>
      <c r="AW558">
        <v>0.4</v>
      </c>
      <c r="AX558">
        <v>0.1</v>
      </c>
      <c r="AY558">
        <v>1</v>
      </c>
      <c r="AZ558">
        <v>2</v>
      </c>
      <c r="BA558">
        <v>5</v>
      </c>
      <c r="BB558">
        <v>0</v>
      </c>
      <c r="BC558" t="s">
        <v>2</v>
      </c>
      <c r="BD558">
        <v>-1</v>
      </c>
      <c r="BE558">
        <v>-1</v>
      </c>
      <c r="BF558">
        <v>-1</v>
      </c>
      <c r="BG558">
        <v>-1</v>
      </c>
      <c r="BH558">
        <v>-1</v>
      </c>
      <c r="BI558">
        <v>-1</v>
      </c>
      <c r="BJ558">
        <v>-1</v>
      </c>
      <c r="BK558">
        <v>-1</v>
      </c>
      <c r="BL558">
        <v>-1</v>
      </c>
      <c r="BM558">
        <v>-1</v>
      </c>
      <c r="BN558">
        <v>-1</v>
      </c>
      <c r="BO558">
        <v>-1</v>
      </c>
    </row>
    <row r="559" spans="1:67" x14ac:dyDescent="0.25">
      <c r="A559">
        <v>556</v>
      </c>
      <c r="B559">
        <v>80002</v>
      </c>
      <c r="C559" t="str">
        <f>VLOOKUP(B559,[1]resources!$A$2:$D$300,3,FALSE)</f>
        <v>!!FOOD_BAKED_COCONUTCOBBLER</v>
      </c>
      <c r="D559">
        <v>100</v>
      </c>
      <c r="E559" t="str">
        <f>VLOOKUP(D559,[1]bonus_paytable!$A$2:$D$300,3,FALSE)</f>
        <v>halloween_base_ghosts</v>
      </c>
      <c r="F559">
        <v>-1</v>
      </c>
      <c r="G559">
        <v>-1</v>
      </c>
      <c r="H559">
        <v>1</v>
      </c>
      <c r="I559" t="s">
        <v>1</v>
      </c>
      <c r="J559">
        <v>3</v>
      </c>
      <c r="K559">
        <v>3</v>
      </c>
      <c r="L559">
        <v>3</v>
      </c>
      <c r="M559">
        <v>-1</v>
      </c>
      <c r="N559">
        <v>-1</v>
      </c>
      <c r="O559">
        <v>-1</v>
      </c>
      <c r="P559">
        <v>-1</v>
      </c>
      <c r="Q559">
        <v>-1</v>
      </c>
      <c r="R559">
        <v>-1</v>
      </c>
      <c r="S559">
        <v>-1</v>
      </c>
      <c r="T559">
        <v>-1</v>
      </c>
      <c r="U559">
        <v>0.5</v>
      </c>
      <c r="V559">
        <v>0.4</v>
      </c>
      <c r="W559">
        <v>0.1</v>
      </c>
      <c r="X559">
        <v>-1</v>
      </c>
      <c r="Y559">
        <v>-1</v>
      </c>
      <c r="Z559">
        <v>-1</v>
      </c>
      <c r="AA559">
        <v>-1</v>
      </c>
      <c r="AB559">
        <v>-1</v>
      </c>
      <c r="AC559">
        <v>-1</v>
      </c>
      <c r="AD559">
        <v>-1</v>
      </c>
      <c r="AE559">
        <v>-1</v>
      </c>
      <c r="AF559">
        <v>2</v>
      </c>
      <c r="AG559">
        <v>5</v>
      </c>
      <c r="AH559">
        <v>10</v>
      </c>
      <c r="AI559">
        <v>-1</v>
      </c>
      <c r="AJ559">
        <v>-1</v>
      </c>
      <c r="AK559">
        <v>-1</v>
      </c>
      <c r="AL559">
        <v>-1</v>
      </c>
      <c r="AM559">
        <v>-1</v>
      </c>
      <c r="AN559">
        <v>-1</v>
      </c>
      <c r="AO559">
        <v>-1</v>
      </c>
      <c r="AP559">
        <v>-1</v>
      </c>
      <c r="AQ559">
        <v>0.5</v>
      </c>
      <c r="AR559" t="s">
        <v>0</v>
      </c>
      <c r="AS559">
        <v>5</v>
      </c>
      <c r="AT559">
        <v>5</v>
      </c>
      <c r="AU559">
        <v>5</v>
      </c>
      <c r="AV559">
        <v>0.5</v>
      </c>
      <c r="AW559">
        <v>0.4</v>
      </c>
      <c r="AX559">
        <v>0.1</v>
      </c>
      <c r="AY559">
        <v>1</v>
      </c>
      <c r="AZ559">
        <v>2</v>
      </c>
      <c r="BA559">
        <v>5</v>
      </c>
      <c r="BB559">
        <v>0</v>
      </c>
      <c r="BC559" t="s">
        <v>2</v>
      </c>
      <c r="BD559">
        <v>-1</v>
      </c>
      <c r="BE559">
        <v>-1</v>
      </c>
      <c r="BF559">
        <v>-1</v>
      </c>
      <c r="BG559">
        <v>-1</v>
      </c>
      <c r="BH559">
        <v>-1</v>
      </c>
      <c r="BI559">
        <v>-1</v>
      </c>
      <c r="BJ559">
        <v>-1</v>
      </c>
      <c r="BK559">
        <v>-1</v>
      </c>
      <c r="BL559">
        <v>-1</v>
      </c>
      <c r="BM559">
        <v>-1</v>
      </c>
      <c r="BN559">
        <v>-1</v>
      </c>
      <c r="BO559">
        <v>-1</v>
      </c>
    </row>
    <row r="560" spans="1:67" x14ac:dyDescent="0.25">
      <c r="A560">
        <v>557</v>
      </c>
      <c r="B560">
        <v>80003</v>
      </c>
      <c r="C560" t="str">
        <f>VLOOKUP(B560,[1]resources!$A$2:$D$300,3,FALSE)</f>
        <v>!!FOOD_BAKED_CORALCRUMBLE</v>
      </c>
      <c r="D560">
        <v>100</v>
      </c>
      <c r="E560" t="str">
        <f>VLOOKUP(D560,[1]bonus_paytable!$A$2:$D$300,3,FALSE)</f>
        <v>halloween_base_ghosts</v>
      </c>
      <c r="F560">
        <v>-1</v>
      </c>
      <c r="G560">
        <v>-1</v>
      </c>
      <c r="H560">
        <v>1</v>
      </c>
      <c r="I560" t="s">
        <v>1</v>
      </c>
      <c r="J560">
        <v>3</v>
      </c>
      <c r="K560">
        <v>3</v>
      </c>
      <c r="L560">
        <v>3</v>
      </c>
      <c r="M560">
        <v>-1</v>
      </c>
      <c r="N560">
        <v>-1</v>
      </c>
      <c r="O560">
        <v>-1</v>
      </c>
      <c r="P560">
        <v>-1</v>
      </c>
      <c r="Q560">
        <v>-1</v>
      </c>
      <c r="R560">
        <v>-1</v>
      </c>
      <c r="S560">
        <v>-1</v>
      </c>
      <c r="T560">
        <v>-1</v>
      </c>
      <c r="U560">
        <v>0.5</v>
      </c>
      <c r="V560">
        <v>0.4</v>
      </c>
      <c r="W560">
        <v>0.1</v>
      </c>
      <c r="X560">
        <v>-1</v>
      </c>
      <c r="Y560">
        <v>-1</v>
      </c>
      <c r="Z560">
        <v>-1</v>
      </c>
      <c r="AA560">
        <v>-1</v>
      </c>
      <c r="AB560">
        <v>-1</v>
      </c>
      <c r="AC560">
        <v>-1</v>
      </c>
      <c r="AD560">
        <v>-1</v>
      </c>
      <c r="AE560">
        <v>-1</v>
      </c>
      <c r="AF560">
        <v>2</v>
      </c>
      <c r="AG560">
        <v>5</v>
      </c>
      <c r="AH560">
        <v>10</v>
      </c>
      <c r="AI560">
        <v>-1</v>
      </c>
      <c r="AJ560">
        <v>-1</v>
      </c>
      <c r="AK560">
        <v>-1</v>
      </c>
      <c r="AL560">
        <v>-1</v>
      </c>
      <c r="AM560">
        <v>-1</v>
      </c>
      <c r="AN560">
        <v>-1</v>
      </c>
      <c r="AO560">
        <v>-1</v>
      </c>
      <c r="AP560">
        <v>-1</v>
      </c>
      <c r="AQ560">
        <v>0.5</v>
      </c>
      <c r="AR560" t="s">
        <v>0</v>
      </c>
      <c r="AS560">
        <v>5</v>
      </c>
      <c r="AT560">
        <v>5</v>
      </c>
      <c r="AU560">
        <v>5</v>
      </c>
      <c r="AV560">
        <v>0.5</v>
      </c>
      <c r="AW560">
        <v>0.4</v>
      </c>
      <c r="AX560">
        <v>0.1</v>
      </c>
      <c r="AY560">
        <v>1</v>
      </c>
      <c r="AZ560">
        <v>2</v>
      </c>
      <c r="BA560">
        <v>5</v>
      </c>
      <c r="BB560">
        <v>0</v>
      </c>
      <c r="BC560" t="s">
        <v>2</v>
      </c>
      <c r="BD560">
        <v>-1</v>
      </c>
      <c r="BE560">
        <v>-1</v>
      </c>
      <c r="BF560">
        <v>-1</v>
      </c>
      <c r="BG560">
        <v>-1</v>
      </c>
      <c r="BH560">
        <v>-1</v>
      </c>
      <c r="BI560">
        <v>-1</v>
      </c>
      <c r="BJ560">
        <v>-1</v>
      </c>
      <c r="BK560">
        <v>-1</v>
      </c>
      <c r="BL560">
        <v>-1</v>
      </c>
      <c r="BM560">
        <v>-1</v>
      </c>
      <c r="BN560">
        <v>-1</v>
      </c>
      <c r="BO560">
        <v>-1</v>
      </c>
    </row>
    <row r="561" spans="1:67" x14ac:dyDescent="0.25">
      <c r="A561">
        <v>558</v>
      </c>
      <c r="B561">
        <v>80004</v>
      </c>
      <c r="C561" t="str">
        <f>VLOOKUP(B561,[1]resources!$A$2:$D$300,3,FALSE)</f>
        <v>!!FOOD_BAKED_DUTCHMANSDUTCHAPPLEPIE</v>
      </c>
      <c r="D561">
        <v>100</v>
      </c>
      <c r="E561" t="str">
        <f>VLOOKUP(D561,[1]bonus_paytable!$A$2:$D$300,3,FALSE)</f>
        <v>halloween_base_ghosts</v>
      </c>
      <c r="F561">
        <v>-1</v>
      </c>
      <c r="G561">
        <v>-1</v>
      </c>
      <c r="H561">
        <v>1</v>
      </c>
      <c r="I561" t="s">
        <v>1</v>
      </c>
      <c r="J561">
        <v>3</v>
      </c>
      <c r="K561">
        <v>3</v>
      </c>
      <c r="L561">
        <v>3</v>
      </c>
      <c r="M561">
        <v>-1</v>
      </c>
      <c r="N561">
        <v>-1</v>
      </c>
      <c r="O561">
        <v>-1</v>
      </c>
      <c r="P561">
        <v>-1</v>
      </c>
      <c r="Q561">
        <v>-1</v>
      </c>
      <c r="R561">
        <v>-1</v>
      </c>
      <c r="S561">
        <v>-1</v>
      </c>
      <c r="T561">
        <v>-1</v>
      </c>
      <c r="U561">
        <v>0.5</v>
      </c>
      <c r="V561">
        <v>0.4</v>
      </c>
      <c r="W561">
        <v>0.1</v>
      </c>
      <c r="X561">
        <v>-1</v>
      </c>
      <c r="Y561">
        <v>-1</v>
      </c>
      <c r="Z561">
        <v>-1</v>
      </c>
      <c r="AA561">
        <v>-1</v>
      </c>
      <c r="AB561">
        <v>-1</v>
      </c>
      <c r="AC561">
        <v>-1</v>
      </c>
      <c r="AD561">
        <v>-1</v>
      </c>
      <c r="AE561">
        <v>-1</v>
      </c>
      <c r="AF561">
        <v>2</v>
      </c>
      <c r="AG561">
        <v>5</v>
      </c>
      <c r="AH561">
        <v>10</v>
      </c>
      <c r="AI561">
        <v>-1</v>
      </c>
      <c r="AJ561">
        <v>-1</v>
      </c>
      <c r="AK561">
        <v>-1</v>
      </c>
      <c r="AL561">
        <v>-1</v>
      </c>
      <c r="AM561">
        <v>-1</v>
      </c>
      <c r="AN561">
        <v>-1</v>
      </c>
      <c r="AO561">
        <v>-1</v>
      </c>
      <c r="AP561">
        <v>-1</v>
      </c>
      <c r="AQ561">
        <v>0.5</v>
      </c>
      <c r="AR561" t="s">
        <v>0</v>
      </c>
      <c r="AS561">
        <v>5</v>
      </c>
      <c r="AT561">
        <v>5</v>
      </c>
      <c r="AU561">
        <v>5</v>
      </c>
      <c r="AV561">
        <v>0.5</v>
      </c>
      <c r="AW561">
        <v>0.4</v>
      </c>
      <c r="AX561">
        <v>0.1</v>
      </c>
      <c r="AY561">
        <v>1</v>
      </c>
      <c r="AZ561">
        <v>2</v>
      </c>
      <c r="BA561">
        <v>5</v>
      </c>
      <c r="BB561">
        <v>0</v>
      </c>
      <c r="BC561" t="s">
        <v>2</v>
      </c>
      <c r="BD561">
        <v>-1</v>
      </c>
      <c r="BE561">
        <v>-1</v>
      </c>
      <c r="BF561">
        <v>-1</v>
      </c>
      <c r="BG561">
        <v>-1</v>
      </c>
      <c r="BH561">
        <v>-1</v>
      </c>
      <c r="BI561">
        <v>-1</v>
      </c>
      <c r="BJ561">
        <v>-1</v>
      </c>
      <c r="BK561">
        <v>-1</v>
      </c>
      <c r="BL561">
        <v>-1</v>
      </c>
      <c r="BM561">
        <v>-1</v>
      </c>
      <c r="BN561">
        <v>-1</v>
      </c>
      <c r="BO561">
        <v>-1</v>
      </c>
    </row>
    <row r="562" spans="1:67" x14ac:dyDescent="0.25">
      <c r="A562">
        <v>559</v>
      </c>
      <c r="B562">
        <v>80005</v>
      </c>
      <c r="C562" t="str">
        <f>VLOOKUP(B562,[1]resources!$A$2:$D$300,3,FALSE)</f>
        <v>!!FOOD_BAKED_EVERYVILLAINISLEMONBAR</v>
      </c>
      <c r="D562">
        <v>100</v>
      </c>
      <c r="E562" t="str">
        <f>VLOOKUP(D562,[1]bonus_paytable!$A$2:$D$300,3,FALSE)</f>
        <v>halloween_base_ghosts</v>
      </c>
      <c r="F562">
        <v>-1</v>
      </c>
      <c r="G562">
        <v>-1</v>
      </c>
      <c r="H562">
        <v>1</v>
      </c>
      <c r="I562" t="s">
        <v>1</v>
      </c>
      <c r="J562">
        <v>3</v>
      </c>
      <c r="K562">
        <v>3</v>
      </c>
      <c r="L562">
        <v>3</v>
      </c>
      <c r="M562">
        <v>-1</v>
      </c>
      <c r="N562">
        <v>-1</v>
      </c>
      <c r="O562">
        <v>-1</v>
      </c>
      <c r="P562">
        <v>-1</v>
      </c>
      <c r="Q562">
        <v>-1</v>
      </c>
      <c r="R562">
        <v>-1</v>
      </c>
      <c r="S562">
        <v>-1</v>
      </c>
      <c r="T562">
        <v>-1</v>
      </c>
      <c r="U562">
        <v>0.5</v>
      </c>
      <c r="V562">
        <v>0.4</v>
      </c>
      <c r="W562">
        <v>0.1</v>
      </c>
      <c r="X562">
        <v>-1</v>
      </c>
      <c r="Y562">
        <v>-1</v>
      </c>
      <c r="Z562">
        <v>-1</v>
      </c>
      <c r="AA562">
        <v>-1</v>
      </c>
      <c r="AB562">
        <v>-1</v>
      </c>
      <c r="AC562">
        <v>-1</v>
      </c>
      <c r="AD562">
        <v>-1</v>
      </c>
      <c r="AE562">
        <v>-1</v>
      </c>
      <c r="AF562">
        <v>2</v>
      </c>
      <c r="AG562">
        <v>5</v>
      </c>
      <c r="AH562">
        <v>10</v>
      </c>
      <c r="AI562">
        <v>-1</v>
      </c>
      <c r="AJ562">
        <v>-1</v>
      </c>
      <c r="AK562">
        <v>-1</v>
      </c>
      <c r="AL562">
        <v>-1</v>
      </c>
      <c r="AM562">
        <v>-1</v>
      </c>
      <c r="AN562">
        <v>-1</v>
      </c>
      <c r="AO562">
        <v>-1</v>
      </c>
      <c r="AP562">
        <v>-1</v>
      </c>
      <c r="AQ562">
        <v>0.5</v>
      </c>
      <c r="AR562" t="s">
        <v>0</v>
      </c>
      <c r="AS562">
        <v>5</v>
      </c>
      <c r="AT562">
        <v>5</v>
      </c>
      <c r="AU562">
        <v>5</v>
      </c>
      <c r="AV562">
        <v>0.5</v>
      </c>
      <c r="AW562">
        <v>0.4</v>
      </c>
      <c r="AX562">
        <v>0.1</v>
      </c>
      <c r="AY562">
        <v>1</v>
      </c>
      <c r="AZ562">
        <v>2</v>
      </c>
      <c r="BA562">
        <v>5</v>
      </c>
      <c r="BB562">
        <v>0</v>
      </c>
      <c r="BC562" t="s">
        <v>2</v>
      </c>
      <c r="BD562">
        <v>-1</v>
      </c>
      <c r="BE562">
        <v>-1</v>
      </c>
      <c r="BF562">
        <v>-1</v>
      </c>
      <c r="BG562">
        <v>-1</v>
      </c>
      <c r="BH562">
        <v>-1</v>
      </c>
      <c r="BI562">
        <v>-1</v>
      </c>
      <c r="BJ562">
        <v>-1</v>
      </c>
      <c r="BK562">
        <v>-1</v>
      </c>
      <c r="BL562">
        <v>-1</v>
      </c>
      <c r="BM562">
        <v>-1</v>
      </c>
      <c r="BN562">
        <v>-1</v>
      </c>
      <c r="BO562">
        <v>-1</v>
      </c>
    </row>
    <row r="563" spans="1:67" x14ac:dyDescent="0.25">
      <c r="A563">
        <v>560</v>
      </c>
      <c r="B563">
        <v>80006</v>
      </c>
      <c r="C563" t="str">
        <f>VLOOKUP(B563,[1]resources!$A$2:$D$300,3,FALSE)</f>
        <v>!!FOOD_BAKED_FERRYCHERRYCHEESECAKE</v>
      </c>
      <c r="D563">
        <v>100</v>
      </c>
      <c r="E563" t="str">
        <f>VLOOKUP(D563,[1]bonus_paytable!$A$2:$D$300,3,FALSE)</f>
        <v>halloween_base_ghosts</v>
      </c>
      <c r="F563">
        <v>-1</v>
      </c>
      <c r="G563">
        <v>-1</v>
      </c>
      <c r="H563">
        <v>1</v>
      </c>
      <c r="I563" t="s">
        <v>1</v>
      </c>
      <c r="J563">
        <v>3</v>
      </c>
      <c r="K563">
        <v>3</v>
      </c>
      <c r="L563">
        <v>3</v>
      </c>
      <c r="M563">
        <v>-1</v>
      </c>
      <c r="N563">
        <v>-1</v>
      </c>
      <c r="O563">
        <v>-1</v>
      </c>
      <c r="P563">
        <v>-1</v>
      </c>
      <c r="Q563">
        <v>-1</v>
      </c>
      <c r="R563">
        <v>-1</v>
      </c>
      <c r="S563">
        <v>-1</v>
      </c>
      <c r="T563">
        <v>-1</v>
      </c>
      <c r="U563">
        <v>0.5</v>
      </c>
      <c r="V563">
        <v>0.4</v>
      </c>
      <c r="W563">
        <v>0.1</v>
      </c>
      <c r="X563">
        <v>-1</v>
      </c>
      <c r="Y563">
        <v>-1</v>
      </c>
      <c r="Z563">
        <v>-1</v>
      </c>
      <c r="AA563">
        <v>-1</v>
      </c>
      <c r="AB563">
        <v>-1</v>
      </c>
      <c r="AC563">
        <v>-1</v>
      </c>
      <c r="AD563">
        <v>-1</v>
      </c>
      <c r="AE563">
        <v>-1</v>
      </c>
      <c r="AF563">
        <v>2</v>
      </c>
      <c r="AG563">
        <v>5</v>
      </c>
      <c r="AH563">
        <v>10</v>
      </c>
      <c r="AI563">
        <v>-1</v>
      </c>
      <c r="AJ563">
        <v>-1</v>
      </c>
      <c r="AK563">
        <v>-1</v>
      </c>
      <c r="AL563">
        <v>-1</v>
      </c>
      <c r="AM563">
        <v>-1</v>
      </c>
      <c r="AN563">
        <v>-1</v>
      </c>
      <c r="AO563">
        <v>-1</v>
      </c>
      <c r="AP563">
        <v>-1</v>
      </c>
      <c r="AQ563">
        <v>0.5</v>
      </c>
      <c r="AR563" t="s">
        <v>0</v>
      </c>
      <c r="AS563">
        <v>5</v>
      </c>
      <c r="AT563">
        <v>5</v>
      </c>
      <c r="AU563">
        <v>5</v>
      </c>
      <c r="AV563">
        <v>0.5</v>
      </c>
      <c r="AW563">
        <v>0.4</v>
      </c>
      <c r="AX563">
        <v>0.1</v>
      </c>
      <c r="AY563">
        <v>1</v>
      </c>
      <c r="AZ563">
        <v>2</v>
      </c>
      <c r="BA563">
        <v>5</v>
      </c>
      <c r="BB563">
        <v>0</v>
      </c>
      <c r="BC563" t="s">
        <v>2</v>
      </c>
      <c r="BD563">
        <v>-1</v>
      </c>
      <c r="BE563">
        <v>-1</v>
      </c>
      <c r="BF563">
        <v>-1</v>
      </c>
      <c r="BG563">
        <v>-1</v>
      </c>
      <c r="BH563">
        <v>-1</v>
      </c>
      <c r="BI563">
        <v>-1</v>
      </c>
      <c r="BJ563">
        <v>-1</v>
      </c>
      <c r="BK563">
        <v>-1</v>
      </c>
      <c r="BL563">
        <v>-1</v>
      </c>
      <c r="BM563">
        <v>-1</v>
      </c>
      <c r="BN563">
        <v>-1</v>
      </c>
      <c r="BO563">
        <v>-1</v>
      </c>
    </row>
    <row r="564" spans="1:67" x14ac:dyDescent="0.25">
      <c r="A564">
        <v>561</v>
      </c>
      <c r="B564">
        <v>80007</v>
      </c>
      <c r="C564" t="str">
        <f>VLOOKUP(B564,[1]resources!$A$2:$D$300,3,FALSE)</f>
        <v>!!FOOD_BAKED_KELPYCRUST</v>
      </c>
      <c r="D564">
        <v>100</v>
      </c>
      <c r="E564" t="str">
        <f>VLOOKUP(D564,[1]bonus_paytable!$A$2:$D$300,3,FALSE)</f>
        <v>halloween_base_ghosts</v>
      </c>
      <c r="F564">
        <v>-1</v>
      </c>
      <c r="G564">
        <v>-1</v>
      </c>
      <c r="H564">
        <v>1</v>
      </c>
      <c r="I564" t="s">
        <v>1</v>
      </c>
      <c r="J564">
        <v>3</v>
      </c>
      <c r="K564">
        <v>3</v>
      </c>
      <c r="L564">
        <v>3</v>
      </c>
      <c r="M564">
        <v>-1</v>
      </c>
      <c r="N564">
        <v>-1</v>
      </c>
      <c r="O564">
        <v>-1</v>
      </c>
      <c r="P564">
        <v>-1</v>
      </c>
      <c r="Q564">
        <v>-1</v>
      </c>
      <c r="R564">
        <v>-1</v>
      </c>
      <c r="S564">
        <v>-1</v>
      </c>
      <c r="T564">
        <v>-1</v>
      </c>
      <c r="U564">
        <v>0.5</v>
      </c>
      <c r="V564">
        <v>0.4</v>
      </c>
      <c r="W564">
        <v>0.1</v>
      </c>
      <c r="X564">
        <v>-1</v>
      </c>
      <c r="Y564">
        <v>-1</v>
      </c>
      <c r="Z564">
        <v>-1</v>
      </c>
      <c r="AA564">
        <v>-1</v>
      </c>
      <c r="AB564">
        <v>-1</v>
      </c>
      <c r="AC564">
        <v>-1</v>
      </c>
      <c r="AD564">
        <v>-1</v>
      </c>
      <c r="AE564">
        <v>-1</v>
      </c>
      <c r="AF564">
        <v>2</v>
      </c>
      <c r="AG564">
        <v>5</v>
      </c>
      <c r="AH564">
        <v>10</v>
      </c>
      <c r="AI564">
        <v>-1</v>
      </c>
      <c r="AJ564">
        <v>-1</v>
      </c>
      <c r="AK564">
        <v>-1</v>
      </c>
      <c r="AL564">
        <v>-1</v>
      </c>
      <c r="AM564">
        <v>-1</v>
      </c>
      <c r="AN564">
        <v>-1</v>
      </c>
      <c r="AO564">
        <v>-1</v>
      </c>
      <c r="AP564">
        <v>-1</v>
      </c>
      <c r="AQ564">
        <v>0.5</v>
      </c>
      <c r="AR564" t="s">
        <v>0</v>
      </c>
      <c r="AS564">
        <v>5</v>
      </c>
      <c r="AT564">
        <v>5</v>
      </c>
      <c r="AU564">
        <v>5</v>
      </c>
      <c r="AV564">
        <v>0.5</v>
      </c>
      <c r="AW564">
        <v>0.4</v>
      </c>
      <c r="AX564">
        <v>0.1</v>
      </c>
      <c r="AY564">
        <v>1</v>
      </c>
      <c r="AZ564">
        <v>2</v>
      </c>
      <c r="BA564">
        <v>5</v>
      </c>
      <c r="BB564">
        <v>0</v>
      </c>
      <c r="BC564" t="s">
        <v>2</v>
      </c>
      <c r="BD564">
        <v>-1</v>
      </c>
      <c r="BE564">
        <v>-1</v>
      </c>
      <c r="BF564">
        <v>-1</v>
      </c>
      <c r="BG564">
        <v>-1</v>
      </c>
      <c r="BH564">
        <v>-1</v>
      </c>
      <c r="BI564">
        <v>-1</v>
      </c>
      <c r="BJ564">
        <v>-1</v>
      </c>
      <c r="BK564">
        <v>-1</v>
      </c>
      <c r="BL564">
        <v>-1</v>
      </c>
      <c r="BM564">
        <v>-1</v>
      </c>
      <c r="BN564">
        <v>-1</v>
      </c>
      <c r="BO564">
        <v>-1</v>
      </c>
    </row>
    <row r="565" spans="1:67" x14ac:dyDescent="0.25">
      <c r="A565">
        <v>562</v>
      </c>
      <c r="B565">
        <v>80008</v>
      </c>
      <c r="C565" t="str">
        <f>VLOOKUP(B565,[1]resources!$A$2:$D$300,3,FALSE)</f>
        <v>!!FOOD_BAKED_LIFESABEACHPEACHCOBBLER</v>
      </c>
      <c r="D565">
        <v>100</v>
      </c>
      <c r="E565" t="str">
        <f>VLOOKUP(D565,[1]bonus_paytable!$A$2:$D$300,3,FALSE)</f>
        <v>halloween_base_ghosts</v>
      </c>
      <c r="F565">
        <v>-1</v>
      </c>
      <c r="G565">
        <v>-1</v>
      </c>
      <c r="H565">
        <v>1</v>
      </c>
      <c r="I565" t="s">
        <v>1</v>
      </c>
      <c r="J565">
        <v>3</v>
      </c>
      <c r="K565">
        <v>3</v>
      </c>
      <c r="L565">
        <v>3</v>
      </c>
      <c r="M565">
        <v>-1</v>
      </c>
      <c r="N565">
        <v>-1</v>
      </c>
      <c r="O565">
        <v>-1</v>
      </c>
      <c r="P565">
        <v>-1</v>
      </c>
      <c r="Q565">
        <v>-1</v>
      </c>
      <c r="R565">
        <v>-1</v>
      </c>
      <c r="S565">
        <v>-1</v>
      </c>
      <c r="T565">
        <v>-1</v>
      </c>
      <c r="U565">
        <v>0.5</v>
      </c>
      <c r="V565">
        <v>0.4</v>
      </c>
      <c r="W565">
        <v>0.1</v>
      </c>
      <c r="X565">
        <v>-1</v>
      </c>
      <c r="Y565">
        <v>-1</v>
      </c>
      <c r="Z565">
        <v>-1</v>
      </c>
      <c r="AA565">
        <v>-1</v>
      </c>
      <c r="AB565">
        <v>-1</v>
      </c>
      <c r="AC565">
        <v>-1</v>
      </c>
      <c r="AD565">
        <v>-1</v>
      </c>
      <c r="AE565">
        <v>-1</v>
      </c>
      <c r="AF565">
        <v>2</v>
      </c>
      <c r="AG565">
        <v>5</v>
      </c>
      <c r="AH565">
        <v>10</v>
      </c>
      <c r="AI565">
        <v>-1</v>
      </c>
      <c r="AJ565">
        <v>-1</v>
      </c>
      <c r="AK565">
        <v>-1</v>
      </c>
      <c r="AL565">
        <v>-1</v>
      </c>
      <c r="AM565">
        <v>-1</v>
      </c>
      <c r="AN565">
        <v>-1</v>
      </c>
      <c r="AO565">
        <v>-1</v>
      </c>
      <c r="AP565">
        <v>-1</v>
      </c>
      <c r="AQ565">
        <v>0.5</v>
      </c>
      <c r="AR565" t="s">
        <v>0</v>
      </c>
      <c r="AS565">
        <v>5</v>
      </c>
      <c r="AT565">
        <v>5</v>
      </c>
      <c r="AU565">
        <v>5</v>
      </c>
      <c r="AV565">
        <v>0.5</v>
      </c>
      <c r="AW565">
        <v>0.4</v>
      </c>
      <c r="AX565">
        <v>0.1</v>
      </c>
      <c r="AY565">
        <v>1</v>
      </c>
      <c r="AZ565">
        <v>2</v>
      </c>
      <c r="BA565">
        <v>5</v>
      </c>
      <c r="BB565">
        <v>0</v>
      </c>
      <c r="BC565" t="s">
        <v>2</v>
      </c>
      <c r="BD565">
        <v>-1</v>
      </c>
      <c r="BE565">
        <v>-1</v>
      </c>
      <c r="BF565">
        <v>-1</v>
      </c>
      <c r="BG565">
        <v>-1</v>
      </c>
      <c r="BH565">
        <v>-1</v>
      </c>
      <c r="BI565">
        <v>-1</v>
      </c>
      <c r="BJ565">
        <v>-1</v>
      </c>
      <c r="BK565">
        <v>-1</v>
      </c>
      <c r="BL565">
        <v>-1</v>
      </c>
      <c r="BM565">
        <v>-1</v>
      </c>
      <c r="BN565">
        <v>-1</v>
      </c>
      <c r="BO565">
        <v>-1</v>
      </c>
    </row>
    <row r="566" spans="1:67" x14ac:dyDescent="0.25">
      <c r="A566">
        <v>563</v>
      </c>
      <c r="B566">
        <v>80009</v>
      </c>
      <c r="C566" t="str">
        <f>VLOOKUP(B566,[1]resources!$A$2:$D$300,3,FALSE)</f>
        <v>!!FOOD_BAKED_MAROONEDMACAROONS</v>
      </c>
      <c r="D566">
        <v>100</v>
      </c>
      <c r="E566" t="str">
        <f>VLOOKUP(D566,[1]bonus_paytable!$A$2:$D$300,3,FALSE)</f>
        <v>halloween_base_ghosts</v>
      </c>
      <c r="F566">
        <v>-1</v>
      </c>
      <c r="G566">
        <v>-1</v>
      </c>
      <c r="H566">
        <v>1</v>
      </c>
      <c r="I566" t="s">
        <v>1</v>
      </c>
      <c r="J566">
        <v>3</v>
      </c>
      <c r="K566">
        <v>3</v>
      </c>
      <c r="L566">
        <v>3</v>
      </c>
      <c r="M566">
        <v>-1</v>
      </c>
      <c r="N566">
        <v>-1</v>
      </c>
      <c r="O566">
        <v>-1</v>
      </c>
      <c r="P566">
        <v>-1</v>
      </c>
      <c r="Q566">
        <v>-1</v>
      </c>
      <c r="R566">
        <v>-1</v>
      </c>
      <c r="S566">
        <v>-1</v>
      </c>
      <c r="T566">
        <v>-1</v>
      </c>
      <c r="U566">
        <v>0.5</v>
      </c>
      <c r="V566">
        <v>0.4</v>
      </c>
      <c r="W566">
        <v>0.1</v>
      </c>
      <c r="X566">
        <v>-1</v>
      </c>
      <c r="Y566">
        <v>-1</v>
      </c>
      <c r="Z566">
        <v>-1</v>
      </c>
      <c r="AA566">
        <v>-1</v>
      </c>
      <c r="AB566">
        <v>-1</v>
      </c>
      <c r="AC566">
        <v>-1</v>
      </c>
      <c r="AD566">
        <v>-1</v>
      </c>
      <c r="AE566">
        <v>-1</v>
      </c>
      <c r="AF566">
        <v>2</v>
      </c>
      <c r="AG566">
        <v>5</v>
      </c>
      <c r="AH566">
        <v>10</v>
      </c>
      <c r="AI566">
        <v>-1</v>
      </c>
      <c r="AJ566">
        <v>-1</v>
      </c>
      <c r="AK566">
        <v>-1</v>
      </c>
      <c r="AL566">
        <v>-1</v>
      </c>
      <c r="AM566">
        <v>-1</v>
      </c>
      <c r="AN566">
        <v>-1</v>
      </c>
      <c r="AO566">
        <v>-1</v>
      </c>
      <c r="AP566">
        <v>-1</v>
      </c>
      <c r="AQ566">
        <v>0.5</v>
      </c>
      <c r="AR566" t="s">
        <v>0</v>
      </c>
      <c r="AS566">
        <v>5</v>
      </c>
      <c r="AT566">
        <v>5</v>
      </c>
      <c r="AU566">
        <v>5</v>
      </c>
      <c r="AV566">
        <v>0.5</v>
      </c>
      <c r="AW566">
        <v>0.4</v>
      </c>
      <c r="AX566">
        <v>0.1</v>
      </c>
      <c r="AY566">
        <v>1</v>
      </c>
      <c r="AZ566">
        <v>2</v>
      </c>
      <c r="BA566">
        <v>5</v>
      </c>
      <c r="BB566">
        <v>0</v>
      </c>
      <c r="BC566" t="s">
        <v>2</v>
      </c>
      <c r="BD566">
        <v>-1</v>
      </c>
      <c r="BE566">
        <v>-1</v>
      </c>
      <c r="BF566">
        <v>-1</v>
      </c>
      <c r="BG566">
        <v>-1</v>
      </c>
      <c r="BH566">
        <v>-1</v>
      </c>
      <c r="BI566">
        <v>-1</v>
      </c>
      <c r="BJ566">
        <v>-1</v>
      </c>
      <c r="BK566">
        <v>-1</v>
      </c>
      <c r="BL566">
        <v>-1</v>
      </c>
      <c r="BM566">
        <v>-1</v>
      </c>
      <c r="BN566">
        <v>-1</v>
      </c>
      <c r="BO566">
        <v>-1</v>
      </c>
    </row>
    <row r="567" spans="1:67" x14ac:dyDescent="0.25">
      <c r="A567">
        <v>564</v>
      </c>
      <c r="B567">
        <v>80010</v>
      </c>
      <c r="C567" t="str">
        <f>VLOOKUP(B567,[1]resources!$A$2:$D$300,3,FALSE)</f>
        <v>!!FOOD_BAKED_MERINGUELEMANRAY</v>
      </c>
      <c r="D567">
        <v>100</v>
      </c>
      <c r="E567" t="str">
        <f>VLOOKUP(D567,[1]bonus_paytable!$A$2:$D$300,3,FALSE)</f>
        <v>halloween_base_ghosts</v>
      </c>
      <c r="F567">
        <v>-1</v>
      </c>
      <c r="G567">
        <v>-1</v>
      </c>
      <c r="H567">
        <v>1</v>
      </c>
      <c r="I567" t="s">
        <v>1</v>
      </c>
      <c r="J567">
        <v>3</v>
      </c>
      <c r="K567">
        <v>3</v>
      </c>
      <c r="L567">
        <v>3</v>
      </c>
      <c r="M567">
        <v>-1</v>
      </c>
      <c r="N567">
        <v>-1</v>
      </c>
      <c r="O567">
        <v>-1</v>
      </c>
      <c r="P567">
        <v>-1</v>
      </c>
      <c r="Q567">
        <v>-1</v>
      </c>
      <c r="R567">
        <v>-1</v>
      </c>
      <c r="S567">
        <v>-1</v>
      </c>
      <c r="T567">
        <v>-1</v>
      </c>
      <c r="U567">
        <v>0.5</v>
      </c>
      <c r="V567">
        <v>0.4</v>
      </c>
      <c r="W567">
        <v>0.1</v>
      </c>
      <c r="X567">
        <v>-1</v>
      </c>
      <c r="Y567">
        <v>-1</v>
      </c>
      <c r="Z567">
        <v>-1</v>
      </c>
      <c r="AA567">
        <v>-1</v>
      </c>
      <c r="AB567">
        <v>-1</v>
      </c>
      <c r="AC567">
        <v>-1</v>
      </c>
      <c r="AD567">
        <v>-1</v>
      </c>
      <c r="AE567">
        <v>-1</v>
      </c>
      <c r="AF567">
        <v>2</v>
      </c>
      <c r="AG567">
        <v>5</v>
      </c>
      <c r="AH567">
        <v>10</v>
      </c>
      <c r="AI567">
        <v>-1</v>
      </c>
      <c r="AJ567">
        <v>-1</v>
      </c>
      <c r="AK567">
        <v>-1</v>
      </c>
      <c r="AL567">
        <v>-1</v>
      </c>
      <c r="AM567">
        <v>-1</v>
      </c>
      <c r="AN567">
        <v>-1</v>
      </c>
      <c r="AO567">
        <v>-1</v>
      </c>
      <c r="AP567">
        <v>-1</v>
      </c>
      <c r="AQ567">
        <v>0.5</v>
      </c>
      <c r="AR567" t="s">
        <v>0</v>
      </c>
      <c r="AS567">
        <v>5</v>
      </c>
      <c r="AT567">
        <v>5</v>
      </c>
      <c r="AU567">
        <v>5</v>
      </c>
      <c r="AV567">
        <v>0.5</v>
      </c>
      <c r="AW567">
        <v>0.4</v>
      </c>
      <c r="AX567">
        <v>0.1</v>
      </c>
      <c r="AY567">
        <v>1</v>
      </c>
      <c r="AZ567">
        <v>2</v>
      </c>
      <c r="BA567">
        <v>5</v>
      </c>
      <c r="BB567">
        <v>0</v>
      </c>
      <c r="BC567" t="s">
        <v>2</v>
      </c>
      <c r="BD567">
        <v>-1</v>
      </c>
      <c r="BE567">
        <v>-1</v>
      </c>
      <c r="BF567">
        <v>-1</v>
      </c>
      <c r="BG567">
        <v>-1</v>
      </c>
      <c r="BH567">
        <v>-1</v>
      </c>
      <c r="BI567">
        <v>-1</v>
      </c>
      <c r="BJ567">
        <v>-1</v>
      </c>
      <c r="BK567">
        <v>-1</v>
      </c>
      <c r="BL567">
        <v>-1</v>
      </c>
      <c r="BM567">
        <v>-1</v>
      </c>
      <c r="BN567">
        <v>-1</v>
      </c>
      <c r="BO567">
        <v>-1</v>
      </c>
    </row>
    <row r="568" spans="1:67" x14ac:dyDescent="0.25">
      <c r="A568">
        <v>565</v>
      </c>
      <c r="B568">
        <v>80011</v>
      </c>
      <c r="C568" t="str">
        <f>VLOOKUP(B568,[1]resources!$A$2:$D$300,3,FALSE)</f>
        <v>!!FOOD_BAKED_PUFFERPASTRYTART</v>
      </c>
      <c r="D568">
        <v>100</v>
      </c>
      <c r="E568" t="str">
        <f>VLOOKUP(D568,[1]bonus_paytable!$A$2:$D$300,3,FALSE)</f>
        <v>halloween_base_ghosts</v>
      </c>
      <c r="F568">
        <v>-1</v>
      </c>
      <c r="G568">
        <v>-1</v>
      </c>
      <c r="H568">
        <v>1</v>
      </c>
      <c r="I568" t="s">
        <v>1</v>
      </c>
      <c r="J568">
        <v>3</v>
      </c>
      <c r="K568">
        <v>3</v>
      </c>
      <c r="L568">
        <v>3</v>
      </c>
      <c r="M568">
        <v>-1</v>
      </c>
      <c r="N568">
        <v>-1</v>
      </c>
      <c r="O568">
        <v>-1</v>
      </c>
      <c r="P568">
        <v>-1</v>
      </c>
      <c r="Q568">
        <v>-1</v>
      </c>
      <c r="R568">
        <v>-1</v>
      </c>
      <c r="S568">
        <v>-1</v>
      </c>
      <c r="T568">
        <v>-1</v>
      </c>
      <c r="U568">
        <v>0.5</v>
      </c>
      <c r="V568">
        <v>0.4</v>
      </c>
      <c r="W568">
        <v>0.1</v>
      </c>
      <c r="X568">
        <v>-1</v>
      </c>
      <c r="Y568">
        <v>-1</v>
      </c>
      <c r="Z568">
        <v>-1</v>
      </c>
      <c r="AA568">
        <v>-1</v>
      </c>
      <c r="AB568">
        <v>-1</v>
      </c>
      <c r="AC568">
        <v>-1</v>
      </c>
      <c r="AD568">
        <v>-1</v>
      </c>
      <c r="AE568">
        <v>-1</v>
      </c>
      <c r="AF568">
        <v>2</v>
      </c>
      <c r="AG568">
        <v>5</v>
      </c>
      <c r="AH568">
        <v>10</v>
      </c>
      <c r="AI568">
        <v>-1</v>
      </c>
      <c r="AJ568">
        <v>-1</v>
      </c>
      <c r="AK568">
        <v>-1</v>
      </c>
      <c r="AL568">
        <v>-1</v>
      </c>
      <c r="AM568">
        <v>-1</v>
      </c>
      <c r="AN568">
        <v>-1</v>
      </c>
      <c r="AO568">
        <v>-1</v>
      </c>
      <c r="AP568">
        <v>-1</v>
      </c>
      <c r="AQ568">
        <v>0.5</v>
      </c>
      <c r="AR568" t="s">
        <v>0</v>
      </c>
      <c r="AS568">
        <v>5</v>
      </c>
      <c r="AT568">
        <v>5</v>
      </c>
      <c r="AU568">
        <v>5</v>
      </c>
      <c r="AV568">
        <v>0.5</v>
      </c>
      <c r="AW568">
        <v>0.4</v>
      </c>
      <c r="AX568">
        <v>0.1</v>
      </c>
      <c r="AY568">
        <v>1</v>
      </c>
      <c r="AZ568">
        <v>2</v>
      </c>
      <c r="BA568">
        <v>5</v>
      </c>
      <c r="BB568">
        <v>0</v>
      </c>
      <c r="BC568" t="s">
        <v>2</v>
      </c>
      <c r="BD568">
        <v>-1</v>
      </c>
      <c r="BE568">
        <v>-1</v>
      </c>
      <c r="BF568">
        <v>-1</v>
      </c>
      <c r="BG568">
        <v>-1</v>
      </c>
      <c r="BH568">
        <v>-1</v>
      </c>
      <c r="BI568">
        <v>-1</v>
      </c>
      <c r="BJ568">
        <v>-1</v>
      </c>
      <c r="BK568">
        <v>-1</v>
      </c>
      <c r="BL568">
        <v>-1</v>
      </c>
      <c r="BM568">
        <v>-1</v>
      </c>
      <c r="BN568">
        <v>-1</v>
      </c>
      <c r="BO568">
        <v>-1</v>
      </c>
    </row>
    <row r="569" spans="1:67" x14ac:dyDescent="0.25">
      <c r="A569">
        <v>566</v>
      </c>
      <c r="B569">
        <v>80012</v>
      </c>
      <c r="C569" t="str">
        <f>VLOOKUP(B569,[1]resources!$A$2:$D$300,3,FALSE)</f>
        <v>!!FOOD_BAKED_SANDYSTEXASTWOBERRYTART</v>
      </c>
      <c r="D569">
        <v>100</v>
      </c>
      <c r="E569" t="str">
        <f>VLOOKUP(D569,[1]bonus_paytable!$A$2:$D$300,3,FALSE)</f>
        <v>halloween_base_ghosts</v>
      </c>
      <c r="F569">
        <v>-1</v>
      </c>
      <c r="G569">
        <v>-1</v>
      </c>
      <c r="H569">
        <v>1</v>
      </c>
      <c r="I569" t="s">
        <v>1</v>
      </c>
      <c r="J569">
        <v>3</v>
      </c>
      <c r="K569">
        <v>3</v>
      </c>
      <c r="L569">
        <v>3</v>
      </c>
      <c r="M569">
        <v>-1</v>
      </c>
      <c r="N569">
        <v>-1</v>
      </c>
      <c r="O569">
        <v>-1</v>
      </c>
      <c r="P569">
        <v>-1</v>
      </c>
      <c r="Q569">
        <v>-1</v>
      </c>
      <c r="R569">
        <v>-1</v>
      </c>
      <c r="S569">
        <v>-1</v>
      </c>
      <c r="T569">
        <v>-1</v>
      </c>
      <c r="U569">
        <v>0.5</v>
      </c>
      <c r="V569">
        <v>0.4</v>
      </c>
      <c r="W569">
        <v>0.1</v>
      </c>
      <c r="X569">
        <v>-1</v>
      </c>
      <c r="Y569">
        <v>-1</v>
      </c>
      <c r="Z569">
        <v>-1</v>
      </c>
      <c r="AA569">
        <v>-1</v>
      </c>
      <c r="AB569">
        <v>-1</v>
      </c>
      <c r="AC569">
        <v>-1</v>
      </c>
      <c r="AD569">
        <v>-1</v>
      </c>
      <c r="AE569">
        <v>-1</v>
      </c>
      <c r="AF569">
        <v>2</v>
      </c>
      <c r="AG569">
        <v>5</v>
      </c>
      <c r="AH569">
        <v>10</v>
      </c>
      <c r="AI569">
        <v>-1</v>
      </c>
      <c r="AJ569">
        <v>-1</v>
      </c>
      <c r="AK569">
        <v>-1</v>
      </c>
      <c r="AL569">
        <v>-1</v>
      </c>
      <c r="AM569">
        <v>-1</v>
      </c>
      <c r="AN569">
        <v>-1</v>
      </c>
      <c r="AO569">
        <v>-1</v>
      </c>
      <c r="AP569">
        <v>-1</v>
      </c>
      <c r="AQ569">
        <v>0.5</v>
      </c>
      <c r="AR569" t="s">
        <v>0</v>
      </c>
      <c r="AS569">
        <v>5</v>
      </c>
      <c r="AT569">
        <v>5</v>
      </c>
      <c r="AU569">
        <v>5</v>
      </c>
      <c r="AV569">
        <v>0.5</v>
      </c>
      <c r="AW569">
        <v>0.4</v>
      </c>
      <c r="AX569">
        <v>0.1</v>
      </c>
      <c r="AY569">
        <v>1</v>
      </c>
      <c r="AZ569">
        <v>2</v>
      </c>
      <c r="BA569">
        <v>5</v>
      </c>
      <c r="BB569">
        <v>0</v>
      </c>
      <c r="BC569" t="s">
        <v>2</v>
      </c>
      <c r="BD569">
        <v>-1</v>
      </c>
      <c r="BE569">
        <v>-1</v>
      </c>
      <c r="BF569">
        <v>-1</v>
      </c>
      <c r="BG569">
        <v>-1</v>
      </c>
      <c r="BH569">
        <v>-1</v>
      </c>
      <c r="BI569">
        <v>-1</v>
      </c>
      <c r="BJ569">
        <v>-1</v>
      </c>
      <c r="BK569">
        <v>-1</v>
      </c>
      <c r="BL569">
        <v>-1</v>
      </c>
      <c r="BM569">
        <v>-1</v>
      </c>
      <c r="BN569">
        <v>-1</v>
      </c>
      <c r="BO569">
        <v>-1</v>
      </c>
    </row>
    <row r="570" spans="1:67" x14ac:dyDescent="0.25">
      <c r="A570">
        <v>567</v>
      </c>
      <c r="B570">
        <v>80013</v>
      </c>
      <c r="C570" t="str">
        <f>VLOOKUP(B570,[1]resources!$A$2:$D$300,3,FALSE)</f>
        <v>!!FOOD_BAKED_SEALIMEPIE</v>
      </c>
      <c r="D570">
        <v>100</v>
      </c>
      <c r="E570" t="str">
        <f>VLOOKUP(D570,[1]bonus_paytable!$A$2:$D$300,3,FALSE)</f>
        <v>halloween_base_ghosts</v>
      </c>
      <c r="F570">
        <v>-1</v>
      </c>
      <c r="G570">
        <v>-1</v>
      </c>
      <c r="H570">
        <v>1</v>
      </c>
      <c r="I570" t="s">
        <v>1</v>
      </c>
      <c r="J570">
        <v>3</v>
      </c>
      <c r="K570">
        <v>3</v>
      </c>
      <c r="L570">
        <v>3</v>
      </c>
      <c r="M570">
        <v>-1</v>
      </c>
      <c r="N570">
        <v>-1</v>
      </c>
      <c r="O570">
        <v>-1</v>
      </c>
      <c r="P570">
        <v>-1</v>
      </c>
      <c r="Q570">
        <v>-1</v>
      </c>
      <c r="R570">
        <v>-1</v>
      </c>
      <c r="S570">
        <v>-1</v>
      </c>
      <c r="T570">
        <v>-1</v>
      </c>
      <c r="U570">
        <v>0.5</v>
      </c>
      <c r="V570">
        <v>0.4</v>
      </c>
      <c r="W570">
        <v>0.1</v>
      </c>
      <c r="X570">
        <v>-1</v>
      </c>
      <c r="Y570">
        <v>-1</v>
      </c>
      <c r="Z570">
        <v>-1</v>
      </c>
      <c r="AA570">
        <v>-1</v>
      </c>
      <c r="AB570">
        <v>-1</v>
      </c>
      <c r="AC570">
        <v>-1</v>
      </c>
      <c r="AD570">
        <v>-1</v>
      </c>
      <c r="AE570">
        <v>-1</v>
      </c>
      <c r="AF570">
        <v>2</v>
      </c>
      <c r="AG570">
        <v>5</v>
      </c>
      <c r="AH570">
        <v>10</v>
      </c>
      <c r="AI570">
        <v>-1</v>
      </c>
      <c r="AJ570">
        <v>-1</v>
      </c>
      <c r="AK570">
        <v>-1</v>
      </c>
      <c r="AL570">
        <v>-1</v>
      </c>
      <c r="AM570">
        <v>-1</v>
      </c>
      <c r="AN570">
        <v>-1</v>
      </c>
      <c r="AO570">
        <v>-1</v>
      </c>
      <c r="AP570">
        <v>-1</v>
      </c>
      <c r="AQ570">
        <v>0.5</v>
      </c>
      <c r="AR570" t="s">
        <v>0</v>
      </c>
      <c r="AS570">
        <v>5</v>
      </c>
      <c r="AT570">
        <v>5</v>
      </c>
      <c r="AU570">
        <v>5</v>
      </c>
      <c r="AV570">
        <v>0.5</v>
      </c>
      <c r="AW570">
        <v>0.4</v>
      </c>
      <c r="AX570">
        <v>0.1</v>
      </c>
      <c r="AY570">
        <v>1</v>
      </c>
      <c r="AZ570">
        <v>2</v>
      </c>
      <c r="BA570">
        <v>5</v>
      </c>
      <c r="BB570">
        <v>0</v>
      </c>
      <c r="BC570" t="s">
        <v>2</v>
      </c>
      <c r="BD570">
        <v>-1</v>
      </c>
      <c r="BE570">
        <v>-1</v>
      </c>
      <c r="BF570">
        <v>-1</v>
      </c>
      <c r="BG570">
        <v>-1</v>
      </c>
      <c r="BH570">
        <v>-1</v>
      </c>
      <c r="BI570">
        <v>-1</v>
      </c>
      <c r="BJ570">
        <v>-1</v>
      </c>
      <c r="BK570">
        <v>-1</v>
      </c>
      <c r="BL570">
        <v>-1</v>
      </c>
      <c r="BM570">
        <v>-1</v>
      </c>
      <c r="BN570">
        <v>-1</v>
      </c>
      <c r="BO570">
        <v>-1</v>
      </c>
    </row>
    <row r="571" spans="1:67" x14ac:dyDescent="0.25">
      <c r="A571">
        <v>568</v>
      </c>
      <c r="B571">
        <v>80014</v>
      </c>
      <c r="C571" t="str">
        <f>VLOOKUP(B571,[1]resources!$A$2:$D$300,3,FALSE)</f>
        <v>!!FOOD_BAKED_SHELDONSSTRAWBERRYSHORTCAKE</v>
      </c>
      <c r="D571">
        <v>100</v>
      </c>
      <c r="E571" t="str">
        <f>VLOOKUP(D571,[1]bonus_paytable!$A$2:$D$300,3,FALSE)</f>
        <v>halloween_base_ghosts</v>
      </c>
      <c r="F571">
        <v>-1</v>
      </c>
      <c r="G571">
        <v>-1</v>
      </c>
      <c r="H571">
        <v>1</v>
      </c>
      <c r="I571" t="s">
        <v>1</v>
      </c>
      <c r="J571">
        <v>3</v>
      </c>
      <c r="K571">
        <v>3</v>
      </c>
      <c r="L571">
        <v>3</v>
      </c>
      <c r="M571">
        <v>-1</v>
      </c>
      <c r="N571">
        <v>-1</v>
      </c>
      <c r="O571">
        <v>-1</v>
      </c>
      <c r="P571">
        <v>-1</v>
      </c>
      <c r="Q571">
        <v>-1</v>
      </c>
      <c r="R571">
        <v>-1</v>
      </c>
      <c r="S571">
        <v>-1</v>
      </c>
      <c r="T571">
        <v>-1</v>
      </c>
      <c r="U571">
        <v>0.5</v>
      </c>
      <c r="V571">
        <v>0.4</v>
      </c>
      <c r="W571">
        <v>0.1</v>
      </c>
      <c r="X571">
        <v>-1</v>
      </c>
      <c r="Y571">
        <v>-1</v>
      </c>
      <c r="Z571">
        <v>-1</v>
      </c>
      <c r="AA571">
        <v>-1</v>
      </c>
      <c r="AB571">
        <v>-1</v>
      </c>
      <c r="AC571">
        <v>-1</v>
      </c>
      <c r="AD571">
        <v>-1</v>
      </c>
      <c r="AE571">
        <v>-1</v>
      </c>
      <c r="AF571">
        <v>2</v>
      </c>
      <c r="AG571">
        <v>5</v>
      </c>
      <c r="AH571">
        <v>10</v>
      </c>
      <c r="AI571">
        <v>-1</v>
      </c>
      <c r="AJ571">
        <v>-1</v>
      </c>
      <c r="AK571">
        <v>-1</v>
      </c>
      <c r="AL571">
        <v>-1</v>
      </c>
      <c r="AM571">
        <v>-1</v>
      </c>
      <c r="AN571">
        <v>-1</v>
      </c>
      <c r="AO571">
        <v>-1</v>
      </c>
      <c r="AP571">
        <v>-1</v>
      </c>
      <c r="AQ571">
        <v>0.5</v>
      </c>
      <c r="AR571" t="s">
        <v>0</v>
      </c>
      <c r="AS571">
        <v>5</v>
      </c>
      <c r="AT571">
        <v>5</v>
      </c>
      <c r="AU571">
        <v>5</v>
      </c>
      <c r="AV571">
        <v>0.5</v>
      </c>
      <c r="AW571">
        <v>0.4</v>
      </c>
      <c r="AX571">
        <v>0.1</v>
      </c>
      <c r="AY571">
        <v>1</v>
      </c>
      <c r="AZ571">
        <v>2</v>
      </c>
      <c r="BA571">
        <v>5</v>
      </c>
      <c r="BB571">
        <v>0</v>
      </c>
      <c r="BC571" t="s">
        <v>2</v>
      </c>
      <c r="BD571">
        <v>-1</v>
      </c>
      <c r="BE571">
        <v>-1</v>
      </c>
      <c r="BF571">
        <v>-1</v>
      </c>
      <c r="BG571">
        <v>-1</v>
      </c>
      <c r="BH571">
        <v>-1</v>
      </c>
      <c r="BI571">
        <v>-1</v>
      </c>
      <c r="BJ571">
        <v>-1</v>
      </c>
      <c r="BK571">
        <v>-1</v>
      </c>
      <c r="BL571">
        <v>-1</v>
      </c>
      <c r="BM571">
        <v>-1</v>
      </c>
      <c r="BN571">
        <v>-1</v>
      </c>
      <c r="BO571">
        <v>-1</v>
      </c>
    </row>
    <row r="572" spans="1:67" x14ac:dyDescent="0.25">
      <c r="A572">
        <v>569</v>
      </c>
      <c r="B572">
        <v>80015</v>
      </c>
      <c r="C572" t="str">
        <f>VLOOKUP(B572,[1]resources!$A$2:$D$300,3,FALSE)</f>
        <v>!!FOOD_BAKED_SPONGECAKESQUAREBAKE</v>
      </c>
      <c r="D572">
        <v>100</v>
      </c>
      <c r="E572" t="str">
        <f>VLOOKUP(D572,[1]bonus_paytable!$A$2:$D$300,3,FALSE)</f>
        <v>halloween_base_ghosts</v>
      </c>
      <c r="F572">
        <v>-1</v>
      </c>
      <c r="G572">
        <v>-1</v>
      </c>
      <c r="H572">
        <v>1</v>
      </c>
      <c r="I572" t="s">
        <v>1</v>
      </c>
      <c r="J572">
        <v>3</v>
      </c>
      <c r="K572">
        <v>3</v>
      </c>
      <c r="L572">
        <v>3</v>
      </c>
      <c r="M572">
        <v>-1</v>
      </c>
      <c r="N572">
        <v>-1</v>
      </c>
      <c r="O572">
        <v>-1</v>
      </c>
      <c r="P572">
        <v>-1</v>
      </c>
      <c r="Q572">
        <v>-1</v>
      </c>
      <c r="R572">
        <v>-1</v>
      </c>
      <c r="S572">
        <v>-1</v>
      </c>
      <c r="T572">
        <v>-1</v>
      </c>
      <c r="U572">
        <v>0.5</v>
      </c>
      <c r="V572">
        <v>0.4</v>
      </c>
      <c r="W572">
        <v>0.1</v>
      </c>
      <c r="X572">
        <v>-1</v>
      </c>
      <c r="Y572">
        <v>-1</v>
      </c>
      <c r="Z572">
        <v>-1</v>
      </c>
      <c r="AA572">
        <v>-1</v>
      </c>
      <c r="AB572">
        <v>-1</v>
      </c>
      <c r="AC572">
        <v>-1</v>
      </c>
      <c r="AD572">
        <v>-1</v>
      </c>
      <c r="AE572">
        <v>-1</v>
      </c>
      <c r="AF572">
        <v>2</v>
      </c>
      <c r="AG572">
        <v>5</v>
      </c>
      <c r="AH572">
        <v>10</v>
      </c>
      <c r="AI572">
        <v>-1</v>
      </c>
      <c r="AJ572">
        <v>-1</v>
      </c>
      <c r="AK572">
        <v>-1</v>
      </c>
      <c r="AL572">
        <v>-1</v>
      </c>
      <c r="AM572">
        <v>-1</v>
      </c>
      <c r="AN572">
        <v>-1</v>
      </c>
      <c r="AO572">
        <v>-1</v>
      </c>
      <c r="AP572">
        <v>-1</v>
      </c>
      <c r="AQ572">
        <v>0.5</v>
      </c>
      <c r="AR572" t="s">
        <v>0</v>
      </c>
      <c r="AS572">
        <v>5</v>
      </c>
      <c r="AT572">
        <v>5</v>
      </c>
      <c r="AU572">
        <v>5</v>
      </c>
      <c r="AV572">
        <v>0.5</v>
      </c>
      <c r="AW572">
        <v>0.4</v>
      </c>
      <c r="AX572">
        <v>0.1</v>
      </c>
      <c r="AY572">
        <v>1</v>
      </c>
      <c r="AZ572">
        <v>2</v>
      </c>
      <c r="BA572">
        <v>5</v>
      </c>
      <c r="BB572">
        <v>0</v>
      </c>
      <c r="BC572" t="s">
        <v>2</v>
      </c>
      <c r="BD572">
        <v>-1</v>
      </c>
      <c r="BE572">
        <v>-1</v>
      </c>
      <c r="BF572">
        <v>-1</v>
      </c>
      <c r="BG572">
        <v>-1</v>
      </c>
      <c r="BH572">
        <v>-1</v>
      </c>
      <c r="BI572">
        <v>-1</v>
      </c>
      <c r="BJ572">
        <v>-1</v>
      </c>
      <c r="BK572">
        <v>-1</v>
      </c>
      <c r="BL572">
        <v>-1</v>
      </c>
      <c r="BM572">
        <v>-1</v>
      </c>
      <c r="BN572">
        <v>-1</v>
      </c>
      <c r="BO572">
        <v>-1</v>
      </c>
    </row>
    <row r="573" spans="1:67" x14ac:dyDescent="0.25">
      <c r="A573">
        <v>570</v>
      </c>
      <c r="B573">
        <v>80016</v>
      </c>
      <c r="C573" t="str">
        <f>VLOOKUP(B573,[1]resources!$A$2:$D$300,3,FALSE)</f>
        <v>!!FOOD_BAKED_THEAPPLEFANCYSON</v>
      </c>
      <c r="D573">
        <v>100</v>
      </c>
      <c r="E573" t="str">
        <f>VLOOKUP(D573,[1]bonus_paytable!$A$2:$D$300,3,FALSE)</f>
        <v>halloween_base_ghosts</v>
      </c>
      <c r="F573">
        <v>-1</v>
      </c>
      <c r="G573">
        <v>-1</v>
      </c>
      <c r="H573">
        <v>1</v>
      </c>
      <c r="I573" t="s">
        <v>1</v>
      </c>
      <c r="J573">
        <v>3</v>
      </c>
      <c r="K573">
        <v>3</v>
      </c>
      <c r="L573">
        <v>3</v>
      </c>
      <c r="M573">
        <v>-1</v>
      </c>
      <c r="N573">
        <v>-1</v>
      </c>
      <c r="O573">
        <v>-1</v>
      </c>
      <c r="P573">
        <v>-1</v>
      </c>
      <c r="Q573">
        <v>-1</v>
      </c>
      <c r="R573">
        <v>-1</v>
      </c>
      <c r="S573">
        <v>-1</v>
      </c>
      <c r="T573">
        <v>-1</v>
      </c>
      <c r="U573">
        <v>0.5</v>
      </c>
      <c r="V573">
        <v>0.4</v>
      </c>
      <c r="W573">
        <v>0.1</v>
      </c>
      <c r="X573">
        <v>-1</v>
      </c>
      <c r="Y573">
        <v>-1</v>
      </c>
      <c r="Z573">
        <v>-1</v>
      </c>
      <c r="AA573">
        <v>-1</v>
      </c>
      <c r="AB573">
        <v>-1</v>
      </c>
      <c r="AC573">
        <v>-1</v>
      </c>
      <c r="AD573">
        <v>-1</v>
      </c>
      <c r="AE573">
        <v>-1</v>
      </c>
      <c r="AF573">
        <v>2</v>
      </c>
      <c r="AG573">
        <v>5</v>
      </c>
      <c r="AH573">
        <v>10</v>
      </c>
      <c r="AI573">
        <v>-1</v>
      </c>
      <c r="AJ573">
        <v>-1</v>
      </c>
      <c r="AK573">
        <v>-1</v>
      </c>
      <c r="AL573">
        <v>-1</v>
      </c>
      <c r="AM573">
        <v>-1</v>
      </c>
      <c r="AN573">
        <v>-1</v>
      </c>
      <c r="AO573">
        <v>-1</v>
      </c>
      <c r="AP573">
        <v>-1</v>
      </c>
      <c r="AQ573">
        <v>0.5</v>
      </c>
      <c r="AR573" t="s">
        <v>0</v>
      </c>
      <c r="AS573">
        <v>5</v>
      </c>
      <c r="AT573">
        <v>5</v>
      </c>
      <c r="AU573">
        <v>5</v>
      </c>
      <c r="AV573">
        <v>0.5</v>
      </c>
      <c r="AW573">
        <v>0.4</v>
      </c>
      <c r="AX573">
        <v>0.1</v>
      </c>
      <c r="AY573">
        <v>1</v>
      </c>
      <c r="AZ573">
        <v>2</v>
      </c>
      <c r="BA573">
        <v>5</v>
      </c>
      <c r="BB573">
        <v>0</v>
      </c>
      <c r="BC573" t="s">
        <v>2</v>
      </c>
      <c r="BD573">
        <v>-1</v>
      </c>
      <c r="BE573">
        <v>-1</v>
      </c>
      <c r="BF573">
        <v>-1</v>
      </c>
      <c r="BG573">
        <v>-1</v>
      </c>
      <c r="BH573">
        <v>-1</v>
      </c>
      <c r="BI573">
        <v>-1</v>
      </c>
      <c r="BJ573">
        <v>-1</v>
      </c>
      <c r="BK573">
        <v>-1</v>
      </c>
      <c r="BL573">
        <v>-1</v>
      </c>
      <c r="BM573">
        <v>-1</v>
      </c>
      <c r="BN573">
        <v>-1</v>
      </c>
      <c r="BO573">
        <v>-1</v>
      </c>
    </row>
    <row r="574" spans="1:67" x14ac:dyDescent="0.25">
      <c r="A574">
        <v>571</v>
      </c>
      <c r="B574">
        <v>9000</v>
      </c>
      <c r="C574" t="str">
        <f>VLOOKUP(B574,[1]resources!$A$2:$D$300,3,FALSE)</f>
        <v>!!FOOD_RUSTYS_BARK_CHOP_SANDWICH</v>
      </c>
      <c r="D574">
        <v>100</v>
      </c>
      <c r="E574" t="str">
        <f>VLOOKUP(D574,[1]bonus_paytable!$A$2:$D$300,3,FALSE)</f>
        <v>halloween_base_ghosts</v>
      </c>
      <c r="F574">
        <v>-1</v>
      </c>
      <c r="G574">
        <v>-1</v>
      </c>
      <c r="H574">
        <v>1</v>
      </c>
      <c r="I574" t="s">
        <v>1</v>
      </c>
      <c r="J574">
        <v>3</v>
      </c>
      <c r="K574">
        <v>3</v>
      </c>
      <c r="L574">
        <v>3</v>
      </c>
      <c r="M574">
        <v>-1</v>
      </c>
      <c r="N574">
        <v>-1</v>
      </c>
      <c r="O574">
        <v>-1</v>
      </c>
      <c r="P574">
        <v>-1</v>
      </c>
      <c r="Q574">
        <v>-1</v>
      </c>
      <c r="R574">
        <v>-1</v>
      </c>
      <c r="S574">
        <v>-1</v>
      </c>
      <c r="T574">
        <v>-1</v>
      </c>
      <c r="U574">
        <v>0.5</v>
      </c>
      <c r="V574">
        <v>0.4</v>
      </c>
      <c r="W574">
        <v>0.1</v>
      </c>
      <c r="X574">
        <v>-1</v>
      </c>
      <c r="Y574">
        <v>-1</v>
      </c>
      <c r="Z574">
        <v>-1</v>
      </c>
      <c r="AA574">
        <v>-1</v>
      </c>
      <c r="AB574">
        <v>-1</v>
      </c>
      <c r="AC574">
        <v>-1</v>
      </c>
      <c r="AD574">
        <v>-1</v>
      </c>
      <c r="AE574">
        <v>-1</v>
      </c>
      <c r="AF574">
        <v>2</v>
      </c>
      <c r="AG574">
        <v>5</v>
      </c>
      <c r="AH574">
        <v>10</v>
      </c>
      <c r="AI574">
        <v>-1</v>
      </c>
      <c r="AJ574">
        <v>-1</v>
      </c>
      <c r="AK574">
        <v>-1</v>
      </c>
      <c r="AL574">
        <v>-1</v>
      </c>
      <c r="AM574">
        <v>-1</v>
      </c>
      <c r="AN574">
        <v>-1</v>
      </c>
      <c r="AO574">
        <v>-1</v>
      </c>
      <c r="AP574">
        <v>-1</v>
      </c>
      <c r="AQ574">
        <v>0.5</v>
      </c>
      <c r="AR574" t="s">
        <v>0</v>
      </c>
      <c r="AS574">
        <v>5</v>
      </c>
      <c r="AT574">
        <v>5</v>
      </c>
      <c r="AU574">
        <v>5</v>
      </c>
      <c r="AV574">
        <v>0.5</v>
      </c>
      <c r="AW574">
        <v>0.4</v>
      </c>
      <c r="AX574">
        <v>0.1</v>
      </c>
      <c r="AY574">
        <v>1</v>
      </c>
      <c r="AZ574">
        <v>2</v>
      </c>
      <c r="BA574">
        <v>5</v>
      </c>
      <c r="BB574">
        <v>0</v>
      </c>
      <c r="BC574" t="s">
        <v>2</v>
      </c>
      <c r="BD574">
        <v>-1</v>
      </c>
      <c r="BE574">
        <v>-1</v>
      </c>
      <c r="BF574">
        <v>-1</v>
      </c>
      <c r="BG574">
        <v>-1</v>
      </c>
      <c r="BH574">
        <v>-1</v>
      </c>
      <c r="BI574">
        <v>-1</v>
      </c>
      <c r="BJ574">
        <v>-1</v>
      </c>
      <c r="BK574">
        <v>-1</v>
      </c>
      <c r="BL574">
        <v>-1</v>
      </c>
      <c r="BM574">
        <v>-1</v>
      </c>
      <c r="BN574">
        <v>-1</v>
      </c>
      <c r="BO574">
        <v>-1</v>
      </c>
    </row>
    <row r="575" spans="1:67" x14ac:dyDescent="0.25">
      <c r="A575">
        <v>572</v>
      </c>
      <c r="B575">
        <v>9001</v>
      </c>
      <c r="C575" t="str">
        <f>VLOOKUP(B575,[1]resources!$A$2:$D$300,3,FALSE)</f>
        <v>!!FOOD_RUSTYS_BARKING_BRISKET</v>
      </c>
      <c r="D575">
        <v>100</v>
      </c>
      <c r="E575" t="str">
        <f>VLOOKUP(D575,[1]bonus_paytable!$A$2:$D$300,3,FALSE)</f>
        <v>halloween_base_ghosts</v>
      </c>
      <c r="F575">
        <v>-1</v>
      </c>
      <c r="G575">
        <v>-1</v>
      </c>
      <c r="H575">
        <v>1</v>
      </c>
      <c r="I575" t="s">
        <v>1</v>
      </c>
      <c r="J575">
        <v>3</v>
      </c>
      <c r="K575">
        <v>3</v>
      </c>
      <c r="L575">
        <v>3</v>
      </c>
      <c r="M575">
        <v>-1</v>
      </c>
      <c r="N575">
        <v>-1</v>
      </c>
      <c r="O575">
        <v>-1</v>
      </c>
      <c r="P575">
        <v>-1</v>
      </c>
      <c r="Q575">
        <v>-1</v>
      </c>
      <c r="R575">
        <v>-1</v>
      </c>
      <c r="S575">
        <v>-1</v>
      </c>
      <c r="T575">
        <v>-1</v>
      </c>
      <c r="U575">
        <v>0.5</v>
      </c>
      <c r="V575">
        <v>0.4</v>
      </c>
      <c r="W575">
        <v>0.1</v>
      </c>
      <c r="X575">
        <v>-1</v>
      </c>
      <c r="Y575">
        <v>-1</v>
      </c>
      <c r="Z575">
        <v>-1</v>
      </c>
      <c r="AA575">
        <v>-1</v>
      </c>
      <c r="AB575">
        <v>-1</v>
      </c>
      <c r="AC575">
        <v>-1</v>
      </c>
      <c r="AD575">
        <v>-1</v>
      </c>
      <c r="AE575">
        <v>-1</v>
      </c>
      <c r="AF575">
        <v>2</v>
      </c>
      <c r="AG575">
        <v>5</v>
      </c>
      <c r="AH575">
        <v>10</v>
      </c>
      <c r="AI575">
        <v>-1</v>
      </c>
      <c r="AJ575">
        <v>-1</v>
      </c>
      <c r="AK575">
        <v>-1</v>
      </c>
      <c r="AL575">
        <v>-1</v>
      </c>
      <c r="AM575">
        <v>-1</v>
      </c>
      <c r="AN575">
        <v>-1</v>
      </c>
      <c r="AO575">
        <v>-1</v>
      </c>
      <c r="AP575">
        <v>-1</v>
      </c>
      <c r="AQ575">
        <v>0.5</v>
      </c>
      <c r="AR575" t="s">
        <v>0</v>
      </c>
      <c r="AS575">
        <v>5</v>
      </c>
      <c r="AT575">
        <v>5</v>
      </c>
      <c r="AU575">
        <v>5</v>
      </c>
      <c r="AV575">
        <v>0.5</v>
      </c>
      <c r="AW575">
        <v>0.4</v>
      </c>
      <c r="AX575">
        <v>0.1</v>
      </c>
      <c r="AY575">
        <v>1</v>
      </c>
      <c r="AZ575">
        <v>2</v>
      </c>
      <c r="BA575">
        <v>5</v>
      </c>
      <c r="BB575">
        <v>0</v>
      </c>
      <c r="BC575" t="s">
        <v>2</v>
      </c>
      <c r="BD575">
        <v>-1</v>
      </c>
      <c r="BE575">
        <v>-1</v>
      </c>
      <c r="BF575">
        <v>-1</v>
      </c>
      <c r="BG575">
        <v>-1</v>
      </c>
      <c r="BH575">
        <v>-1</v>
      </c>
      <c r="BI575">
        <v>-1</v>
      </c>
      <c r="BJ575">
        <v>-1</v>
      </c>
      <c r="BK575">
        <v>-1</v>
      </c>
      <c r="BL575">
        <v>-1</v>
      </c>
      <c r="BM575">
        <v>-1</v>
      </c>
      <c r="BN575">
        <v>-1</v>
      </c>
      <c r="BO575">
        <v>-1</v>
      </c>
    </row>
    <row r="576" spans="1:67" x14ac:dyDescent="0.25">
      <c r="A576">
        <v>573</v>
      </c>
      <c r="B576">
        <v>9014</v>
      </c>
      <c r="C576" t="str">
        <f>VLOOKUP(B576,[1]resources!$A$2:$D$300,3,FALSE)</f>
        <v>!!FOOD_RUSTYS_MESQUITE_RIBS</v>
      </c>
      <c r="D576">
        <v>100</v>
      </c>
      <c r="E576" t="str">
        <f>VLOOKUP(D576,[1]bonus_paytable!$A$2:$D$300,3,FALSE)</f>
        <v>halloween_base_ghosts</v>
      </c>
      <c r="F576">
        <v>-1</v>
      </c>
      <c r="G576">
        <v>-1</v>
      </c>
      <c r="H576">
        <v>1</v>
      </c>
      <c r="I576" t="s">
        <v>1</v>
      </c>
      <c r="J576">
        <v>3</v>
      </c>
      <c r="K576">
        <v>3</v>
      </c>
      <c r="L576">
        <v>3</v>
      </c>
      <c r="M576">
        <v>-1</v>
      </c>
      <c r="N576">
        <v>-1</v>
      </c>
      <c r="O576">
        <v>-1</v>
      </c>
      <c r="P576">
        <v>-1</v>
      </c>
      <c r="Q576">
        <v>-1</v>
      </c>
      <c r="R576">
        <v>-1</v>
      </c>
      <c r="S576">
        <v>-1</v>
      </c>
      <c r="T576">
        <v>-1</v>
      </c>
      <c r="U576">
        <v>0.5</v>
      </c>
      <c r="V576">
        <v>0.4</v>
      </c>
      <c r="W576">
        <v>0.1</v>
      </c>
      <c r="X576">
        <v>-1</v>
      </c>
      <c r="Y576">
        <v>-1</v>
      </c>
      <c r="Z576">
        <v>-1</v>
      </c>
      <c r="AA576">
        <v>-1</v>
      </c>
      <c r="AB576">
        <v>-1</v>
      </c>
      <c r="AC576">
        <v>-1</v>
      </c>
      <c r="AD576">
        <v>-1</v>
      </c>
      <c r="AE576">
        <v>-1</v>
      </c>
      <c r="AF576">
        <v>2</v>
      </c>
      <c r="AG576">
        <v>5</v>
      </c>
      <c r="AH576">
        <v>10</v>
      </c>
      <c r="AI576">
        <v>-1</v>
      </c>
      <c r="AJ576">
        <v>-1</v>
      </c>
      <c r="AK576">
        <v>-1</v>
      </c>
      <c r="AL576">
        <v>-1</v>
      </c>
      <c r="AM576">
        <v>-1</v>
      </c>
      <c r="AN576">
        <v>-1</v>
      </c>
      <c r="AO576">
        <v>-1</v>
      </c>
      <c r="AP576">
        <v>-1</v>
      </c>
      <c r="AQ576">
        <v>0.5</v>
      </c>
      <c r="AR576" t="s">
        <v>0</v>
      </c>
      <c r="AS576">
        <v>5</v>
      </c>
      <c r="AT576">
        <v>5</v>
      </c>
      <c r="AU576">
        <v>5</v>
      </c>
      <c r="AV576">
        <v>0.5</v>
      </c>
      <c r="AW576">
        <v>0.4</v>
      </c>
      <c r="AX576">
        <v>0.1</v>
      </c>
      <c r="AY576">
        <v>1</v>
      </c>
      <c r="AZ576">
        <v>2</v>
      </c>
      <c r="BA576">
        <v>5</v>
      </c>
      <c r="BB576">
        <v>0</v>
      </c>
      <c r="BC576" t="s">
        <v>2</v>
      </c>
      <c r="BD576">
        <v>-1</v>
      </c>
      <c r="BE576">
        <v>-1</v>
      </c>
      <c r="BF576">
        <v>-1</v>
      </c>
      <c r="BG576">
        <v>-1</v>
      </c>
      <c r="BH576">
        <v>-1</v>
      </c>
      <c r="BI576">
        <v>-1</v>
      </c>
      <c r="BJ576">
        <v>-1</v>
      </c>
      <c r="BK576">
        <v>-1</v>
      </c>
      <c r="BL576">
        <v>-1</v>
      </c>
      <c r="BM576">
        <v>-1</v>
      </c>
      <c r="BN576">
        <v>-1</v>
      </c>
      <c r="BO576">
        <v>-1</v>
      </c>
    </row>
    <row r="577" spans="1:67" x14ac:dyDescent="0.25">
      <c r="A577">
        <v>574</v>
      </c>
      <c r="B577">
        <v>9015</v>
      </c>
      <c r="C577" t="str">
        <f>VLOOKUP(B577,[1]resources!$A$2:$D$300,3,FALSE)</f>
        <v>!!FOOD_RUSTYS_PULLED_PULP_SANDWICH</v>
      </c>
      <c r="D577">
        <v>100</v>
      </c>
      <c r="E577" t="str">
        <f>VLOOKUP(D577,[1]bonus_paytable!$A$2:$D$300,3,FALSE)</f>
        <v>halloween_base_ghosts</v>
      </c>
      <c r="F577">
        <v>-1</v>
      </c>
      <c r="G577">
        <v>-1</v>
      </c>
      <c r="H577">
        <v>1</v>
      </c>
      <c r="I577" t="s">
        <v>1</v>
      </c>
      <c r="J577">
        <v>3</v>
      </c>
      <c r="K577">
        <v>3</v>
      </c>
      <c r="L577">
        <v>3</v>
      </c>
      <c r="M577">
        <v>-1</v>
      </c>
      <c r="N577">
        <v>-1</v>
      </c>
      <c r="O577">
        <v>-1</v>
      </c>
      <c r="P577">
        <v>-1</v>
      </c>
      <c r="Q577">
        <v>-1</v>
      </c>
      <c r="R577">
        <v>-1</v>
      </c>
      <c r="S577">
        <v>-1</v>
      </c>
      <c r="T577">
        <v>-1</v>
      </c>
      <c r="U577">
        <v>0.5</v>
      </c>
      <c r="V577">
        <v>0.4</v>
      </c>
      <c r="W577">
        <v>0.1</v>
      </c>
      <c r="X577">
        <v>-1</v>
      </c>
      <c r="Y577">
        <v>-1</v>
      </c>
      <c r="Z577">
        <v>-1</v>
      </c>
      <c r="AA577">
        <v>-1</v>
      </c>
      <c r="AB577">
        <v>-1</v>
      </c>
      <c r="AC577">
        <v>-1</v>
      </c>
      <c r="AD577">
        <v>-1</v>
      </c>
      <c r="AE577">
        <v>-1</v>
      </c>
      <c r="AF577">
        <v>2</v>
      </c>
      <c r="AG577">
        <v>5</v>
      </c>
      <c r="AH577">
        <v>10</v>
      </c>
      <c r="AI577">
        <v>-1</v>
      </c>
      <c r="AJ577">
        <v>-1</v>
      </c>
      <c r="AK577">
        <v>-1</v>
      </c>
      <c r="AL577">
        <v>-1</v>
      </c>
      <c r="AM577">
        <v>-1</v>
      </c>
      <c r="AN577">
        <v>-1</v>
      </c>
      <c r="AO577">
        <v>-1</v>
      </c>
      <c r="AP577">
        <v>-1</v>
      </c>
      <c r="AQ577">
        <v>0.5</v>
      </c>
      <c r="AR577" t="s">
        <v>0</v>
      </c>
      <c r="AS577">
        <v>5</v>
      </c>
      <c r="AT577">
        <v>5</v>
      </c>
      <c r="AU577">
        <v>5</v>
      </c>
      <c r="AV577">
        <v>0.5</v>
      </c>
      <c r="AW577">
        <v>0.4</v>
      </c>
      <c r="AX577">
        <v>0.1</v>
      </c>
      <c r="AY577">
        <v>1</v>
      </c>
      <c r="AZ577">
        <v>2</v>
      </c>
      <c r="BA577">
        <v>5</v>
      </c>
      <c r="BB577">
        <v>0</v>
      </c>
      <c r="BC577" t="s">
        <v>2</v>
      </c>
      <c r="BD577">
        <v>-1</v>
      </c>
      <c r="BE577">
        <v>-1</v>
      </c>
      <c r="BF577">
        <v>-1</v>
      </c>
      <c r="BG577">
        <v>-1</v>
      </c>
      <c r="BH577">
        <v>-1</v>
      </c>
      <c r="BI577">
        <v>-1</v>
      </c>
      <c r="BJ577">
        <v>-1</v>
      </c>
      <c r="BK577">
        <v>-1</v>
      </c>
      <c r="BL577">
        <v>-1</v>
      </c>
      <c r="BM577">
        <v>-1</v>
      </c>
      <c r="BN577">
        <v>-1</v>
      </c>
      <c r="BO577">
        <v>-1</v>
      </c>
    </row>
    <row r="578" spans="1:67" x14ac:dyDescent="0.25">
      <c r="A578">
        <v>575</v>
      </c>
      <c r="B578">
        <v>9016</v>
      </c>
      <c r="C578" t="str">
        <f>VLOOKUP(B578,[1]resources!$A$2:$D$300,3,FALSE)</f>
        <v>!!FOOD_RUSTYS_RUSTY_ON_RYE</v>
      </c>
      <c r="D578">
        <v>100</v>
      </c>
      <c r="E578" t="str">
        <f>VLOOKUP(D578,[1]bonus_paytable!$A$2:$D$300,3,FALSE)</f>
        <v>halloween_base_ghosts</v>
      </c>
      <c r="F578">
        <v>-1</v>
      </c>
      <c r="G578">
        <v>-1</v>
      </c>
      <c r="H578">
        <v>1</v>
      </c>
      <c r="I578" t="s">
        <v>1</v>
      </c>
      <c r="J578">
        <v>3</v>
      </c>
      <c r="K578">
        <v>3</v>
      </c>
      <c r="L578">
        <v>3</v>
      </c>
      <c r="M578">
        <v>-1</v>
      </c>
      <c r="N578">
        <v>-1</v>
      </c>
      <c r="O578">
        <v>-1</v>
      </c>
      <c r="P578">
        <v>-1</v>
      </c>
      <c r="Q578">
        <v>-1</v>
      </c>
      <c r="R578">
        <v>-1</v>
      </c>
      <c r="S578">
        <v>-1</v>
      </c>
      <c r="T578">
        <v>-1</v>
      </c>
      <c r="U578">
        <v>0.5</v>
      </c>
      <c r="V578">
        <v>0.4</v>
      </c>
      <c r="W578">
        <v>0.1</v>
      </c>
      <c r="X578">
        <v>-1</v>
      </c>
      <c r="Y578">
        <v>-1</v>
      </c>
      <c r="Z578">
        <v>-1</v>
      </c>
      <c r="AA578">
        <v>-1</v>
      </c>
      <c r="AB578">
        <v>-1</v>
      </c>
      <c r="AC578">
        <v>-1</v>
      </c>
      <c r="AD578">
        <v>-1</v>
      </c>
      <c r="AE578">
        <v>-1</v>
      </c>
      <c r="AF578">
        <v>2</v>
      </c>
      <c r="AG578">
        <v>5</v>
      </c>
      <c r="AH578">
        <v>10</v>
      </c>
      <c r="AI578">
        <v>-1</v>
      </c>
      <c r="AJ578">
        <v>-1</v>
      </c>
      <c r="AK578">
        <v>-1</v>
      </c>
      <c r="AL578">
        <v>-1</v>
      </c>
      <c r="AM578">
        <v>-1</v>
      </c>
      <c r="AN578">
        <v>-1</v>
      </c>
      <c r="AO578">
        <v>-1</v>
      </c>
      <c r="AP578">
        <v>-1</v>
      </c>
      <c r="AQ578">
        <v>0.5</v>
      </c>
      <c r="AR578" t="s">
        <v>0</v>
      </c>
      <c r="AS578">
        <v>5</v>
      </c>
      <c r="AT578">
        <v>5</v>
      </c>
      <c r="AU578">
        <v>5</v>
      </c>
      <c r="AV578">
        <v>0.5</v>
      </c>
      <c r="AW578">
        <v>0.4</v>
      </c>
      <c r="AX578">
        <v>0.1</v>
      </c>
      <c r="AY578">
        <v>1</v>
      </c>
      <c r="AZ578">
        <v>2</v>
      </c>
      <c r="BA578">
        <v>5</v>
      </c>
      <c r="BB578">
        <v>0</v>
      </c>
      <c r="BC578" t="s">
        <v>2</v>
      </c>
      <c r="BD578">
        <v>-1</v>
      </c>
      <c r="BE578">
        <v>-1</v>
      </c>
      <c r="BF578">
        <v>-1</v>
      </c>
      <c r="BG578">
        <v>-1</v>
      </c>
      <c r="BH578">
        <v>-1</v>
      </c>
      <c r="BI578">
        <v>-1</v>
      </c>
      <c r="BJ578">
        <v>-1</v>
      </c>
      <c r="BK578">
        <v>-1</v>
      </c>
      <c r="BL578">
        <v>-1</v>
      </c>
      <c r="BM578">
        <v>-1</v>
      </c>
      <c r="BN578">
        <v>-1</v>
      </c>
      <c r="BO578">
        <v>-1</v>
      </c>
    </row>
    <row r="579" spans="1:67" x14ac:dyDescent="0.25">
      <c r="A579">
        <v>576</v>
      </c>
      <c r="B579">
        <v>9018</v>
      </c>
      <c r="C579" t="str">
        <f>VLOOKUP(B579,[1]resources!$A$2:$D$300,3,FALSE)</f>
        <v>!!FOOD_RUSTYS_SPLINTERED_SLAW</v>
      </c>
      <c r="D579">
        <v>100</v>
      </c>
      <c r="E579" t="str">
        <f>VLOOKUP(D579,[1]bonus_paytable!$A$2:$D$300,3,FALSE)</f>
        <v>halloween_base_ghosts</v>
      </c>
      <c r="F579">
        <v>-1</v>
      </c>
      <c r="G579">
        <v>-1</v>
      </c>
      <c r="H579">
        <v>1</v>
      </c>
      <c r="I579" t="s">
        <v>1</v>
      </c>
      <c r="J579">
        <v>3</v>
      </c>
      <c r="K579">
        <v>3</v>
      </c>
      <c r="L579">
        <v>3</v>
      </c>
      <c r="M579">
        <v>-1</v>
      </c>
      <c r="N579">
        <v>-1</v>
      </c>
      <c r="O579">
        <v>-1</v>
      </c>
      <c r="P579">
        <v>-1</v>
      </c>
      <c r="Q579">
        <v>-1</v>
      </c>
      <c r="R579">
        <v>-1</v>
      </c>
      <c r="S579">
        <v>-1</v>
      </c>
      <c r="T579">
        <v>-1</v>
      </c>
      <c r="U579">
        <v>0.5</v>
      </c>
      <c r="V579">
        <v>0.4</v>
      </c>
      <c r="W579">
        <v>0.1</v>
      </c>
      <c r="X579">
        <v>-1</v>
      </c>
      <c r="Y579">
        <v>-1</v>
      </c>
      <c r="Z579">
        <v>-1</v>
      </c>
      <c r="AA579">
        <v>-1</v>
      </c>
      <c r="AB579">
        <v>-1</v>
      </c>
      <c r="AC579">
        <v>-1</v>
      </c>
      <c r="AD579">
        <v>-1</v>
      </c>
      <c r="AE579">
        <v>-1</v>
      </c>
      <c r="AF579">
        <v>2</v>
      </c>
      <c r="AG579">
        <v>5</v>
      </c>
      <c r="AH579">
        <v>10</v>
      </c>
      <c r="AI579">
        <v>-1</v>
      </c>
      <c r="AJ579">
        <v>-1</v>
      </c>
      <c r="AK579">
        <v>-1</v>
      </c>
      <c r="AL579">
        <v>-1</v>
      </c>
      <c r="AM579">
        <v>-1</v>
      </c>
      <c r="AN579">
        <v>-1</v>
      </c>
      <c r="AO579">
        <v>-1</v>
      </c>
      <c r="AP579">
        <v>-1</v>
      </c>
      <c r="AQ579">
        <v>0.5</v>
      </c>
      <c r="AR579" t="s">
        <v>0</v>
      </c>
      <c r="AS579">
        <v>5</v>
      </c>
      <c r="AT579">
        <v>5</v>
      </c>
      <c r="AU579">
        <v>5</v>
      </c>
      <c r="AV579">
        <v>0.5</v>
      </c>
      <c r="AW579">
        <v>0.4</v>
      </c>
      <c r="AX579">
        <v>0.1</v>
      </c>
      <c r="AY579">
        <v>1</v>
      </c>
      <c r="AZ579">
        <v>2</v>
      </c>
      <c r="BA579">
        <v>5</v>
      </c>
      <c r="BB579">
        <v>0</v>
      </c>
      <c r="BC579" t="s">
        <v>2</v>
      </c>
      <c r="BD579">
        <v>-1</v>
      </c>
      <c r="BE579">
        <v>-1</v>
      </c>
      <c r="BF579">
        <v>-1</v>
      </c>
      <c r="BG579">
        <v>-1</v>
      </c>
      <c r="BH579">
        <v>-1</v>
      </c>
      <c r="BI579">
        <v>-1</v>
      </c>
      <c r="BJ579">
        <v>-1</v>
      </c>
      <c r="BK579">
        <v>-1</v>
      </c>
      <c r="BL579">
        <v>-1</v>
      </c>
      <c r="BM579">
        <v>-1</v>
      </c>
      <c r="BN579">
        <v>-1</v>
      </c>
      <c r="BO579">
        <v>-1</v>
      </c>
    </row>
    <row r="580" spans="1:67" x14ac:dyDescent="0.25">
      <c r="A580">
        <v>577</v>
      </c>
      <c r="B580">
        <v>9019</v>
      </c>
      <c r="C580" t="str">
        <f>VLOOKUP(B580,[1]resources!$A$2:$D$300,3,FALSE)</f>
        <v>!!FOOD_RUSTYS_RIBEYE_SANDWICH</v>
      </c>
      <c r="D580">
        <v>100</v>
      </c>
      <c r="E580" t="str">
        <f>VLOOKUP(D580,[1]bonus_paytable!$A$2:$D$300,3,FALSE)</f>
        <v>halloween_base_ghosts</v>
      </c>
      <c r="F580">
        <v>-1</v>
      </c>
      <c r="G580">
        <v>-1</v>
      </c>
      <c r="H580">
        <v>1</v>
      </c>
      <c r="I580" t="s">
        <v>1</v>
      </c>
      <c r="J580">
        <v>3</v>
      </c>
      <c r="K580">
        <v>3</v>
      </c>
      <c r="L580">
        <v>3</v>
      </c>
      <c r="M580">
        <v>-1</v>
      </c>
      <c r="N580">
        <v>-1</v>
      </c>
      <c r="O580">
        <v>-1</v>
      </c>
      <c r="P580">
        <v>-1</v>
      </c>
      <c r="Q580">
        <v>-1</v>
      </c>
      <c r="R580">
        <v>-1</v>
      </c>
      <c r="S580">
        <v>-1</v>
      </c>
      <c r="T580">
        <v>-1</v>
      </c>
      <c r="U580">
        <v>0.5</v>
      </c>
      <c r="V580">
        <v>0.4</v>
      </c>
      <c r="W580">
        <v>0.1</v>
      </c>
      <c r="X580">
        <v>-1</v>
      </c>
      <c r="Y580">
        <v>-1</v>
      </c>
      <c r="Z580">
        <v>-1</v>
      </c>
      <c r="AA580">
        <v>-1</v>
      </c>
      <c r="AB580">
        <v>-1</v>
      </c>
      <c r="AC580">
        <v>-1</v>
      </c>
      <c r="AD580">
        <v>-1</v>
      </c>
      <c r="AE580">
        <v>-1</v>
      </c>
      <c r="AF580">
        <v>2</v>
      </c>
      <c r="AG580">
        <v>5</v>
      </c>
      <c r="AH580">
        <v>10</v>
      </c>
      <c r="AI580">
        <v>-1</v>
      </c>
      <c r="AJ580">
        <v>-1</v>
      </c>
      <c r="AK580">
        <v>-1</v>
      </c>
      <c r="AL580">
        <v>-1</v>
      </c>
      <c r="AM580">
        <v>-1</v>
      </c>
      <c r="AN580">
        <v>-1</v>
      </c>
      <c r="AO580">
        <v>-1</v>
      </c>
      <c r="AP580">
        <v>-1</v>
      </c>
      <c r="AQ580">
        <v>0.5</v>
      </c>
      <c r="AR580" t="s">
        <v>0</v>
      </c>
      <c r="AS580">
        <v>5</v>
      </c>
      <c r="AT580">
        <v>5</v>
      </c>
      <c r="AU580">
        <v>5</v>
      </c>
      <c r="AV580">
        <v>0.5</v>
      </c>
      <c r="AW580">
        <v>0.4</v>
      </c>
      <c r="AX580">
        <v>0.1</v>
      </c>
      <c r="AY580">
        <v>1</v>
      </c>
      <c r="AZ580">
        <v>2</v>
      </c>
      <c r="BA580">
        <v>5</v>
      </c>
      <c r="BB580">
        <v>0</v>
      </c>
      <c r="BC580" t="s">
        <v>2</v>
      </c>
      <c r="BD580">
        <v>-1</v>
      </c>
      <c r="BE580">
        <v>-1</v>
      </c>
      <c r="BF580">
        <v>-1</v>
      </c>
      <c r="BG580">
        <v>-1</v>
      </c>
      <c r="BH580">
        <v>-1</v>
      </c>
      <c r="BI580">
        <v>-1</v>
      </c>
      <c r="BJ580">
        <v>-1</v>
      </c>
      <c r="BK580">
        <v>-1</v>
      </c>
      <c r="BL580">
        <v>-1</v>
      </c>
      <c r="BM580">
        <v>-1</v>
      </c>
      <c r="BN580">
        <v>-1</v>
      </c>
      <c r="BO580">
        <v>-1</v>
      </c>
    </row>
    <row r="581" spans="1:67" x14ac:dyDescent="0.25">
      <c r="A581">
        <v>578</v>
      </c>
      <c r="B581">
        <v>9103</v>
      </c>
      <c r="C581" t="str">
        <f>VLOOKUP(B581,[1]resources!$A$2:$D$300,3,FALSE)</f>
        <v>!!FOOD_PEANUT_BRITTLE</v>
      </c>
      <c r="D581">
        <v>103</v>
      </c>
      <c r="E581" t="str">
        <f>VLOOKUP(D581,[1]bonus_paytable!$A$2:$D$300,3,FALSE)</f>
        <v>christmas_recipes_elves</v>
      </c>
      <c r="F581">
        <v>-1</v>
      </c>
      <c r="G581">
        <v>-1</v>
      </c>
      <c r="H581">
        <v>1</v>
      </c>
      <c r="I581" t="s">
        <v>1</v>
      </c>
      <c r="J581">
        <v>9104</v>
      </c>
      <c r="K581">
        <v>9105</v>
      </c>
      <c r="L581">
        <v>9119</v>
      </c>
      <c r="M581">
        <v>9120</v>
      </c>
      <c r="N581">
        <v>9121</v>
      </c>
      <c r="O581">
        <v>9122</v>
      </c>
      <c r="P581">
        <v>9123</v>
      </c>
      <c r="Q581">
        <v>9124</v>
      </c>
      <c r="R581">
        <v>9125</v>
      </c>
      <c r="S581">
        <v>9126</v>
      </c>
      <c r="T581">
        <v>9127</v>
      </c>
      <c r="U581">
        <v>0.03</v>
      </c>
      <c r="V581">
        <v>0.03</v>
      </c>
      <c r="W581">
        <v>0.03</v>
      </c>
      <c r="X581">
        <v>0.03</v>
      </c>
      <c r="Y581">
        <v>0.03</v>
      </c>
      <c r="Z581">
        <v>0.03</v>
      </c>
      <c r="AA581">
        <v>0.03</v>
      </c>
      <c r="AB581">
        <v>0.03</v>
      </c>
      <c r="AC581">
        <v>0.03</v>
      </c>
      <c r="AD581">
        <v>0.03</v>
      </c>
      <c r="AE581">
        <v>0.03</v>
      </c>
      <c r="AF581">
        <v>1</v>
      </c>
      <c r="AG581">
        <v>1</v>
      </c>
      <c r="AH581">
        <v>1</v>
      </c>
      <c r="AI581">
        <v>1</v>
      </c>
      <c r="AJ581">
        <v>1</v>
      </c>
      <c r="AK581">
        <v>1</v>
      </c>
      <c r="AL581">
        <v>1</v>
      </c>
      <c r="AM581">
        <v>1</v>
      </c>
      <c r="AN581">
        <v>1</v>
      </c>
      <c r="AO581">
        <v>1</v>
      </c>
      <c r="AP581">
        <v>1</v>
      </c>
      <c r="AQ581">
        <v>0</v>
      </c>
      <c r="AR581" t="s">
        <v>2</v>
      </c>
      <c r="AS581">
        <v>-1</v>
      </c>
      <c r="AT581">
        <v>-1</v>
      </c>
      <c r="AU581">
        <v>-1</v>
      </c>
      <c r="AV581">
        <v>-1</v>
      </c>
      <c r="AW581">
        <v>-1</v>
      </c>
      <c r="AX581">
        <v>-1</v>
      </c>
      <c r="AY581">
        <v>-1</v>
      </c>
      <c r="AZ581">
        <v>-1</v>
      </c>
      <c r="BA581">
        <v>-1</v>
      </c>
      <c r="BB581">
        <v>0</v>
      </c>
      <c r="BC581" t="s">
        <v>2</v>
      </c>
      <c r="BD581">
        <v>-1</v>
      </c>
      <c r="BE581">
        <v>-1</v>
      </c>
      <c r="BF581">
        <v>-1</v>
      </c>
      <c r="BG581">
        <v>-1</v>
      </c>
      <c r="BH581">
        <v>-1</v>
      </c>
      <c r="BI581">
        <v>-1</v>
      </c>
      <c r="BJ581">
        <v>-1</v>
      </c>
      <c r="BK581">
        <v>-1</v>
      </c>
      <c r="BL581">
        <v>-1</v>
      </c>
      <c r="BM581">
        <v>-1</v>
      </c>
      <c r="BN581">
        <v>-1</v>
      </c>
      <c r="BO581">
        <v>-1</v>
      </c>
    </row>
    <row r="582" spans="1:67" x14ac:dyDescent="0.25">
      <c r="A582">
        <v>579</v>
      </c>
      <c r="B582">
        <v>9104</v>
      </c>
      <c r="C582" t="str">
        <f>VLOOKUP(B582,[1]resources!$A$2:$D$300,3,FALSE)</f>
        <v>!!FOOD_BREAD_PUDDING</v>
      </c>
      <c r="D582">
        <v>103</v>
      </c>
      <c r="E582" t="str">
        <f>VLOOKUP(D582,[1]bonus_paytable!$A$2:$D$300,3,FALSE)</f>
        <v>christmas_recipes_elves</v>
      </c>
      <c r="F582">
        <v>-1</v>
      </c>
      <c r="G582">
        <v>-1</v>
      </c>
      <c r="H582">
        <v>1</v>
      </c>
      <c r="I582" t="s">
        <v>1</v>
      </c>
      <c r="J582">
        <v>-1</v>
      </c>
      <c r="K582">
        <v>9105</v>
      </c>
      <c r="L582">
        <v>9119</v>
      </c>
      <c r="M582">
        <v>9120</v>
      </c>
      <c r="N582">
        <v>9121</v>
      </c>
      <c r="O582">
        <v>9122</v>
      </c>
      <c r="P582">
        <v>9123</v>
      </c>
      <c r="Q582">
        <v>9124</v>
      </c>
      <c r="R582">
        <v>9125</v>
      </c>
      <c r="S582">
        <v>9126</v>
      </c>
      <c r="T582">
        <v>9127</v>
      </c>
      <c r="U582">
        <v>-1</v>
      </c>
      <c r="V582">
        <v>0.03</v>
      </c>
      <c r="W582">
        <v>0.03</v>
      </c>
      <c r="X582">
        <v>0.03</v>
      </c>
      <c r="Y582">
        <v>0.03</v>
      </c>
      <c r="Z582">
        <v>0.03</v>
      </c>
      <c r="AA582">
        <v>0.03</v>
      </c>
      <c r="AB582">
        <v>0.03</v>
      </c>
      <c r="AC582">
        <v>0.03</v>
      </c>
      <c r="AD582">
        <v>0.03</v>
      </c>
      <c r="AE582">
        <v>0.03</v>
      </c>
      <c r="AF582">
        <v>-1</v>
      </c>
      <c r="AG582">
        <v>1</v>
      </c>
      <c r="AH582">
        <v>1</v>
      </c>
      <c r="AI582">
        <v>1</v>
      </c>
      <c r="AJ582">
        <v>1</v>
      </c>
      <c r="AK582">
        <v>1</v>
      </c>
      <c r="AL582">
        <v>1</v>
      </c>
      <c r="AM582">
        <v>1</v>
      </c>
      <c r="AN582">
        <v>1</v>
      </c>
      <c r="AO582">
        <v>1</v>
      </c>
      <c r="AP582">
        <v>1</v>
      </c>
      <c r="AQ582">
        <v>0</v>
      </c>
      <c r="AR582" t="s">
        <v>2</v>
      </c>
      <c r="AS582">
        <v>-1</v>
      </c>
      <c r="AT582">
        <v>-1</v>
      </c>
      <c r="AU582">
        <v>-1</v>
      </c>
      <c r="AV582">
        <v>-1</v>
      </c>
      <c r="AW582">
        <v>-1</v>
      </c>
      <c r="AX582">
        <v>-1</v>
      </c>
      <c r="AY582">
        <v>-1</v>
      </c>
      <c r="AZ582">
        <v>-1</v>
      </c>
      <c r="BA582">
        <v>-1</v>
      </c>
      <c r="BB582">
        <v>0</v>
      </c>
      <c r="BC582" t="s">
        <v>2</v>
      </c>
      <c r="BD582">
        <v>-1</v>
      </c>
      <c r="BE582">
        <v>-1</v>
      </c>
      <c r="BF582">
        <v>-1</v>
      </c>
      <c r="BG582">
        <v>-1</v>
      </c>
      <c r="BH582">
        <v>-1</v>
      </c>
      <c r="BI582">
        <v>-1</v>
      </c>
      <c r="BJ582">
        <v>-1</v>
      </c>
      <c r="BK582">
        <v>-1</v>
      </c>
      <c r="BL582">
        <v>-1</v>
      </c>
      <c r="BM582">
        <v>-1</v>
      </c>
      <c r="BN582">
        <v>-1</v>
      </c>
      <c r="BO582">
        <v>-1</v>
      </c>
    </row>
    <row r="583" spans="1:67" x14ac:dyDescent="0.25">
      <c r="A583">
        <v>580</v>
      </c>
      <c r="B583">
        <v>9105</v>
      </c>
      <c r="C583" t="str">
        <f>VLOOKUP(B583,[1]resources!$A$2:$D$300,3,FALSE)</f>
        <v>!!FOOD_YULE_LOG_CAKE</v>
      </c>
      <c r="D583">
        <v>103</v>
      </c>
      <c r="E583" t="str">
        <f>VLOOKUP(D583,[1]bonus_paytable!$A$2:$D$300,3,FALSE)</f>
        <v>christmas_recipes_elves</v>
      </c>
      <c r="F583">
        <v>-1</v>
      </c>
      <c r="G583">
        <v>-1</v>
      </c>
      <c r="H583">
        <v>1</v>
      </c>
      <c r="I583" t="s">
        <v>1</v>
      </c>
      <c r="J583">
        <v>9104</v>
      </c>
      <c r="K583">
        <v>-1</v>
      </c>
      <c r="L583">
        <v>9119</v>
      </c>
      <c r="M583">
        <v>9120</v>
      </c>
      <c r="N583">
        <v>9121</v>
      </c>
      <c r="O583">
        <v>9122</v>
      </c>
      <c r="P583">
        <v>9123</v>
      </c>
      <c r="Q583">
        <v>9124</v>
      </c>
      <c r="R583">
        <v>9125</v>
      </c>
      <c r="S583">
        <v>9126</v>
      </c>
      <c r="T583">
        <v>9127</v>
      </c>
      <c r="U583">
        <v>0.03</v>
      </c>
      <c r="V583">
        <v>-1</v>
      </c>
      <c r="W583">
        <v>0.03</v>
      </c>
      <c r="X583">
        <v>0.03</v>
      </c>
      <c r="Y583">
        <v>0.03</v>
      </c>
      <c r="Z583">
        <v>0.03</v>
      </c>
      <c r="AA583">
        <v>0.03</v>
      </c>
      <c r="AB583">
        <v>0.03</v>
      </c>
      <c r="AC583">
        <v>0.03</v>
      </c>
      <c r="AD583">
        <v>0.03</v>
      </c>
      <c r="AE583">
        <v>0.03</v>
      </c>
      <c r="AF583">
        <v>1</v>
      </c>
      <c r="AG583">
        <v>-1</v>
      </c>
      <c r="AH583">
        <v>1</v>
      </c>
      <c r="AI583">
        <v>1</v>
      </c>
      <c r="AJ583">
        <v>1</v>
      </c>
      <c r="AK583">
        <v>1</v>
      </c>
      <c r="AL583">
        <v>1</v>
      </c>
      <c r="AM583">
        <v>1</v>
      </c>
      <c r="AN583">
        <v>1</v>
      </c>
      <c r="AO583">
        <v>1</v>
      </c>
      <c r="AP583">
        <v>1</v>
      </c>
      <c r="AQ583">
        <v>0</v>
      </c>
      <c r="AR583" t="s">
        <v>2</v>
      </c>
      <c r="AS583">
        <v>-1</v>
      </c>
      <c r="AT583">
        <v>-1</v>
      </c>
      <c r="AU583">
        <v>-1</v>
      </c>
      <c r="AV583">
        <v>-1</v>
      </c>
      <c r="AW583">
        <v>-1</v>
      </c>
      <c r="AX583">
        <v>-1</v>
      </c>
      <c r="AY583">
        <v>-1</v>
      </c>
      <c r="AZ583">
        <v>-1</v>
      </c>
      <c r="BA583">
        <v>-1</v>
      </c>
      <c r="BB583">
        <v>0</v>
      </c>
      <c r="BC583" t="s">
        <v>2</v>
      </c>
      <c r="BD583">
        <v>-1</v>
      </c>
      <c r="BE583">
        <v>-1</v>
      </c>
      <c r="BF583">
        <v>-1</v>
      </c>
      <c r="BG583">
        <v>-1</v>
      </c>
      <c r="BH583">
        <v>-1</v>
      </c>
      <c r="BI583">
        <v>-1</v>
      </c>
      <c r="BJ583">
        <v>-1</v>
      </c>
      <c r="BK583">
        <v>-1</v>
      </c>
      <c r="BL583">
        <v>-1</v>
      </c>
      <c r="BM583">
        <v>-1</v>
      </c>
      <c r="BN583">
        <v>-1</v>
      </c>
      <c r="BO583">
        <v>-1</v>
      </c>
    </row>
    <row r="584" spans="1:67" x14ac:dyDescent="0.25">
      <c r="A584">
        <v>581</v>
      </c>
      <c r="B584">
        <v>9119</v>
      </c>
      <c r="C584" t="str">
        <f>VLOOKUP(B584,[1]resources!$A$2:$D$300,3,FALSE)</f>
        <v>!!FOOD_CHRISTMAS_COOKIE</v>
      </c>
      <c r="D584">
        <v>103</v>
      </c>
      <c r="E584" t="str">
        <f>VLOOKUP(D584,[1]bonus_paytable!$A$2:$D$300,3,FALSE)</f>
        <v>christmas_recipes_elves</v>
      </c>
      <c r="F584">
        <v>-1</v>
      </c>
      <c r="G584">
        <v>-1</v>
      </c>
      <c r="H584">
        <v>1</v>
      </c>
      <c r="I584" t="s">
        <v>1</v>
      </c>
      <c r="J584">
        <v>9104</v>
      </c>
      <c r="K584">
        <v>9105</v>
      </c>
      <c r="L584">
        <v>-1</v>
      </c>
      <c r="M584">
        <v>9120</v>
      </c>
      <c r="N584">
        <v>9121</v>
      </c>
      <c r="O584">
        <v>9122</v>
      </c>
      <c r="P584">
        <v>9123</v>
      </c>
      <c r="Q584">
        <v>9124</v>
      </c>
      <c r="R584">
        <v>9125</v>
      </c>
      <c r="S584">
        <v>9126</v>
      </c>
      <c r="T584">
        <v>9127</v>
      </c>
      <c r="U584">
        <v>0.03</v>
      </c>
      <c r="V584">
        <v>0.03</v>
      </c>
      <c r="W584">
        <v>-1</v>
      </c>
      <c r="X584">
        <v>0.03</v>
      </c>
      <c r="Y584">
        <v>0.03</v>
      </c>
      <c r="Z584">
        <v>0.03</v>
      </c>
      <c r="AA584">
        <v>0.03</v>
      </c>
      <c r="AB584">
        <v>0.03</v>
      </c>
      <c r="AC584">
        <v>0.03</v>
      </c>
      <c r="AD584">
        <v>0.03</v>
      </c>
      <c r="AE584">
        <v>0.03</v>
      </c>
      <c r="AF584">
        <v>1</v>
      </c>
      <c r="AG584">
        <v>1</v>
      </c>
      <c r="AH584">
        <v>-1</v>
      </c>
      <c r="AI584">
        <v>1</v>
      </c>
      <c r="AJ584">
        <v>1</v>
      </c>
      <c r="AK584">
        <v>1</v>
      </c>
      <c r="AL584">
        <v>1</v>
      </c>
      <c r="AM584">
        <v>1</v>
      </c>
      <c r="AN584">
        <v>1</v>
      </c>
      <c r="AO584">
        <v>1</v>
      </c>
      <c r="AP584">
        <v>1</v>
      </c>
      <c r="AQ584">
        <v>0</v>
      </c>
      <c r="AR584" t="s">
        <v>2</v>
      </c>
      <c r="AS584">
        <v>-1</v>
      </c>
      <c r="AT584">
        <v>-1</v>
      </c>
      <c r="AU584">
        <v>-1</v>
      </c>
      <c r="AV584">
        <v>-1</v>
      </c>
      <c r="AW584">
        <v>-1</v>
      </c>
      <c r="AX584">
        <v>-1</v>
      </c>
      <c r="AY584">
        <v>-1</v>
      </c>
      <c r="AZ584">
        <v>-1</v>
      </c>
      <c r="BA584">
        <v>-1</v>
      </c>
      <c r="BB584">
        <v>0</v>
      </c>
      <c r="BC584" t="s">
        <v>2</v>
      </c>
      <c r="BD584">
        <v>-1</v>
      </c>
      <c r="BE584">
        <v>-1</v>
      </c>
      <c r="BF584">
        <v>-1</v>
      </c>
      <c r="BG584">
        <v>-1</v>
      </c>
      <c r="BH584">
        <v>-1</v>
      </c>
      <c r="BI584">
        <v>-1</v>
      </c>
      <c r="BJ584">
        <v>-1</v>
      </c>
      <c r="BK584">
        <v>-1</v>
      </c>
      <c r="BL584">
        <v>-1</v>
      </c>
      <c r="BM584">
        <v>-1</v>
      </c>
      <c r="BN584">
        <v>-1</v>
      </c>
      <c r="BO584">
        <v>-1</v>
      </c>
    </row>
    <row r="585" spans="1:67" x14ac:dyDescent="0.25">
      <c r="A585">
        <v>582</v>
      </c>
      <c r="B585">
        <v>9120</v>
      </c>
      <c r="C585" t="str">
        <f>VLOOKUP(B585,[1]resources!$A$2:$D$300,3,FALSE)</f>
        <v>!!FOOD_APPLE_CIDER</v>
      </c>
      <c r="D585">
        <v>103</v>
      </c>
      <c r="E585" t="str">
        <f>VLOOKUP(D585,[1]bonus_paytable!$A$2:$D$300,3,FALSE)</f>
        <v>christmas_recipes_elves</v>
      </c>
      <c r="F585">
        <v>-1</v>
      </c>
      <c r="G585">
        <v>-1</v>
      </c>
      <c r="H585">
        <v>1</v>
      </c>
      <c r="I585" t="s">
        <v>1</v>
      </c>
      <c r="J585">
        <v>9104</v>
      </c>
      <c r="K585">
        <v>9105</v>
      </c>
      <c r="L585">
        <v>9119</v>
      </c>
      <c r="M585">
        <v>-1</v>
      </c>
      <c r="N585">
        <v>9121</v>
      </c>
      <c r="O585">
        <v>9122</v>
      </c>
      <c r="P585">
        <v>9123</v>
      </c>
      <c r="Q585">
        <v>9124</v>
      </c>
      <c r="R585">
        <v>9125</v>
      </c>
      <c r="S585">
        <v>9126</v>
      </c>
      <c r="T585">
        <v>9127</v>
      </c>
      <c r="U585">
        <v>0.03</v>
      </c>
      <c r="V585">
        <v>0.03</v>
      </c>
      <c r="W585">
        <v>0.03</v>
      </c>
      <c r="X585">
        <v>-1</v>
      </c>
      <c r="Y585">
        <v>0.03</v>
      </c>
      <c r="Z585">
        <v>0.03</v>
      </c>
      <c r="AA585">
        <v>0.03</v>
      </c>
      <c r="AB585">
        <v>0.03</v>
      </c>
      <c r="AC585">
        <v>0.03</v>
      </c>
      <c r="AD585">
        <v>0.03</v>
      </c>
      <c r="AE585">
        <v>0.03</v>
      </c>
      <c r="AF585">
        <v>1</v>
      </c>
      <c r="AG585">
        <v>1</v>
      </c>
      <c r="AH585">
        <v>1</v>
      </c>
      <c r="AI585">
        <v>-1</v>
      </c>
      <c r="AJ585">
        <v>1</v>
      </c>
      <c r="AK585">
        <v>1</v>
      </c>
      <c r="AL585">
        <v>1</v>
      </c>
      <c r="AM585">
        <v>1</v>
      </c>
      <c r="AN585">
        <v>1</v>
      </c>
      <c r="AO585">
        <v>1</v>
      </c>
      <c r="AP585">
        <v>1</v>
      </c>
      <c r="AQ585">
        <v>0</v>
      </c>
      <c r="AR585" t="s">
        <v>2</v>
      </c>
      <c r="AS585">
        <v>-1</v>
      </c>
      <c r="AT585">
        <v>-1</v>
      </c>
      <c r="AU585">
        <v>-1</v>
      </c>
      <c r="AV585">
        <v>-1</v>
      </c>
      <c r="AW585">
        <v>-1</v>
      </c>
      <c r="AX585">
        <v>-1</v>
      </c>
      <c r="AY585">
        <v>-1</v>
      </c>
      <c r="AZ585">
        <v>-1</v>
      </c>
      <c r="BA585">
        <v>-1</v>
      </c>
      <c r="BB585">
        <v>0</v>
      </c>
      <c r="BC585" t="s">
        <v>2</v>
      </c>
      <c r="BD585">
        <v>-1</v>
      </c>
      <c r="BE585">
        <v>-1</v>
      </c>
      <c r="BF585">
        <v>-1</v>
      </c>
      <c r="BG585">
        <v>-1</v>
      </c>
      <c r="BH585">
        <v>-1</v>
      </c>
      <c r="BI585">
        <v>-1</v>
      </c>
      <c r="BJ585">
        <v>-1</v>
      </c>
      <c r="BK585">
        <v>-1</v>
      </c>
      <c r="BL585">
        <v>-1</v>
      </c>
      <c r="BM585">
        <v>-1</v>
      </c>
      <c r="BN585">
        <v>-1</v>
      </c>
      <c r="BO585">
        <v>-1</v>
      </c>
    </row>
    <row r="586" spans="1:67" x14ac:dyDescent="0.25">
      <c r="A586">
        <v>583</v>
      </c>
      <c r="B586">
        <v>9121</v>
      </c>
      <c r="C586" t="str">
        <f>VLOOKUP(B586,[1]resources!$A$2:$D$300,3,FALSE)</f>
        <v>!!FOOD_GINGERBREAD_ELF</v>
      </c>
      <c r="D586">
        <v>103</v>
      </c>
      <c r="E586" t="str">
        <f>VLOOKUP(D586,[1]bonus_paytable!$A$2:$D$300,3,FALSE)</f>
        <v>christmas_recipes_elves</v>
      </c>
      <c r="F586">
        <v>-1</v>
      </c>
      <c r="G586">
        <v>-1</v>
      </c>
      <c r="H586">
        <v>1</v>
      </c>
      <c r="I586" t="s">
        <v>1</v>
      </c>
      <c r="J586">
        <v>9104</v>
      </c>
      <c r="K586">
        <v>9105</v>
      </c>
      <c r="L586">
        <v>9119</v>
      </c>
      <c r="M586">
        <v>9120</v>
      </c>
      <c r="N586">
        <v>-1</v>
      </c>
      <c r="O586">
        <v>9122</v>
      </c>
      <c r="P586">
        <v>9123</v>
      </c>
      <c r="Q586">
        <v>9124</v>
      </c>
      <c r="R586">
        <v>9125</v>
      </c>
      <c r="S586">
        <v>9126</v>
      </c>
      <c r="T586">
        <v>9127</v>
      </c>
      <c r="U586">
        <v>0.03</v>
      </c>
      <c r="V586">
        <v>0.03</v>
      </c>
      <c r="W586">
        <v>0.03</v>
      </c>
      <c r="X586">
        <v>0.03</v>
      </c>
      <c r="Y586">
        <v>-1</v>
      </c>
      <c r="Z586">
        <v>0.03</v>
      </c>
      <c r="AA586">
        <v>0.03</v>
      </c>
      <c r="AB586">
        <v>0.03</v>
      </c>
      <c r="AC586">
        <v>0.03</v>
      </c>
      <c r="AD586">
        <v>0.03</v>
      </c>
      <c r="AE586">
        <v>0.03</v>
      </c>
      <c r="AF586">
        <v>1</v>
      </c>
      <c r="AG586">
        <v>1</v>
      </c>
      <c r="AH586">
        <v>1</v>
      </c>
      <c r="AI586">
        <v>1</v>
      </c>
      <c r="AJ586">
        <v>-1</v>
      </c>
      <c r="AK586">
        <v>1</v>
      </c>
      <c r="AL586">
        <v>1</v>
      </c>
      <c r="AM586">
        <v>1</v>
      </c>
      <c r="AN586">
        <v>1</v>
      </c>
      <c r="AO586">
        <v>1</v>
      </c>
      <c r="AP586">
        <v>1</v>
      </c>
      <c r="AQ586">
        <v>0</v>
      </c>
      <c r="AR586" t="s">
        <v>2</v>
      </c>
      <c r="AS586">
        <v>-1</v>
      </c>
      <c r="AT586">
        <v>-1</v>
      </c>
      <c r="AU586">
        <v>-1</v>
      </c>
      <c r="AV586">
        <v>-1</v>
      </c>
      <c r="AW586">
        <v>-1</v>
      </c>
      <c r="AX586">
        <v>-1</v>
      </c>
      <c r="AY586">
        <v>-1</v>
      </c>
      <c r="AZ586">
        <v>-1</v>
      </c>
      <c r="BA586">
        <v>-1</v>
      </c>
      <c r="BB586">
        <v>0</v>
      </c>
      <c r="BC586" t="s">
        <v>2</v>
      </c>
      <c r="BD586">
        <v>-1</v>
      </c>
      <c r="BE586">
        <v>-1</v>
      </c>
      <c r="BF586">
        <v>-1</v>
      </c>
      <c r="BG586">
        <v>-1</v>
      </c>
      <c r="BH586">
        <v>-1</v>
      </c>
      <c r="BI586">
        <v>-1</v>
      </c>
      <c r="BJ586">
        <v>-1</v>
      </c>
      <c r="BK586">
        <v>-1</v>
      </c>
      <c r="BL586">
        <v>-1</v>
      </c>
      <c r="BM586">
        <v>-1</v>
      </c>
      <c r="BN586">
        <v>-1</v>
      </c>
      <c r="BO586">
        <v>-1</v>
      </c>
    </row>
    <row r="587" spans="1:67" x14ac:dyDescent="0.25">
      <c r="A587">
        <v>584</v>
      </c>
      <c r="B587">
        <v>9122</v>
      </c>
      <c r="C587" t="str">
        <f>VLOOKUP(B587,[1]resources!$A$2:$D$300,3,FALSE)</f>
        <v>!!FOOD_CRANBERRY_SAUCE</v>
      </c>
      <c r="D587">
        <v>103</v>
      </c>
      <c r="E587" t="str">
        <f>VLOOKUP(D587,[1]bonus_paytable!$A$2:$D$300,3,FALSE)</f>
        <v>christmas_recipes_elves</v>
      </c>
      <c r="F587">
        <v>-1</v>
      </c>
      <c r="G587">
        <v>-1</v>
      </c>
      <c r="H587">
        <v>1</v>
      </c>
      <c r="I587" t="s">
        <v>1</v>
      </c>
      <c r="J587">
        <v>9104</v>
      </c>
      <c r="K587">
        <v>9105</v>
      </c>
      <c r="L587">
        <v>9119</v>
      </c>
      <c r="M587">
        <v>9120</v>
      </c>
      <c r="N587">
        <v>9121</v>
      </c>
      <c r="O587">
        <v>-1</v>
      </c>
      <c r="P587">
        <v>9123</v>
      </c>
      <c r="Q587">
        <v>9124</v>
      </c>
      <c r="R587">
        <v>9125</v>
      </c>
      <c r="S587">
        <v>9126</v>
      </c>
      <c r="T587">
        <v>9127</v>
      </c>
      <c r="U587">
        <v>0.03</v>
      </c>
      <c r="V587">
        <v>0.03</v>
      </c>
      <c r="W587">
        <v>0.03</v>
      </c>
      <c r="X587">
        <v>0.03</v>
      </c>
      <c r="Y587">
        <v>0.03</v>
      </c>
      <c r="Z587">
        <v>-1</v>
      </c>
      <c r="AA587">
        <v>0.03</v>
      </c>
      <c r="AB587">
        <v>0.03</v>
      </c>
      <c r="AC587">
        <v>0.03</v>
      </c>
      <c r="AD587">
        <v>0.03</v>
      </c>
      <c r="AE587">
        <v>0.03</v>
      </c>
      <c r="AF587">
        <v>1</v>
      </c>
      <c r="AG587">
        <v>1</v>
      </c>
      <c r="AH587">
        <v>1</v>
      </c>
      <c r="AI587">
        <v>1</v>
      </c>
      <c r="AJ587">
        <v>1</v>
      </c>
      <c r="AK587">
        <v>-1</v>
      </c>
      <c r="AL587">
        <v>1</v>
      </c>
      <c r="AM587">
        <v>1</v>
      </c>
      <c r="AN587">
        <v>1</v>
      </c>
      <c r="AO587">
        <v>1</v>
      </c>
      <c r="AP587">
        <v>1</v>
      </c>
      <c r="AQ587">
        <v>0</v>
      </c>
      <c r="AR587" t="s">
        <v>2</v>
      </c>
      <c r="AS587">
        <v>-1</v>
      </c>
      <c r="AT587">
        <v>-1</v>
      </c>
      <c r="AU587">
        <v>-1</v>
      </c>
      <c r="AV587">
        <v>-1</v>
      </c>
      <c r="AW587">
        <v>-1</v>
      </c>
      <c r="AX587">
        <v>-1</v>
      </c>
      <c r="AY587">
        <v>-1</v>
      </c>
      <c r="AZ587">
        <v>-1</v>
      </c>
      <c r="BA587">
        <v>-1</v>
      </c>
      <c r="BB587">
        <v>0</v>
      </c>
      <c r="BC587" t="s">
        <v>2</v>
      </c>
      <c r="BD587">
        <v>-1</v>
      </c>
      <c r="BE587">
        <v>-1</v>
      </c>
      <c r="BF587">
        <v>-1</v>
      </c>
      <c r="BG587">
        <v>-1</v>
      </c>
      <c r="BH587">
        <v>-1</v>
      </c>
      <c r="BI587">
        <v>-1</v>
      </c>
      <c r="BJ587">
        <v>-1</v>
      </c>
      <c r="BK587">
        <v>-1</v>
      </c>
      <c r="BL587">
        <v>-1</v>
      </c>
      <c r="BM587">
        <v>-1</v>
      </c>
      <c r="BN587">
        <v>-1</v>
      </c>
      <c r="BO587">
        <v>-1</v>
      </c>
    </row>
    <row r="588" spans="1:67" x14ac:dyDescent="0.25">
      <c r="A588">
        <v>585</v>
      </c>
      <c r="B588">
        <v>9123</v>
      </c>
      <c r="C588" t="str">
        <f>VLOOKUP(B588,[1]resources!$A$2:$D$300,3,FALSE)</f>
        <v>!!FOOD_HOT_CHOCOLATE</v>
      </c>
      <c r="D588">
        <v>103</v>
      </c>
      <c r="E588" t="str">
        <f>VLOOKUP(D588,[1]bonus_paytable!$A$2:$D$300,3,FALSE)</f>
        <v>christmas_recipes_elves</v>
      </c>
      <c r="F588">
        <v>-1</v>
      </c>
      <c r="G588">
        <v>-1</v>
      </c>
      <c r="H588">
        <v>1</v>
      </c>
      <c r="I588" t="s">
        <v>1</v>
      </c>
      <c r="J588">
        <v>9104</v>
      </c>
      <c r="K588">
        <v>9105</v>
      </c>
      <c r="L588">
        <v>9119</v>
      </c>
      <c r="M588">
        <v>9120</v>
      </c>
      <c r="N588">
        <v>9121</v>
      </c>
      <c r="O588">
        <v>9122</v>
      </c>
      <c r="P588">
        <v>-1</v>
      </c>
      <c r="Q588">
        <v>9124</v>
      </c>
      <c r="R588">
        <v>9125</v>
      </c>
      <c r="S588">
        <v>9126</v>
      </c>
      <c r="T588">
        <v>9127</v>
      </c>
      <c r="U588">
        <v>0.03</v>
      </c>
      <c r="V588">
        <v>0.03</v>
      </c>
      <c r="W588">
        <v>0.03</v>
      </c>
      <c r="X588">
        <v>0.03</v>
      </c>
      <c r="Y588">
        <v>0.03</v>
      </c>
      <c r="Z588">
        <v>0.03</v>
      </c>
      <c r="AA588">
        <v>-1</v>
      </c>
      <c r="AB588">
        <v>0.03</v>
      </c>
      <c r="AC588">
        <v>0.03</v>
      </c>
      <c r="AD588">
        <v>0.03</v>
      </c>
      <c r="AE588">
        <v>0.03</v>
      </c>
      <c r="AF588">
        <v>1</v>
      </c>
      <c r="AG588">
        <v>1</v>
      </c>
      <c r="AH588">
        <v>1</v>
      </c>
      <c r="AI588">
        <v>1</v>
      </c>
      <c r="AJ588">
        <v>1</v>
      </c>
      <c r="AK588">
        <v>1</v>
      </c>
      <c r="AL588">
        <v>-1</v>
      </c>
      <c r="AM588">
        <v>1</v>
      </c>
      <c r="AN588">
        <v>1</v>
      </c>
      <c r="AO588">
        <v>1</v>
      </c>
      <c r="AP588">
        <v>1</v>
      </c>
      <c r="AQ588">
        <v>0</v>
      </c>
      <c r="AR588" t="s">
        <v>2</v>
      </c>
      <c r="AS588">
        <v>-1</v>
      </c>
      <c r="AT588">
        <v>-1</v>
      </c>
      <c r="AU588">
        <v>-1</v>
      </c>
      <c r="AV588">
        <v>-1</v>
      </c>
      <c r="AW588">
        <v>-1</v>
      </c>
      <c r="AX588">
        <v>-1</v>
      </c>
      <c r="AY588">
        <v>-1</v>
      </c>
      <c r="AZ588">
        <v>-1</v>
      </c>
      <c r="BA588">
        <v>-1</v>
      </c>
      <c r="BB588">
        <v>0</v>
      </c>
      <c r="BC588" t="s">
        <v>2</v>
      </c>
      <c r="BD588">
        <v>-1</v>
      </c>
      <c r="BE588">
        <v>-1</v>
      </c>
      <c r="BF588">
        <v>-1</v>
      </c>
      <c r="BG588">
        <v>-1</v>
      </c>
      <c r="BH588">
        <v>-1</v>
      </c>
      <c r="BI588">
        <v>-1</v>
      </c>
      <c r="BJ588">
        <v>-1</v>
      </c>
      <c r="BK588">
        <v>-1</v>
      </c>
      <c r="BL588">
        <v>-1</v>
      </c>
      <c r="BM588">
        <v>-1</v>
      </c>
      <c r="BN588">
        <v>-1</v>
      </c>
      <c r="BO588">
        <v>-1</v>
      </c>
    </row>
    <row r="589" spans="1:67" x14ac:dyDescent="0.25">
      <c r="A589">
        <v>586</v>
      </c>
      <c r="B589">
        <v>9124</v>
      </c>
      <c r="C589" t="str">
        <f>VLOOKUP(B589,[1]resources!$A$2:$D$300,3,FALSE)</f>
        <v>!!FOOD_CANDY_CANE</v>
      </c>
      <c r="D589">
        <v>103</v>
      </c>
      <c r="E589" t="str">
        <f>VLOOKUP(D589,[1]bonus_paytable!$A$2:$D$300,3,FALSE)</f>
        <v>christmas_recipes_elves</v>
      </c>
      <c r="F589">
        <v>-1</v>
      </c>
      <c r="G589">
        <v>-1</v>
      </c>
      <c r="H589">
        <v>1</v>
      </c>
      <c r="I589" t="s">
        <v>1</v>
      </c>
      <c r="J589">
        <v>9104</v>
      </c>
      <c r="K589">
        <v>9105</v>
      </c>
      <c r="L589">
        <v>9119</v>
      </c>
      <c r="M589">
        <v>9120</v>
      </c>
      <c r="N589">
        <v>9121</v>
      </c>
      <c r="O589">
        <v>9122</v>
      </c>
      <c r="P589">
        <v>9123</v>
      </c>
      <c r="Q589">
        <v>-1</v>
      </c>
      <c r="R589">
        <v>9125</v>
      </c>
      <c r="S589">
        <v>9126</v>
      </c>
      <c r="T589">
        <v>9127</v>
      </c>
      <c r="U589">
        <v>0.03</v>
      </c>
      <c r="V589">
        <v>0.03</v>
      </c>
      <c r="W589">
        <v>0.03</v>
      </c>
      <c r="X589">
        <v>0.03</v>
      </c>
      <c r="Y589">
        <v>0.03</v>
      </c>
      <c r="Z589">
        <v>0.03</v>
      </c>
      <c r="AA589">
        <v>0.03</v>
      </c>
      <c r="AB589">
        <v>-1</v>
      </c>
      <c r="AC589">
        <v>0.03</v>
      </c>
      <c r="AD589">
        <v>0.03</v>
      </c>
      <c r="AE589">
        <v>0.03</v>
      </c>
      <c r="AF589">
        <v>1</v>
      </c>
      <c r="AG589">
        <v>1</v>
      </c>
      <c r="AH589">
        <v>1</v>
      </c>
      <c r="AI589">
        <v>1</v>
      </c>
      <c r="AJ589">
        <v>1</v>
      </c>
      <c r="AK589">
        <v>1</v>
      </c>
      <c r="AL589">
        <v>1</v>
      </c>
      <c r="AM589">
        <v>-1</v>
      </c>
      <c r="AN589">
        <v>1</v>
      </c>
      <c r="AO589">
        <v>1</v>
      </c>
      <c r="AP589">
        <v>1</v>
      </c>
      <c r="AQ589">
        <v>0</v>
      </c>
      <c r="AR589" t="s">
        <v>2</v>
      </c>
      <c r="AS589">
        <v>-1</v>
      </c>
      <c r="AT589">
        <v>-1</v>
      </c>
      <c r="AU589">
        <v>-1</v>
      </c>
      <c r="AV589">
        <v>-1</v>
      </c>
      <c r="AW589">
        <v>-1</v>
      </c>
      <c r="AX589">
        <v>-1</v>
      </c>
      <c r="AY589">
        <v>-1</v>
      </c>
      <c r="AZ589">
        <v>-1</v>
      </c>
      <c r="BA589">
        <v>-1</v>
      </c>
      <c r="BB589">
        <v>0</v>
      </c>
      <c r="BC589" t="s">
        <v>2</v>
      </c>
      <c r="BD589">
        <v>-1</v>
      </c>
      <c r="BE589">
        <v>-1</v>
      </c>
      <c r="BF589">
        <v>-1</v>
      </c>
      <c r="BG589">
        <v>-1</v>
      </c>
      <c r="BH589">
        <v>-1</v>
      </c>
      <c r="BI589">
        <v>-1</v>
      </c>
      <c r="BJ589">
        <v>-1</v>
      </c>
      <c r="BK589">
        <v>-1</v>
      </c>
      <c r="BL589">
        <v>-1</v>
      </c>
      <c r="BM589">
        <v>-1</v>
      </c>
      <c r="BN589">
        <v>-1</v>
      </c>
      <c r="BO589">
        <v>-1</v>
      </c>
    </row>
    <row r="590" spans="1:67" x14ac:dyDescent="0.25">
      <c r="A590">
        <v>587</v>
      </c>
      <c r="B590">
        <v>9125</v>
      </c>
      <c r="C590" t="str">
        <f>VLOOKUP(B590,[1]resources!$A$2:$D$300,3,FALSE)</f>
        <v>!!FOOD_ENGLISH_TOFFEE</v>
      </c>
      <c r="D590">
        <v>103</v>
      </c>
      <c r="E590" t="str">
        <f>VLOOKUP(D590,[1]bonus_paytable!$A$2:$D$300,3,FALSE)</f>
        <v>christmas_recipes_elves</v>
      </c>
      <c r="F590">
        <v>-1</v>
      </c>
      <c r="G590">
        <v>-1</v>
      </c>
      <c r="H590">
        <v>1</v>
      </c>
      <c r="I590" t="s">
        <v>1</v>
      </c>
      <c r="J590">
        <v>9104</v>
      </c>
      <c r="K590">
        <v>9105</v>
      </c>
      <c r="L590">
        <v>9119</v>
      </c>
      <c r="M590">
        <v>9120</v>
      </c>
      <c r="N590">
        <v>9121</v>
      </c>
      <c r="O590">
        <v>9122</v>
      </c>
      <c r="P590">
        <v>9123</v>
      </c>
      <c r="Q590">
        <v>9124</v>
      </c>
      <c r="R590">
        <v>-1</v>
      </c>
      <c r="S590">
        <v>9126</v>
      </c>
      <c r="T590">
        <v>9127</v>
      </c>
      <c r="U590">
        <v>0.03</v>
      </c>
      <c r="V590">
        <v>0.03</v>
      </c>
      <c r="W590">
        <v>0.03</v>
      </c>
      <c r="X590">
        <v>0.03</v>
      </c>
      <c r="Y590">
        <v>0.03</v>
      </c>
      <c r="Z590">
        <v>0.03</v>
      </c>
      <c r="AA590">
        <v>0.03</v>
      </c>
      <c r="AB590">
        <v>0.03</v>
      </c>
      <c r="AC590">
        <v>-1</v>
      </c>
      <c r="AD590">
        <v>0.03</v>
      </c>
      <c r="AE590">
        <v>0.03</v>
      </c>
      <c r="AF590">
        <v>1</v>
      </c>
      <c r="AG590">
        <v>1</v>
      </c>
      <c r="AH590">
        <v>1</v>
      </c>
      <c r="AI590">
        <v>1</v>
      </c>
      <c r="AJ590">
        <v>1</v>
      </c>
      <c r="AK590">
        <v>1</v>
      </c>
      <c r="AL590">
        <v>1</v>
      </c>
      <c r="AM590">
        <v>1</v>
      </c>
      <c r="AN590">
        <v>-1</v>
      </c>
      <c r="AO590">
        <v>1</v>
      </c>
      <c r="AP590">
        <v>1</v>
      </c>
      <c r="AQ590">
        <v>0</v>
      </c>
      <c r="AR590" t="s">
        <v>2</v>
      </c>
      <c r="AS590">
        <v>-1</v>
      </c>
      <c r="AT590">
        <v>-1</v>
      </c>
      <c r="AU590">
        <v>-1</v>
      </c>
      <c r="AV590">
        <v>-1</v>
      </c>
      <c r="AW590">
        <v>-1</v>
      </c>
      <c r="AX590">
        <v>-1</v>
      </c>
      <c r="AY590">
        <v>-1</v>
      </c>
      <c r="AZ590">
        <v>-1</v>
      </c>
      <c r="BA590">
        <v>-1</v>
      </c>
      <c r="BB590">
        <v>0</v>
      </c>
      <c r="BC590" t="s">
        <v>2</v>
      </c>
      <c r="BD590">
        <v>-1</v>
      </c>
      <c r="BE590">
        <v>-1</v>
      </c>
      <c r="BF590">
        <v>-1</v>
      </c>
      <c r="BG590">
        <v>-1</v>
      </c>
      <c r="BH590">
        <v>-1</v>
      </c>
      <c r="BI590">
        <v>-1</v>
      </c>
      <c r="BJ590">
        <v>-1</v>
      </c>
      <c r="BK590">
        <v>-1</v>
      </c>
      <c r="BL590">
        <v>-1</v>
      </c>
      <c r="BM590">
        <v>-1</v>
      </c>
      <c r="BN590">
        <v>-1</v>
      </c>
      <c r="BO590">
        <v>-1</v>
      </c>
    </row>
    <row r="591" spans="1:67" x14ac:dyDescent="0.25">
      <c r="A591">
        <v>588</v>
      </c>
      <c r="B591">
        <v>9126</v>
      </c>
      <c r="C591" t="str">
        <f>VLOOKUP(B591,[1]resources!$A$2:$D$300,3,FALSE)</f>
        <v>!!FOOD_FUDGE</v>
      </c>
      <c r="D591">
        <v>103</v>
      </c>
      <c r="E591" t="str">
        <f>VLOOKUP(D591,[1]bonus_paytable!$A$2:$D$300,3,FALSE)</f>
        <v>christmas_recipes_elves</v>
      </c>
      <c r="F591">
        <v>-1</v>
      </c>
      <c r="G591">
        <v>-1</v>
      </c>
      <c r="H591">
        <v>1</v>
      </c>
      <c r="I591" t="s">
        <v>1</v>
      </c>
      <c r="J591">
        <v>9104</v>
      </c>
      <c r="K591">
        <v>9105</v>
      </c>
      <c r="L591">
        <v>9119</v>
      </c>
      <c r="M591">
        <v>9120</v>
      </c>
      <c r="N591">
        <v>9121</v>
      </c>
      <c r="O591">
        <v>9122</v>
      </c>
      <c r="P591">
        <v>9123</v>
      </c>
      <c r="Q591">
        <v>9124</v>
      </c>
      <c r="R591">
        <v>9125</v>
      </c>
      <c r="S591">
        <v>-1</v>
      </c>
      <c r="T591">
        <v>9127</v>
      </c>
      <c r="U591">
        <v>0.03</v>
      </c>
      <c r="V591">
        <v>0.03</v>
      </c>
      <c r="W591">
        <v>0.03</v>
      </c>
      <c r="X591">
        <v>0.03</v>
      </c>
      <c r="Y591">
        <v>0.03</v>
      </c>
      <c r="Z591">
        <v>0.03</v>
      </c>
      <c r="AA591">
        <v>0.03</v>
      </c>
      <c r="AB591">
        <v>0.03</v>
      </c>
      <c r="AC591">
        <v>0.03</v>
      </c>
      <c r="AD591">
        <v>-1</v>
      </c>
      <c r="AE591">
        <v>0.03</v>
      </c>
      <c r="AF591">
        <v>1</v>
      </c>
      <c r="AG591">
        <v>1</v>
      </c>
      <c r="AH591">
        <v>1</v>
      </c>
      <c r="AI591">
        <v>1</v>
      </c>
      <c r="AJ591">
        <v>1</v>
      </c>
      <c r="AK591">
        <v>1</v>
      </c>
      <c r="AL591">
        <v>1</v>
      </c>
      <c r="AM591">
        <v>1</v>
      </c>
      <c r="AN591">
        <v>1</v>
      </c>
      <c r="AO591">
        <v>-1</v>
      </c>
      <c r="AP591">
        <v>1</v>
      </c>
      <c r="AQ591">
        <v>0</v>
      </c>
      <c r="AR591" t="s">
        <v>2</v>
      </c>
      <c r="AS591">
        <v>-1</v>
      </c>
      <c r="AT591">
        <v>-1</v>
      </c>
      <c r="AU591">
        <v>-1</v>
      </c>
      <c r="AV591">
        <v>-1</v>
      </c>
      <c r="AW591">
        <v>-1</v>
      </c>
      <c r="AX591">
        <v>-1</v>
      </c>
      <c r="AY591">
        <v>-1</v>
      </c>
      <c r="AZ591">
        <v>-1</v>
      </c>
      <c r="BA591">
        <v>-1</v>
      </c>
      <c r="BB591">
        <v>0</v>
      </c>
      <c r="BC591" t="s">
        <v>2</v>
      </c>
      <c r="BD591">
        <v>-1</v>
      </c>
      <c r="BE591">
        <v>-1</v>
      </c>
      <c r="BF591">
        <v>-1</v>
      </c>
      <c r="BG591">
        <v>-1</v>
      </c>
      <c r="BH591">
        <v>-1</v>
      </c>
      <c r="BI591">
        <v>-1</v>
      </c>
      <c r="BJ591">
        <v>-1</v>
      </c>
      <c r="BK591">
        <v>-1</v>
      </c>
      <c r="BL591">
        <v>-1</v>
      </c>
      <c r="BM591">
        <v>-1</v>
      </c>
      <c r="BN591">
        <v>-1</v>
      </c>
      <c r="BO591">
        <v>-1</v>
      </c>
    </row>
    <row r="592" spans="1:67" x14ac:dyDescent="0.25">
      <c r="A592">
        <v>589</v>
      </c>
      <c r="B592">
        <v>9127</v>
      </c>
      <c r="C592" t="str">
        <f>VLOOKUP(B592,[1]resources!$A$2:$D$300,3,FALSE)</f>
        <v>!!FOOD_SUGAR_PLUM</v>
      </c>
      <c r="D592">
        <v>103</v>
      </c>
      <c r="E592" t="str">
        <f>VLOOKUP(D592,[1]bonus_paytable!$A$2:$D$300,3,FALSE)</f>
        <v>christmas_recipes_elves</v>
      </c>
      <c r="F592">
        <v>-1</v>
      </c>
      <c r="G592">
        <v>-1</v>
      </c>
      <c r="H592">
        <v>1</v>
      </c>
      <c r="I592" t="s">
        <v>1</v>
      </c>
      <c r="J592">
        <v>9104</v>
      </c>
      <c r="K592">
        <v>9105</v>
      </c>
      <c r="L592">
        <v>9119</v>
      </c>
      <c r="M592">
        <v>9120</v>
      </c>
      <c r="N592">
        <v>9121</v>
      </c>
      <c r="O592">
        <v>9122</v>
      </c>
      <c r="P592">
        <v>9123</v>
      </c>
      <c r="Q592">
        <v>9124</v>
      </c>
      <c r="R592">
        <v>9125</v>
      </c>
      <c r="S592">
        <v>9126</v>
      </c>
      <c r="T592">
        <v>-1</v>
      </c>
      <c r="U592">
        <v>0.03</v>
      </c>
      <c r="V592">
        <v>0.03</v>
      </c>
      <c r="W592">
        <v>0.03</v>
      </c>
      <c r="X592">
        <v>0.03</v>
      </c>
      <c r="Y592">
        <v>0.03</v>
      </c>
      <c r="Z592">
        <v>0.03</v>
      </c>
      <c r="AA592">
        <v>0.03</v>
      </c>
      <c r="AB592">
        <v>0.03</v>
      </c>
      <c r="AC592">
        <v>0.03</v>
      </c>
      <c r="AD592">
        <v>0.03</v>
      </c>
      <c r="AE592">
        <v>-1</v>
      </c>
      <c r="AF592">
        <v>1</v>
      </c>
      <c r="AG592">
        <v>1</v>
      </c>
      <c r="AH592">
        <v>1</v>
      </c>
      <c r="AI592">
        <v>1</v>
      </c>
      <c r="AJ592">
        <v>1</v>
      </c>
      <c r="AK592">
        <v>1</v>
      </c>
      <c r="AL592">
        <v>1</v>
      </c>
      <c r="AM592">
        <v>1</v>
      </c>
      <c r="AN592">
        <v>1</v>
      </c>
      <c r="AO592">
        <v>1</v>
      </c>
      <c r="AP592">
        <v>-1</v>
      </c>
      <c r="AQ592">
        <v>0</v>
      </c>
      <c r="AR592" t="s">
        <v>2</v>
      </c>
      <c r="AS592">
        <v>-1</v>
      </c>
      <c r="AT592">
        <v>-1</v>
      </c>
      <c r="AU592">
        <v>-1</v>
      </c>
      <c r="AV592">
        <v>-1</v>
      </c>
      <c r="AW592">
        <v>-1</v>
      </c>
      <c r="AX592">
        <v>-1</v>
      </c>
      <c r="AY592">
        <v>-1</v>
      </c>
      <c r="AZ592">
        <v>-1</v>
      </c>
      <c r="BA592">
        <v>-1</v>
      </c>
      <c r="BB592">
        <v>0</v>
      </c>
      <c r="BC592" t="s">
        <v>2</v>
      </c>
      <c r="BD592">
        <v>-1</v>
      </c>
      <c r="BE592">
        <v>-1</v>
      </c>
      <c r="BF592">
        <v>-1</v>
      </c>
      <c r="BG592">
        <v>-1</v>
      </c>
      <c r="BH592">
        <v>-1</v>
      </c>
      <c r="BI592">
        <v>-1</v>
      </c>
      <c r="BJ592">
        <v>-1</v>
      </c>
      <c r="BK592">
        <v>-1</v>
      </c>
      <c r="BL592">
        <v>-1</v>
      </c>
      <c r="BM592">
        <v>-1</v>
      </c>
      <c r="BN592">
        <v>-1</v>
      </c>
      <c r="BO592">
        <v>-1</v>
      </c>
    </row>
    <row r="593" spans="1:67" x14ac:dyDescent="0.25">
      <c r="A593">
        <v>590</v>
      </c>
      <c r="B593">
        <v>9100</v>
      </c>
      <c r="C593" t="str">
        <f>VLOOKUP(B593,[1]resources!$A$2:$D$300,3,FALSE)</f>
        <v>!!FOOD_HOLIDAY_CHEER</v>
      </c>
      <c r="D593">
        <v>104</v>
      </c>
      <c r="E593" t="str">
        <f>VLOOKUP(D593,[1]bonus_paytable!$A$2:$D$300,3,FALSE)</f>
        <v>christmas_xmascoins_elves</v>
      </c>
      <c r="F593">
        <v>-1</v>
      </c>
      <c r="G593">
        <v>-1</v>
      </c>
      <c r="H593">
        <v>1</v>
      </c>
      <c r="I593" t="s">
        <v>0</v>
      </c>
      <c r="J593">
        <v>52</v>
      </c>
      <c r="K593">
        <v>-1</v>
      </c>
      <c r="L593">
        <v>-1</v>
      </c>
      <c r="M593">
        <v>-1</v>
      </c>
      <c r="N593">
        <v>-1</v>
      </c>
      <c r="O593">
        <v>-1</v>
      </c>
      <c r="P593">
        <v>-1</v>
      </c>
      <c r="Q593">
        <v>-1</v>
      </c>
      <c r="R593">
        <v>-1</v>
      </c>
      <c r="S593">
        <v>-1</v>
      </c>
      <c r="T593">
        <v>-1</v>
      </c>
      <c r="U593">
        <v>1</v>
      </c>
      <c r="V593">
        <v>-1</v>
      </c>
      <c r="W593">
        <v>-1</v>
      </c>
      <c r="X593">
        <v>-1</v>
      </c>
      <c r="Y593">
        <v>-1</v>
      </c>
      <c r="Z593">
        <v>-1</v>
      </c>
      <c r="AA593">
        <v>-1</v>
      </c>
      <c r="AB593">
        <v>-1</v>
      </c>
      <c r="AC593">
        <v>-1</v>
      </c>
      <c r="AD593">
        <v>-1</v>
      </c>
      <c r="AE593">
        <v>-1</v>
      </c>
      <c r="AF593">
        <v>0</v>
      </c>
      <c r="AG593">
        <v>-1</v>
      </c>
      <c r="AH593">
        <v>-1</v>
      </c>
      <c r="AI593">
        <v>-1</v>
      </c>
      <c r="AJ593">
        <v>-1</v>
      </c>
      <c r="AK593">
        <v>-1</v>
      </c>
      <c r="AL593">
        <v>-1</v>
      </c>
      <c r="AM593">
        <v>-1</v>
      </c>
      <c r="AN593">
        <v>-1</v>
      </c>
      <c r="AO593">
        <v>-1</v>
      </c>
      <c r="AP593">
        <v>-1</v>
      </c>
      <c r="AQ593">
        <v>0</v>
      </c>
      <c r="AR593" t="s">
        <v>2</v>
      </c>
      <c r="AS593">
        <v>-1</v>
      </c>
      <c r="AT593">
        <v>-1</v>
      </c>
      <c r="AU593">
        <v>-1</v>
      </c>
      <c r="AV593">
        <v>-1</v>
      </c>
      <c r="AW593">
        <v>-1</v>
      </c>
      <c r="AX593">
        <v>-1</v>
      </c>
      <c r="AY593">
        <v>-1</v>
      </c>
      <c r="AZ593">
        <v>-1</v>
      </c>
      <c r="BA593">
        <v>-1</v>
      </c>
      <c r="BB593">
        <v>0</v>
      </c>
      <c r="BC593" t="s">
        <v>2</v>
      </c>
      <c r="BD593">
        <v>-1</v>
      </c>
      <c r="BE593">
        <v>-1</v>
      </c>
      <c r="BF593">
        <v>-1</v>
      </c>
      <c r="BG593">
        <v>-1</v>
      </c>
      <c r="BH593">
        <v>-1</v>
      </c>
      <c r="BI593">
        <v>-1</v>
      </c>
      <c r="BJ593">
        <v>-1</v>
      </c>
      <c r="BK593">
        <v>-1</v>
      </c>
      <c r="BL593">
        <v>-1</v>
      </c>
      <c r="BM593">
        <v>-1</v>
      </c>
      <c r="BN593">
        <v>-1</v>
      </c>
      <c r="BO593">
        <v>-1</v>
      </c>
    </row>
    <row r="594" spans="1:67" x14ac:dyDescent="0.25">
      <c r="A594">
        <v>591</v>
      </c>
      <c r="B594">
        <v>9101</v>
      </c>
      <c r="C594" t="str">
        <f>VLOOKUP(B594,[1]resources!$A$2:$D$300,3,FALSE)</f>
        <v>!!FOOD_SNICKERDOODLE</v>
      </c>
      <c r="D594">
        <v>104</v>
      </c>
      <c r="E594" t="str">
        <f>VLOOKUP(D594,[1]bonus_paytable!$A$2:$D$300,3,FALSE)</f>
        <v>christmas_xmascoins_elves</v>
      </c>
      <c r="F594">
        <v>-1</v>
      </c>
      <c r="G594">
        <v>-1</v>
      </c>
      <c r="H594">
        <v>1</v>
      </c>
      <c r="I594" t="s">
        <v>0</v>
      </c>
      <c r="J594">
        <v>52</v>
      </c>
      <c r="K594">
        <v>-1</v>
      </c>
      <c r="L594">
        <v>-1</v>
      </c>
      <c r="M594">
        <v>-1</v>
      </c>
      <c r="N594">
        <v>-1</v>
      </c>
      <c r="O594">
        <v>-1</v>
      </c>
      <c r="P594">
        <v>-1</v>
      </c>
      <c r="Q594">
        <v>-1</v>
      </c>
      <c r="R594">
        <v>-1</v>
      </c>
      <c r="S594">
        <v>-1</v>
      </c>
      <c r="T594">
        <v>-1</v>
      </c>
      <c r="U594">
        <v>1</v>
      </c>
      <c r="V594">
        <v>-1</v>
      </c>
      <c r="W594">
        <v>-1</v>
      </c>
      <c r="X594">
        <v>-1</v>
      </c>
      <c r="Y594">
        <v>-1</v>
      </c>
      <c r="Z594">
        <v>-1</v>
      </c>
      <c r="AA594">
        <v>-1</v>
      </c>
      <c r="AB594">
        <v>-1</v>
      </c>
      <c r="AC594">
        <v>-1</v>
      </c>
      <c r="AD594">
        <v>-1</v>
      </c>
      <c r="AE594">
        <v>-1</v>
      </c>
      <c r="AF594">
        <v>1</v>
      </c>
      <c r="AG594">
        <v>-1</v>
      </c>
      <c r="AH594">
        <v>-1</v>
      </c>
      <c r="AI594">
        <v>-1</v>
      </c>
      <c r="AJ594">
        <v>-1</v>
      </c>
      <c r="AK594">
        <v>-1</v>
      </c>
      <c r="AL594">
        <v>-1</v>
      </c>
      <c r="AM594">
        <v>-1</v>
      </c>
      <c r="AN594">
        <v>-1</v>
      </c>
      <c r="AO594">
        <v>-1</v>
      </c>
      <c r="AP594">
        <v>-1</v>
      </c>
      <c r="AQ594">
        <v>0</v>
      </c>
      <c r="AR594" t="s">
        <v>2</v>
      </c>
      <c r="AS594">
        <v>-1</v>
      </c>
      <c r="AT594">
        <v>-1</v>
      </c>
      <c r="AU594">
        <v>-1</v>
      </c>
      <c r="AV594">
        <v>-1</v>
      </c>
      <c r="AW594">
        <v>-1</v>
      </c>
      <c r="AX594">
        <v>-1</v>
      </c>
      <c r="AY594">
        <v>-1</v>
      </c>
      <c r="AZ594">
        <v>-1</v>
      </c>
      <c r="BA594">
        <v>-1</v>
      </c>
      <c r="BB594">
        <v>0</v>
      </c>
      <c r="BC594" t="s">
        <v>2</v>
      </c>
      <c r="BD594">
        <v>-1</v>
      </c>
      <c r="BE594">
        <v>-1</v>
      </c>
      <c r="BF594">
        <v>-1</v>
      </c>
      <c r="BG594">
        <v>-1</v>
      </c>
      <c r="BH594">
        <v>-1</v>
      </c>
      <c r="BI594">
        <v>-1</v>
      </c>
      <c r="BJ594">
        <v>-1</v>
      </c>
      <c r="BK594">
        <v>-1</v>
      </c>
      <c r="BL594">
        <v>-1</v>
      </c>
      <c r="BM594">
        <v>-1</v>
      </c>
      <c r="BN594">
        <v>-1</v>
      </c>
      <c r="BO594">
        <v>-1</v>
      </c>
    </row>
    <row r="595" spans="1:67" x14ac:dyDescent="0.25">
      <c r="A595">
        <v>592</v>
      </c>
      <c r="B595">
        <v>9102</v>
      </c>
      <c r="C595" t="str">
        <f>VLOOKUP(B595,[1]resources!$A$2:$D$300,3,FALSE)</f>
        <v>!!FOOD_ROASTED_CHESTNUT</v>
      </c>
      <c r="D595">
        <v>104</v>
      </c>
      <c r="E595" t="str">
        <f>VLOOKUP(D595,[1]bonus_paytable!$A$2:$D$300,3,FALSE)</f>
        <v>christmas_xmascoins_elves</v>
      </c>
      <c r="F595">
        <v>-1</v>
      </c>
      <c r="G595">
        <v>-1</v>
      </c>
      <c r="H595">
        <v>1</v>
      </c>
      <c r="I595" t="s">
        <v>0</v>
      </c>
      <c r="J595">
        <v>52</v>
      </c>
      <c r="K595">
        <v>-1</v>
      </c>
      <c r="L595">
        <v>-1</v>
      </c>
      <c r="M595">
        <v>-1</v>
      </c>
      <c r="N595">
        <v>-1</v>
      </c>
      <c r="O595">
        <v>-1</v>
      </c>
      <c r="P595">
        <v>-1</v>
      </c>
      <c r="Q595">
        <v>-1</v>
      </c>
      <c r="R595">
        <v>-1</v>
      </c>
      <c r="S595">
        <v>-1</v>
      </c>
      <c r="T595">
        <v>-1</v>
      </c>
      <c r="U595">
        <v>1</v>
      </c>
      <c r="V595">
        <v>-1</v>
      </c>
      <c r="W595">
        <v>-1</v>
      </c>
      <c r="X595">
        <v>-1</v>
      </c>
      <c r="Y595">
        <v>-1</v>
      </c>
      <c r="Z595">
        <v>-1</v>
      </c>
      <c r="AA595">
        <v>-1</v>
      </c>
      <c r="AB595">
        <v>-1</v>
      </c>
      <c r="AC595">
        <v>-1</v>
      </c>
      <c r="AD595">
        <v>-1</v>
      </c>
      <c r="AE595">
        <v>-1</v>
      </c>
      <c r="AF595">
        <v>1</v>
      </c>
      <c r="AG595">
        <v>-1</v>
      </c>
      <c r="AH595">
        <v>-1</v>
      </c>
      <c r="AI595">
        <v>-1</v>
      </c>
      <c r="AJ595">
        <v>-1</v>
      </c>
      <c r="AK595">
        <v>-1</v>
      </c>
      <c r="AL595">
        <v>-1</v>
      </c>
      <c r="AM595">
        <v>-1</v>
      </c>
      <c r="AN595">
        <v>-1</v>
      </c>
      <c r="AO595">
        <v>-1</v>
      </c>
      <c r="AP595">
        <v>-1</v>
      </c>
      <c r="AQ595">
        <v>0</v>
      </c>
      <c r="AR595" t="s">
        <v>2</v>
      </c>
      <c r="AS595">
        <v>-1</v>
      </c>
      <c r="AT595">
        <v>-1</v>
      </c>
      <c r="AU595">
        <v>-1</v>
      </c>
      <c r="AV595">
        <v>-1</v>
      </c>
      <c r="AW595">
        <v>-1</v>
      </c>
      <c r="AX595">
        <v>-1</v>
      </c>
      <c r="AY595">
        <v>-1</v>
      </c>
      <c r="AZ595">
        <v>-1</v>
      </c>
      <c r="BA595">
        <v>-1</v>
      </c>
      <c r="BB595">
        <v>0</v>
      </c>
      <c r="BC595" t="s">
        <v>2</v>
      </c>
      <c r="BD595">
        <v>-1</v>
      </c>
      <c r="BE595">
        <v>-1</v>
      </c>
      <c r="BF595">
        <v>-1</v>
      </c>
      <c r="BG595">
        <v>-1</v>
      </c>
      <c r="BH595">
        <v>-1</v>
      </c>
      <c r="BI595">
        <v>-1</v>
      </c>
      <c r="BJ595">
        <v>-1</v>
      </c>
      <c r="BK595">
        <v>-1</v>
      </c>
      <c r="BL595">
        <v>-1</v>
      </c>
      <c r="BM595">
        <v>-1</v>
      </c>
      <c r="BN595">
        <v>-1</v>
      </c>
      <c r="BO595">
        <v>-1</v>
      </c>
    </row>
    <row r="596" spans="1:67" x14ac:dyDescent="0.25">
      <c r="A596">
        <v>593</v>
      </c>
      <c r="B596">
        <v>9103</v>
      </c>
      <c r="C596" t="str">
        <f>VLOOKUP(B596,[1]resources!$A$2:$D$300,3,FALSE)</f>
        <v>!!FOOD_PEANUT_BRITTLE</v>
      </c>
      <c r="D596">
        <v>104</v>
      </c>
      <c r="E596" t="str">
        <f>VLOOKUP(D596,[1]bonus_paytable!$A$2:$D$300,3,FALSE)</f>
        <v>christmas_xmascoins_elves</v>
      </c>
      <c r="F596">
        <v>-1</v>
      </c>
      <c r="G596">
        <v>-1</v>
      </c>
      <c r="H596">
        <v>1</v>
      </c>
      <c r="I596" t="s">
        <v>0</v>
      </c>
      <c r="J596">
        <v>52</v>
      </c>
      <c r="K596">
        <v>52</v>
      </c>
      <c r="L596">
        <v>-1</v>
      </c>
      <c r="M596">
        <v>-1</v>
      </c>
      <c r="N596">
        <v>-1</v>
      </c>
      <c r="O596">
        <v>-1</v>
      </c>
      <c r="P596">
        <v>-1</v>
      </c>
      <c r="Q596">
        <v>-1</v>
      </c>
      <c r="R596">
        <v>-1</v>
      </c>
      <c r="S596">
        <v>-1</v>
      </c>
      <c r="T596">
        <v>-1</v>
      </c>
      <c r="U596">
        <v>0.75</v>
      </c>
      <c r="V596">
        <v>0.25</v>
      </c>
      <c r="W596">
        <v>-1</v>
      </c>
      <c r="X596">
        <v>-1</v>
      </c>
      <c r="Y596">
        <v>-1</v>
      </c>
      <c r="Z596">
        <v>-1</v>
      </c>
      <c r="AA596">
        <v>-1</v>
      </c>
      <c r="AB596">
        <v>-1</v>
      </c>
      <c r="AC596">
        <v>-1</v>
      </c>
      <c r="AD596">
        <v>-1</v>
      </c>
      <c r="AE596">
        <v>-1</v>
      </c>
      <c r="AF596">
        <v>1</v>
      </c>
      <c r="AG596">
        <v>2</v>
      </c>
      <c r="AH596">
        <v>-1</v>
      </c>
      <c r="AI596">
        <v>-1</v>
      </c>
      <c r="AJ596">
        <v>-1</v>
      </c>
      <c r="AK596">
        <v>-1</v>
      </c>
      <c r="AL596">
        <v>-1</v>
      </c>
      <c r="AM596">
        <v>-1</v>
      </c>
      <c r="AN596">
        <v>-1</v>
      </c>
      <c r="AO596">
        <v>-1</v>
      </c>
      <c r="AP596">
        <v>-1</v>
      </c>
      <c r="AQ596">
        <v>0</v>
      </c>
      <c r="AR596" t="s">
        <v>2</v>
      </c>
      <c r="AS596">
        <v>-1</v>
      </c>
      <c r="AT596">
        <v>-1</v>
      </c>
      <c r="AU596">
        <v>-1</v>
      </c>
      <c r="AV596">
        <v>-1</v>
      </c>
      <c r="AW596">
        <v>-1</v>
      </c>
      <c r="AX596">
        <v>-1</v>
      </c>
      <c r="AY596">
        <v>-1</v>
      </c>
      <c r="AZ596">
        <v>-1</v>
      </c>
      <c r="BA596">
        <v>-1</v>
      </c>
      <c r="BB596">
        <v>0</v>
      </c>
      <c r="BC596" t="s">
        <v>2</v>
      </c>
      <c r="BD596">
        <v>-1</v>
      </c>
      <c r="BE596">
        <v>-1</v>
      </c>
      <c r="BF596">
        <v>-1</v>
      </c>
      <c r="BG596">
        <v>-1</v>
      </c>
      <c r="BH596">
        <v>-1</v>
      </c>
      <c r="BI596">
        <v>-1</v>
      </c>
      <c r="BJ596">
        <v>-1</v>
      </c>
      <c r="BK596">
        <v>-1</v>
      </c>
      <c r="BL596">
        <v>-1</v>
      </c>
      <c r="BM596">
        <v>-1</v>
      </c>
      <c r="BN596">
        <v>-1</v>
      </c>
      <c r="BO596">
        <v>-1</v>
      </c>
    </row>
    <row r="597" spans="1:67" x14ac:dyDescent="0.25">
      <c r="A597">
        <v>594</v>
      </c>
      <c r="B597">
        <v>9104</v>
      </c>
      <c r="C597" t="str">
        <f>VLOOKUP(B597,[1]resources!$A$2:$D$300,3,FALSE)</f>
        <v>!!FOOD_BREAD_PUDDING</v>
      </c>
      <c r="D597">
        <v>104</v>
      </c>
      <c r="E597" t="str">
        <f>VLOOKUP(D597,[1]bonus_paytable!$A$2:$D$300,3,FALSE)</f>
        <v>christmas_xmascoins_elves</v>
      </c>
      <c r="F597">
        <v>-1</v>
      </c>
      <c r="G597">
        <v>-1</v>
      </c>
      <c r="H597">
        <v>1</v>
      </c>
      <c r="I597" t="s">
        <v>0</v>
      </c>
      <c r="J597">
        <v>52</v>
      </c>
      <c r="K597">
        <v>52</v>
      </c>
      <c r="L597">
        <v>52</v>
      </c>
      <c r="M597">
        <v>52</v>
      </c>
      <c r="N597">
        <v>52</v>
      </c>
      <c r="O597">
        <v>-1</v>
      </c>
      <c r="P597">
        <v>-1</v>
      </c>
      <c r="Q597">
        <v>-1</v>
      </c>
      <c r="R597">
        <v>-1</v>
      </c>
      <c r="S597">
        <v>-1</v>
      </c>
      <c r="T597">
        <v>-1</v>
      </c>
      <c r="U597">
        <v>0.05</v>
      </c>
      <c r="V597">
        <v>0.2</v>
      </c>
      <c r="W597">
        <v>0.5</v>
      </c>
      <c r="X597">
        <v>0.2</v>
      </c>
      <c r="Y597">
        <v>0.05</v>
      </c>
      <c r="Z597">
        <v>-1</v>
      </c>
      <c r="AA597">
        <v>-1</v>
      </c>
      <c r="AB597">
        <v>-1</v>
      </c>
      <c r="AC597">
        <v>-1</v>
      </c>
      <c r="AD597">
        <v>-1</v>
      </c>
      <c r="AE597">
        <v>-1</v>
      </c>
      <c r="AF597">
        <v>1</v>
      </c>
      <c r="AG597">
        <v>4</v>
      </c>
      <c r="AH597">
        <v>8</v>
      </c>
      <c r="AI597">
        <v>12</v>
      </c>
      <c r="AJ597">
        <v>15</v>
      </c>
      <c r="AK597">
        <v>-1</v>
      </c>
      <c r="AL597">
        <v>-1</v>
      </c>
      <c r="AM597">
        <v>-1</v>
      </c>
      <c r="AN597">
        <v>-1</v>
      </c>
      <c r="AO597">
        <v>-1</v>
      </c>
      <c r="AP597">
        <v>-1</v>
      </c>
      <c r="AQ597">
        <v>0</v>
      </c>
      <c r="AR597" t="s">
        <v>2</v>
      </c>
      <c r="AS597">
        <v>-1</v>
      </c>
      <c r="AT597">
        <v>-1</v>
      </c>
      <c r="AU597">
        <v>-1</v>
      </c>
      <c r="AV597">
        <v>-1</v>
      </c>
      <c r="AW597">
        <v>-1</v>
      </c>
      <c r="AX597">
        <v>-1</v>
      </c>
      <c r="AY597">
        <v>-1</v>
      </c>
      <c r="AZ597">
        <v>-1</v>
      </c>
      <c r="BA597">
        <v>-1</v>
      </c>
      <c r="BB597">
        <v>0</v>
      </c>
      <c r="BC597" t="s">
        <v>2</v>
      </c>
      <c r="BD597">
        <v>-1</v>
      </c>
      <c r="BE597">
        <v>-1</v>
      </c>
      <c r="BF597">
        <v>-1</v>
      </c>
      <c r="BG597">
        <v>-1</v>
      </c>
      <c r="BH597">
        <v>-1</v>
      </c>
      <c r="BI597">
        <v>-1</v>
      </c>
      <c r="BJ597">
        <v>-1</v>
      </c>
      <c r="BK597">
        <v>-1</v>
      </c>
      <c r="BL597">
        <v>-1</v>
      </c>
      <c r="BM597">
        <v>-1</v>
      </c>
      <c r="BN597">
        <v>-1</v>
      </c>
      <c r="BO597">
        <v>-1</v>
      </c>
    </row>
    <row r="598" spans="1:67" x14ac:dyDescent="0.25">
      <c r="A598">
        <v>595</v>
      </c>
      <c r="B598">
        <v>9105</v>
      </c>
      <c r="C598" t="str">
        <f>VLOOKUP(B598,[1]resources!$A$2:$D$300,3,FALSE)</f>
        <v>!!FOOD_YULE_LOG_CAKE</v>
      </c>
      <c r="D598">
        <v>104</v>
      </c>
      <c r="E598" t="str">
        <f>VLOOKUP(D598,[1]bonus_paytable!$A$2:$D$300,3,FALSE)</f>
        <v>christmas_xmascoins_elves</v>
      </c>
      <c r="F598">
        <v>-1</v>
      </c>
      <c r="G598">
        <v>-1</v>
      </c>
      <c r="H598">
        <v>1</v>
      </c>
      <c r="I598" t="s">
        <v>0</v>
      </c>
      <c r="J598">
        <v>52</v>
      </c>
      <c r="K598">
        <v>52</v>
      </c>
      <c r="L598">
        <v>52</v>
      </c>
      <c r="M598">
        <v>52</v>
      </c>
      <c r="N598">
        <v>52</v>
      </c>
      <c r="O598">
        <v>-1</v>
      </c>
      <c r="P598">
        <v>-1</v>
      </c>
      <c r="Q598">
        <v>-1</v>
      </c>
      <c r="R598">
        <v>-1</v>
      </c>
      <c r="S598">
        <v>-1</v>
      </c>
      <c r="T598">
        <v>-1</v>
      </c>
      <c r="U598">
        <v>0.05</v>
      </c>
      <c r="V598">
        <v>0.2</v>
      </c>
      <c r="W598">
        <v>0.5</v>
      </c>
      <c r="X598">
        <v>0.2</v>
      </c>
      <c r="Y598">
        <v>0.05</v>
      </c>
      <c r="Z598">
        <v>-1</v>
      </c>
      <c r="AA598">
        <v>-1</v>
      </c>
      <c r="AB598">
        <v>-1</v>
      </c>
      <c r="AC598">
        <v>-1</v>
      </c>
      <c r="AD598">
        <v>-1</v>
      </c>
      <c r="AE598">
        <v>-1</v>
      </c>
      <c r="AF598">
        <v>1</v>
      </c>
      <c r="AG598">
        <v>3</v>
      </c>
      <c r="AH598">
        <v>6</v>
      </c>
      <c r="AI598">
        <v>9</v>
      </c>
      <c r="AJ598">
        <v>12</v>
      </c>
      <c r="AK598">
        <v>-1</v>
      </c>
      <c r="AL598">
        <v>-1</v>
      </c>
      <c r="AM598">
        <v>-1</v>
      </c>
      <c r="AN598">
        <v>-1</v>
      </c>
      <c r="AO598">
        <v>-1</v>
      </c>
      <c r="AP598">
        <v>-1</v>
      </c>
      <c r="AQ598">
        <v>0</v>
      </c>
      <c r="AR598" t="s">
        <v>2</v>
      </c>
      <c r="AS598">
        <v>-1</v>
      </c>
      <c r="AT598">
        <v>-1</v>
      </c>
      <c r="AU598">
        <v>-1</v>
      </c>
      <c r="AV598">
        <v>-1</v>
      </c>
      <c r="AW598">
        <v>-1</v>
      </c>
      <c r="AX598">
        <v>-1</v>
      </c>
      <c r="AY598">
        <v>-1</v>
      </c>
      <c r="AZ598">
        <v>-1</v>
      </c>
      <c r="BA598">
        <v>-1</v>
      </c>
      <c r="BB598">
        <v>0</v>
      </c>
      <c r="BC598" t="s">
        <v>2</v>
      </c>
      <c r="BD598">
        <v>-1</v>
      </c>
      <c r="BE598">
        <v>-1</v>
      </c>
      <c r="BF598">
        <v>-1</v>
      </c>
      <c r="BG598">
        <v>-1</v>
      </c>
      <c r="BH598">
        <v>-1</v>
      </c>
      <c r="BI598">
        <v>-1</v>
      </c>
      <c r="BJ598">
        <v>-1</v>
      </c>
      <c r="BK598">
        <v>-1</v>
      </c>
      <c r="BL598">
        <v>-1</v>
      </c>
      <c r="BM598">
        <v>-1</v>
      </c>
      <c r="BN598">
        <v>-1</v>
      </c>
      <c r="BO598">
        <v>-1</v>
      </c>
    </row>
    <row r="599" spans="1:67" x14ac:dyDescent="0.25">
      <c r="A599">
        <v>596</v>
      </c>
      <c r="B599">
        <v>9119</v>
      </c>
      <c r="C599" t="str">
        <f>VLOOKUP(B599,[1]resources!$A$2:$D$300,3,FALSE)</f>
        <v>!!FOOD_CHRISTMAS_COOKIE</v>
      </c>
      <c r="D599">
        <v>104</v>
      </c>
      <c r="E599" t="str">
        <f>VLOOKUP(D599,[1]bonus_paytable!$A$2:$D$300,3,FALSE)</f>
        <v>christmas_xmascoins_elves</v>
      </c>
      <c r="F599">
        <v>-1</v>
      </c>
      <c r="G599">
        <v>-1</v>
      </c>
      <c r="H599">
        <v>1</v>
      </c>
      <c r="I599" t="s">
        <v>0</v>
      </c>
      <c r="J599">
        <v>52</v>
      </c>
      <c r="K599">
        <v>52</v>
      </c>
      <c r="L599">
        <v>52</v>
      </c>
      <c r="M599">
        <v>52</v>
      </c>
      <c r="N599">
        <v>52</v>
      </c>
      <c r="O599">
        <v>-1</v>
      </c>
      <c r="P599">
        <v>-1</v>
      </c>
      <c r="Q599">
        <v>-1</v>
      </c>
      <c r="R599">
        <v>-1</v>
      </c>
      <c r="S599">
        <v>-1</v>
      </c>
      <c r="T599">
        <v>-1</v>
      </c>
      <c r="U599">
        <v>0.05</v>
      </c>
      <c r="V599">
        <v>0.2</v>
      </c>
      <c r="W599">
        <v>0.5</v>
      </c>
      <c r="X599">
        <v>0.2</v>
      </c>
      <c r="Y599">
        <v>0.05</v>
      </c>
      <c r="Z599">
        <v>-1</v>
      </c>
      <c r="AA599">
        <v>-1</v>
      </c>
      <c r="AB599">
        <v>-1</v>
      </c>
      <c r="AC599">
        <v>-1</v>
      </c>
      <c r="AD599">
        <v>-1</v>
      </c>
      <c r="AE599">
        <v>-1</v>
      </c>
      <c r="AF599">
        <v>1</v>
      </c>
      <c r="AG599">
        <v>2</v>
      </c>
      <c r="AH599">
        <v>3</v>
      </c>
      <c r="AI599">
        <v>4</v>
      </c>
      <c r="AJ599">
        <v>5</v>
      </c>
      <c r="AK599">
        <v>-1</v>
      </c>
      <c r="AL599">
        <v>-1</v>
      </c>
      <c r="AM599">
        <v>-1</v>
      </c>
      <c r="AN599">
        <v>-1</v>
      </c>
      <c r="AO599">
        <v>-1</v>
      </c>
      <c r="AP599">
        <v>-1</v>
      </c>
      <c r="AQ599">
        <v>0</v>
      </c>
      <c r="AR599" t="s">
        <v>2</v>
      </c>
      <c r="AS599">
        <v>-1</v>
      </c>
      <c r="AT599">
        <v>-1</v>
      </c>
      <c r="AU599">
        <v>-1</v>
      </c>
      <c r="AV599">
        <v>-1</v>
      </c>
      <c r="AW599">
        <v>-1</v>
      </c>
      <c r="AX599">
        <v>-1</v>
      </c>
      <c r="AY599">
        <v>-1</v>
      </c>
      <c r="AZ599">
        <v>-1</v>
      </c>
      <c r="BA599">
        <v>-1</v>
      </c>
      <c r="BB599">
        <v>0</v>
      </c>
      <c r="BC599" t="s">
        <v>2</v>
      </c>
      <c r="BD599">
        <v>-1</v>
      </c>
      <c r="BE599">
        <v>-1</v>
      </c>
      <c r="BF599">
        <v>-1</v>
      </c>
      <c r="BG599">
        <v>-1</v>
      </c>
      <c r="BH599">
        <v>-1</v>
      </c>
      <c r="BI599">
        <v>-1</v>
      </c>
      <c r="BJ599">
        <v>-1</v>
      </c>
      <c r="BK599">
        <v>-1</v>
      </c>
      <c r="BL599">
        <v>-1</v>
      </c>
      <c r="BM599">
        <v>-1</v>
      </c>
      <c r="BN599">
        <v>-1</v>
      </c>
      <c r="BO599">
        <v>-1</v>
      </c>
    </row>
    <row r="600" spans="1:67" x14ac:dyDescent="0.25">
      <c r="A600">
        <v>597</v>
      </c>
      <c r="B600">
        <v>9120</v>
      </c>
      <c r="C600" t="str">
        <f>VLOOKUP(B600,[1]resources!$A$2:$D$300,3,FALSE)</f>
        <v>!!FOOD_APPLE_CIDER</v>
      </c>
      <c r="D600">
        <v>104</v>
      </c>
      <c r="E600" t="str">
        <f>VLOOKUP(D600,[1]bonus_paytable!$A$2:$D$300,3,FALSE)</f>
        <v>christmas_xmascoins_elves</v>
      </c>
      <c r="F600">
        <v>-1</v>
      </c>
      <c r="G600">
        <v>-1</v>
      </c>
      <c r="H600">
        <v>1</v>
      </c>
      <c r="I600" t="s">
        <v>0</v>
      </c>
      <c r="J600">
        <v>52</v>
      </c>
      <c r="K600">
        <v>52</v>
      </c>
      <c r="L600">
        <v>52</v>
      </c>
      <c r="M600">
        <v>52</v>
      </c>
      <c r="N600">
        <v>52</v>
      </c>
      <c r="O600">
        <v>-1</v>
      </c>
      <c r="P600">
        <v>-1</v>
      </c>
      <c r="Q600">
        <v>-1</v>
      </c>
      <c r="R600">
        <v>-1</v>
      </c>
      <c r="S600">
        <v>-1</v>
      </c>
      <c r="T600">
        <v>-1</v>
      </c>
      <c r="U600">
        <v>0.05</v>
      </c>
      <c r="V600">
        <v>0.2</v>
      </c>
      <c r="W600">
        <v>0.5</v>
      </c>
      <c r="X600">
        <v>0.2</v>
      </c>
      <c r="Y600">
        <v>0.05</v>
      </c>
      <c r="Z600">
        <v>-1</v>
      </c>
      <c r="AA600">
        <v>-1</v>
      </c>
      <c r="AB600">
        <v>-1</v>
      </c>
      <c r="AC600">
        <v>-1</v>
      </c>
      <c r="AD600">
        <v>-1</v>
      </c>
      <c r="AE600">
        <v>-1</v>
      </c>
      <c r="AF600">
        <v>1</v>
      </c>
      <c r="AG600">
        <v>3</v>
      </c>
      <c r="AH600">
        <v>5</v>
      </c>
      <c r="AI600">
        <v>7</v>
      </c>
      <c r="AJ600">
        <v>9</v>
      </c>
      <c r="AK600">
        <v>-1</v>
      </c>
      <c r="AL600">
        <v>-1</v>
      </c>
      <c r="AM600">
        <v>-1</v>
      </c>
      <c r="AN600">
        <v>-1</v>
      </c>
      <c r="AO600">
        <v>-1</v>
      </c>
      <c r="AP600">
        <v>-1</v>
      </c>
      <c r="AQ600">
        <v>0</v>
      </c>
      <c r="AR600" t="s">
        <v>2</v>
      </c>
      <c r="AS600">
        <v>-1</v>
      </c>
      <c r="AT600">
        <v>-1</v>
      </c>
      <c r="AU600">
        <v>-1</v>
      </c>
      <c r="AV600">
        <v>-1</v>
      </c>
      <c r="AW600">
        <v>-1</v>
      </c>
      <c r="AX600">
        <v>-1</v>
      </c>
      <c r="AY600">
        <v>-1</v>
      </c>
      <c r="AZ600">
        <v>-1</v>
      </c>
      <c r="BA600">
        <v>-1</v>
      </c>
      <c r="BB600">
        <v>0</v>
      </c>
      <c r="BC600" t="s">
        <v>2</v>
      </c>
      <c r="BD600">
        <v>-1</v>
      </c>
      <c r="BE600">
        <v>-1</v>
      </c>
      <c r="BF600">
        <v>-1</v>
      </c>
      <c r="BG600">
        <v>-1</v>
      </c>
      <c r="BH600">
        <v>-1</v>
      </c>
      <c r="BI600">
        <v>-1</v>
      </c>
      <c r="BJ600">
        <v>-1</v>
      </c>
      <c r="BK600">
        <v>-1</v>
      </c>
      <c r="BL600">
        <v>-1</v>
      </c>
      <c r="BM600">
        <v>-1</v>
      </c>
      <c r="BN600">
        <v>-1</v>
      </c>
      <c r="BO600">
        <v>-1</v>
      </c>
    </row>
    <row r="601" spans="1:67" x14ac:dyDescent="0.25">
      <c r="A601">
        <v>598</v>
      </c>
      <c r="B601">
        <v>9121</v>
      </c>
      <c r="C601" t="str">
        <f>VLOOKUP(B601,[1]resources!$A$2:$D$300,3,FALSE)</f>
        <v>!!FOOD_GINGERBREAD_ELF</v>
      </c>
      <c r="D601">
        <v>104</v>
      </c>
      <c r="E601" t="str">
        <f>VLOOKUP(D601,[1]bonus_paytable!$A$2:$D$300,3,FALSE)</f>
        <v>christmas_xmascoins_elves</v>
      </c>
      <c r="F601">
        <v>-1</v>
      </c>
      <c r="G601">
        <v>-1</v>
      </c>
      <c r="H601">
        <v>1</v>
      </c>
      <c r="I601" t="s">
        <v>0</v>
      </c>
      <c r="J601">
        <v>52</v>
      </c>
      <c r="K601">
        <v>52</v>
      </c>
      <c r="L601">
        <v>52</v>
      </c>
      <c r="M601">
        <v>52</v>
      </c>
      <c r="N601">
        <v>52</v>
      </c>
      <c r="O601">
        <v>-1</v>
      </c>
      <c r="P601">
        <v>-1</v>
      </c>
      <c r="Q601">
        <v>-1</v>
      </c>
      <c r="R601">
        <v>-1</v>
      </c>
      <c r="S601">
        <v>-1</v>
      </c>
      <c r="T601">
        <v>-1</v>
      </c>
      <c r="U601">
        <v>0.05</v>
      </c>
      <c r="V601">
        <v>0.2</v>
      </c>
      <c r="W601">
        <v>0.5</v>
      </c>
      <c r="X601">
        <v>0.2</v>
      </c>
      <c r="Y601">
        <v>0.05</v>
      </c>
      <c r="Z601">
        <v>-1</v>
      </c>
      <c r="AA601">
        <v>-1</v>
      </c>
      <c r="AB601">
        <v>-1</v>
      </c>
      <c r="AC601">
        <v>-1</v>
      </c>
      <c r="AD601">
        <v>-1</v>
      </c>
      <c r="AE601">
        <v>-1</v>
      </c>
      <c r="AF601">
        <v>1</v>
      </c>
      <c r="AG601">
        <v>2</v>
      </c>
      <c r="AH601">
        <v>3</v>
      </c>
      <c r="AI601">
        <v>5</v>
      </c>
      <c r="AJ601">
        <v>6</v>
      </c>
      <c r="AK601">
        <v>-1</v>
      </c>
      <c r="AL601">
        <v>-1</v>
      </c>
      <c r="AM601">
        <v>-1</v>
      </c>
      <c r="AN601">
        <v>-1</v>
      </c>
      <c r="AO601">
        <v>-1</v>
      </c>
      <c r="AP601">
        <v>-1</v>
      </c>
      <c r="AQ601">
        <v>0</v>
      </c>
      <c r="AR601" t="s">
        <v>2</v>
      </c>
      <c r="AS601">
        <v>-1</v>
      </c>
      <c r="AT601">
        <v>-1</v>
      </c>
      <c r="AU601">
        <v>-1</v>
      </c>
      <c r="AV601">
        <v>-1</v>
      </c>
      <c r="AW601">
        <v>-1</v>
      </c>
      <c r="AX601">
        <v>-1</v>
      </c>
      <c r="AY601">
        <v>-1</v>
      </c>
      <c r="AZ601">
        <v>-1</v>
      </c>
      <c r="BA601">
        <v>-1</v>
      </c>
      <c r="BB601">
        <v>0</v>
      </c>
      <c r="BC601" t="s">
        <v>2</v>
      </c>
      <c r="BD601">
        <v>-1</v>
      </c>
      <c r="BE601">
        <v>-1</v>
      </c>
      <c r="BF601">
        <v>-1</v>
      </c>
      <c r="BG601">
        <v>-1</v>
      </c>
      <c r="BH601">
        <v>-1</v>
      </c>
      <c r="BI601">
        <v>-1</v>
      </c>
      <c r="BJ601">
        <v>-1</v>
      </c>
      <c r="BK601">
        <v>-1</v>
      </c>
      <c r="BL601">
        <v>-1</v>
      </c>
      <c r="BM601">
        <v>-1</v>
      </c>
      <c r="BN601">
        <v>-1</v>
      </c>
      <c r="BO601">
        <v>-1</v>
      </c>
    </row>
    <row r="602" spans="1:67" x14ac:dyDescent="0.25">
      <c r="A602">
        <v>599</v>
      </c>
      <c r="B602">
        <v>9122</v>
      </c>
      <c r="C602" t="str">
        <f>VLOOKUP(B602,[1]resources!$A$2:$D$300,3,FALSE)</f>
        <v>!!FOOD_CRANBERRY_SAUCE</v>
      </c>
      <c r="D602">
        <v>104</v>
      </c>
      <c r="E602" t="str">
        <f>VLOOKUP(D602,[1]bonus_paytable!$A$2:$D$300,3,FALSE)</f>
        <v>christmas_xmascoins_elves</v>
      </c>
      <c r="F602">
        <v>-1</v>
      </c>
      <c r="G602">
        <v>-1</v>
      </c>
      <c r="H602">
        <v>1</v>
      </c>
      <c r="I602" t="s">
        <v>0</v>
      </c>
      <c r="J602">
        <v>52</v>
      </c>
      <c r="K602">
        <v>52</v>
      </c>
      <c r="L602">
        <v>52</v>
      </c>
      <c r="M602">
        <v>-1</v>
      </c>
      <c r="N602">
        <v>-1</v>
      </c>
      <c r="O602">
        <v>-1</v>
      </c>
      <c r="P602">
        <v>-1</v>
      </c>
      <c r="Q602">
        <v>-1</v>
      </c>
      <c r="R602">
        <v>-1</v>
      </c>
      <c r="S602">
        <v>-1</v>
      </c>
      <c r="T602">
        <v>-1</v>
      </c>
      <c r="U602">
        <v>0.25</v>
      </c>
      <c r="V602">
        <v>0.5</v>
      </c>
      <c r="W602">
        <v>0.25</v>
      </c>
      <c r="X602">
        <v>-1</v>
      </c>
      <c r="Y602">
        <v>-1</v>
      </c>
      <c r="Z602">
        <v>-1</v>
      </c>
      <c r="AA602">
        <v>-1</v>
      </c>
      <c r="AB602">
        <v>-1</v>
      </c>
      <c r="AC602">
        <v>-1</v>
      </c>
      <c r="AD602">
        <v>-1</v>
      </c>
      <c r="AE602">
        <v>-1</v>
      </c>
      <c r="AF602">
        <v>1</v>
      </c>
      <c r="AG602">
        <v>2</v>
      </c>
      <c r="AH602">
        <v>3</v>
      </c>
      <c r="AI602">
        <v>-1</v>
      </c>
      <c r="AJ602">
        <v>-1</v>
      </c>
      <c r="AK602">
        <v>-1</v>
      </c>
      <c r="AL602">
        <v>-1</v>
      </c>
      <c r="AM602">
        <v>-1</v>
      </c>
      <c r="AN602">
        <v>-1</v>
      </c>
      <c r="AO602">
        <v>-1</v>
      </c>
      <c r="AP602">
        <v>-1</v>
      </c>
      <c r="AQ602">
        <v>0</v>
      </c>
      <c r="AR602" t="s">
        <v>2</v>
      </c>
      <c r="AS602">
        <v>-1</v>
      </c>
      <c r="AT602">
        <v>-1</v>
      </c>
      <c r="AU602">
        <v>-1</v>
      </c>
      <c r="AV602">
        <v>-1</v>
      </c>
      <c r="AW602">
        <v>-1</v>
      </c>
      <c r="AX602">
        <v>-1</v>
      </c>
      <c r="AY602">
        <v>-1</v>
      </c>
      <c r="AZ602">
        <v>-1</v>
      </c>
      <c r="BA602">
        <v>-1</v>
      </c>
      <c r="BB602">
        <v>0</v>
      </c>
      <c r="BC602" t="s">
        <v>2</v>
      </c>
      <c r="BD602">
        <v>-1</v>
      </c>
      <c r="BE602">
        <v>-1</v>
      </c>
      <c r="BF602">
        <v>-1</v>
      </c>
      <c r="BG602">
        <v>-1</v>
      </c>
      <c r="BH602">
        <v>-1</v>
      </c>
      <c r="BI602">
        <v>-1</v>
      </c>
      <c r="BJ602">
        <v>-1</v>
      </c>
      <c r="BK602">
        <v>-1</v>
      </c>
      <c r="BL602">
        <v>-1</v>
      </c>
      <c r="BM602">
        <v>-1</v>
      </c>
      <c r="BN602">
        <v>-1</v>
      </c>
      <c r="BO602">
        <v>-1</v>
      </c>
    </row>
    <row r="603" spans="1:67" x14ac:dyDescent="0.25">
      <c r="A603">
        <v>600</v>
      </c>
      <c r="B603">
        <v>9123</v>
      </c>
      <c r="C603" t="str">
        <f>VLOOKUP(B603,[1]resources!$A$2:$D$300,3,FALSE)</f>
        <v>!!FOOD_HOT_CHOCOLATE</v>
      </c>
      <c r="D603">
        <v>104</v>
      </c>
      <c r="E603" t="str">
        <f>VLOOKUP(D603,[1]bonus_paytable!$A$2:$D$300,3,FALSE)</f>
        <v>christmas_xmascoins_elves</v>
      </c>
      <c r="F603">
        <v>-1</v>
      </c>
      <c r="G603">
        <v>-1</v>
      </c>
      <c r="H603">
        <v>1</v>
      </c>
      <c r="I603" t="s">
        <v>0</v>
      </c>
      <c r="J603">
        <v>52</v>
      </c>
      <c r="K603">
        <v>52</v>
      </c>
      <c r="L603">
        <v>52</v>
      </c>
      <c r="M603">
        <v>52</v>
      </c>
      <c r="N603">
        <v>-1</v>
      </c>
      <c r="O603">
        <v>-1</v>
      </c>
      <c r="P603">
        <v>-1</v>
      </c>
      <c r="Q603">
        <v>-1</v>
      </c>
      <c r="R603">
        <v>-1</v>
      </c>
      <c r="S603">
        <v>-1</v>
      </c>
      <c r="T603">
        <v>-1</v>
      </c>
      <c r="U603">
        <v>0.25</v>
      </c>
      <c r="V603">
        <v>0.5</v>
      </c>
      <c r="W603">
        <v>0.2</v>
      </c>
      <c r="X603">
        <v>0.05</v>
      </c>
      <c r="Y603">
        <v>-1</v>
      </c>
      <c r="Z603">
        <v>-1</v>
      </c>
      <c r="AA603">
        <v>-1</v>
      </c>
      <c r="AB603">
        <v>-1</v>
      </c>
      <c r="AC603">
        <v>-1</v>
      </c>
      <c r="AD603">
        <v>-1</v>
      </c>
      <c r="AE603">
        <v>-1</v>
      </c>
      <c r="AF603">
        <v>1</v>
      </c>
      <c r="AG603">
        <v>2</v>
      </c>
      <c r="AH603">
        <v>3</v>
      </c>
      <c r="AI603">
        <v>4</v>
      </c>
      <c r="AJ603">
        <v>-1</v>
      </c>
      <c r="AK603">
        <v>-1</v>
      </c>
      <c r="AL603">
        <v>-1</v>
      </c>
      <c r="AM603">
        <v>-1</v>
      </c>
      <c r="AN603">
        <v>-1</v>
      </c>
      <c r="AO603">
        <v>-1</v>
      </c>
      <c r="AP603">
        <v>-1</v>
      </c>
      <c r="AQ603">
        <v>0</v>
      </c>
      <c r="AR603" t="s">
        <v>2</v>
      </c>
      <c r="AS603">
        <v>-1</v>
      </c>
      <c r="AT603">
        <v>-1</v>
      </c>
      <c r="AU603">
        <v>-1</v>
      </c>
      <c r="AV603">
        <v>-1</v>
      </c>
      <c r="AW603">
        <v>-1</v>
      </c>
      <c r="AX603">
        <v>-1</v>
      </c>
      <c r="AY603">
        <v>-1</v>
      </c>
      <c r="AZ603">
        <v>-1</v>
      </c>
      <c r="BA603">
        <v>-1</v>
      </c>
      <c r="BB603">
        <v>0</v>
      </c>
      <c r="BC603" t="s">
        <v>2</v>
      </c>
      <c r="BD603">
        <v>-1</v>
      </c>
      <c r="BE603">
        <v>-1</v>
      </c>
      <c r="BF603">
        <v>-1</v>
      </c>
      <c r="BG603">
        <v>-1</v>
      </c>
      <c r="BH603">
        <v>-1</v>
      </c>
      <c r="BI603">
        <v>-1</v>
      </c>
      <c r="BJ603">
        <v>-1</v>
      </c>
      <c r="BK603">
        <v>-1</v>
      </c>
      <c r="BL603">
        <v>-1</v>
      </c>
      <c r="BM603">
        <v>-1</v>
      </c>
      <c r="BN603">
        <v>-1</v>
      </c>
      <c r="BO603">
        <v>-1</v>
      </c>
    </row>
    <row r="604" spans="1:67" x14ac:dyDescent="0.25">
      <c r="A604">
        <v>601</v>
      </c>
      <c r="B604">
        <v>9124</v>
      </c>
      <c r="C604" t="str">
        <f>VLOOKUP(B604,[1]resources!$A$2:$D$300,3,FALSE)</f>
        <v>!!FOOD_CANDY_CANE</v>
      </c>
      <c r="D604">
        <v>104</v>
      </c>
      <c r="E604" t="str">
        <f>VLOOKUP(D604,[1]bonus_paytable!$A$2:$D$300,3,FALSE)</f>
        <v>christmas_xmascoins_elves</v>
      </c>
      <c r="F604">
        <v>-1</v>
      </c>
      <c r="G604">
        <v>-1</v>
      </c>
      <c r="H604">
        <v>1</v>
      </c>
      <c r="I604" t="s">
        <v>0</v>
      </c>
      <c r="J604">
        <v>52</v>
      </c>
      <c r="K604">
        <v>52</v>
      </c>
      <c r="L604">
        <v>52</v>
      </c>
      <c r="M604">
        <v>52</v>
      </c>
      <c r="N604">
        <v>52</v>
      </c>
      <c r="O604">
        <v>-1</v>
      </c>
      <c r="P604">
        <v>-1</v>
      </c>
      <c r="Q604">
        <v>-1</v>
      </c>
      <c r="R604">
        <v>-1</v>
      </c>
      <c r="S604">
        <v>-1</v>
      </c>
      <c r="T604">
        <v>-1</v>
      </c>
      <c r="U604">
        <v>0.05</v>
      </c>
      <c r="V604">
        <v>0.2</v>
      </c>
      <c r="W604">
        <v>0.5</v>
      </c>
      <c r="X604">
        <v>0.2</v>
      </c>
      <c r="Y604">
        <v>0.05</v>
      </c>
      <c r="Z604">
        <v>-1</v>
      </c>
      <c r="AA604">
        <v>-1</v>
      </c>
      <c r="AB604">
        <v>-1</v>
      </c>
      <c r="AC604">
        <v>-1</v>
      </c>
      <c r="AD604">
        <v>-1</v>
      </c>
      <c r="AE604">
        <v>-1</v>
      </c>
      <c r="AF604">
        <v>1</v>
      </c>
      <c r="AG604">
        <v>3</v>
      </c>
      <c r="AH604">
        <v>4</v>
      </c>
      <c r="AI604">
        <v>8</v>
      </c>
      <c r="AJ604">
        <v>10</v>
      </c>
      <c r="AK604">
        <v>-1</v>
      </c>
      <c r="AL604">
        <v>-1</v>
      </c>
      <c r="AM604">
        <v>-1</v>
      </c>
      <c r="AN604">
        <v>-1</v>
      </c>
      <c r="AO604">
        <v>-1</v>
      </c>
      <c r="AP604">
        <v>-1</v>
      </c>
      <c r="AQ604">
        <v>0</v>
      </c>
      <c r="AR604" t="s">
        <v>2</v>
      </c>
      <c r="AS604">
        <v>-1</v>
      </c>
      <c r="AT604">
        <v>-1</v>
      </c>
      <c r="AU604">
        <v>-1</v>
      </c>
      <c r="AV604">
        <v>-1</v>
      </c>
      <c r="AW604">
        <v>-1</v>
      </c>
      <c r="AX604">
        <v>-1</v>
      </c>
      <c r="AY604">
        <v>-1</v>
      </c>
      <c r="AZ604">
        <v>-1</v>
      </c>
      <c r="BA604">
        <v>-1</v>
      </c>
      <c r="BB604">
        <v>0</v>
      </c>
      <c r="BC604" t="s">
        <v>2</v>
      </c>
      <c r="BD604">
        <v>-1</v>
      </c>
      <c r="BE604">
        <v>-1</v>
      </c>
      <c r="BF604">
        <v>-1</v>
      </c>
      <c r="BG604">
        <v>-1</v>
      </c>
      <c r="BH604">
        <v>-1</v>
      </c>
      <c r="BI604">
        <v>-1</v>
      </c>
      <c r="BJ604">
        <v>-1</v>
      </c>
      <c r="BK604">
        <v>-1</v>
      </c>
      <c r="BL604">
        <v>-1</v>
      </c>
      <c r="BM604">
        <v>-1</v>
      </c>
      <c r="BN604">
        <v>-1</v>
      </c>
      <c r="BO604">
        <v>-1</v>
      </c>
    </row>
    <row r="605" spans="1:67" x14ac:dyDescent="0.25">
      <c r="A605">
        <v>602</v>
      </c>
      <c r="B605">
        <v>9125</v>
      </c>
      <c r="C605" t="str">
        <f>VLOOKUP(B605,[1]resources!$A$2:$D$300,3,FALSE)</f>
        <v>!!FOOD_ENGLISH_TOFFEE</v>
      </c>
      <c r="D605">
        <v>104</v>
      </c>
      <c r="E605" t="str">
        <f>VLOOKUP(D605,[1]bonus_paytable!$A$2:$D$300,3,FALSE)</f>
        <v>christmas_xmascoins_elves</v>
      </c>
      <c r="F605">
        <v>-1</v>
      </c>
      <c r="G605">
        <v>-1</v>
      </c>
      <c r="H605">
        <v>1</v>
      </c>
      <c r="I605" t="s">
        <v>0</v>
      </c>
      <c r="J605">
        <v>52</v>
      </c>
      <c r="K605">
        <v>52</v>
      </c>
      <c r="L605">
        <v>52</v>
      </c>
      <c r="M605">
        <v>52</v>
      </c>
      <c r="N605">
        <v>52</v>
      </c>
      <c r="O605">
        <v>-1</v>
      </c>
      <c r="P605">
        <v>-1</v>
      </c>
      <c r="Q605">
        <v>-1</v>
      </c>
      <c r="R605">
        <v>-1</v>
      </c>
      <c r="S605">
        <v>-1</v>
      </c>
      <c r="T605">
        <v>-1</v>
      </c>
      <c r="U605">
        <v>0.05</v>
      </c>
      <c r="V605">
        <v>0.2</v>
      </c>
      <c r="W605">
        <v>0.5</v>
      </c>
      <c r="X605">
        <v>0.2</v>
      </c>
      <c r="Y605">
        <v>0.05</v>
      </c>
      <c r="Z605">
        <v>-1</v>
      </c>
      <c r="AA605">
        <v>-1</v>
      </c>
      <c r="AB605">
        <v>-1</v>
      </c>
      <c r="AC605">
        <v>-1</v>
      </c>
      <c r="AD605">
        <v>-1</v>
      </c>
      <c r="AE605">
        <v>-1</v>
      </c>
      <c r="AF605">
        <v>1</v>
      </c>
      <c r="AG605">
        <v>2</v>
      </c>
      <c r="AH605">
        <v>4</v>
      </c>
      <c r="AI605">
        <v>6</v>
      </c>
      <c r="AJ605">
        <v>8</v>
      </c>
      <c r="AK605">
        <v>-1</v>
      </c>
      <c r="AL605">
        <v>-1</v>
      </c>
      <c r="AM605">
        <v>-1</v>
      </c>
      <c r="AN605">
        <v>-1</v>
      </c>
      <c r="AO605">
        <v>-1</v>
      </c>
      <c r="AP605">
        <v>-1</v>
      </c>
      <c r="AQ605">
        <v>0</v>
      </c>
      <c r="AR605" t="s">
        <v>2</v>
      </c>
      <c r="AS605">
        <v>-1</v>
      </c>
      <c r="AT605">
        <v>-1</v>
      </c>
      <c r="AU605">
        <v>-1</v>
      </c>
      <c r="AV605">
        <v>-1</v>
      </c>
      <c r="AW605">
        <v>-1</v>
      </c>
      <c r="AX605">
        <v>-1</v>
      </c>
      <c r="AY605">
        <v>-1</v>
      </c>
      <c r="AZ605">
        <v>-1</v>
      </c>
      <c r="BA605">
        <v>-1</v>
      </c>
      <c r="BB605">
        <v>0</v>
      </c>
      <c r="BC605" t="s">
        <v>2</v>
      </c>
      <c r="BD605">
        <v>-1</v>
      </c>
      <c r="BE605">
        <v>-1</v>
      </c>
      <c r="BF605">
        <v>-1</v>
      </c>
      <c r="BG605">
        <v>-1</v>
      </c>
      <c r="BH605">
        <v>-1</v>
      </c>
      <c r="BI605">
        <v>-1</v>
      </c>
      <c r="BJ605">
        <v>-1</v>
      </c>
      <c r="BK605">
        <v>-1</v>
      </c>
      <c r="BL605">
        <v>-1</v>
      </c>
      <c r="BM605">
        <v>-1</v>
      </c>
      <c r="BN605">
        <v>-1</v>
      </c>
      <c r="BO605">
        <v>-1</v>
      </c>
    </row>
    <row r="606" spans="1:67" x14ac:dyDescent="0.25">
      <c r="A606">
        <v>603</v>
      </c>
      <c r="B606">
        <v>9126</v>
      </c>
      <c r="C606" t="str">
        <f>VLOOKUP(B606,[1]resources!$A$2:$D$300,3,FALSE)</f>
        <v>!!FOOD_FUDGE</v>
      </c>
      <c r="D606">
        <v>104</v>
      </c>
      <c r="E606" t="str">
        <f>VLOOKUP(D606,[1]bonus_paytable!$A$2:$D$300,3,FALSE)</f>
        <v>christmas_xmascoins_elves</v>
      </c>
      <c r="F606">
        <v>-1</v>
      </c>
      <c r="G606">
        <v>-1</v>
      </c>
      <c r="H606">
        <v>1</v>
      </c>
      <c r="I606" t="s">
        <v>0</v>
      </c>
      <c r="J606">
        <v>52</v>
      </c>
      <c r="K606">
        <v>52</v>
      </c>
      <c r="L606">
        <v>52</v>
      </c>
      <c r="M606">
        <v>52</v>
      </c>
      <c r="N606">
        <v>52</v>
      </c>
      <c r="O606">
        <v>-1</v>
      </c>
      <c r="P606">
        <v>-1</v>
      </c>
      <c r="Q606">
        <v>-1</v>
      </c>
      <c r="R606">
        <v>-1</v>
      </c>
      <c r="S606">
        <v>-1</v>
      </c>
      <c r="T606">
        <v>-1</v>
      </c>
      <c r="U606">
        <v>0.05</v>
      </c>
      <c r="V606">
        <v>0.2</v>
      </c>
      <c r="W606">
        <v>0.5</v>
      </c>
      <c r="X606">
        <v>0.2</v>
      </c>
      <c r="Y606">
        <v>0.05</v>
      </c>
      <c r="Z606">
        <v>-1</v>
      </c>
      <c r="AA606">
        <v>-1</v>
      </c>
      <c r="AB606">
        <v>-1</v>
      </c>
      <c r="AC606">
        <v>-1</v>
      </c>
      <c r="AD606">
        <v>-1</v>
      </c>
      <c r="AE606">
        <v>-1</v>
      </c>
      <c r="AF606">
        <v>1</v>
      </c>
      <c r="AG606">
        <v>2</v>
      </c>
      <c r="AH606">
        <v>4</v>
      </c>
      <c r="AI606">
        <v>6</v>
      </c>
      <c r="AJ606">
        <v>7</v>
      </c>
      <c r="AK606">
        <v>-1</v>
      </c>
      <c r="AL606">
        <v>-1</v>
      </c>
      <c r="AM606">
        <v>-1</v>
      </c>
      <c r="AN606">
        <v>-1</v>
      </c>
      <c r="AO606">
        <v>-1</v>
      </c>
      <c r="AP606">
        <v>-1</v>
      </c>
      <c r="AQ606">
        <v>0</v>
      </c>
      <c r="AR606" t="s">
        <v>2</v>
      </c>
      <c r="AS606">
        <v>-1</v>
      </c>
      <c r="AT606">
        <v>-1</v>
      </c>
      <c r="AU606">
        <v>-1</v>
      </c>
      <c r="AV606">
        <v>-1</v>
      </c>
      <c r="AW606">
        <v>-1</v>
      </c>
      <c r="AX606">
        <v>-1</v>
      </c>
      <c r="AY606">
        <v>-1</v>
      </c>
      <c r="AZ606">
        <v>-1</v>
      </c>
      <c r="BA606">
        <v>-1</v>
      </c>
      <c r="BB606">
        <v>0</v>
      </c>
      <c r="BC606" t="s">
        <v>2</v>
      </c>
      <c r="BD606">
        <v>-1</v>
      </c>
      <c r="BE606">
        <v>-1</v>
      </c>
      <c r="BF606">
        <v>-1</v>
      </c>
      <c r="BG606">
        <v>-1</v>
      </c>
      <c r="BH606">
        <v>-1</v>
      </c>
      <c r="BI606">
        <v>-1</v>
      </c>
      <c r="BJ606">
        <v>-1</v>
      </c>
      <c r="BK606">
        <v>-1</v>
      </c>
      <c r="BL606">
        <v>-1</v>
      </c>
      <c r="BM606">
        <v>-1</v>
      </c>
      <c r="BN606">
        <v>-1</v>
      </c>
      <c r="BO606">
        <v>-1</v>
      </c>
    </row>
    <row r="607" spans="1:67" x14ac:dyDescent="0.25">
      <c r="A607">
        <v>604</v>
      </c>
      <c r="B607">
        <v>9127</v>
      </c>
      <c r="C607" t="str">
        <f>VLOOKUP(B607,[1]resources!$A$2:$D$300,3,FALSE)</f>
        <v>!!FOOD_SUGAR_PLUM</v>
      </c>
      <c r="D607">
        <v>104</v>
      </c>
      <c r="E607" t="str">
        <f>VLOOKUP(D607,[1]bonus_paytable!$A$2:$D$300,3,FALSE)</f>
        <v>christmas_xmascoins_elves</v>
      </c>
      <c r="F607">
        <v>-1</v>
      </c>
      <c r="G607">
        <v>-1</v>
      </c>
      <c r="H607">
        <v>1</v>
      </c>
      <c r="I607" t="s">
        <v>0</v>
      </c>
      <c r="J607">
        <v>52</v>
      </c>
      <c r="K607">
        <v>52</v>
      </c>
      <c r="L607">
        <v>52</v>
      </c>
      <c r="M607">
        <v>52</v>
      </c>
      <c r="N607">
        <v>52</v>
      </c>
      <c r="O607">
        <v>-1</v>
      </c>
      <c r="P607">
        <v>-1</v>
      </c>
      <c r="Q607">
        <v>-1</v>
      </c>
      <c r="R607">
        <v>-1</v>
      </c>
      <c r="S607">
        <v>-1</v>
      </c>
      <c r="T607">
        <v>-1</v>
      </c>
      <c r="U607">
        <v>0.05</v>
      </c>
      <c r="V607">
        <v>0.2</v>
      </c>
      <c r="W607">
        <v>0.5</v>
      </c>
      <c r="X607">
        <v>0.2</v>
      </c>
      <c r="Y607">
        <v>0.05</v>
      </c>
      <c r="Z607">
        <v>-1</v>
      </c>
      <c r="AA607">
        <v>-1</v>
      </c>
      <c r="AB607">
        <v>-1</v>
      </c>
      <c r="AC607">
        <v>-1</v>
      </c>
      <c r="AD607">
        <v>-1</v>
      </c>
      <c r="AE607">
        <v>-1</v>
      </c>
      <c r="AF607">
        <v>1</v>
      </c>
      <c r="AG607">
        <v>6</v>
      </c>
      <c r="AH607">
        <v>12</v>
      </c>
      <c r="AI607">
        <v>18</v>
      </c>
      <c r="AJ607">
        <v>24</v>
      </c>
      <c r="AK607">
        <v>-1</v>
      </c>
      <c r="AL607">
        <v>-1</v>
      </c>
      <c r="AM607">
        <v>-1</v>
      </c>
      <c r="AN607">
        <v>-1</v>
      </c>
      <c r="AO607">
        <v>-1</v>
      </c>
      <c r="AP607">
        <v>-1</v>
      </c>
      <c r="AQ607">
        <v>0</v>
      </c>
      <c r="AR607" t="s">
        <v>2</v>
      </c>
      <c r="AS607">
        <v>-1</v>
      </c>
      <c r="AT607">
        <v>-1</v>
      </c>
      <c r="AU607">
        <v>-1</v>
      </c>
      <c r="AV607">
        <v>-1</v>
      </c>
      <c r="AW607">
        <v>-1</v>
      </c>
      <c r="AX607">
        <v>-1</v>
      </c>
      <c r="AY607">
        <v>-1</v>
      </c>
      <c r="AZ607">
        <v>-1</v>
      </c>
      <c r="BA607">
        <v>-1</v>
      </c>
      <c r="BB607">
        <v>0</v>
      </c>
      <c r="BC607" t="s">
        <v>2</v>
      </c>
      <c r="BD607">
        <v>-1</v>
      </c>
      <c r="BE607">
        <v>-1</v>
      </c>
      <c r="BF607">
        <v>-1</v>
      </c>
      <c r="BG607">
        <v>-1</v>
      </c>
      <c r="BH607">
        <v>-1</v>
      </c>
      <c r="BI607">
        <v>-1</v>
      </c>
      <c r="BJ607">
        <v>-1</v>
      </c>
      <c r="BK607">
        <v>-1</v>
      </c>
      <c r="BL607">
        <v>-1</v>
      </c>
      <c r="BM607">
        <v>-1</v>
      </c>
      <c r="BN607">
        <v>-1</v>
      </c>
      <c r="BO607">
        <v>-1</v>
      </c>
    </row>
    <row r="608" spans="1:67" x14ac:dyDescent="0.25">
      <c r="A608">
        <v>605</v>
      </c>
      <c r="B608">
        <v>9101</v>
      </c>
      <c r="C608" t="str">
        <f>VLOOKUP(B608,[1]resources!$A$2:$D$300,3,FALSE)</f>
        <v>!!FOOD_SNICKERDOODLE</v>
      </c>
      <c r="D608">
        <v>105</v>
      </c>
      <c r="E608" t="str">
        <f>VLOOKUP(D608,[1]bonus_paytable!$A$2:$D$300,3,FALSE)</f>
        <v>christmas_xp</v>
      </c>
      <c r="F608">
        <v>-1</v>
      </c>
      <c r="G608">
        <v>-1</v>
      </c>
      <c r="H608">
        <v>1</v>
      </c>
      <c r="I608" t="s">
        <v>0</v>
      </c>
      <c r="J608">
        <v>5</v>
      </c>
      <c r="K608">
        <v>5</v>
      </c>
      <c r="L608">
        <v>5</v>
      </c>
      <c r="M608">
        <v>-1</v>
      </c>
      <c r="N608">
        <v>-1</v>
      </c>
      <c r="O608">
        <v>-1</v>
      </c>
      <c r="P608">
        <v>-1</v>
      </c>
      <c r="Q608">
        <v>-1</v>
      </c>
      <c r="R608">
        <v>-1</v>
      </c>
      <c r="S608">
        <v>-1</v>
      </c>
      <c r="T608">
        <v>-1</v>
      </c>
      <c r="U608">
        <v>0.5</v>
      </c>
      <c r="V608">
        <v>0.4</v>
      </c>
      <c r="W608">
        <v>0.1</v>
      </c>
      <c r="X608">
        <v>-1</v>
      </c>
      <c r="Y608">
        <v>-1</v>
      </c>
      <c r="Z608">
        <v>-1</v>
      </c>
      <c r="AA608">
        <v>-1</v>
      </c>
      <c r="AB608">
        <v>-1</v>
      </c>
      <c r="AC608">
        <v>-1</v>
      </c>
      <c r="AD608">
        <v>-1</v>
      </c>
      <c r="AE608">
        <v>-1</v>
      </c>
      <c r="AF608">
        <v>1</v>
      </c>
      <c r="AG608">
        <v>3</v>
      </c>
      <c r="AH608">
        <v>5</v>
      </c>
      <c r="AI608">
        <v>-1</v>
      </c>
      <c r="AJ608">
        <v>-1</v>
      </c>
      <c r="AK608">
        <v>-1</v>
      </c>
      <c r="AL608">
        <v>-1</v>
      </c>
      <c r="AM608">
        <v>-1</v>
      </c>
      <c r="AN608">
        <v>-1</v>
      </c>
      <c r="AO608">
        <v>-1</v>
      </c>
      <c r="AP608">
        <v>-1</v>
      </c>
      <c r="AQ608">
        <v>0</v>
      </c>
      <c r="AR608" t="s">
        <v>2</v>
      </c>
      <c r="AS608">
        <v>-1</v>
      </c>
      <c r="AT608">
        <v>-1</v>
      </c>
      <c r="AU608">
        <v>-1</v>
      </c>
      <c r="AV608">
        <v>-1</v>
      </c>
      <c r="AW608">
        <v>-1</v>
      </c>
      <c r="AX608">
        <v>-1</v>
      </c>
      <c r="AY608">
        <v>-1</v>
      </c>
      <c r="AZ608">
        <v>-1</v>
      </c>
      <c r="BA608">
        <v>-1</v>
      </c>
      <c r="BB608">
        <v>0</v>
      </c>
      <c r="BC608" t="s">
        <v>2</v>
      </c>
      <c r="BD608">
        <v>-1</v>
      </c>
      <c r="BE608">
        <v>-1</v>
      </c>
      <c r="BF608">
        <v>-1</v>
      </c>
      <c r="BG608">
        <v>-1</v>
      </c>
      <c r="BH608">
        <v>-1</v>
      </c>
      <c r="BI608">
        <v>-1</v>
      </c>
      <c r="BJ608">
        <v>-1</v>
      </c>
      <c r="BK608">
        <v>-1</v>
      </c>
      <c r="BL608">
        <v>-1</v>
      </c>
      <c r="BM608">
        <v>-1</v>
      </c>
      <c r="BN608">
        <v>-1</v>
      </c>
      <c r="BO608">
        <v>-1</v>
      </c>
    </row>
    <row r="609" spans="1:67" x14ac:dyDescent="0.25">
      <c r="A609">
        <v>606</v>
      </c>
      <c r="B609">
        <v>9102</v>
      </c>
      <c r="C609" t="str">
        <f>VLOOKUP(B609,[1]resources!$A$2:$D$300,3,FALSE)</f>
        <v>!!FOOD_ROASTED_CHESTNUT</v>
      </c>
      <c r="D609">
        <v>105</v>
      </c>
      <c r="E609" t="str">
        <f>VLOOKUP(D609,[1]bonus_paytable!$A$2:$D$300,3,FALSE)</f>
        <v>christmas_xp</v>
      </c>
      <c r="F609">
        <v>-1</v>
      </c>
      <c r="G609">
        <v>-1</v>
      </c>
      <c r="H609">
        <v>1</v>
      </c>
      <c r="I609" t="s">
        <v>0</v>
      </c>
      <c r="J609">
        <v>5</v>
      </c>
      <c r="K609">
        <v>5</v>
      </c>
      <c r="L609">
        <v>5</v>
      </c>
      <c r="M609">
        <v>-1</v>
      </c>
      <c r="N609">
        <v>-1</v>
      </c>
      <c r="O609">
        <v>-1</v>
      </c>
      <c r="P609">
        <v>-1</v>
      </c>
      <c r="Q609">
        <v>-1</v>
      </c>
      <c r="R609">
        <v>-1</v>
      </c>
      <c r="S609">
        <v>-1</v>
      </c>
      <c r="T609">
        <v>-1</v>
      </c>
      <c r="U609">
        <v>0.5</v>
      </c>
      <c r="V609">
        <v>0.4</v>
      </c>
      <c r="W609">
        <v>0.1</v>
      </c>
      <c r="X609">
        <v>-1</v>
      </c>
      <c r="Y609">
        <v>-1</v>
      </c>
      <c r="Z609">
        <v>-1</v>
      </c>
      <c r="AA609">
        <v>-1</v>
      </c>
      <c r="AB609">
        <v>-1</v>
      </c>
      <c r="AC609">
        <v>-1</v>
      </c>
      <c r="AD609">
        <v>-1</v>
      </c>
      <c r="AE609">
        <v>-1</v>
      </c>
      <c r="AF609">
        <v>1</v>
      </c>
      <c r="AG609">
        <v>3</v>
      </c>
      <c r="AH609">
        <v>5</v>
      </c>
      <c r="AI609">
        <v>-1</v>
      </c>
      <c r="AJ609">
        <v>-1</v>
      </c>
      <c r="AK609">
        <v>-1</v>
      </c>
      <c r="AL609">
        <v>-1</v>
      </c>
      <c r="AM609">
        <v>-1</v>
      </c>
      <c r="AN609">
        <v>-1</v>
      </c>
      <c r="AO609">
        <v>-1</v>
      </c>
      <c r="AP609">
        <v>-1</v>
      </c>
      <c r="AQ609">
        <v>0</v>
      </c>
      <c r="AR609" t="s">
        <v>2</v>
      </c>
      <c r="AS609">
        <v>-1</v>
      </c>
      <c r="AT609">
        <v>-1</v>
      </c>
      <c r="AU609">
        <v>-1</v>
      </c>
      <c r="AV609">
        <v>-1</v>
      </c>
      <c r="AW609">
        <v>-1</v>
      </c>
      <c r="AX609">
        <v>-1</v>
      </c>
      <c r="AY609">
        <v>-1</v>
      </c>
      <c r="AZ609">
        <v>-1</v>
      </c>
      <c r="BA609">
        <v>-1</v>
      </c>
      <c r="BB609">
        <v>0</v>
      </c>
      <c r="BC609" t="s">
        <v>2</v>
      </c>
      <c r="BD609">
        <v>-1</v>
      </c>
      <c r="BE609">
        <v>-1</v>
      </c>
      <c r="BF609">
        <v>-1</v>
      </c>
      <c r="BG609">
        <v>-1</v>
      </c>
      <c r="BH609">
        <v>-1</v>
      </c>
      <c r="BI609">
        <v>-1</v>
      </c>
      <c r="BJ609">
        <v>-1</v>
      </c>
      <c r="BK609">
        <v>-1</v>
      </c>
      <c r="BL609">
        <v>-1</v>
      </c>
      <c r="BM609">
        <v>-1</v>
      </c>
      <c r="BN609">
        <v>-1</v>
      </c>
      <c r="BO609">
        <v>-1</v>
      </c>
    </row>
    <row r="610" spans="1:67" x14ac:dyDescent="0.25">
      <c r="A610">
        <v>607</v>
      </c>
      <c r="B610">
        <v>9103</v>
      </c>
      <c r="C610" t="str">
        <f>VLOOKUP(B610,[1]resources!$A$2:$D$300,3,FALSE)</f>
        <v>!!FOOD_PEANUT_BRITTLE</v>
      </c>
      <c r="D610">
        <v>105</v>
      </c>
      <c r="E610" t="str">
        <f>VLOOKUP(D610,[1]bonus_paytable!$A$2:$D$300,3,FALSE)</f>
        <v>christmas_xp</v>
      </c>
      <c r="F610">
        <v>-1</v>
      </c>
      <c r="G610">
        <v>-1</v>
      </c>
      <c r="H610">
        <v>1</v>
      </c>
      <c r="I610" t="s">
        <v>0</v>
      </c>
      <c r="J610">
        <v>5</v>
      </c>
      <c r="K610">
        <v>5</v>
      </c>
      <c r="L610">
        <v>5</v>
      </c>
      <c r="M610">
        <v>-1</v>
      </c>
      <c r="N610">
        <v>-1</v>
      </c>
      <c r="O610">
        <v>-1</v>
      </c>
      <c r="P610">
        <v>-1</v>
      </c>
      <c r="Q610">
        <v>-1</v>
      </c>
      <c r="R610">
        <v>-1</v>
      </c>
      <c r="S610">
        <v>-1</v>
      </c>
      <c r="T610">
        <v>-1</v>
      </c>
      <c r="U610">
        <v>0.5</v>
      </c>
      <c r="V610">
        <v>0.4</v>
      </c>
      <c r="W610">
        <v>0.1</v>
      </c>
      <c r="X610">
        <v>-1</v>
      </c>
      <c r="Y610">
        <v>-1</v>
      </c>
      <c r="Z610">
        <v>-1</v>
      </c>
      <c r="AA610">
        <v>-1</v>
      </c>
      <c r="AB610">
        <v>-1</v>
      </c>
      <c r="AC610">
        <v>-1</v>
      </c>
      <c r="AD610">
        <v>-1</v>
      </c>
      <c r="AE610">
        <v>-1</v>
      </c>
      <c r="AF610">
        <v>1</v>
      </c>
      <c r="AG610">
        <v>3</v>
      </c>
      <c r="AH610">
        <v>5</v>
      </c>
      <c r="AI610">
        <v>-1</v>
      </c>
      <c r="AJ610">
        <v>-1</v>
      </c>
      <c r="AK610">
        <v>-1</v>
      </c>
      <c r="AL610">
        <v>-1</v>
      </c>
      <c r="AM610">
        <v>-1</v>
      </c>
      <c r="AN610">
        <v>-1</v>
      </c>
      <c r="AO610">
        <v>-1</v>
      </c>
      <c r="AP610">
        <v>-1</v>
      </c>
      <c r="AQ610">
        <v>0</v>
      </c>
      <c r="AR610" t="s">
        <v>2</v>
      </c>
      <c r="AS610">
        <v>-1</v>
      </c>
      <c r="AT610">
        <v>-1</v>
      </c>
      <c r="AU610">
        <v>-1</v>
      </c>
      <c r="AV610">
        <v>-1</v>
      </c>
      <c r="AW610">
        <v>-1</v>
      </c>
      <c r="AX610">
        <v>-1</v>
      </c>
      <c r="AY610">
        <v>-1</v>
      </c>
      <c r="AZ610">
        <v>-1</v>
      </c>
      <c r="BA610">
        <v>-1</v>
      </c>
      <c r="BB610">
        <v>0</v>
      </c>
      <c r="BC610" t="s">
        <v>2</v>
      </c>
      <c r="BD610">
        <v>-1</v>
      </c>
      <c r="BE610">
        <v>-1</v>
      </c>
      <c r="BF610">
        <v>-1</v>
      </c>
      <c r="BG610">
        <v>-1</v>
      </c>
      <c r="BH610">
        <v>-1</v>
      </c>
      <c r="BI610">
        <v>-1</v>
      </c>
      <c r="BJ610">
        <v>-1</v>
      </c>
      <c r="BK610">
        <v>-1</v>
      </c>
      <c r="BL610">
        <v>-1</v>
      </c>
      <c r="BM610">
        <v>-1</v>
      </c>
      <c r="BN610">
        <v>-1</v>
      </c>
      <c r="BO610">
        <v>-1</v>
      </c>
    </row>
    <row r="611" spans="1:67" x14ac:dyDescent="0.25">
      <c r="A611">
        <v>608</v>
      </c>
      <c r="B611">
        <v>9104</v>
      </c>
      <c r="C611" t="str">
        <f>VLOOKUP(B611,[1]resources!$A$2:$D$300,3,FALSE)</f>
        <v>!!FOOD_BREAD_PUDDING</v>
      </c>
      <c r="D611">
        <v>105</v>
      </c>
      <c r="E611" t="str">
        <f>VLOOKUP(D611,[1]bonus_paytable!$A$2:$D$300,3,FALSE)</f>
        <v>christmas_xp</v>
      </c>
      <c r="F611">
        <v>-1</v>
      </c>
      <c r="G611">
        <v>-1</v>
      </c>
      <c r="H611">
        <v>1</v>
      </c>
      <c r="I611" t="s">
        <v>0</v>
      </c>
      <c r="J611">
        <v>5</v>
      </c>
      <c r="K611">
        <v>5</v>
      </c>
      <c r="L611">
        <v>5</v>
      </c>
      <c r="M611">
        <v>-1</v>
      </c>
      <c r="N611">
        <v>-1</v>
      </c>
      <c r="O611">
        <v>-1</v>
      </c>
      <c r="P611">
        <v>-1</v>
      </c>
      <c r="Q611">
        <v>-1</v>
      </c>
      <c r="R611">
        <v>-1</v>
      </c>
      <c r="S611">
        <v>-1</v>
      </c>
      <c r="T611">
        <v>-1</v>
      </c>
      <c r="U611">
        <v>0.5</v>
      </c>
      <c r="V611">
        <v>0.4</v>
      </c>
      <c r="W611">
        <v>0.1</v>
      </c>
      <c r="X611">
        <v>-1</v>
      </c>
      <c r="Y611">
        <v>-1</v>
      </c>
      <c r="Z611">
        <v>-1</v>
      </c>
      <c r="AA611">
        <v>-1</v>
      </c>
      <c r="AB611">
        <v>-1</v>
      </c>
      <c r="AC611">
        <v>-1</v>
      </c>
      <c r="AD611">
        <v>-1</v>
      </c>
      <c r="AE611">
        <v>-1</v>
      </c>
      <c r="AF611">
        <v>1</v>
      </c>
      <c r="AG611">
        <v>3</v>
      </c>
      <c r="AH611">
        <v>5</v>
      </c>
      <c r="AI611">
        <v>-1</v>
      </c>
      <c r="AJ611">
        <v>-1</v>
      </c>
      <c r="AK611">
        <v>-1</v>
      </c>
      <c r="AL611">
        <v>-1</v>
      </c>
      <c r="AM611">
        <v>-1</v>
      </c>
      <c r="AN611">
        <v>-1</v>
      </c>
      <c r="AO611">
        <v>-1</v>
      </c>
      <c r="AP611">
        <v>-1</v>
      </c>
      <c r="AQ611">
        <v>0</v>
      </c>
      <c r="AR611" t="s">
        <v>2</v>
      </c>
      <c r="AS611">
        <v>-1</v>
      </c>
      <c r="AT611">
        <v>-1</v>
      </c>
      <c r="AU611">
        <v>-1</v>
      </c>
      <c r="AV611">
        <v>-1</v>
      </c>
      <c r="AW611">
        <v>-1</v>
      </c>
      <c r="AX611">
        <v>-1</v>
      </c>
      <c r="AY611">
        <v>-1</v>
      </c>
      <c r="AZ611">
        <v>-1</v>
      </c>
      <c r="BA611">
        <v>-1</v>
      </c>
      <c r="BB611">
        <v>0</v>
      </c>
      <c r="BC611" t="s">
        <v>2</v>
      </c>
      <c r="BD611">
        <v>-1</v>
      </c>
      <c r="BE611">
        <v>-1</v>
      </c>
      <c r="BF611">
        <v>-1</v>
      </c>
      <c r="BG611">
        <v>-1</v>
      </c>
      <c r="BH611">
        <v>-1</v>
      </c>
      <c r="BI611">
        <v>-1</v>
      </c>
      <c r="BJ611">
        <v>-1</v>
      </c>
      <c r="BK611">
        <v>-1</v>
      </c>
      <c r="BL611">
        <v>-1</v>
      </c>
      <c r="BM611">
        <v>-1</v>
      </c>
      <c r="BN611">
        <v>-1</v>
      </c>
      <c r="BO611">
        <v>-1</v>
      </c>
    </row>
    <row r="612" spans="1:67" x14ac:dyDescent="0.25">
      <c r="A612">
        <v>609</v>
      </c>
      <c r="B612">
        <v>9105</v>
      </c>
      <c r="C612" t="str">
        <f>VLOOKUP(B612,[1]resources!$A$2:$D$300,3,FALSE)</f>
        <v>!!FOOD_YULE_LOG_CAKE</v>
      </c>
      <c r="D612">
        <v>105</v>
      </c>
      <c r="E612" t="str">
        <f>VLOOKUP(D612,[1]bonus_paytable!$A$2:$D$300,3,FALSE)</f>
        <v>christmas_xp</v>
      </c>
      <c r="F612">
        <v>-1</v>
      </c>
      <c r="G612">
        <v>-1</v>
      </c>
      <c r="H612">
        <v>1</v>
      </c>
      <c r="I612" t="s">
        <v>0</v>
      </c>
      <c r="J612">
        <v>5</v>
      </c>
      <c r="K612">
        <v>5</v>
      </c>
      <c r="L612">
        <v>5</v>
      </c>
      <c r="M612">
        <v>-1</v>
      </c>
      <c r="N612">
        <v>-1</v>
      </c>
      <c r="O612">
        <v>-1</v>
      </c>
      <c r="P612">
        <v>-1</v>
      </c>
      <c r="Q612">
        <v>-1</v>
      </c>
      <c r="R612">
        <v>-1</v>
      </c>
      <c r="S612">
        <v>-1</v>
      </c>
      <c r="T612">
        <v>-1</v>
      </c>
      <c r="U612">
        <v>0.5</v>
      </c>
      <c r="V612">
        <v>0.4</v>
      </c>
      <c r="W612">
        <v>0.1</v>
      </c>
      <c r="X612">
        <v>-1</v>
      </c>
      <c r="Y612">
        <v>-1</v>
      </c>
      <c r="Z612">
        <v>-1</v>
      </c>
      <c r="AA612">
        <v>-1</v>
      </c>
      <c r="AB612">
        <v>-1</v>
      </c>
      <c r="AC612">
        <v>-1</v>
      </c>
      <c r="AD612">
        <v>-1</v>
      </c>
      <c r="AE612">
        <v>-1</v>
      </c>
      <c r="AF612">
        <v>1</v>
      </c>
      <c r="AG612">
        <v>3</v>
      </c>
      <c r="AH612">
        <v>5</v>
      </c>
      <c r="AI612">
        <v>-1</v>
      </c>
      <c r="AJ612">
        <v>-1</v>
      </c>
      <c r="AK612">
        <v>-1</v>
      </c>
      <c r="AL612">
        <v>-1</v>
      </c>
      <c r="AM612">
        <v>-1</v>
      </c>
      <c r="AN612">
        <v>-1</v>
      </c>
      <c r="AO612">
        <v>-1</v>
      </c>
      <c r="AP612">
        <v>-1</v>
      </c>
      <c r="AQ612">
        <v>0</v>
      </c>
      <c r="AR612" t="s">
        <v>2</v>
      </c>
      <c r="AS612">
        <v>-1</v>
      </c>
      <c r="AT612">
        <v>-1</v>
      </c>
      <c r="AU612">
        <v>-1</v>
      </c>
      <c r="AV612">
        <v>-1</v>
      </c>
      <c r="AW612">
        <v>-1</v>
      </c>
      <c r="AX612">
        <v>-1</v>
      </c>
      <c r="AY612">
        <v>-1</v>
      </c>
      <c r="AZ612">
        <v>-1</v>
      </c>
      <c r="BA612">
        <v>-1</v>
      </c>
      <c r="BB612">
        <v>0</v>
      </c>
      <c r="BC612" t="s">
        <v>2</v>
      </c>
      <c r="BD612">
        <v>-1</v>
      </c>
      <c r="BE612">
        <v>-1</v>
      </c>
      <c r="BF612">
        <v>-1</v>
      </c>
      <c r="BG612">
        <v>-1</v>
      </c>
      <c r="BH612">
        <v>-1</v>
      </c>
      <c r="BI612">
        <v>-1</v>
      </c>
      <c r="BJ612">
        <v>-1</v>
      </c>
      <c r="BK612">
        <v>-1</v>
      </c>
      <c r="BL612">
        <v>-1</v>
      </c>
      <c r="BM612">
        <v>-1</v>
      </c>
      <c r="BN612">
        <v>-1</v>
      </c>
      <c r="BO612">
        <v>-1</v>
      </c>
    </row>
    <row r="613" spans="1:67" x14ac:dyDescent="0.25">
      <c r="A613">
        <v>610</v>
      </c>
      <c r="B613">
        <v>9119</v>
      </c>
      <c r="C613" t="str">
        <f>VLOOKUP(B613,[1]resources!$A$2:$D$300,3,FALSE)</f>
        <v>!!FOOD_CHRISTMAS_COOKIE</v>
      </c>
      <c r="D613">
        <v>105</v>
      </c>
      <c r="E613" t="str">
        <f>VLOOKUP(D613,[1]bonus_paytable!$A$2:$D$300,3,FALSE)</f>
        <v>christmas_xp</v>
      </c>
      <c r="F613">
        <v>-1</v>
      </c>
      <c r="G613">
        <v>-1</v>
      </c>
      <c r="H613">
        <v>1</v>
      </c>
      <c r="I613" t="s">
        <v>0</v>
      </c>
      <c r="J613">
        <v>5</v>
      </c>
      <c r="K613">
        <v>5</v>
      </c>
      <c r="L613">
        <v>5</v>
      </c>
      <c r="M613">
        <v>-1</v>
      </c>
      <c r="N613">
        <v>-1</v>
      </c>
      <c r="O613">
        <v>-1</v>
      </c>
      <c r="P613">
        <v>-1</v>
      </c>
      <c r="Q613">
        <v>-1</v>
      </c>
      <c r="R613">
        <v>-1</v>
      </c>
      <c r="S613">
        <v>-1</v>
      </c>
      <c r="T613">
        <v>-1</v>
      </c>
      <c r="U613">
        <v>0.5</v>
      </c>
      <c r="V613">
        <v>0.4</v>
      </c>
      <c r="W613">
        <v>0.1</v>
      </c>
      <c r="X613">
        <v>-1</v>
      </c>
      <c r="Y613">
        <v>-1</v>
      </c>
      <c r="Z613">
        <v>-1</v>
      </c>
      <c r="AA613">
        <v>-1</v>
      </c>
      <c r="AB613">
        <v>-1</v>
      </c>
      <c r="AC613">
        <v>-1</v>
      </c>
      <c r="AD613">
        <v>-1</v>
      </c>
      <c r="AE613">
        <v>-1</v>
      </c>
      <c r="AF613">
        <v>1</v>
      </c>
      <c r="AG613">
        <v>3</v>
      </c>
      <c r="AH613">
        <v>5</v>
      </c>
      <c r="AI613">
        <v>-1</v>
      </c>
      <c r="AJ613">
        <v>-1</v>
      </c>
      <c r="AK613">
        <v>-1</v>
      </c>
      <c r="AL613">
        <v>-1</v>
      </c>
      <c r="AM613">
        <v>-1</v>
      </c>
      <c r="AN613">
        <v>-1</v>
      </c>
      <c r="AO613">
        <v>-1</v>
      </c>
      <c r="AP613">
        <v>-1</v>
      </c>
      <c r="AQ613">
        <v>0</v>
      </c>
      <c r="AR613" t="s">
        <v>2</v>
      </c>
      <c r="AS613">
        <v>-1</v>
      </c>
      <c r="AT613">
        <v>-1</v>
      </c>
      <c r="AU613">
        <v>-1</v>
      </c>
      <c r="AV613">
        <v>-1</v>
      </c>
      <c r="AW613">
        <v>-1</v>
      </c>
      <c r="AX613">
        <v>-1</v>
      </c>
      <c r="AY613">
        <v>-1</v>
      </c>
      <c r="AZ613">
        <v>-1</v>
      </c>
      <c r="BA613">
        <v>-1</v>
      </c>
      <c r="BB613">
        <v>0</v>
      </c>
      <c r="BC613" t="s">
        <v>2</v>
      </c>
      <c r="BD613">
        <v>-1</v>
      </c>
      <c r="BE613">
        <v>-1</v>
      </c>
      <c r="BF613">
        <v>-1</v>
      </c>
      <c r="BG613">
        <v>-1</v>
      </c>
      <c r="BH613">
        <v>-1</v>
      </c>
      <c r="BI613">
        <v>-1</v>
      </c>
      <c r="BJ613">
        <v>-1</v>
      </c>
      <c r="BK613">
        <v>-1</v>
      </c>
      <c r="BL613">
        <v>-1</v>
      </c>
      <c r="BM613">
        <v>-1</v>
      </c>
      <c r="BN613">
        <v>-1</v>
      </c>
      <c r="BO613">
        <v>-1</v>
      </c>
    </row>
    <row r="614" spans="1:67" x14ac:dyDescent="0.25">
      <c r="A614">
        <v>611</v>
      </c>
      <c r="B614">
        <v>9120</v>
      </c>
      <c r="C614" t="str">
        <f>VLOOKUP(B614,[1]resources!$A$2:$D$300,3,FALSE)</f>
        <v>!!FOOD_APPLE_CIDER</v>
      </c>
      <c r="D614">
        <v>105</v>
      </c>
      <c r="E614" t="str">
        <f>VLOOKUP(D614,[1]bonus_paytable!$A$2:$D$300,3,FALSE)</f>
        <v>christmas_xp</v>
      </c>
      <c r="F614">
        <v>-1</v>
      </c>
      <c r="G614">
        <v>-1</v>
      </c>
      <c r="H614">
        <v>1</v>
      </c>
      <c r="I614" t="s">
        <v>0</v>
      </c>
      <c r="J614">
        <v>5</v>
      </c>
      <c r="K614">
        <v>5</v>
      </c>
      <c r="L614">
        <v>5</v>
      </c>
      <c r="M614">
        <v>-1</v>
      </c>
      <c r="N614">
        <v>-1</v>
      </c>
      <c r="O614">
        <v>-1</v>
      </c>
      <c r="P614">
        <v>-1</v>
      </c>
      <c r="Q614">
        <v>-1</v>
      </c>
      <c r="R614">
        <v>-1</v>
      </c>
      <c r="S614">
        <v>-1</v>
      </c>
      <c r="T614">
        <v>-1</v>
      </c>
      <c r="U614">
        <v>0.5</v>
      </c>
      <c r="V614">
        <v>0.4</v>
      </c>
      <c r="W614">
        <v>0.1</v>
      </c>
      <c r="X614">
        <v>-1</v>
      </c>
      <c r="Y614">
        <v>-1</v>
      </c>
      <c r="Z614">
        <v>-1</v>
      </c>
      <c r="AA614">
        <v>-1</v>
      </c>
      <c r="AB614">
        <v>-1</v>
      </c>
      <c r="AC614">
        <v>-1</v>
      </c>
      <c r="AD614">
        <v>-1</v>
      </c>
      <c r="AE614">
        <v>-1</v>
      </c>
      <c r="AF614">
        <v>1</v>
      </c>
      <c r="AG614">
        <v>3</v>
      </c>
      <c r="AH614">
        <v>5</v>
      </c>
      <c r="AI614">
        <v>-1</v>
      </c>
      <c r="AJ614">
        <v>-1</v>
      </c>
      <c r="AK614">
        <v>-1</v>
      </c>
      <c r="AL614">
        <v>-1</v>
      </c>
      <c r="AM614">
        <v>-1</v>
      </c>
      <c r="AN614">
        <v>-1</v>
      </c>
      <c r="AO614">
        <v>-1</v>
      </c>
      <c r="AP614">
        <v>-1</v>
      </c>
      <c r="AQ614">
        <v>0</v>
      </c>
      <c r="AR614" t="s">
        <v>2</v>
      </c>
      <c r="AS614">
        <v>-1</v>
      </c>
      <c r="AT614">
        <v>-1</v>
      </c>
      <c r="AU614">
        <v>-1</v>
      </c>
      <c r="AV614">
        <v>-1</v>
      </c>
      <c r="AW614">
        <v>-1</v>
      </c>
      <c r="AX614">
        <v>-1</v>
      </c>
      <c r="AY614">
        <v>-1</v>
      </c>
      <c r="AZ614">
        <v>-1</v>
      </c>
      <c r="BA614">
        <v>-1</v>
      </c>
      <c r="BB614">
        <v>0</v>
      </c>
      <c r="BC614" t="s">
        <v>2</v>
      </c>
      <c r="BD614">
        <v>-1</v>
      </c>
      <c r="BE614">
        <v>-1</v>
      </c>
      <c r="BF614">
        <v>-1</v>
      </c>
      <c r="BG614">
        <v>-1</v>
      </c>
      <c r="BH614">
        <v>-1</v>
      </c>
      <c r="BI614">
        <v>-1</v>
      </c>
      <c r="BJ614">
        <v>-1</v>
      </c>
      <c r="BK614">
        <v>-1</v>
      </c>
      <c r="BL614">
        <v>-1</v>
      </c>
      <c r="BM614">
        <v>-1</v>
      </c>
      <c r="BN614">
        <v>-1</v>
      </c>
      <c r="BO614">
        <v>-1</v>
      </c>
    </row>
    <row r="615" spans="1:67" x14ac:dyDescent="0.25">
      <c r="A615">
        <v>612</v>
      </c>
      <c r="B615">
        <v>9121</v>
      </c>
      <c r="C615" t="str">
        <f>VLOOKUP(B615,[1]resources!$A$2:$D$300,3,FALSE)</f>
        <v>!!FOOD_GINGERBREAD_ELF</v>
      </c>
      <c r="D615">
        <v>105</v>
      </c>
      <c r="E615" t="str">
        <f>VLOOKUP(D615,[1]bonus_paytable!$A$2:$D$300,3,FALSE)</f>
        <v>christmas_xp</v>
      </c>
      <c r="F615">
        <v>-1</v>
      </c>
      <c r="G615">
        <v>-1</v>
      </c>
      <c r="H615">
        <v>1</v>
      </c>
      <c r="I615" t="s">
        <v>0</v>
      </c>
      <c r="J615">
        <v>5</v>
      </c>
      <c r="K615">
        <v>5</v>
      </c>
      <c r="L615">
        <v>5</v>
      </c>
      <c r="M615">
        <v>-1</v>
      </c>
      <c r="N615">
        <v>-1</v>
      </c>
      <c r="O615">
        <v>-1</v>
      </c>
      <c r="P615">
        <v>-1</v>
      </c>
      <c r="Q615">
        <v>-1</v>
      </c>
      <c r="R615">
        <v>-1</v>
      </c>
      <c r="S615">
        <v>-1</v>
      </c>
      <c r="T615">
        <v>-1</v>
      </c>
      <c r="U615">
        <v>0.5</v>
      </c>
      <c r="V615">
        <v>0.4</v>
      </c>
      <c r="W615">
        <v>0.1</v>
      </c>
      <c r="X615">
        <v>-1</v>
      </c>
      <c r="Y615">
        <v>-1</v>
      </c>
      <c r="Z615">
        <v>-1</v>
      </c>
      <c r="AA615">
        <v>-1</v>
      </c>
      <c r="AB615">
        <v>-1</v>
      </c>
      <c r="AC615">
        <v>-1</v>
      </c>
      <c r="AD615">
        <v>-1</v>
      </c>
      <c r="AE615">
        <v>-1</v>
      </c>
      <c r="AF615">
        <v>1</v>
      </c>
      <c r="AG615">
        <v>3</v>
      </c>
      <c r="AH615">
        <v>5</v>
      </c>
      <c r="AI615">
        <v>-1</v>
      </c>
      <c r="AJ615">
        <v>-1</v>
      </c>
      <c r="AK615">
        <v>-1</v>
      </c>
      <c r="AL615">
        <v>-1</v>
      </c>
      <c r="AM615">
        <v>-1</v>
      </c>
      <c r="AN615">
        <v>-1</v>
      </c>
      <c r="AO615">
        <v>-1</v>
      </c>
      <c r="AP615">
        <v>-1</v>
      </c>
      <c r="AQ615">
        <v>0</v>
      </c>
      <c r="AR615" t="s">
        <v>2</v>
      </c>
      <c r="AS615">
        <v>-1</v>
      </c>
      <c r="AT615">
        <v>-1</v>
      </c>
      <c r="AU615">
        <v>-1</v>
      </c>
      <c r="AV615">
        <v>-1</v>
      </c>
      <c r="AW615">
        <v>-1</v>
      </c>
      <c r="AX615">
        <v>-1</v>
      </c>
      <c r="AY615">
        <v>-1</v>
      </c>
      <c r="AZ615">
        <v>-1</v>
      </c>
      <c r="BA615">
        <v>-1</v>
      </c>
      <c r="BB615">
        <v>0</v>
      </c>
      <c r="BC615" t="s">
        <v>2</v>
      </c>
      <c r="BD615">
        <v>-1</v>
      </c>
      <c r="BE615">
        <v>-1</v>
      </c>
      <c r="BF615">
        <v>-1</v>
      </c>
      <c r="BG615">
        <v>-1</v>
      </c>
      <c r="BH615">
        <v>-1</v>
      </c>
      <c r="BI615">
        <v>-1</v>
      </c>
      <c r="BJ615">
        <v>-1</v>
      </c>
      <c r="BK615">
        <v>-1</v>
      </c>
      <c r="BL615">
        <v>-1</v>
      </c>
      <c r="BM615">
        <v>-1</v>
      </c>
      <c r="BN615">
        <v>-1</v>
      </c>
      <c r="BO615">
        <v>-1</v>
      </c>
    </row>
    <row r="616" spans="1:67" x14ac:dyDescent="0.25">
      <c r="A616">
        <v>613</v>
      </c>
      <c r="B616">
        <v>9122</v>
      </c>
      <c r="C616" t="str">
        <f>VLOOKUP(B616,[1]resources!$A$2:$D$300,3,FALSE)</f>
        <v>!!FOOD_CRANBERRY_SAUCE</v>
      </c>
      <c r="D616">
        <v>105</v>
      </c>
      <c r="E616" t="str">
        <f>VLOOKUP(D616,[1]bonus_paytable!$A$2:$D$300,3,FALSE)</f>
        <v>christmas_xp</v>
      </c>
      <c r="F616">
        <v>-1</v>
      </c>
      <c r="G616">
        <v>-1</v>
      </c>
      <c r="H616">
        <v>1</v>
      </c>
      <c r="I616" t="s">
        <v>0</v>
      </c>
      <c r="J616">
        <v>5</v>
      </c>
      <c r="K616">
        <v>5</v>
      </c>
      <c r="L616">
        <v>5</v>
      </c>
      <c r="M616">
        <v>-1</v>
      </c>
      <c r="N616">
        <v>-1</v>
      </c>
      <c r="O616">
        <v>-1</v>
      </c>
      <c r="P616">
        <v>-1</v>
      </c>
      <c r="Q616">
        <v>-1</v>
      </c>
      <c r="R616">
        <v>-1</v>
      </c>
      <c r="S616">
        <v>-1</v>
      </c>
      <c r="T616">
        <v>-1</v>
      </c>
      <c r="U616">
        <v>0.5</v>
      </c>
      <c r="V616">
        <v>0.4</v>
      </c>
      <c r="W616">
        <v>0.1</v>
      </c>
      <c r="X616">
        <v>-1</v>
      </c>
      <c r="Y616">
        <v>-1</v>
      </c>
      <c r="Z616">
        <v>-1</v>
      </c>
      <c r="AA616">
        <v>-1</v>
      </c>
      <c r="AB616">
        <v>-1</v>
      </c>
      <c r="AC616">
        <v>-1</v>
      </c>
      <c r="AD616">
        <v>-1</v>
      </c>
      <c r="AE616">
        <v>-1</v>
      </c>
      <c r="AF616">
        <v>1</v>
      </c>
      <c r="AG616">
        <v>3</v>
      </c>
      <c r="AH616">
        <v>5</v>
      </c>
      <c r="AI616">
        <v>-1</v>
      </c>
      <c r="AJ616">
        <v>-1</v>
      </c>
      <c r="AK616">
        <v>-1</v>
      </c>
      <c r="AL616">
        <v>-1</v>
      </c>
      <c r="AM616">
        <v>-1</v>
      </c>
      <c r="AN616">
        <v>-1</v>
      </c>
      <c r="AO616">
        <v>-1</v>
      </c>
      <c r="AP616">
        <v>-1</v>
      </c>
      <c r="AQ616">
        <v>0</v>
      </c>
      <c r="AR616" t="s">
        <v>2</v>
      </c>
      <c r="AS616">
        <v>-1</v>
      </c>
      <c r="AT616">
        <v>-1</v>
      </c>
      <c r="AU616">
        <v>-1</v>
      </c>
      <c r="AV616">
        <v>-1</v>
      </c>
      <c r="AW616">
        <v>-1</v>
      </c>
      <c r="AX616">
        <v>-1</v>
      </c>
      <c r="AY616">
        <v>-1</v>
      </c>
      <c r="AZ616">
        <v>-1</v>
      </c>
      <c r="BA616">
        <v>-1</v>
      </c>
      <c r="BB616">
        <v>0</v>
      </c>
      <c r="BC616" t="s">
        <v>2</v>
      </c>
      <c r="BD616">
        <v>-1</v>
      </c>
      <c r="BE616">
        <v>-1</v>
      </c>
      <c r="BF616">
        <v>-1</v>
      </c>
      <c r="BG616">
        <v>-1</v>
      </c>
      <c r="BH616">
        <v>-1</v>
      </c>
      <c r="BI616">
        <v>-1</v>
      </c>
      <c r="BJ616">
        <v>-1</v>
      </c>
      <c r="BK616">
        <v>-1</v>
      </c>
      <c r="BL616">
        <v>-1</v>
      </c>
      <c r="BM616">
        <v>-1</v>
      </c>
      <c r="BN616">
        <v>-1</v>
      </c>
      <c r="BO616">
        <v>-1</v>
      </c>
    </row>
    <row r="617" spans="1:67" x14ac:dyDescent="0.25">
      <c r="A617">
        <v>614</v>
      </c>
      <c r="B617">
        <v>9123</v>
      </c>
      <c r="C617" t="str">
        <f>VLOOKUP(B617,[1]resources!$A$2:$D$300,3,FALSE)</f>
        <v>!!FOOD_HOT_CHOCOLATE</v>
      </c>
      <c r="D617">
        <v>105</v>
      </c>
      <c r="E617" t="str">
        <f>VLOOKUP(D617,[1]bonus_paytable!$A$2:$D$300,3,FALSE)</f>
        <v>christmas_xp</v>
      </c>
      <c r="F617">
        <v>-1</v>
      </c>
      <c r="G617">
        <v>-1</v>
      </c>
      <c r="H617">
        <v>1</v>
      </c>
      <c r="I617" t="s">
        <v>0</v>
      </c>
      <c r="J617">
        <v>5</v>
      </c>
      <c r="K617">
        <v>5</v>
      </c>
      <c r="L617">
        <v>5</v>
      </c>
      <c r="M617">
        <v>-1</v>
      </c>
      <c r="N617">
        <v>-1</v>
      </c>
      <c r="O617">
        <v>-1</v>
      </c>
      <c r="P617">
        <v>-1</v>
      </c>
      <c r="Q617">
        <v>-1</v>
      </c>
      <c r="R617">
        <v>-1</v>
      </c>
      <c r="S617">
        <v>-1</v>
      </c>
      <c r="T617">
        <v>-1</v>
      </c>
      <c r="U617">
        <v>0.5</v>
      </c>
      <c r="V617">
        <v>0.4</v>
      </c>
      <c r="W617">
        <v>0.1</v>
      </c>
      <c r="X617">
        <v>-1</v>
      </c>
      <c r="Y617">
        <v>-1</v>
      </c>
      <c r="Z617">
        <v>-1</v>
      </c>
      <c r="AA617">
        <v>-1</v>
      </c>
      <c r="AB617">
        <v>-1</v>
      </c>
      <c r="AC617">
        <v>-1</v>
      </c>
      <c r="AD617">
        <v>-1</v>
      </c>
      <c r="AE617">
        <v>-1</v>
      </c>
      <c r="AF617">
        <v>1</v>
      </c>
      <c r="AG617">
        <v>3</v>
      </c>
      <c r="AH617">
        <v>5</v>
      </c>
      <c r="AI617">
        <v>-1</v>
      </c>
      <c r="AJ617">
        <v>-1</v>
      </c>
      <c r="AK617">
        <v>-1</v>
      </c>
      <c r="AL617">
        <v>-1</v>
      </c>
      <c r="AM617">
        <v>-1</v>
      </c>
      <c r="AN617">
        <v>-1</v>
      </c>
      <c r="AO617">
        <v>-1</v>
      </c>
      <c r="AP617">
        <v>-1</v>
      </c>
      <c r="AQ617">
        <v>0</v>
      </c>
      <c r="AR617" t="s">
        <v>2</v>
      </c>
      <c r="AS617">
        <v>-1</v>
      </c>
      <c r="AT617">
        <v>-1</v>
      </c>
      <c r="AU617">
        <v>-1</v>
      </c>
      <c r="AV617">
        <v>-1</v>
      </c>
      <c r="AW617">
        <v>-1</v>
      </c>
      <c r="AX617">
        <v>-1</v>
      </c>
      <c r="AY617">
        <v>-1</v>
      </c>
      <c r="AZ617">
        <v>-1</v>
      </c>
      <c r="BA617">
        <v>-1</v>
      </c>
      <c r="BB617">
        <v>0</v>
      </c>
      <c r="BC617" t="s">
        <v>2</v>
      </c>
      <c r="BD617">
        <v>-1</v>
      </c>
      <c r="BE617">
        <v>-1</v>
      </c>
      <c r="BF617">
        <v>-1</v>
      </c>
      <c r="BG617">
        <v>-1</v>
      </c>
      <c r="BH617">
        <v>-1</v>
      </c>
      <c r="BI617">
        <v>-1</v>
      </c>
      <c r="BJ617">
        <v>-1</v>
      </c>
      <c r="BK617">
        <v>-1</v>
      </c>
      <c r="BL617">
        <v>-1</v>
      </c>
      <c r="BM617">
        <v>-1</v>
      </c>
      <c r="BN617">
        <v>-1</v>
      </c>
      <c r="BO617">
        <v>-1</v>
      </c>
    </row>
    <row r="618" spans="1:67" x14ac:dyDescent="0.25">
      <c r="A618">
        <v>615</v>
      </c>
      <c r="B618">
        <v>9124</v>
      </c>
      <c r="C618" t="str">
        <f>VLOOKUP(B618,[1]resources!$A$2:$D$300,3,FALSE)</f>
        <v>!!FOOD_CANDY_CANE</v>
      </c>
      <c r="D618">
        <v>105</v>
      </c>
      <c r="E618" t="str">
        <f>VLOOKUP(D618,[1]bonus_paytable!$A$2:$D$300,3,FALSE)</f>
        <v>christmas_xp</v>
      </c>
      <c r="F618">
        <v>-1</v>
      </c>
      <c r="G618">
        <v>-1</v>
      </c>
      <c r="H618">
        <v>1</v>
      </c>
      <c r="I618" t="s">
        <v>0</v>
      </c>
      <c r="J618">
        <v>5</v>
      </c>
      <c r="K618">
        <v>5</v>
      </c>
      <c r="L618">
        <v>5</v>
      </c>
      <c r="M618">
        <v>-1</v>
      </c>
      <c r="N618">
        <v>-1</v>
      </c>
      <c r="O618">
        <v>-1</v>
      </c>
      <c r="P618">
        <v>-1</v>
      </c>
      <c r="Q618">
        <v>-1</v>
      </c>
      <c r="R618">
        <v>-1</v>
      </c>
      <c r="S618">
        <v>-1</v>
      </c>
      <c r="T618">
        <v>-1</v>
      </c>
      <c r="U618">
        <v>0.5</v>
      </c>
      <c r="V618">
        <v>0.4</v>
      </c>
      <c r="W618">
        <v>0.1</v>
      </c>
      <c r="X618">
        <v>-1</v>
      </c>
      <c r="Y618">
        <v>-1</v>
      </c>
      <c r="Z618">
        <v>-1</v>
      </c>
      <c r="AA618">
        <v>-1</v>
      </c>
      <c r="AB618">
        <v>-1</v>
      </c>
      <c r="AC618">
        <v>-1</v>
      </c>
      <c r="AD618">
        <v>-1</v>
      </c>
      <c r="AE618">
        <v>-1</v>
      </c>
      <c r="AF618">
        <v>1</v>
      </c>
      <c r="AG618">
        <v>3</v>
      </c>
      <c r="AH618">
        <v>5</v>
      </c>
      <c r="AI618">
        <v>-1</v>
      </c>
      <c r="AJ618">
        <v>-1</v>
      </c>
      <c r="AK618">
        <v>-1</v>
      </c>
      <c r="AL618">
        <v>-1</v>
      </c>
      <c r="AM618">
        <v>-1</v>
      </c>
      <c r="AN618">
        <v>-1</v>
      </c>
      <c r="AO618">
        <v>-1</v>
      </c>
      <c r="AP618">
        <v>-1</v>
      </c>
      <c r="AQ618">
        <v>0</v>
      </c>
      <c r="AR618" t="s">
        <v>2</v>
      </c>
      <c r="AS618">
        <v>-1</v>
      </c>
      <c r="AT618">
        <v>-1</v>
      </c>
      <c r="AU618">
        <v>-1</v>
      </c>
      <c r="AV618">
        <v>-1</v>
      </c>
      <c r="AW618">
        <v>-1</v>
      </c>
      <c r="AX618">
        <v>-1</v>
      </c>
      <c r="AY618">
        <v>-1</v>
      </c>
      <c r="AZ618">
        <v>-1</v>
      </c>
      <c r="BA618">
        <v>-1</v>
      </c>
      <c r="BB618">
        <v>0</v>
      </c>
      <c r="BC618" t="s">
        <v>2</v>
      </c>
      <c r="BD618">
        <v>-1</v>
      </c>
      <c r="BE618">
        <v>-1</v>
      </c>
      <c r="BF618">
        <v>-1</v>
      </c>
      <c r="BG618">
        <v>-1</v>
      </c>
      <c r="BH618">
        <v>-1</v>
      </c>
      <c r="BI618">
        <v>-1</v>
      </c>
      <c r="BJ618">
        <v>-1</v>
      </c>
      <c r="BK618">
        <v>-1</v>
      </c>
      <c r="BL618">
        <v>-1</v>
      </c>
      <c r="BM618">
        <v>-1</v>
      </c>
      <c r="BN618">
        <v>-1</v>
      </c>
      <c r="BO618">
        <v>-1</v>
      </c>
    </row>
    <row r="619" spans="1:67" x14ac:dyDescent="0.25">
      <c r="A619">
        <v>616</v>
      </c>
      <c r="B619">
        <v>9125</v>
      </c>
      <c r="C619" t="str">
        <f>VLOOKUP(B619,[1]resources!$A$2:$D$300,3,FALSE)</f>
        <v>!!FOOD_ENGLISH_TOFFEE</v>
      </c>
      <c r="D619">
        <v>105</v>
      </c>
      <c r="E619" t="str">
        <f>VLOOKUP(D619,[1]bonus_paytable!$A$2:$D$300,3,FALSE)</f>
        <v>christmas_xp</v>
      </c>
      <c r="F619">
        <v>-1</v>
      </c>
      <c r="G619">
        <v>-1</v>
      </c>
      <c r="H619">
        <v>1</v>
      </c>
      <c r="I619" t="s">
        <v>0</v>
      </c>
      <c r="J619">
        <v>5</v>
      </c>
      <c r="K619">
        <v>5</v>
      </c>
      <c r="L619">
        <v>5</v>
      </c>
      <c r="M619">
        <v>-1</v>
      </c>
      <c r="N619">
        <v>-1</v>
      </c>
      <c r="O619">
        <v>-1</v>
      </c>
      <c r="P619">
        <v>-1</v>
      </c>
      <c r="Q619">
        <v>-1</v>
      </c>
      <c r="R619">
        <v>-1</v>
      </c>
      <c r="S619">
        <v>-1</v>
      </c>
      <c r="T619">
        <v>-1</v>
      </c>
      <c r="U619">
        <v>0.5</v>
      </c>
      <c r="V619">
        <v>0.4</v>
      </c>
      <c r="W619">
        <v>0.1</v>
      </c>
      <c r="X619">
        <v>-1</v>
      </c>
      <c r="Y619">
        <v>-1</v>
      </c>
      <c r="Z619">
        <v>-1</v>
      </c>
      <c r="AA619">
        <v>-1</v>
      </c>
      <c r="AB619">
        <v>-1</v>
      </c>
      <c r="AC619">
        <v>-1</v>
      </c>
      <c r="AD619">
        <v>-1</v>
      </c>
      <c r="AE619">
        <v>-1</v>
      </c>
      <c r="AF619">
        <v>1</v>
      </c>
      <c r="AG619">
        <v>3</v>
      </c>
      <c r="AH619">
        <v>5</v>
      </c>
      <c r="AI619">
        <v>-1</v>
      </c>
      <c r="AJ619">
        <v>-1</v>
      </c>
      <c r="AK619">
        <v>-1</v>
      </c>
      <c r="AL619">
        <v>-1</v>
      </c>
      <c r="AM619">
        <v>-1</v>
      </c>
      <c r="AN619">
        <v>-1</v>
      </c>
      <c r="AO619">
        <v>-1</v>
      </c>
      <c r="AP619">
        <v>-1</v>
      </c>
      <c r="AQ619">
        <v>0</v>
      </c>
      <c r="AR619" t="s">
        <v>2</v>
      </c>
      <c r="AS619">
        <v>-1</v>
      </c>
      <c r="AT619">
        <v>-1</v>
      </c>
      <c r="AU619">
        <v>-1</v>
      </c>
      <c r="AV619">
        <v>-1</v>
      </c>
      <c r="AW619">
        <v>-1</v>
      </c>
      <c r="AX619">
        <v>-1</v>
      </c>
      <c r="AY619">
        <v>-1</v>
      </c>
      <c r="AZ619">
        <v>-1</v>
      </c>
      <c r="BA619">
        <v>-1</v>
      </c>
      <c r="BB619">
        <v>0</v>
      </c>
      <c r="BC619" t="s">
        <v>2</v>
      </c>
      <c r="BD619">
        <v>-1</v>
      </c>
      <c r="BE619">
        <v>-1</v>
      </c>
      <c r="BF619">
        <v>-1</v>
      </c>
      <c r="BG619">
        <v>-1</v>
      </c>
      <c r="BH619">
        <v>-1</v>
      </c>
      <c r="BI619">
        <v>-1</v>
      </c>
      <c r="BJ619">
        <v>-1</v>
      </c>
      <c r="BK619">
        <v>-1</v>
      </c>
      <c r="BL619">
        <v>-1</v>
      </c>
      <c r="BM619">
        <v>-1</v>
      </c>
      <c r="BN619">
        <v>-1</v>
      </c>
      <c r="BO619">
        <v>-1</v>
      </c>
    </row>
    <row r="620" spans="1:67" x14ac:dyDescent="0.25">
      <c r="A620">
        <v>617</v>
      </c>
      <c r="B620">
        <v>9126</v>
      </c>
      <c r="C620" t="str">
        <f>VLOOKUP(B620,[1]resources!$A$2:$D$300,3,FALSE)</f>
        <v>!!FOOD_FUDGE</v>
      </c>
      <c r="D620">
        <v>105</v>
      </c>
      <c r="E620" t="str">
        <f>VLOOKUP(D620,[1]bonus_paytable!$A$2:$D$300,3,FALSE)</f>
        <v>christmas_xp</v>
      </c>
      <c r="F620">
        <v>-1</v>
      </c>
      <c r="G620">
        <v>-1</v>
      </c>
      <c r="H620">
        <v>1</v>
      </c>
      <c r="I620" t="s">
        <v>0</v>
      </c>
      <c r="J620">
        <v>5</v>
      </c>
      <c r="K620">
        <v>5</v>
      </c>
      <c r="L620">
        <v>5</v>
      </c>
      <c r="M620">
        <v>-1</v>
      </c>
      <c r="N620">
        <v>-1</v>
      </c>
      <c r="O620">
        <v>-1</v>
      </c>
      <c r="P620">
        <v>-1</v>
      </c>
      <c r="Q620">
        <v>-1</v>
      </c>
      <c r="R620">
        <v>-1</v>
      </c>
      <c r="S620">
        <v>-1</v>
      </c>
      <c r="T620">
        <v>-1</v>
      </c>
      <c r="U620">
        <v>0.5</v>
      </c>
      <c r="V620">
        <v>0.4</v>
      </c>
      <c r="W620">
        <v>0.1</v>
      </c>
      <c r="X620">
        <v>-1</v>
      </c>
      <c r="Y620">
        <v>-1</v>
      </c>
      <c r="Z620">
        <v>-1</v>
      </c>
      <c r="AA620">
        <v>-1</v>
      </c>
      <c r="AB620">
        <v>-1</v>
      </c>
      <c r="AC620">
        <v>-1</v>
      </c>
      <c r="AD620">
        <v>-1</v>
      </c>
      <c r="AE620">
        <v>-1</v>
      </c>
      <c r="AF620">
        <v>1</v>
      </c>
      <c r="AG620">
        <v>3</v>
      </c>
      <c r="AH620">
        <v>5</v>
      </c>
      <c r="AI620">
        <v>-1</v>
      </c>
      <c r="AJ620">
        <v>-1</v>
      </c>
      <c r="AK620">
        <v>-1</v>
      </c>
      <c r="AL620">
        <v>-1</v>
      </c>
      <c r="AM620">
        <v>-1</v>
      </c>
      <c r="AN620">
        <v>-1</v>
      </c>
      <c r="AO620">
        <v>-1</v>
      </c>
      <c r="AP620">
        <v>-1</v>
      </c>
      <c r="AQ620">
        <v>0</v>
      </c>
      <c r="AR620" t="s">
        <v>2</v>
      </c>
      <c r="AS620">
        <v>-1</v>
      </c>
      <c r="AT620">
        <v>-1</v>
      </c>
      <c r="AU620">
        <v>-1</v>
      </c>
      <c r="AV620">
        <v>-1</v>
      </c>
      <c r="AW620">
        <v>-1</v>
      </c>
      <c r="AX620">
        <v>-1</v>
      </c>
      <c r="AY620">
        <v>-1</v>
      </c>
      <c r="AZ620">
        <v>-1</v>
      </c>
      <c r="BA620">
        <v>-1</v>
      </c>
      <c r="BB620">
        <v>0</v>
      </c>
      <c r="BC620" t="s">
        <v>2</v>
      </c>
      <c r="BD620">
        <v>-1</v>
      </c>
      <c r="BE620">
        <v>-1</v>
      </c>
      <c r="BF620">
        <v>-1</v>
      </c>
      <c r="BG620">
        <v>-1</v>
      </c>
      <c r="BH620">
        <v>-1</v>
      </c>
      <c r="BI620">
        <v>-1</v>
      </c>
      <c r="BJ620">
        <v>-1</v>
      </c>
      <c r="BK620">
        <v>-1</v>
      </c>
      <c r="BL620">
        <v>-1</v>
      </c>
      <c r="BM620">
        <v>-1</v>
      </c>
      <c r="BN620">
        <v>-1</v>
      </c>
      <c r="BO620">
        <v>-1</v>
      </c>
    </row>
    <row r="621" spans="1:67" x14ac:dyDescent="0.25">
      <c r="A621">
        <v>618</v>
      </c>
      <c r="B621">
        <v>9127</v>
      </c>
      <c r="C621" t="str">
        <f>VLOOKUP(B621,[1]resources!$A$2:$D$300,3,FALSE)</f>
        <v>!!FOOD_SUGAR_PLUM</v>
      </c>
      <c r="D621">
        <v>105</v>
      </c>
      <c r="E621" t="str">
        <f>VLOOKUP(D621,[1]bonus_paytable!$A$2:$D$300,3,FALSE)</f>
        <v>christmas_xp</v>
      </c>
      <c r="F621">
        <v>-1</v>
      </c>
      <c r="G621">
        <v>-1</v>
      </c>
      <c r="H621">
        <v>1</v>
      </c>
      <c r="I621" t="s">
        <v>0</v>
      </c>
      <c r="J621">
        <v>5</v>
      </c>
      <c r="K621">
        <v>5</v>
      </c>
      <c r="L621">
        <v>5</v>
      </c>
      <c r="M621">
        <v>-1</v>
      </c>
      <c r="N621">
        <v>-1</v>
      </c>
      <c r="O621">
        <v>-1</v>
      </c>
      <c r="P621">
        <v>-1</v>
      </c>
      <c r="Q621">
        <v>-1</v>
      </c>
      <c r="R621">
        <v>-1</v>
      </c>
      <c r="S621">
        <v>-1</v>
      </c>
      <c r="T621">
        <v>-1</v>
      </c>
      <c r="U621">
        <v>0.5</v>
      </c>
      <c r="V621">
        <v>0.4</v>
      </c>
      <c r="W621">
        <v>0.1</v>
      </c>
      <c r="X621">
        <v>-1</v>
      </c>
      <c r="Y621">
        <v>-1</v>
      </c>
      <c r="Z621">
        <v>-1</v>
      </c>
      <c r="AA621">
        <v>-1</v>
      </c>
      <c r="AB621">
        <v>-1</v>
      </c>
      <c r="AC621">
        <v>-1</v>
      </c>
      <c r="AD621">
        <v>-1</v>
      </c>
      <c r="AE621">
        <v>-1</v>
      </c>
      <c r="AF621">
        <v>1</v>
      </c>
      <c r="AG621">
        <v>3</v>
      </c>
      <c r="AH621">
        <v>5</v>
      </c>
      <c r="AI621">
        <v>-1</v>
      </c>
      <c r="AJ621">
        <v>-1</v>
      </c>
      <c r="AK621">
        <v>-1</v>
      </c>
      <c r="AL621">
        <v>-1</v>
      </c>
      <c r="AM621">
        <v>-1</v>
      </c>
      <c r="AN621">
        <v>-1</v>
      </c>
      <c r="AO621">
        <v>-1</v>
      </c>
      <c r="AP621">
        <v>-1</v>
      </c>
      <c r="AQ621">
        <v>0</v>
      </c>
      <c r="AR621" t="s">
        <v>2</v>
      </c>
      <c r="AS621">
        <v>-1</v>
      </c>
      <c r="AT621">
        <v>-1</v>
      </c>
      <c r="AU621">
        <v>-1</v>
      </c>
      <c r="AV621">
        <v>-1</v>
      </c>
      <c r="AW621">
        <v>-1</v>
      </c>
      <c r="AX621">
        <v>-1</v>
      </c>
      <c r="AY621">
        <v>-1</v>
      </c>
      <c r="AZ621">
        <v>-1</v>
      </c>
      <c r="BA621">
        <v>-1</v>
      </c>
      <c r="BB621">
        <v>0</v>
      </c>
      <c r="BC621" t="s">
        <v>2</v>
      </c>
      <c r="BD621">
        <v>-1</v>
      </c>
      <c r="BE621">
        <v>-1</v>
      </c>
      <c r="BF621">
        <v>-1</v>
      </c>
      <c r="BG621">
        <v>-1</v>
      </c>
      <c r="BH621">
        <v>-1</v>
      </c>
      <c r="BI621">
        <v>-1</v>
      </c>
      <c r="BJ621">
        <v>-1</v>
      </c>
      <c r="BK621">
        <v>-1</v>
      </c>
      <c r="BL621">
        <v>-1</v>
      </c>
      <c r="BM621">
        <v>-1</v>
      </c>
      <c r="BN621">
        <v>-1</v>
      </c>
      <c r="BO621">
        <v>-1</v>
      </c>
    </row>
    <row r="622" spans="1:67" x14ac:dyDescent="0.25">
      <c r="A622">
        <v>619</v>
      </c>
      <c r="B622">
        <v>9101</v>
      </c>
      <c r="C622" t="str">
        <f>VLOOKUP(B622,[1]resources!$A$2:$D$300,3,FALSE)</f>
        <v>!!FOOD_SNICKERDOODLE</v>
      </c>
      <c r="D622">
        <v>106</v>
      </c>
      <c r="E622" t="str">
        <f>VLOOKUP(D622,[1]bonus_paytable!$A$2:$D$300,3,FALSE)</f>
        <v>christmas_gold</v>
      </c>
      <c r="F622">
        <v>-1</v>
      </c>
      <c r="G622">
        <v>-1</v>
      </c>
      <c r="H622">
        <v>1</v>
      </c>
      <c r="I622" t="s">
        <v>0</v>
      </c>
      <c r="J622">
        <v>3</v>
      </c>
      <c r="K622">
        <v>3</v>
      </c>
      <c r="L622">
        <v>3</v>
      </c>
      <c r="M622">
        <v>-1</v>
      </c>
      <c r="N622">
        <v>-1</v>
      </c>
      <c r="O622">
        <v>-1</v>
      </c>
      <c r="P622">
        <v>-1</v>
      </c>
      <c r="Q622">
        <v>-1</v>
      </c>
      <c r="R622">
        <v>-1</v>
      </c>
      <c r="S622">
        <v>-1</v>
      </c>
      <c r="T622">
        <v>-1</v>
      </c>
      <c r="U622">
        <v>0.5</v>
      </c>
      <c r="V622">
        <v>0.4</v>
      </c>
      <c r="W622">
        <v>0.1</v>
      </c>
      <c r="X622">
        <v>-1</v>
      </c>
      <c r="Y622">
        <v>-1</v>
      </c>
      <c r="Z622">
        <v>-1</v>
      </c>
      <c r="AA622">
        <v>-1</v>
      </c>
      <c r="AB622">
        <v>-1</v>
      </c>
      <c r="AC622">
        <v>-1</v>
      </c>
      <c r="AD622">
        <v>-1</v>
      </c>
      <c r="AE622">
        <v>-1</v>
      </c>
      <c r="AF622">
        <v>5</v>
      </c>
      <c r="AG622">
        <v>10</v>
      </c>
      <c r="AH622">
        <v>15</v>
      </c>
      <c r="AI622">
        <v>-1</v>
      </c>
      <c r="AJ622">
        <v>-1</v>
      </c>
      <c r="AK622">
        <v>-1</v>
      </c>
      <c r="AL622">
        <v>-1</v>
      </c>
      <c r="AM622">
        <v>-1</v>
      </c>
      <c r="AN622">
        <v>-1</v>
      </c>
      <c r="AO622">
        <v>-1</v>
      </c>
      <c r="AP622">
        <v>-1</v>
      </c>
      <c r="AQ622">
        <v>0</v>
      </c>
      <c r="AR622" t="s">
        <v>2</v>
      </c>
      <c r="AS622">
        <v>-1</v>
      </c>
      <c r="AT622">
        <v>-1</v>
      </c>
      <c r="AU622">
        <v>-1</v>
      </c>
      <c r="AV622">
        <v>-1</v>
      </c>
      <c r="AW622">
        <v>-1</v>
      </c>
      <c r="AX622">
        <v>-1</v>
      </c>
      <c r="AY622">
        <v>-1</v>
      </c>
      <c r="AZ622">
        <v>-1</v>
      </c>
      <c r="BA622">
        <v>-1</v>
      </c>
      <c r="BB622">
        <v>0</v>
      </c>
      <c r="BC622" t="s">
        <v>2</v>
      </c>
      <c r="BD622">
        <v>-1</v>
      </c>
      <c r="BE622">
        <v>-1</v>
      </c>
      <c r="BF622">
        <v>-1</v>
      </c>
      <c r="BG622">
        <v>-1</v>
      </c>
      <c r="BH622">
        <v>-1</v>
      </c>
      <c r="BI622">
        <v>-1</v>
      </c>
      <c r="BJ622">
        <v>-1</v>
      </c>
      <c r="BK622">
        <v>-1</v>
      </c>
      <c r="BL622">
        <v>-1</v>
      </c>
      <c r="BM622">
        <v>-1</v>
      </c>
      <c r="BN622">
        <v>-1</v>
      </c>
      <c r="BO622">
        <v>-1</v>
      </c>
    </row>
    <row r="623" spans="1:67" x14ac:dyDescent="0.25">
      <c r="A623">
        <v>620</v>
      </c>
      <c r="B623">
        <v>9102</v>
      </c>
      <c r="C623" t="str">
        <f>VLOOKUP(B623,[1]resources!$A$2:$D$300,3,FALSE)</f>
        <v>!!FOOD_ROASTED_CHESTNUT</v>
      </c>
      <c r="D623">
        <v>106</v>
      </c>
      <c r="E623" t="str">
        <f>VLOOKUP(D623,[1]bonus_paytable!$A$2:$D$300,3,FALSE)</f>
        <v>christmas_gold</v>
      </c>
      <c r="F623">
        <v>-1</v>
      </c>
      <c r="G623">
        <v>-1</v>
      </c>
      <c r="H623">
        <v>1</v>
      </c>
      <c r="I623" t="s">
        <v>0</v>
      </c>
      <c r="J623">
        <v>3</v>
      </c>
      <c r="K623">
        <v>3</v>
      </c>
      <c r="L623">
        <v>3</v>
      </c>
      <c r="M623">
        <v>-1</v>
      </c>
      <c r="N623">
        <v>-1</v>
      </c>
      <c r="O623">
        <v>-1</v>
      </c>
      <c r="P623">
        <v>-1</v>
      </c>
      <c r="Q623">
        <v>-1</v>
      </c>
      <c r="R623">
        <v>-1</v>
      </c>
      <c r="S623">
        <v>-1</v>
      </c>
      <c r="T623">
        <v>-1</v>
      </c>
      <c r="U623">
        <v>0.5</v>
      </c>
      <c r="V623">
        <v>0.4</v>
      </c>
      <c r="W623">
        <v>0.1</v>
      </c>
      <c r="X623">
        <v>-1</v>
      </c>
      <c r="Y623">
        <v>-1</v>
      </c>
      <c r="Z623">
        <v>-1</v>
      </c>
      <c r="AA623">
        <v>-1</v>
      </c>
      <c r="AB623">
        <v>-1</v>
      </c>
      <c r="AC623">
        <v>-1</v>
      </c>
      <c r="AD623">
        <v>-1</v>
      </c>
      <c r="AE623">
        <v>-1</v>
      </c>
      <c r="AF623">
        <v>5</v>
      </c>
      <c r="AG623">
        <v>10</v>
      </c>
      <c r="AH623">
        <v>15</v>
      </c>
      <c r="AI623">
        <v>-1</v>
      </c>
      <c r="AJ623">
        <v>-1</v>
      </c>
      <c r="AK623">
        <v>-1</v>
      </c>
      <c r="AL623">
        <v>-1</v>
      </c>
      <c r="AM623">
        <v>-1</v>
      </c>
      <c r="AN623">
        <v>-1</v>
      </c>
      <c r="AO623">
        <v>-1</v>
      </c>
      <c r="AP623">
        <v>-1</v>
      </c>
      <c r="AQ623">
        <v>0</v>
      </c>
      <c r="AR623" t="s">
        <v>2</v>
      </c>
      <c r="AS623">
        <v>-1</v>
      </c>
      <c r="AT623">
        <v>-1</v>
      </c>
      <c r="AU623">
        <v>-1</v>
      </c>
      <c r="AV623">
        <v>-1</v>
      </c>
      <c r="AW623">
        <v>-1</v>
      </c>
      <c r="AX623">
        <v>-1</v>
      </c>
      <c r="AY623">
        <v>-1</v>
      </c>
      <c r="AZ623">
        <v>-1</v>
      </c>
      <c r="BA623">
        <v>-1</v>
      </c>
      <c r="BB623">
        <v>0</v>
      </c>
      <c r="BC623" t="s">
        <v>2</v>
      </c>
      <c r="BD623">
        <v>-1</v>
      </c>
      <c r="BE623">
        <v>-1</v>
      </c>
      <c r="BF623">
        <v>-1</v>
      </c>
      <c r="BG623">
        <v>-1</v>
      </c>
      <c r="BH623">
        <v>-1</v>
      </c>
      <c r="BI623">
        <v>-1</v>
      </c>
      <c r="BJ623">
        <v>-1</v>
      </c>
      <c r="BK623">
        <v>-1</v>
      </c>
      <c r="BL623">
        <v>-1</v>
      </c>
      <c r="BM623">
        <v>-1</v>
      </c>
      <c r="BN623">
        <v>-1</v>
      </c>
      <c r="BO623">
        <v>-1</v>
      </c>
    </row>
    <row r="624" spans="1:67" x14ac:dyDescent="0.25">
      <c r="A624">
        <v>621</v>
      </c>
      <c r="B624">
        <v>9103</v>
      </c>
      <c r="C624" t="str">
        <f>VLOOKUP(B624,[1]resources!$A$2:$D$300,3,FALSE)</f>
        <v>!!FOOD_PEANUT_BRITTLE</v>
      </c>
      <c r="D624">
        <v>106</v>
      </c>
      <c r="E624" t="str">
        <f>VLOOKUP(D624,[1]bonus_paytable!$A$2:$D$300,3,FALSE)</f>
        <v>christmas_gold</v>
      </c>
      <c r="F624">
        <v>-1</v>
      </c>
      <c r="G624">
        <v>-1</v>
      </c>
      <c r="H624">
        <v>1</v>
      </c>
      <c r="I624" t="s">
        <v>0</v>
      </c>
      <c r="J624">
        <v>3</v>
      </c>
      <c r="K624">
        <v>3</v>
      </c>
      <c r="L624">
        <v>3</v>
      </c>
      <c r="M624">
        <v>-1</v>
      </c>
      <c r="N624">
        <v>-1</v>
      </c>
      <c r="O624">
        <v>-1</v>
      </c>
      <c r="P624">
        <v>-1</v>
      </c>
      <c r="Q624">
        <v>-1</v>
      </c>
      <c r="R624">
        <v>-1</v>
      </c>
      <c r="S624">
        <v>-1</v>
      </c>
      <c r="T624">
        <v>-1</v>
      </c>
      <c r="U624">
        <v>0.5</v>
      </c>
      <c r="V624">
        <v>0.4</v>
      </c>
      <c r="W624">
        <v>0.1</v>
      </c>
      <c r="X624">
        <v>-1</v>
      </c>
      <c r="Y624">
        <v>-1</v>
      </c>
      <c r="Z624">
        <v>-1</v>
      </c>
      <c r="AA624">
        <v>-1</v>
      </c>
      <c r="AB624">
        <v>-1</v>
      </c>
      <c r="AC624">
        <v>-1</v>
      </c>
      <c r="AD624">
        <v>-1</v>
      </c>
      <c r="AE624">
        <v>-1</v>
      </c>
      <c r="AF624">
        <v>5</v>
      </c>
      <c r="AG624">
        <v>10</v>
      </c>
      <c r="AH624">
        <v>15</v>
      </c>
      <c r="AI624">
        <v>-1</v>
      </c>
      <c r="AJ624">
        <v>-1</v>
      </c>
      <c r="AK624">
        <v>-1</v>
      </c>
      <c r="AL624">
        <v>-1</v>
      </c>
      <c r="AM624">
        <v>-1</v>
      </c>
      <c r="AN624">
        <v>-1</v>
      </c>
      <c r="AO624">
        <v>-1</v>
      </c>
      <c r="AP624">
        <v>-1</v>
      </c>
      <c r="AQ624">
        <v>0</v>
      </c>
      <c r="AR624" t="s">
        <v>2</v>
      </c>
      <c r="AS624">
        <v>-1</v>
      </c>
      <c r="AT624">
        <v>-1</v>
      </c>
      <c r="AU624">
        <v>-1</v>
      </c>
      <c r="AV624">
        <v>-1</v>
      </c>
      <c r="AW624">
        <v>-1</v>
      </c>
      <c r="AX624">
        <v>-1</v>
      </c>
      <c r="AY624">
        <v>-1</v>
      </c>
      <c r="AZ624">
        <v>-1</v>
      </c>
      <c r="BA624">
        <v>-1</v>
      </c>
      <c r="BB624">
        <v>0</v>
      </c>
      <c r="BC624" t="s">
        <v>2</v>
      </c>
      <c r="BD624">
        <v>-1</v>
      </c>
      <c r="BE624">
        <v>-1</v>
      </c>
      <c r="BF624">
        <v>-1</v>
      </c>
      <c r="BG624">
        <v>-1</v>
      </c>
      <c r="BH624">
        <v>-1</v>
      </c>
      <c r="BI624">
        <v>-1</v>
      </c>
      <c r="BJ624">
        <v>-1</v>
      </c>
      <c r="BK624">
        <v>-1</v>
      </c>
      <c r="BL624">
        <v>-1</v>
      </c>
      <c r="BM624">
        <v>-1</v>
      </c>
      <c r="BN624">
        <v>-1</v>
      </c>
      <c r="BO624">
        <v>-1</v>
      </c>
    </row>
    <row r="625" spans="1:67" x14ac:dyDescent="0.25">
      <c r="A625">
        <v>622</v>
      </c>
      <c r="B625">
        <v>9104</v>
      </c>
      <c r="C625" t="str">
        <f>VLOOKUP(B625,[1]resources!$A$2:$D$300,3,FALSE)</f>
        <v>!!FOOD_BREAD_PUDDING</v>
      </c>
      <c r="D625">
        <v>106</v>
      </c>
      <c r="E625" t="str">
        <f>VLOOKUP(D625,[1]bonus_paytable!$A$2:$D$300,3,FALSE)</f>
        <v>christmas_gold</v>
      </c>
      <c r="F625">
        <v>-1</v>
      </c>
      <c r="G625">
        <v>-1</v>
      </c>
      <c r="H625">
        <v>1</v>
      </c>
      <c r="I625" t="s">
        <v>0</v>
      </c>
      <c r="J625">
        <v>3</v>
      </c>
      <c r="K625">
        <v>3</v>
      </c>
      <c r="L625">
        <v>3</v>
      </c>
      <c r="M625">
        <v>-1</v>
      </c>
      <c r="N625">
        <v>-1</v>
      </c>
      <c r="O625">
        <v>-1</v>
      </c>
      <c r="P625">
        <v>-1</v>
      </c>
      <c r="Q625">
        <v>-1</v>
      </c>
      <c r="R625">
        <v>-1</v>
      </c>
      <c r="S625">
        <v>-1</v>
      </c>
      <c r="T625">
        <v>-1</v>
      </c>
      <c r="U625">
        <v>0.5</v>
      </c>
      <c r="V625">
        <v>0.4</v>
      </c>
      <c r="W625">
        <v>0.1</v>
      </c>
      <c r="X625">
        <v>-1</v>
      </c>
      <c r="Y625">
        <v>-1</v>
      </c>
      <c r="Z625">
        <v>-1</v>
      </c>
      <c r="AA625">
        <v>-1</v>
      </c>
      <c r="AB625">
        <v>-1</v>
      </c>
      <c r="AC625">
        <v>-1</v>
      </c>
      <c r="AD625">
        <v>-1</v>
      </c>
      <c r="AE625">
        <v>-1</v>
      </c>
      <c r="AF625">
        <v>5</v>
      </c>
      <c r="AG625">
        <v>10</v>
      </c>
      <c r="AH625">
        <v>15</v>
      </c>
      <c r="AI625">
        <v>-1</v>
      </c>
      <c r="AJ625">
        <v>-1</v>
      </c>
      <c r="AK625">
        <v>-1</v>
      </c>
      <c r="AL625">
        <v>-1</v>
      </c>
      <c r="AM625">
        <v>-1</v>
      </c>
      <c r="AN625">
        <v>-1</v>
      </c>
      <c r="AO625">
        <v>-1</v>
      </c>
      <c r="AP625">
        <v>-1</v>
      </c>
      <c r="AQ625">
        <v>0</v>
      </c>
      <c r="AR625" t="s">
        <v>2</v>
      </c>
      <c r="AS625">
        <v>-1</v>
      </c>
      <c r="AT625">
        <v>-1</v>
      </c>
      <c r="AU625">
        <v>-1</v>
      </c>
      <c r="AV625">
        <v>-1</v>
      </c>
      <c r="AW625">
        <v>-1</v>
      </c>
      <c r="AX625">
        <v>-1</v>
      </c>
      <c r="AY625">
        <v>-1</v>
      </c>
      <c r="AZ625">
        <v>-1</v>
      </c>
      <c r="BA625">
        <v>-1</v>
      </c>
      <c r="BB625">
        <v>0</v>
      </c>
      <c r="BC625" t="s">
        <v>2</v>
      </c>
      <c r="BD625">
        <v>-1</v>
      </c>
      <c r="BE625">
        <v>-1</v>
      </c>
      <c r="BF625">
        <v>-1</v>
      </c>
      <c r="BG625">
        <v>-1</v>
      </c>
      <c r="BH625">
        <v>-1</v>
      </c>
      <c r="BI625">
        <v>-1</v>
      </c>
      <c r="BJ625">
        <v>-1</v>
      </c>
      <c r="BK625">
        <v>-1</v>
      </c>
      <c r="BL625">
        <v>-1</v>
      </c>
      <c r="BM625">
        <v>-1</v>
      </c>
      <c r="BN625">
        <v>-1</v>
      </c>
      <c r="BO625">
        <v>-1</v>
      </c>
    </row>
    <row r="626" spans="1:67" x14ac:dyDescent="0.25">
      <c r="A626">
        <v>623</v>
      </c>
      <c r="B626">
        <v>9105</v>
      </c>
      <c r="C626" t="str">
        <f>VLOOKUP(B626,[1]resources!$A$2:$D$300,3,FALSE)</f>
        <v>!!FOOD_YULE_LOG_CAKE</v>
      </c>
      <c r="D626">
        <v>106</v>
      </c>
      <c r="E626" t="str">
        <f>VLOOKUP(D626,[1]bonus_paytable!$A$2:$D$300,3,FALSE)</f>
        <v>christmas_gold</v>
      </c>
      <c r="F626">
        <v>-1</v>
      </c>
      <c r="G626">
        <v>-1</v>
      </c>
      <c r="H626">
        <v>1</v>
      </c>
      <c r="I626" t="s">
        <v>0</v>
      </c>
      <c r="J626">
        <v>3</v>
      </c>
      <c r="K626">
        <v>3</v>
      </c>
      <c r="L626">
        <v>3</v>
      </c>
      <c r="M626">
        <v>-1</v>
      </c>
      <c r="N626">
        <v>-1</v>
      </c>
      <c r="O626">
        <v>-1</v>
      </c>
      <c r="P626">
        <v>-1</v>
      </c>
      <c r="Q626">
        <v>-1</v>
      </c>
      <c r="R626">
        <v>-1</v>
      </c>
      <c r="S626">
        <v>-1</v>
      </c>
      <c r="T626">
        <v>-1</v>
      </c>
      <c r="U626">
        <v>0.5</v>
      </c>
      <c r="V626">
        <v>0.4</v>
      </c>
      <c r="W626">
        <v>0.1</v>
      </c>
      <c r="X626">
        <v>-1</v>
      </c>
      <c r="Y626">
        <v>-1</v>
      </c>
      <c r="Z626">
        <v>-1</v>
      </c>
      <c r="AA626">
        <v>-1</v>
      </c>
      <c r="AB626">
        <v>-1</v>
      </c>
      <c r="AC626">
        <v>-1</v>
      </c>
      <c r="AD626">
        <v>-1</v>
      </c>
      <c r="AE626">
        <v>-1</v>
      </c>
      <c r="AF626">
        <v>5</v>
      </c>
      <c r="AG626">
        <v>10</v>
      </c>
      <c r="AH626">
        <v>15</v>
      </c>
      <c r="AI626">
        <v>-1</v>
      </c>
      <c r="AJ626">
        <v>-1</v>
      </c>
      <c r="AK626">
        <v>-1</v>
      </c>
      <c r="AL626">
        <v>-1</v>
      </c>
      <c r="AM626">
        <v>-1</v>
      </c>
      <c r="AN626">
        <v>-1</v>
      </c>
      <c r="AO626">
        <v>-1</v>
      </c>
      <c r="AP626">
        <v>-1</v>
      </c>
      <c r="AQ626">
        <v>0</v>
      </c>
      <c r="AR626" t="s">
        <v>2</v>
      </c>
      <c r="AS626">
        <v>-1</v>
      </c>
      <c r="AT626">
        <v>-1</v>
      </c>
      <c r="AU626">
        <v>-1</v>
      </c>
      <c r="AV626">
        <v>-1</v>
      </c>
      <c r="AW626">
        <v>-1</v>
      </c>
      <c r="AX626">
        <v>-1</v>
      </c>
      <c r="AY626">
        <v>-1</v>
      </c>
      <c r="AZ626">
        <v>-1</v>
      </c>
      <c r="BA626">
        <v>-1</v>
      </c>
      <c r="BB626">
        <v>0</v>
      </c>
      <c r="BC626" t="s">
        <v>2</v>
      </c>
      <c r="BD626">
        <v>-1</v>
      </c>
      <c r="BE626">
        <v>-1</v>
      </c>
      <c r="BF626">
        <v>-1</v>
      </c>
      <c r="BG626">
        <v>-1</v>
      </c>
      <c r="BH626">
        <v>-1</v>
      </c>
      <c r="BI626">
        <v>-1</v>
      </c>
      <c r="BJ626">
        <v>-1</v>
      </c>
      <c r="BK626">
        <v>-1</v>
      </c>
      <c r="BL626">
        <v>-1</v>
      </c>
      <c r="BM626">
        <v>-1</v>
      </c>
      <c r="BN626">
        <v>-1</v>
      </c>
      <c r="BO626">
        <v>-1</v>
      </c>
    </row>
    <row r="627" spans="1:67" x14ac:dyDescent="0.25">
      <c r="A627">
        <v>624</v>
      </c>
      <c r="B627">
        <v>9119</v>
      </c>
      <c r="C627" t="str">
        <f>VLOOKUP(B627,[1]resources!$A$2:$D$300,3,FALSE)</f>
        <v>!!FOOD_CHRISTMAS_COOKIE</v>
      </c>
      <c r="D627">
        <v>106</v>
      </c>
      <c r="E627" t="str">
        <f>VLOOKUP(D627,[1]bonus_paytable!$A$2:$D$300,3,FALSE)</f>
        <v>christmas_gold</v>
      </c>
      <c r="F627">
        <v>-1</v>
      </c>
      <c r="G627">
        <v>-1</v>
      </c>
      <c r="H627">
        <v>1</v>
      </c>
      <c r="I627" t="s">
        <v>0</v>
      </c>
      <c r="J627">
        <v>3</v>
      </c>
      <c r="K627">
        <v>3</v>
      </c>
      <c r="L627">
        <v>3</v>
      </c>
      <c r="M627">
        <v>-1</v>
      </c>
      <c r="N627">
        <v>-1</v>
      </c>
      <c r="O627">
        <v>-1</v>
      </c>
      <c r="P627">
        <v>-1</v>
      </c>
      <c r="Q627">
        <v>-1</v>
      </c>
      <c r="R627">
        <v>-1</v>
      </c>
      <c r="S627">
        <v>-1</v>
      </c>
      <c r="T627">
        <v>-1</v>
      </c>
      <c r="U627">
        <v>0.5</v>
      </c>
      <c r="V627">
        <v>0.4</v>
      </c>
      <c r="W627">
        <v>0.1</v>
      </c>
      <c r="X627">
        <v>-1</v>
      </c>
      <c r="Y627">
        <v>-1</v>
      </c>
      <c r="Z627">
        <v>-1</v>
      </c>
      <c r="AA627">
        <v>-1</v>
      </c>
      <c r="AB627">
        <v>-1</v>
      </c>
      <c r="AC627">
        <v>-1</v>
      </c>
      <c r="AD627">
        <v>-1</v>
      </c>
      <c r="AE627">
        <v>-1</v>
      </c>
      <c r="AF627">
        <v>5</v>
      </c>
      <c r="AG627">
        <v>10</v>
      </c>
      <c r="AH627">
        <v>15</v>
      </c>
      <c r="AI627">
        <v>-1</v>
      </c>
      <c r="AJ627">
        <v>-1</v>
      </c>
      <c r="AK627">
        <v>-1</v>
      </c>
      <c r="AL627">
        <v>-1</v>
      </c>
      <c r="AM627">
        <v>-1</v>
      </c>
      <c r="AN627">
        <v>-1</v>
      </c>
      <c r="AO627">
        <v>-1</v>
      </c>
      <c r="AP627">
        <v>-1</v>
      </c>
      <c r="AQ627">
        <v>0</v>
      </c>
      <c r="AR627" t="s">
        <v>2</v>
      </c>
      <c r="AS627">
        <v>-1</v>
      </c>
      <c r="AT627">
        <v>-1</v>
      </c>
      <c r="AU627">
        <v>-1</v>
      </c>
      <c r="AV627">
        <v>-1</v>
      </c>
      <c r="AW627">
        <v>-1</v>
      </c>
      <c r="AX627">
        <v>-1</v>
      </c>
      <c r="AY627">
        <v>-1</v>
      </c>
      <c r="AZ627">
        <v>-1</v>
      </c>
      <c r="BA627">
        <v>-1</v>
      </c>
      <c r="BB627">
        <v>0</v>
      </c>
      <c r="BC627" t="s">
        <v>2</v>
      </c>
      <c r="BD627">
        <v>-1</v>
      </c>
      <c r="BE627">
        <v>-1</v>
      </c>
      <c r="BF627">
        <v>-1</v>
      </c>
      <c r="BG627">
        <v>-1</v>
      </c>
      <c r="BH627">
        <v>-1</v>
      </c>
      <c r="BI627">
        <v>-1</v>
      </c>
      <c r="BJ627">
        <v>-1</v>
      </c>
      <c r="BK627">
        <v>-1</v>
      </c>
      <c r="BL627">
        <v>-1</v>
      </c>
      <c r="BM627">
        <v>-1</v>
      </c>
      <c r="BN627">
        <v>-1</v>
      </c>
      <c r="BO627">
        <v>-1</v>
      </c>
    </row>
    <row r="628" spans="1:67" x14ac:dyDescent="0.25">
      <c r="A628">
        <v>625</v>
      </c>
      <c r="B628">
        <v>9120</v>
      </c>
      <c r="C628" t="str">
        <f>VLOOKUP(B628,[1]resources!$A$2:$D$300,3,FALSE)</f>
        <v>!!FOOD_APPLE_CIDER</v>
      </c>
      <c r="D628">
        <v>106</v>
      </c>
      <c r="E628" t="str">
        <f>VLOOKUP(D628,[1]bonus_paytable!$A$2:$D$300,3,FALSE)</f>
        <v>christmas_gold</v>
      </c>
      <c r="F628">
        <v>-1</v>
      </c>
      <c r="G628">
        <v>-1</v>
      </c>
      <c r="H628">
        <v>1</v>
      </c>
      <c r="I628" t="s">
        <v>0</v>
      </c>
      <c r="J628">
        <v>3</v>
      </c>
      <c r="K628">
        <v>3</v>
      </c>
      <c r="L628">
        <v>3</v>
      </c>
      <c r="M628">
        <v>-1</v>
      </c>
      <c r="N628">
        <v>-1</v>
      </c>
      <c r="O628">
        <v>-1</v>
      </c>
      <c r="P628">
        <v>-1</v>
      </c>
      <c r="Q628">
        <v>-1</v>
      </c>
      <c r="R628">
        <v>-1</v>
      </c>
      <c r="S628">
        <v>-1</v>
      </c>
      <c r="T628">
        <v>-1</v>
      </c>
      <c r="U628">
        <v>0.5</v>
      </c>
      <c r="V628">
        <v>0.4</v>
      </c>
      <c r="W628">
        <v>0.1</v>
      </c>
      <c r="X628">
        <v>-1</v>
      </c>
      <c r="Y628">
        <v>-1</v>
      </c>
      <c r="Z628">
        <v>-1</v>
      </c>
      <c r="AA628">
        <v>-1</v>
      </c>
      <c r="AB628">
        <v>-1</v>
      </c>
      <c r="AC628">
        <v>-1</v>
      </c>
      <c r="AD628">
        <v>-1</v>
      </c>
      <c r="AE628">
        <v>-1</v>
      </c>
      <c r="AF628">
        <v>5</v>
      </c>
      <c r="AG628">
        <v>10</v>
      </c>
      <c r="AH628">
        <v>15</v>
      </c>
      <c r="AI628">
        <v>-1</v>
      </c>
      <c r="AJ628">
        <v>-1</v>
      </c>
      <c r="AK628">
        <v>-1</v>
      </c>
      <c r="AL628">
        <v>-1</v>
      </c>
      <c r="AM628">
        <v>-1</v>
      </c>
      <c r="AN628">
        <v>-1</v>
      </c>
      <c r="AO628">
        <v>-1</v>
      </c>
      <c r="AP628">
        <v>-1</v>
      </c>
      <c r="AQ628">
        <v>0</v>
      </c>
      <c r="AR628" t="s">
        <v>2</v>
      </c>
      <c r="AS628">
        <v>-1</v>
      </c>
      <c r="AT628">
        <v>-1</v>
      </c>
      <c r="AU628">
        <v>-1</v>
      </c>
      <c r="AV628">
        <v>-1</v>
      </c>
      <c r="AW628">
        <v>-1</v>
      </c>
      <c r="AX628">
        <v>-1</v>
      </c>
      <c r="AY628">
        <v>-1</v>
      </c>
      <c r="AZ628">
        <v>-1</v>
      </c>
      <c r="BA628">
        <v>-1</v>
      </c>
      <c r="BB628">
        <v>0</v>
      </c>
      <c r="BC628" t="s">
        <v>2</v>
      </c>
      <c r="BD628">
        <v>-1</v>
      </c>
      <c r="BE628">
        <v>-1</v>
      </c>
      <c r="BF628">
        <v>-1</v>
      </c>
      <c r="BG628">
        <v>-1</v>
      </c>
      <c r="BH628">
        <v>-1</v>
      </c>
      <c r="BI628">
        <v>-1</v>
      </c>
      <c r="BJ628">
        <v>-1</v>
      </c>
      <c r="BK628">
        <v>-1</v>
      </c>
      <c r="BL628">
        <v>-1</v>
      </c>
      <c r="BM628">
        <v>-1</v>
      </c>
      <c r="BN628">
        <v>-1</v>
      </c>
      <c r="BO628">
        <v>-1</v>
      </c>
    </row>
    <row r="629" spans="1:67" x14ac:dyDescent="0.25">
      <c r="A629">
        <v>626</v>
      </c>
      <c r="B629">
        <v>9121</v>
      </c>
      <c r="C629" t="str">
        <f>VLOOKUP(B629,[1]resources!$A$2:$D$300,3,FALSE)</f>
        <v>!!FOOD_GINGERBREAD_ELF</v>
      </c>
      <c r="D629">
        <v>106</v>
      </c>
      <c r="E629" t="str">
        <f>VLOOKUP(D629,[1]bonus_paytable!$A$2:$D$300,3,FALSE)</f>
        <v>christmas_gold</v>
      </c>
      <c r="F629">
        <v>-1</v>
      </c>
      <c r="G629">
        <v>-1</v>
      </c>
      <c r="H629">
        <v>1</v>
      </c>
      <c r="I629" t="s">
        <v>0</v>
      </c>
      <c r="J629">
        <v>3</v>
      </c>
      <c r="K629">
        <v>3</v>
      </c>
      <c r="L629">
        <v>3</v>
      </c>
      <c r="M629">
        <v>-1</v>
      </c>
      <c r="N629">
        <v>-1</v>
      </c>
      <c r="O629">
        <v>-1</v>
      </c>
      <c r="P629">
        <v>-1</v>
      </c>
      <c r="Q629">
        <v>-1</v>
      </c>
      <c r="R629">
        <v>-1</v>
      </c>
      <c r="S629">
        <v>-1</v>
      </c>
      <c r="T629">
        <v>-1</v>
      </c>
      <c r="U629">
        <v>0.5</v>
      </c>
      <c r="V629">
        <v>0.4</v>
      </c>
      <c r="W629">
        <v>0.1</v>
      </c>
      <c r="X629">
        <v>-1</v>
      </c>
      <c r="Y629">
        <v>-1</v>
      </c>
      <c r="Z629">
        <v>-1</v>
      </c>
      <c r="AA629">
        <v>-1</v>
      </c>
      <c r="AB629">
        <v>-1</v>
      </c>
      <c r="AC629">
        <v>-1</v>
      </c>
      <c r="AD629">
        <v>-1</v>
      </c>
      <c r="AE629">
        <v>-1</v>
      </c>
      <c r="AF629">
        <v>5</v>
      </c>
      <c r="AG629">
        <v>10</v>
      </c>
      <c r="AH629">
        <v>15</v>
      </c>
      <c r="AI629">
        <v>-1</v>
      </c>
      <c r="AJ629">
        <v>-1</v>
      </c>
      <c r="AK629">
        <v>-1</v>
      </c>
      <c r="AL629">
        <v>-1</v>
      </c>
      <c r="AM629">
        <v>-1</v>
      </c>
      <c r="AN629">
        <v>-1</v>
      </c>
      <c r="AO629">
        <v>-1</v>
      </c>
      <c r="AP629">
        <v>-1</v>
      </c>
      <c r="AQ629">
        <v>0</v>
      </c>
      <c r="AR629" t="s">
        <v>2</v>
      </c>
      <c r="AS629">
        <v>-1</v>
      </c>
      <c r="AT629">
        <v>-1</v>
      </c>
      <c r="AU629">
        <v>-1</v>
      </c>
      <c r="AV629">
        <v>-1</v>
      </c>
      <c r="AW629">
        <v>-1</v>
      </c>
      <c r="AX629">
        <v>-1</v>
      </c>
      <c r="AY629">
        <v>-1</v>
      </c>
      <c r="AZ629">
        <v>-1</v>
      </c>
      <c r="BA629">
        <v>-1</v>
      </c>
      <c r="BB629">
        <v>0</v>
      </c>
      <c r="BC629" t="s">
        <v>2</v>
      </c>
      <c r="BD629">
        <v>-1</v>
      </c>
      <c r="BE629">
        <v>-1</v>
      </c>
      <c r="BF629">
        <v>-1</v>
      </c>
      <c r="BG629">
        <v>-1</v>
      </c>
      <c r="BH629">
        <v>-1</v>
      </c>
      <c r="BI629">
        <v>-1</v>
      </c>
      <c r="BJ629">
        <v>-1</v>
      </c>
      <c r="BK629">
        <v>-1</v>
      </c>
      <c r="BL629">
        <v>-1</v>
      </c>
      <c r="BM629">
        <v>-1</v>
      </c>
      <c r="BN629">
        <v>-1</v>
      </c>
      <c r="BO629">
        <v>-1</v>
      </c>
    </row>
    <row r="630" spans="1:67" x14ac:dyDescent="0.25">
      <c r="A630">
        <v>627</v>
      </c>
      <c r="B630">
        <v>9122</v>
      </c>
      <c r="C630" t="str">
        <f>VLOOKUP(B630,[1]resources!$A$2:$D$300,3,FALSE)</f>
        <v>!!FOOD_CRANBERRY_SAUCE</v>
      </c>
      <c r="D630">
        <v>106</v>
      </c>
      <c r="E630" t="str">
        <f>VLOOKUP(D630,[1]bonus_paytable!$A$2:$D$300,3,FALSE)</f>
        <v>christmas_gold</v>
      </c>
      <c r="F630">
        <v>-1</v>
      </c>
      <c r="G630">
        <v>-1</v>
      </c>
      <c r="H630">
        <v>1</v>
      </c>
      <c r="I630" t="s">
        <v>0</v>
      </c>
      <c r="J630">
        <v>3</v>
      </c>
      <c r="K630">
        <v>3</v>
      </c>
      <c r="L630">
        <v>3</v>
      </c>
      <c r="M630">
        <v>-1</v>
      </c>
      <c r="N630">
        <v>-1</v>
      </c>
      <c r="O630">
        <v>-1</v>
      </c>
      <c r="P630">
        <v>-1</v>
      </c>
      <c r="Q630">
        <v>-1</v>
      </c>
      <c r="R630">
        <v>-1</v>
      </c>
      <c r="S630">
        <v>-1</v>
      </c>
      <c r="T630">
        <v>-1</v>
      </c>
      <c r="U630">
        <v>0.5</v>
      </c>
      <c r="V630">
        <v>0.4</v>
      </c>
      <c r="W630">
        <v>0.1</v>
      </c>
      <c r="X630">
        <v>-1</v>
      </c>
      <c r="Y630">
        <v>-1</v>
      </c>
      <c r="Z630">
        <v>-1</v>
      </c>
      <c r="AA630">
        <v>-1</v>
      </c>
      <c r="AB630">
        <v>-1</v>
      </c>
      <c r="AC630">
        <v>-1</v>
      </c>
      <c r="AD630">
        <v>-1</v>
      </c>
      <c r="AE630">
        <v>-1</v>
      </c>
      <c r="AF630">
        <v>5</v>
      </c>
      <c r="AG630">
        <v>10</v>
      </c>
      <c r="AH630">
        <v>15</v>
      </c>
      <c r="AI630">
        <v>-1</v>
      </c>
      <c r="AJ630">
        <v>-1</v>
      </c>
      <c r="AK630">
        <v>-1</v>
      </c>
      <c r="AL630">
        <v>-1</v>
      </c>
      <c r="AM630">
        <v>-1</v>
      </c>
      <c r="AN630">
        <v>-1</v>
      </c>
      <c r="AO630">
        <v>-1</v>
      </c>
      <c r="AP630">
        <v>-1</v>
      </c>
      <c r="AQ630">
        <v>0</v>
      </c>
      <c r="AR630" t="s">
        <v>2</v>
      </c>
      <c r="AS630">
        <v>-1</v>
      </c>
      <c r="AT630">
        <v>-1</v>
      </c>
      <c r="AU630">
        <v>-1</v>
      </c>
      <c r="AV630">
        <v>-1</v>
      </c>
      <c r="AW630">
        <v>-1</v>
      </c>
      <c r="AX630">
        <v>-1</v>
      </c>
      <c r="AY630">
        <v>-1</v>
      </c>
      <c r="AZ630">
        <v>-1</v>
      </c>
      <c r="BA630">
        <v>-1</v>
      </c>
      <c r="BB630">
        <v>0</v>
      </c>
      <c r="BC630" t="s">
        <v>2</v>
      </c>
      <c r="BD630">
        <v>-1</v>
      </c>
      <c r="BE630">
        <v>-1</v>
      </c>
      <c r="BF630">
        <v>-1</v>
      </c>
      <c r="BG630">
        <v>-1</v>
      </c>
      <c r="BH630">
        <v>-1</v>
      </c>
      <c r="BI630">
        <v>-1</v>
      </c>
      <c r="BJ630">
        <v>-1</v>
      </c>
      <c r="BK630">
        <v>-1</v>
      </c>
      <c r="BL630">
        <v>-1</v>
      </c>
      <c r="BM630">
        <v>-1</v>
      </c>
      <c r="BN630">
        <v>-1</v>
      </c>
      <c r="BO630">
        <v>-1</v>
      </c>
    </row>
    <row r="631" spans="1:67" x14ac:dyDescent="0.25">
      <c r="A631">
        <v>628</v>
      </c>
      <c r="B631">
        <v>9123</v>
      </c>
      <c r="C631" t="str">
        <f>VLOOKUP(B631,[1]resources!$A$2:$D$300,3,FALSE)</f>
        <v>!!FOOD_HOT_CHOCOLATE</v>
      </c>
      <c r="D631">
        <v>106</v>
      </c>
      <c r="E631" t="str">
        <f>VLOOKUP(D631,[1]bonus_paytable!$A$2:$D$300,3,FALSE)</f>
        <v>christmas_gold</v>
      </c>
      <c r="F631">
        <v>-1</v>
      </c>
      <c r="G631">
        <v>-1</v>
      </c>
      <c r="H631">
        <v>1</v>
      </c>
      <c r="I631" t="s">
        <v>0</v>
      </c>
      <c r="J631">
        <v>3</v>
      </c>
      <c r="K631">
        <v>3</v>
      </c>
      <c r="L631">
        <v>3</v>
      </c>
      <c r="M631">
        <v>-1</v>
      </c>
      <c r="N631">
        <v>-1</v>
      </c>
      <c r="O631">
        <v>-1</v>
      </c>
      <c r="P631">
        <v>-1</v>
      </c>
      <c r="Q631">
        <v>-1</v>
      </c>
      <c r="R631">
        <v>-1</v>
      </c>
      <c r="S631">
        <v>-1</v>
      </c>
      <c r="T631">
        <v>-1</v>
      </c>
      <c r="U631">
        <v>0.5</v>
      </c>
      <c r="V631">
        <v>0.4</v>
      </c>
      <c r="W631">
        <v>0.1</v>
      </c>
      <c r="X631">
        <v>-1</v>
      </c>
      <c r="Y631">
        <v>-1</v>
      </c>
      <c r="Z631">
        <v>-1</v>
      </c>
      <c r="AA631">
        <v>-1</v>
      </c>
      <c r="AB631">
        <v>-1</v>
      </c>
      <c r="AC631">
        <v>-1</v>
      </c>
      <c r="AD631">
        <v>-1</v>
      </c>
      <c r="AE631">
        <v>-1</v>
      </c>
      <c r="AF631">
        <v>5</v>
      </c>
      <c r="AG631">
        <v>10</v>
      </c>
      <c r="AH631">
        <v>15</v>
      </c>
      <c r="AI631">
        <v>-1</v>
      </c>
      <c r="AJ631">
        <v>-1</v>
      </c>
      <c r="AK631">
        <v>-1</v>
      </c>
      <c r="AL631">
        <v>-1</v>
      </c>
      <c r="AM631">
        <v>-1</v>
      </c>
      <c r="AN631">
        <v>-1</v>
      </c>
      <c r="AO631">
        <v>-1</v>
      </c>
      <c r="AP631">
        <v>-1</v>
      </c>
      <c r="AQ631">
        <v>0</v>
      </c>
      <c r="AR631" t="s">
        <v>2</v>
      </c>
      <c r="AS631">
        <v>-1</v>
      </c>
      <c r="AT631">
        <v>-1</v>
      </c>
      <c r="AU631">
        <v>-1</v>
      </c>
      <c r="AV631">
        <v>-1</v>
      </c>
      <c r="AW631">
        <v>-1</v>
      </c>
      <c r="AX631">
        <v>-1</v>
      </c>
      <c r="AY631">
        <v>-1</v>
      </c>
      <c r="AZ631">
        <v>-1</v>
      </c>
      <c r="BA631">
        <v>-1</v>
      </c>
      <c r="BB631">
        <v>0</v>
      </c>
      <c r="BC631" t="s">
        <v>2</v>
      </c>
      <c r="BD631">
        <v>-1</v>
      </c>
      <c r="BE631">
        <v>-1</v>
      </c>
      <c r="BF631">
        <v>-1</v>
      </c>
      <c r="BG631">
        <v>-1</v>
      </c>
      <c r="BH631">
        <v>-1</v>
      </c>
      <c r="BI631">
        <v>-1</v>
      </c>
      <c r="BJ631">
        <v>-1</v>
      </c>
      <c r="BK631">
        <v>-1</v>
      </c>
      <c r="BL631">
        <v>-1</v>
      </c>
      <c r="BM631">
        <v>-1</v>
      </c>
      <c r="BN631">
        <v>-1</v>
      </c>
      <c r="BO631">
        <v>-1</v>
      </c>
    </row>
    <row r="632" spans="1:67" x14ac:dyDescent="0.25">
      <c r="A632">
        <v>629</v>
      </c>
      <c r="B632">
        <v>9124</v>
      </c>
      <c r="C632" t="str">
        <f>VLOOKUP(B632,[1]resources!$A$2:$D$300,3,FALSE)</f>
        <v>!!FOOD_CANDY_CANE</v>
      </c>
      <c r="D632">
        <v>106</v>
      </c>
      <c r="E632" t="str">
        <f>VLOOKUP(D632,[1]bonus_paytable!$A$2:$D$300,3,FALSE)</f>
        <v>christmas_gold</v>
      </c>
      <c r="F632">
        <v>-1</v>
      </c>
      <c r="G632">
        <v>-1</v>
      </c>
      <c r="H632">
        <v>1</v>
      </c>
      <c r="I632" t="s">
        <v>0</v>
      </c>
      <c r="J632">
        <v>3</v>
      </c>
      <c r="K632">
        <v>3</v>
      </c>
      <c r="L632">
        <v>3</v>
      </c>
      <c r="M632">
        <v>-1</v>
      </c>
      <c r="N632">
        <v>-1</v>
      </c>
      <c r="O632">
        <v>-1</v>
      </c>
      <c r="P632">
        <v>-1</v>
      </c>
      <c r="Q632">
        <v>-1</v>
      </c>
      <c r="R632">
        <v>-1</v>
      </c>
      <c r="S632">
        <v>-1</v>
      </c>
      <c r="T632">
        <v>-1</v>
      </c>
      <c r="U632">
        <v>0.5</v>
      </c>
      <c r="V632">
        <v>0.4</v>
      </c>
      <c r="W632">
        <v>0.1</v>
      </c>
      <c r="X632">
        <v>-1</v>
      </c>
      <c r="Y632">
        <v>-1</v>
      </c>
      <c r="Z632">
        <v>-1</v>
      </c>
      <c r="AA632">
        <v>-1</v>
      </c>
      <c r="AB632">
        <v>-1</v>
      </c>
      <c r="AC632">
        <v>-1</v>
      </c>
      <c r="AD632">
        <v>-1</v>
      </c>
      <c r="AE632">
        <v>-1</v>
      </c>
      <c r="AF632">
        <v>5</v>
      </c>
      <c r="AG632">
        <v>10</v>
      </c>
      <c r="AH632">
        <v>15</v>
      </c>
      <c r="AI632">
        <v>-1</v>
      </c>
      <c r="AJ632">
        <v>-1</v>
      </c>
      <c r="AK632">
        <v>-1</v>
      </c>
      <c r="AL632">
        <v>-1</v>
      </c>
      <c r="AM632">
        <v>-1</v>
      </c>
      <c r="AN632">
        <v>-1</v>
      </c>
      <c r="AO632">
        <v>-1</v>
      </c>
      <c r="AP632">
        <v>-1</v>
      </c>
      <c r="AQ632">
        <v>0</v>
      </c>
      <c r="AR632" t="s">
        <v>2</v>
      </c>
      <c r="AS632">
        <v>-1</v>
      </c>
      <c r="AT632">
        <v>-1</v>
      </c>
      <c r="AU632">
        <v>-1</v>
      </c>
      <c r="AV632">
        <v>-1</v>
      </c>
      <c r="AW632">
        <v>-1</v>
      </c>
      <c r="AX632">
        <v>-1</v>
      </c>
      <c r="AY632">
        <v>-1</v>
      </c>
      <c r="AZ632">
        <v>-1</v>
      </c>
      <c r="BA632">
        <v>-1</v>
      </c>
      <c r="BB632">
        <v>0</v>
      </c>
      <c r="BC632" t="s">
        <v>2</v>
      </c>
      <c r="BD632">
        <v>-1</v>
      </c>
      <c r="BE632">
        <v>-1</v>
      </c>
      <c r="BF632">
        <v>-1</v>
      </c>
      <c r="BG632">
        <v>-1</v>
      </c>
      <c r="BH632">
        <v>-1</v>
      </c>
      <c r="BI632">
        <v>-1</v>
      </c>
      <c r="BJ632">
        <v>-1</v>
      </c>
      <c r="BK632">
        <v>-1</v>
      </c>
      <c r="BL632">
        <v>-1</v>
      </c>
      <c r="BM632">
        <v>-1</v>
      </c>
      <c r="BN632">
        <v>-1</v>
      </c>
      <c r="BO632">
        <v>-1</v>
      </c>
    </row>
    <row r="633" spans="1:67" x14ac:dyDescent="0.25">
      <c r="A633">
        <v>630</v>
      </c>
      <c r="B633">
        <v>9125</v>
      </c>
      <c r="C633" t="str">
        <f>VLOOKUP(B633,[1]resources!$A$2:$D$300,3,FALSE)</f>
        <v>!!FOOD_ENGLISH_TOFFEE</v>
      </c>
      <c r="D633">
        <v>106</v>
      </c>
      <c r="E633" t="str">
        <f>VLOOKUP(D633,[1]bonus_paytable!$A$2:$D$300,3,FALSE)</f>
        <v>christmas_gold</v>
      </c>
      <c r="F633">
        <v>-1</v>
      </c>
      <c r="G633">
        <v>-1</v>
      </c>
      <c r="H633">
        <v>1</v>
      </c>
      <c r="I633" t="s">
        <v>0</v>
      </c>
      <c r="J633">
        <v>3</v>
      </c>
      <c r="K633">
        <v>3</v>
      </c>
      <c r="L633">
        <v>3</v>
      </c>
      <c r="M633">
        <v>-1</v>
      </c>
      <c r="N633">
        <v>-1</v>
      </c>
      <c r="O633">
        <v>-1</v>
      </c>
      <c r="P633">
        <v>-1</v>
      </c>
      <c r="Q633">
        <v>-1</v>
      </c>
      <c r="R633">
        <v>-1</v>
      </c>
      <c r="S633">
        <v>-1</v>
      </c>
      <c r="T633">
        <v>-1</v>
      </c>
      <c r="U633">
        <v>0.5</v>
      </c>
      <c r="V633">
        <v>0.4</v>
      </c>
      <c r="W633">
        <v>0.1</v>
      </c>
      <c r="X633">
        <v>-1</v>
      </c>
      <c r="Y633">
        <v>-1</v>
      </c>
      <c r="Z633">
        <v>-1</v>
      </c>
      <c r="AA633">
        <v>-1</v>
      </c>
      <c r="AB633">
        <v>-1</v>
      </c>
      <c r="AC633">
        <v>-1</v>
      </c>
      <c r="AD633">
        <v>-1</v>
      </c>
      <c r="AE633">
        <v>-1</v>
      </c>
      <c r="AF633">
        <v>5</v>
      </c>
      <c r="AG633">
        <v>10</v>
      </c>
      <c r="AH633">
        <v>15</v>
      </c>
      <c r="AI633">
        <v>-1</v>
      </c>
      <c r="AJ633">
        <v>-1</v>
      </c>
      <c r="AK633">
        <v>-1</v>
      </c>
      <c r="AL633">
        <v>-1</v>
      </c>
      <c r="AM633">
        <v>-1</v>
      </c>
      <c r="AN633">
        <v>-1</v>
      </c>
      <c r="AO633">
        <v>-1</v>
      </c>
      <c r="AP633">
        <v>-1</v>
      </c>
      <c r="AQ633">
        <v>0</v>
      </c>
      <c r="AR633" t="s">
        <v>2</v>
      </c>
      <c r="AS633">
        <v>-1</v>
      </c>
      <c r="AT633">
        <v>-1</v>
      </c>
      <c r="AU633">
        <v>-1</v>
      </c>
      <c r="AV633">
        <v>-1</v>
      </c>
      <c r="AW633">
        <v>-1</v>
      </c>
      <c r="AX633">
        <v>-1</v>
      </c>
      <c r="AY633">
        <v>-1</v>
      </c>
      <c r="AZ633">
        <v>-1</v>
      </c>
      <c r="BA633">
        <v>-1</v>
      </c>
      <c r="BB633">
        <v>0</v>
      </c>
      <c r="BC633" t="s">
        <v>2</v>
      </c>
      <c r="BD633">
        <v>-1</v>
      </c>
      <c r="BE633">
        <v>-1</v>
      </c>
      <c r="BF633">
        <v>-1</v>
      </c>
      <c r="BG633">
        <v>-1</v>
      </c>
      <c r="BH633">
        <v>-1</v>
      </c>
      <c r="BI633">
        <v>-1</v>
      </c>
      <c r="BJ633">
        <v>-1</v>
      </c>
      <c r="BK633">
        <v>-1</v>
      </c>
      <c r="BL633">
        <v>-1</v>
      </c>
      <c r="BM633">
        <v>-1</v>
      </c>
      <c r="BN633">
        <v>-1</v>
      </c>
      <c r="BO633">
        <v>-1</v>
      </c>
    </row>
    <row r="634" spans="1:67" x14ac:dyDescent="0.25">
      <c r="A634">
        <v>631</v>
      </c>
      <c r="B634">
        <v>9126</v>
      </c>
      <c r="C634" t="str">
        <f>VLOOKUP(B634,[1]resources!$A$2:$D$300,3,FALSE)</f>
        <v>!!FOOD_FUDGE</v>
      </c>
      <c r="D634">
        <v>106</v>
      </c>
      <c r="E634" t="str">
        <f>VLOOKUP(D634,[1]bonus_paytable!$A$2:$D$300,3,FALSE)</f>
        <v>christmas_gold</v>
      </c>
      <c r="F634">
        <v>-1</v>
      </c>
      <c r="G634">
        <v>-1</v>
      </c>
      <c r="H634">
        <v>1</v>
      </c>
      <c r="I634" t="s">
        <v>0</v>
      </c>
      <c r="J634">
        <v>3</v>
      </c>
      <c r="K634">
        <v>3</v>
      </c>
      <c r="L634">
        <v>3</v>
      </c>
      <c r="M634">
        <v>-1</v>
      </c>
      <c r="N634">
        <v>-1</v>
      </c>
      <c r="O634">
        <v>-1</v>
      </c>
      <c r="P634">
        <v>-1</v>
      </c>
      <c r="Q634">
        <v>-1</v>
      </c>
      <c r="R634">
        <v>-1</v>
      </c>
      <c r="S634">
        <v>-1</v>
      </c>
      <c r="T634">
        <v>-1</v>
      </c>
      <c r="U634">
        <v>0.5</v>
      </c>
      <c r="V634">
        <v>0.4</v>
      </c>
      <c r="W634">
        <v>0.1</v>
      </c>
      <c r="X634">
        <v>-1</v>
      </c>
      <c r="Y634">
        <v>-1</v>
      </c>
      <c r="Z634">
        <v>-1</v>
      </c>
      <c r="AA634">
        <v>-1</v>
      </c>
      <c r="AB634">
        <v>-1</v>
      </c>
      <c r="AC634">
        <v>-1</v>
      </c>
      <c r="AD634">
        <v>-1</v>
      </c>
      <c r="AE634">
        <v>-1</v>
      </c>
      <c r="AF634">
        <v>5</v>
      </c>
      <c r="AG634">
        <v>10</v>
      </c>
      <c r="AH634">
        <v>15</v>
      </c>
      <c r="AI634">
        <v>-1</v>
      </c>
      <c r="AJ634">
        <v>-1</v>
      </c>
      <c r="AK634">
        <v>-1</v>
      </c>
      <c r="AL634">
        <v>-1</v>
      </c>
      <c r="AM634">
        <v>-1</v>
      </c>
      <c r="AN634">
        <v>-1</v>
      </c>
      <c r="AO634">
        <v>-1</v>
      </c>
      <c r="AP634">
        <v>-1</v>
      </c>
      <c r="AQ634">
        <v>0</v>
      </c>
      <c r="AR634" t="s">
        <v>2</v>
      </c>
      <c r="AS634">
        <v>-1</v>
      </c>
      <c r="AT634">
        <v>-1</v>
      </c>
      <c r="AU634">
        <v>-1</v>
      </c>
      <c r="AV634">
        <v>-1</v>
      </c>
      <c r="AW634">
        <v>-1</v>
      </c>
      <c r="AX634">
        <v>-1</v>
      </c>
      <c r="AY634">
        <v>-1</v>
      </c>
      <c r="AZ634">
        <v>-1</v>
      </c>
      <c r="BA634">
        <v>-1</v>
      </c>
      <c r="BB634">
        <v>0</v>
      </c>
      <c r="BC634" t="s">
        <v>2</v>
      </c>
      <c r="BD634">
        <v>-1</v>
      </c>
      <c r="BE634">
        <v>-1</v>
      </c>
      <c r="BF634">
        <v>-1</v>
      </c>
      <c r="BG634">
        <v>-1</v>
      </c>
      <c r="BH634">
        <v>-1</v>
      </c>
      <c r="BI634">
        <v>-1</v>
      </c>
      <c r="BJ634">
        <v>-1</v>
      </c>
      <c r="BK634">
        <v>-1</v>
      </c>
      <c r="BL634">
        <v>-1</v>
      </c>
      <c r="BM634">
        <v>-1</v>
      </c>
      <c r="BN634">
        <v>-1</v>
      </c>
      <c r="BO634">
        <v>-1</v>
      </c>
    </row>
    <row r="635" spans="1:67" x14ac:dyDescent="0.25">
      <c r="A635">
        <v>632</v>
      </c>
      <c r="B635">
        <v>9127</v>
      </c>
      <c r="C635" t="str">
        <f>VLOOKUP(B635,[1]resources!$A$2:$D$300,3,FALSE)</f>
        <v>!!FOOD_SUGAR_PLUM</v>
      </c>
      <c r="D635">
        <v>106</v>
      </c>
      <c r="E635" t="str">
        <f>VLOOKUP(D635,[1]bonus_paytable!$A$2:$D$300,3,FALSE)</f>
        <v>christmas_gold</v>
      </c>
      <c r="F635">
        <v>-1</v>
      </c>
      <c r="G635">
        <v>-1</v>
      </c>
      <c r="H635">
        <v>1</v>
      </c>
      <c r="I635" t="s">
        <v>0</v>
      </c>
      <c r="J635">
        <v>3</v>
      </c>
      <c r="K635">
        <v>3</v>
      </c>
      <c r="L635">
        <v>3</v>
      </c>
      <c r="M635">
        <v>-1</v>
      </c>
      <c r="N635">
        <v>-1</v>
      </c>
      <c r="O635">
        <v>-1</v>
      </c>
      <c r="P635">
        <v>-1</v>
      </c>
      <c r="Q635">
        <v>-1</v>
      </c>
      <c r="R635">
        <v>-1</v>
      </c>
      <c r="S635">
        <v>-1</v>
      </c>
      <c r="T635">
        <v>-1</v>
      </c>
      <c r="U635">
        <v>0.5</v>
      </c>
      <c r="V635">
        <v>0.4</v>
      </c>
      <c r="W635">
        <v>0.1</v>
      </c>
      <c r="X635">
        <v>-1</v>
      </c>
      <c r="Y635">
        <v>-1</v>
      </c>
      <c r="Z635">
        <v>-1</v>
      </c>
      <c r="AA635">
        <v>-1</v>
      </c>
      <c r="AB635">
        <v>-1</v>
      </c>
      <c r="AC635">
        <v>-1</v>
      </c>
      <c r="AD635">
        <v>-1</v>
      </c>
      <c r="AE635">
        <v>-1</v>
      </c>
      <c r="AF635">
        <v>5</v>
      </c>
      <c r="AG635">
        <v>10</v>
      </c>
      <c r="AH635">
        <v>15</v>
      </c>
      <c r="AI635">
        <v>-1</v>
      </c>
      <c r="AJ635">
        <v>-1</v>
      </c>
      <c r="AK635">
        <v>-1</v>
      </c>
      <c r="AL635">
        <v>-1</v>
      </c>
      <c r="AM635">
        <v>-1</v>
      </c>
      <c r="AN635">
        <v>-1</v>
      </c>
      <c r="AO635">
        <v>-1</v>
      </c>
      <c r="AP635">
        <v>-1</v>
      </c>
      <c r="AQ635">
        <v>0</v>
      </c>
      <c r="AR635" t="s">
        <v>2</v>
      </c>
      <c r="AS635">
        <v>-1</v>
      </c>
      <c r="AT635">
        <v>-1</v>
      </c>
      <c r="AU635">
        <v>-1</v>
      </c>
      <c r="AV635">
        <v>-1</v>
      </c>
      <c r="AW635">
        <v>-1</v>
      </c>
      <c r="AX635">
        <v>-1</v>
      </c>
      <c r="AY635">
        <v>-1</v>
      </c>
      <c r="AZ635">
        <v>-1</v>
      </c>
      <c r="BA635">
        <v>-1</v>
      </c>
      <c r="BB635">
        <v>0</v>
      </c>
      <c r="BC635" t="s">
        <v>2</v>
      </c>
      <c r="BD635">
        <v>-1</v>
      </c>
      <c r="BE635">
        <v>-1</v>
      </c>
      <c r="BF635">
        <v>-1</v>
      </c>
      <c r="BG635">
        <v>-1</v>
      </c>
      <c r="BH635">
        <v>-1</v>
      </c>
      <c r="BI635">
        <v>-1</v>
      </c>
      <c r="BJ635">
        <v>-1</v>
      </c>
      <c r="BK635">
        <v>-1</v>
      </c>
      <c r="BL635">
        <v>-1</v>
      </c>
      <c r="BM635">
        <v>-1</v>
      </c>
      <c r="BN635">
        <v>-1</v>
      </c>
      <c r="BO635">
        <v>-1</v>
      </c>
    </row>
    <row r="636" spans="1:67" x14ac:dyDescent="0.25">
      <c r="A636">
        <v>633</v>
      </c>
      <c r="B636">
        <v>9201</v>
      </c>
      <c r="C636" t="str">
        <f>VLOOKUP(B636,[1]resources!$A$2:$D$300,3,FALSE)</f>
        <v>!!FOOD_CHOCOLATES</v>
      </c>
      <c r="D636">
        <v>107</v>
      </c>
      <c r="E636" t="str">
        <f>VLOOKUP(D636,[1]bonus_paytable!$A$2:$D$300,3,FALSE)</f>
        <v>valentine_hearts</v>
      </c>
      <c r="F636">
        <v>-1</v>
      </c>
      <c r="G636">
        <v>-1</v>
      </c>
      <c r="H636">
        <v>1</v>
      </c>
      <c r="I636" t="s">
        <v>0</v>
      </c>
      <c r="J636">
        <v>53</v>
      </c>
      <c r="K636">
        <v>-1</v>
      </c>
      <c r="L636">
        <v>-1</v>
      </c>
      <c r="M636">
        <v>-1</v>
      </c>
      <c r="N636">
        <v>-1</v>
      </c>
      <c r="O636">
        <v>-1</v>
      </c>
      <c r="P636">
        <v>-1</v>
      </c>
      <c r="Q636">
        <v>-1</v>
      </c>
      <c r="R636">
        <v>-1</v>
      </c>
      <c r="S636">
        <v>-1</v>
      </c>
      <c r="T636">
        <v>-1</v>
      </c>
      <c r="U636">
        <v>1</v>
      </c>
      <c r="V636">
        <v>-1</v>
      </c>
      <c r="W636">
        <v>-1</v>
      </c>
      <c r="X636">
        <v>-1</v>
      </c>
      <c r="Y636">
        <v>-1</v>
      </c>
      <c r="Z636">
        <v>-1</v>
      </c>
      <c r="AA636">
        <v>-1</v>
      </c>
      <c r="AB636">
        <v>-1</v>
      </c>
      <c r="AC636">
        <v>-1</v>
      </c>
      <c r="AD636">
        <v>-1</v>
      </c>
      <c r="AE636">
        <v>-1</v>
      </c>
      <c r="AF636">
        <v>1</v>
      </c>
      <c r="AG636">
        <v>-1</v>
      </c>
      <c r="AH636">
        <v>-1</v>
      </c>
      <c r="AI636">
        <v>-1</v>
      </c>
      <c r="AJ636">
        <v>-1</v>
      </c>
      <c r="AK636">
        <v>-1</v>
      </c>
      <c r="AL636">
        <v>-1</v>
      </c>
      <c r="AM636">
        <v>-1</v>
      </c>
      <c r="AN636">
        <v>-1</v>
      </c>
      <c r="AO636">
        <v>-1</v>
      </c>
      <c r="AP636">
        <v>-1</v>
      </c>
      <c r="AQ636">
        <v>0</v>
      </c>
      <c r="AR636" t="s">
        <v>2</v>
      </c>
      <c r="AS636">
        <v>-1</v>
      </c>
      <c r="AT636">
        <v>-1</v>
      </c>
      <c r="AU636">
        <v>-1</v>
      </c>
      <c r="AV636">
        <v>-1</v>
      </c>
      <c r="AW636">
        <v>-1</v>
      </c>
      <c r="AX636">
        <v>-1</v>
      </c>
      <c r="AY636">
        <v>-1</v>
      </c>
      <c r="AZ636">
        <v>-1</v>
      </c>
      <c r="BA636">
        <v>-1</v>
      </c>
      <c r="BB636">
        <v>0</v>
      </c>
      <c r="BC636" t="s">
        <v>2</v>
      </c>
      <c r="BD636">
        <v>-1</v>
      </c>
      <c r="BE636">
        <v>-1</v>
      </c>
      <c r="BF636">
        <v>-1</v>
      </c>
      <c r="BG636">
        <v>-1</v>
      </c>
      <c r="BH636">
        <v>-1</v>
      </c>
      <c r="BI636">
        <v>-1</v>
      </c>
      <c r="BJ636">
        <v>-1</v>
      </c>
      <c r="BK636">
        <v>-1</v>
      </c>
      <c r="BL636">
        <v>-1</v>
      </c>
      <c r="BM636">
        <v>-1</v>
      </c>
      <c r="BN636">
        <v>-1</v>
      </c>
      <c r="BO636">
        <v>-1</v>
      </c>
    </row>
    <row r="637" spans="1:67" x14ac:dyDescent="0.25">
      <c r="A637">
        <v>634</v>
      </c>
      <c r="B637">
        <v>9202</v>
      </c>
      <c r="C637" t="str">
        <f>VLOOKUP(B637,[1]resources!$A$2:$D$300,3,FALSE)</f>
        <v>!!FOOD_POPCORN</v>
      </c>
      <c r="D637">
        <v>107</v>
      </c>
      <c r="E637" t="str">
        <f>VLOOKUP(D637,[1]bonus_paytable!$A$2:$D$300,3,FALSE)</f>
        <v>valentine_hearts</v>
      </c>
      <c r="F637">
        <v>-1</v>
      </c>
      <c r="G637">
        <v>-1</v>
      </c>
      <c r="H637">
        <v>1</v>
      </c>
      <c r="I637" t="s">
        <v>0</v>
      </c>
      <c r="J637">
        <v>53</v>
      </c>
      <c r="K637">
        <v>53</v>
      </c>
      <c r="L637">
        <v>53</v>
      </c>
      <c r="M637">
        <v>53</v>
      </c>
      <c r="N637">
        <v>53</v>
      </c>
      <c r="O637">
        <v>-1</v>
      </c>
      <c r="P637">
        <v>-1</v>
      </c>
      <c r="Q637">
        <v>-1</v>
      </c>
      <c r="R637">
        <v>-1</v>
      </c>
      <c r="S637">
        <v>-1</v>
      </c>
      <c r="T637">
        <v>-1</v>
      </c>
      <c r="U637">
        <v>0.05</v>
      </c>
      <c r="V637">
        <v>0.2</v>
      </c>
      <c r="W637">
        <v>0.5</v>
      </c>
      <c r="X637">
        <v>0.2</v>
      </c>
      <c r="Y637">
        <v>0.05</v>
      </c>
      <c r="Z637">
        <v>-1</v>
      </c>
      <c r="AA637">
        <v>-1</v>
      </c>
      <c r="AB637">
        <v>-1</v>
      </c>
      <c r="AC637">
        <v>-1</v>
      </c>
      <c r="AD637">
        <v>-1</v>
      </c>
      <c r="AE637">
        <v>-1</v>
      </c>
      <c r="AF637">
        <v>1</v>
      </c>
      <c r="AG637">
        <v>6</v>
      </c>
      <c r="AH637">
        <v>11</v>
      </c>
      <c r="AI637">
        <v>16</v>
      </c>
      <c r="AJ637">
        <v>20</v>
      </c>
      <c r="AK637">
        <v>-1</v>
      </c>
      <c r="AL637">
        <v>-1</v>
      </c>
      <c r="AM637">
        <v>-1</v>
      </c>
      <c r="AN637">
        <v>-1</v>
      </c>
      <c r="AO637">
        <v>-1</v>
      </c>
      <c r="AP637">
        <v>-1</v>
      </c>
      <c r="AQ637">
        <v>0</v>
      </c>
      <c r="AR637" t="s">
        <v>2</v>
      </c>
      <c r="AS637">
        <v>-1</v>
      </c>
      <c r="AT637">
        <v>-1</v>
      </c>
      <c r="AU637">
        <v>-1</v>
      </c>
      <c r="AV637">
        <v>-1</v>
      </c>
      <c r="AW637">
        <v>-1</v>
      </c>
      <c r="AX637">
        <v>-1</v>
      </c>
      <c r="AY637">
        <v>-1</v>
      </c>
      <c r="AZ637">
        <v>-1</v>
      </c>
      <c r="BA637">
        <v>-1</v>
      </c>
      <c r="BB637">
        <v>0</v>
      </c>
      <c r="BC637" t="s">
        <v>2</v>
      </c>
      <c r="BD637">
        <v>-1</v>
      </c>
      <c r="BE637">
        <v>-1</v>
      </c>
      <c r="BF637">
        <v>-1</v>
      </c>
      <c r="BG637">
        <v>-1</v>
      </c>
      <c r="BH637">
        <v>-1</v>
      </c>
      <c r="BI637">
        <v>-1</v>
      </c>
      <c r="BJ637">
        <v>-1</v>
      </c>
      <c r="BK637">
        <v>-1</v>
      </c>
      <c r="BL637">
        <v>-1</v>
      </c>
      <c r="BM637">
        <v>-1</v>
      </c>
      <c r="BN637">
        <v>-1</v>
      </c>
      <c r="BO637">
        <v>-1</v>
      </c>
    </row>
    <row r="638" spans="1:67" x14ac:dyDescent="0.25">
      <c r="A638">
        <v>635</v>
      </c>
      <c r="B638">
        <v>9203</v>
      </c>
      <c r="C638" t="str">
        <f>VLOOKUP(B638,[1]resources!$A$2:$D$300,3,FALSE)</f>
        <v>!!FOOD_TRUFFLES</v>
      </c>
      <c r="D638">
        <v>107</v>
      </c>
      <c r="E638" t="str">
        <f>VLOOKUP(D638,[1]bonus_paytable!$A$2:$D$300,3,FALSE)</f>
        <v>valentine_hearts</v>
      </c>
      <c r="F638">
        <v>-1</v>
      </c>
      <c r="G638">
        <v>-1</v>
      </c>
      <c r="H638">
        <v>1</v>
      </c>
      <c r="I638" t="s">
        <v>0</v>
      </c>
      <c r="J638">
        <v>53</v>
      </c>
      <c r="K638">
        <v>53</v>
      </c>
      <c r="L638">
        <v>53</v>
      </c>
      <c r="M638">
        <v>53</v>
      </c>
      <c r="N638">
        <v>53</v>
      </c>
      <c r="O638">
        <v>-1</v>
      </c>
      <c r="P638">
        <v>-1</v>
      </c>
      <c r="Q638">
        <v>-1</v>
      </c>
      <c r="R638">
        <v>-1</v>
      </c>
      <c r="S638">
        <v>-1</v>
      </c>
      <c r="T638">
        <v>-1</v>
      </c>
      <c r="U638">
        <v>0.05</v>
      </c>
      <c r="V638">
        <v>0.2</v>
      </c>
      <c r="W638">
        <v>0.5</v>
      </c>
      <c r="X638">
        <v>0.2</v>
      </c>
      <c r="Y638">
        <v>0.05</v>
      </c>
      <c r="Z638">
        <v>-1</v>
      </c>
      <c r="AA638">
        <v>-1</v>
      </c>
      <c r="AB638">
        <v>-1</v>
      </c>
      <c r="AC638">
        <v>-1</v>
      </c>
      <c r="AD638">
        <v>-1</v>
      </c>
      <c r="AE638">
        <v>-1</v>
      </c>
      <c r="AF638">
        <v>1</v>
      </c>
      <c r="AG638">
        <v>11</v>
      </c>
      <c r="AH638">
        <v>21</v>
      </c>
      <c r="AI638">
        <v>31</v>
      </c>
      <c r="AJ638">
        <v>40</v>
      </c>
      <c r="AK638">
        <v>-1</v>
      </c>
      <c r="AL638">
        <v>-1</v>
      </c>
      <c r="AM638">
        <v>-1</v>
      </c>
      <c r="AN638">
        <v>-1</v>
      </c>
      <c r="AO638">
        <v>-1</v>
      </c>
      <c r="AP638">
        <v>-1</v>
      </c>
      <c r="AQ638">
        <v>0</v>
      </c>
      <c r="AR638" t="s">
        <v>2</v>
      </c>
      <c r="AS638">
        <v>-1</v>
      </c>
      <c r="AT638">
        <v>-1</v>
      </c>
      <c r="AU638">
        <v>-1</v>
      </c>
      <c r="AV638">
        <v>-1</v>
      </c>
      <c r="AW638">
        <v>-1</v>
      </c>
      <c r="AX638">
        <v>-1</v>
      </c>
      <c r="AY638">
        <v>-1</v>
      </c>
      <c r="AZ638">
        <v>-1</v>
      </c>
      <c r="BA638">
        <v>-1</v>
      </c>
      <c r="BB638">
        <v>0</v>
      </c>
      <c r="BC638" t="s">
        <v>2</v>
      </c>
      <c r="BD638">
        <v>-1</v>
      </c>
      <c r="BE638">
        <v>-1</v>
      </c>
      <c r="BF638">
        <v>-1</v>
      </c>
      <c r="BG638">
        <v>-1</v>
      </c>
      <c r="BH638">
        <v>-1</v>
      </c>
      <c r="BI638">
        <v>-1</v>
      </c>
      <c r="BJ638">
        <v>-1</v>
      </c>
      <c r="BK638">
        <v>-1</v>
      </c>
      <c r="BL638">
        <v>-1</v>
      </c>
      <c r="BM638">
        <v>-1</v>
      </c>
      <c r="BN638">
        <v>-1</v>
      </c>
      <c r="BO638">
        <v>-1</v>
      </c>
    </row>
    <row r="639" spans="1:67" x14ac:dyDescent="0.25">
      <c r="A639">
        <v>636</v>
      </c>
      <c r="B639">
        <v>9204</v>
      </c>
      <c r="C639" t="str">
        <f>VLOOKUP(B639,[1]resources!$A$2:$D$300,3,FALSE)</f>
        <v>!!FOOD_COTTON_CANDY</v>
      </c>
      <c r="D639">
        <v>107</v>
      </c>
      <c r="E639" t="str">
        <f>VLOOKUP(D639,[1]bonus_paytable!$A$2:$D$300,3,FALSE)</f>
        <v>valentine_hearts</v>
      </c>
      <c r="F639">
        <v>-1</v>
      </c>
      <c r="G639">
        <v>-1</v>
      </c>
      <c r="H639">
        <v>1</v>
      </c>
      <c r="I639" t="s">
        <v>0</v>
      </c>
      <c r="J639">
        <v>53</v>
      </c>
      <c r="K639">
        <v>53</v>
      </c>
      <c r="L639">
        <v>53</v>
      </c>
      <c r="M639">
        <v>53</v>
      </c>
      <c r="N639">
        <v>53</v>
      </c>
      <c r="O639">
        <v>-1</v>
      </c>
      <c r="P639">
        <v>-1</v>
      </c>
      <c r="Q639">
        <v>-1</v>
      </c>
      <c r="R639">
        <v>-1</v>
      </c>
      <c r="S639">
        <v>-1</v>
      </c>
      <c r="T639">
        <v>-1</v>
      </c>
      <c r="U639">
        <v>0.05</v>
      </c>
      <c r="V639">
        <v>0.2</v>
      </c>
      <c r="W639">
        <v>0.5</v>
      </c>
      <c r="X639">
        <v>0.2</v>
      </c>
      <c r="Y639">
        <v>0.05</v>
      </c>
      <c r="Z639">
        <v>-1</v>
      </c>
      <c r="AA639">
        <v>-1</v>
      </c>
      <c r="AB639">
        <v>-1</v>
      </c>
      <c r="AC639">
        <v>-1</v>
      </c>
      <c r="AD639">
        <v>-1</v>
      </c>
      <c r="AE639">
        <v>-1</v>
      </c>
      <c r="AF639">
        <v>1</v>
      </c>
      <c r="AG639">
        <v>26</v>
      </c>
      <c r="AH639">
        <v>51</v>
      </c>
      <c r="AI639">
        <v>76</v>
      </c>
      <c r="AJ639">
        <v>100</v>
      </c>
      <c r="AK639">
        <v>-1</v>
      </c>
      <c r="AL639">
        <v>-1</v>
      </c>
      <c r="AM639">
        <v>-1</v>
      </c>
      <c r="AN639">
        <v>-1</v>
      </c>
      <c r="AO639">
        <v>-1</v>
      </c>
      <c r="AP639">
        <v>-1</v>
      </c>
      <c r="AQ639">
        <v>0</v>
      </c>
      <c r="AR639" t="s">
        <v>2</v>
      </c>
      <c r="AS639">
        <v>-1</v>
      </c>
      <c r="AT639">
        <v>-1</v>
      </c>
      <c r="AU639">
        <v>-1</v>
      </c>
      <c r="AV639">
        <v>-1</v>
      </c>
      <c r="AW639">
        <v>-1</v>
      </c>
      <c r="AX639">
        <v>-1</v>
      </c>
      <c r="AY639">
        <v>-1</v>
      </c>
      <c r="AZ639">
        <v>-1</v>
      </c>
      <c r="BA639">
        <v>-1</v>
      </c>
      <c r="BB639">
        <v>0</v>
      </c>
      <c r="BC639" t="s">
        <v>2</v>
      </c>
      <c r="BD639">
        <v>-1</v>
      </c>
      <c r="BE639">
        <v>-1</v>
      </c>
      <c r="BF639">
        <v>-1</v>
      </c>
      <c r="BG639">
        <v>-1</v>
      </c>
      <c r="BH639">
        <v>-1</v>
      </c>
      <c r="BI639">
        <v>-1</v>
      </c>
      <c r="BJ639">
        <v>-1</v>
      </c>
      <c r="BK639">
        <v>-1</v>
      </c>
      <c r="BL639">
        <v>-1</v>
      </c>
      <c r="BM639">
        <v>-1</v>
      </c>
      <c r="BN639">
        <v>-1</v>
      </c>
      <c r="BO639">
        <v>-1</v>
      </c>
    </row>
    <row r="640" spans="1:67" x14ac:dyDescent="0.25">
      <c r="A640">
        <v>637</v>
      </c>
      <c r="B640">
        <v>9205</v>
      </c>
      <c r="C640" t="str">
        <f>VLOOKUP(B640,[1]resources!$A$2:$D$300,3,FALSE)</f>
        <v>!!FOOD_CANDY_HEART_ON_STICK</v>
      </c>
      <c r="D640">
        <v>107</v>
      </c>
      <c r="E640" t="str">
        <f>VLOOKUP(D640,[1]bonus_paytable!$A$2:$D$300,3,FALSE)</f>
        <v>valentine_hearts</v>
      </c>
      <c r="F640">
        <v>-1</v>
      </c>
      <c r="G640">
        <v>-1</v>
      </c>
      <c r="H640">
        <v>1</v>
      </c>
      <c r="I640" t="s">
        <v>0</v>
      </c>
      <c r="J640">
        <v>53</v>
      </c>
      <c r="K640">
        <v>53</v>
      </c>
      <c r="L640">
        <v>53</v>
      </c>
      <c r="M640">
        <v>53</v>
      </c>
      <c r="N640">
        <v>53</v>
      </c>
      <c r="O640">
        <v>-1</v>
      </c>
      <c r="P640">
        <v>-1</v>
      </c>
      <c r="Q640">
        <v>-1</v>
      </c>
      <c r="R640">
        <v>-1</v>
      </c>
      <c r="S640">
        <v>-1</v>
      </c>
      <c r="T640">
        <v>-1</v>
      </c>
      <c r="U640">
        <v>0.05</v>
      </c>
      <c r="V640">
        <v>0.2</v>
      </c>
      <c r="W640">
        <v>0.5</v>
      </c>
      <c r="X640">
        <v>0.2</v>
      </c>
      <c r="Y640">
        <v>0.05</v>
      </c>
      <c r="Z640">
        <v>-1</v>
      </c>
      <c r="AA640">
        <v>-1</v>
      </c>
      <c r="AB640">
        <v>-1</v>
      </c>
      <c r="AC640">
        <v>-1</v>
      </c>
      <c r="AD640">
        <v>-1</v>
      </c>
      <c r="AE640">
        <v>-1</v>
      </c>
      <c r="AF640">
        <v>1</v>
      </c>
      <c r="AG640">
        <v>34</v>
      </c>
      <c r="AH640">
        <v>66</v>
      </c>
      <c r="AI640">
        <v>98</v>
      </c>
      <c r="AJ640">
        <v>130</v>
      </c>
      <c r="AK640">
        <v>-1</v>
      </c>
      <c r="AL640">
        <v>-1</v>
      </c>
      <c r="AM640">
        <v>-1</v>
      </c>
      <c r="AN640">
        <v>-1</v>
      </c>
      <c r="AO640">
        <v>-1</v>
      </c>
      <c r="AP640">
        <v>-1</v>
      </c>
      <c r="AQ640">
        <v>0</v>
      </c>
      <c r="AR640" t="s">
        <v>2</v>
      </c>
      <c r="AS640">
        <v>-1</v>
      </c>
      <c r="AT640">
        <v>-1</v>
      </c>
      <c r="AU640">
        <v>-1</v>
      </c>
      <c r="AV640">
        <v>-1</v>
      </c>
      <c r="AW640">
        <v>-1</v>
      </c>
      <c r="AX640">
        <v>-1</v>
      </c>
      <c r="AY640">
        <v>-1</v>
      </c>
      <c r="AZ640">
        <v>-1</v>
      </c>
      <c r="BA640">
        <v>-1</v>
      </c>
      <c r="BB640">
        <v>0</v>
      </c>
      <c r="BC640" t="s">
        <v>2</v>
      </c>
      <c r="BD640">
        <v>-1</v>
      </c>
      <c r="BE640">
        <v>-1</v>
      </c>
      <c r="BF640">
        <v>-1</v>
      </c>
      <c r="BG640">
        <v>-1</v>
      </c>
      <c r="BH640">
        <v>-1</v>
      </c>
      <c r="BI640">
        <v>-1</v>
      </c>
      <c r="BJ640">
        <v>-1</v>
      </c>
      <c r="BK640">
        <v>-1</v>
      </c>
      <c r="BL640">
        <v>-1</v>
      </c>
      <c r="BM640">
        <v>-1</v>
      </c>
      <c r="BN640">
        <v>-1</v>
      </c>
      <c r="BO640">
        <v>-1</v>
      </c>
    </row>
  </sheetData>
  <conditionalFormatting sqref="O119:S219 U219:AE219 T4:T219 U119:AD218 AE107:AE218 U4:XFD106 B5:B106 A641:XFD1048576 O220:AE321 AQ119:XFD321 AF107:AP321 O322:XFD332 BP476:XFD580 A5:A640 A1:XFD2 F581:XFD640 F119:I580 F4:S106 A3:B4 B119:B640 D4:D106 C3:XFD3 D119:D640 C4:C640 E4:E640 J333:XFD475">
    <cfRule type="containsText" dxfId="45" priority="5" operator="containsText" text="none">
      <formula>NOT(ISERROR(SEARCH("none",A1)))</formula>
    </cfRule>
    <cfRule type="cellIs" dxfId="44" priority="6" operator="equal">
      <formula>-1</formula>
    </cfRule>
  </conditionalFormatting>
  <conditionalFormatting sqref="B107:B118 U107:AD118 AQ107:XFD118 F107:S118 D107:D118">
    <cfRule type="containsText" dxfId="43" priority="3" operator="containsText" text="none">
      <formula>NOT(ISERROR(SEARCH("none",B107)))</formula>
    </cfRule>
    <cfRule type="cellIs" dxfId="42" priority="4" operator="equal">
      <formula>-1</formula>
    </cfRule>
  </conditionalFormatting>
  <conditionalFormatting sqref="J476:BO580">
    <cfRule type="containsText" dxfId="41" priority="1" operator="containsText" text="none">
      <formula>NOT(ISERROR(SEARCH("none",J476)))</formula>
    </cfRule>
    <cfRule type="cellIs" dxfId="40" priority="2" operator="equal">
      <formula>-1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1" sqref="B11"/>
    </sheetView>
  </sheetViews>
  <sheetFormatPr defaultRowHeight="15" x14ac:dyDescent="0.25"/>
  <cols>
    <col min="1" max="1" width="4" bestFit="1" customWidth="1"/>
    <col min="2" max="2" width="21.140625" bestFit="1" customWidth="1"/>
    <col min="3" max="3" width="8.28515625" bestFit="1" customWidth="1"/>
    <col min="4" max="4" width="27.140625" bestFit="1" customWidth="1"/>
    <col min="5" max="5" width="16.85546875" bestFit="1" customWidth="1"/>
    <col min="6" max="6" width="7.140625" bestFit="1" customWidth="1"/>
    <col min="7" max="7" width="11.28515625" bestFit="1" customWidth="1"/>
  </cols>
  <sheetData>
    <row r="1" spans="1:38" s="1" customFormat="1" ht="30" x14ac:dyDescent="0.25">
      <c r="A1" s="1" t="s">
        <v>2142</v>
      </c>
      <c r="B1" s="1" t="s">
        <v>723</v>
      </c>
      <c r="C1" s="1" t="s">
        <v>63</v>
      </c>
      <c r="D1" s="1" t="s">
        <v>2329</v>
      </c>
      <c r="E1" s="1" t="s">
        <v>2330</v>
      </c>
      <c r="F1" s="1" t="s">
        <v>2332</v>
      </c>
      <c r="G1" s="1" t="s">
        <v>2331</v>
      </c>
      <c r="H1" s="1" t="s">
        <v>2333</v>
      </c>
      <c r="I1" s="1" t="s">
        <v>2334</v>
      </c>
      <c r="J1" s="1" t="s">
        <v>2335</v>
      </c>
      <c r="K1" s="1" t="s">
        <v>2336</v>
      </c>
      <c r="L1" s="1" t="s">
        <v>2337</v>
      </c>
      <c r="M1" s="1" t="s">
        <v>2338</v>
      </c>
      <c r="N1" s="1" t="s">
        <v>2339</v>
      </c>
      <c r="O1" s="1" t="s">
        <v>2340</v>
      </c>
      <c r="P1" s="1" t="s">
        <v>2341</v>
      </c>
      <c r="Q1" s="1" t="s">
        <v>2342</v>
      </c>
      <c r="R1" s="1" t="s">
        <v>2343</v>
      </c>
      <c r="S1" s="1" t="s">
        <v>2344</v>
      </c>
      <c r="T1" s="1" t="s">
        <v>2345</v>
      </c>
      <c r="U1" s="1" t="s">
        <v>2346</v>
      </c>
      <c r="V1" s="1" t="s">
        <v>2347</v>
      </c>
      <c r="W1" s="1" t="s">
        <v>2348</v>
      </c>
      <c r="X1" s="1" t="s">
        <v>2349</v>
      </c>
      <c r="Y1" s="1" t="s">
        <v>2350</v>
      </c>
      <c r="Z1" s="1" t="s">
        <v>2351</v>
      </c>
      <c r="AA1" s="1" t="s">
        <v>2352</v>
      </c>
      <c r="AB1" s="1" t="s">
        <v>2353</v>
      </c>
      <c r="AC1" s="1" t="s">
        <v>2354</v>
      </c>
      <c r="AD1" s="1" t="s">
        <v>2355</v>
      </c>
      <c r="AE1" s="1" t="s">
        <v>2356</v>
      </c>
      <c r="AF1" s="1" t="s">
        <v>2357</v>
      </c>
      <c r="AG1" s="1" t="s">
        <v>2358</v>
      </c>
      <c r="AH1" s="1" t="s">
        <v>2359</v>
      </c>
      <c r="AI1" s="1" t="s">
        <v>2360</v>
      </c>
      <c r="AJ1" s="1" t="s">
        <v>2361</v>
      </c>
      <c r="AK1" s="1" t="s">
        <v>2362</v>
      </c>
      <c r="AL1" s="1" t="s">
        <v>2363</v>
      </c>
    </row>
    <row r="3" spans="1:38" x14ac:dyDescent="0.25">
      <c r="A3">
        <v>1</v>
      </c>
      <c r="B3" t="s">
        <v>2305</v>
      </c>
      <c r="C3" t="s">
        <v>1248</v>
      </c>
      <c r="D3" t="s">
        <v>2306</v>
      </c>
      <c r="E3" t="s">
        <v>2307</v>
      </c>
      <c r="F3">
        <v>32</v>
      </c>
      <c r="G3" s="2">
        <v>1015</v>
      </c>
      <c r="H3" s="2">
        <v>1022</v>
      </c>
      <c r="I3" s="2">
        <v>1031</v>
      </c>
      <c r="J3" s="2">
        <v>1023</v>
      </c>
      <c r="K3" s="2">
        <v>1004</v>
      </c>
      <c r="L3" s="2">
        <v>1016</v>
      </c>
      <c r="M3" s="2">
        <v>1007</v>
      </c>
      <c r="N3" s="2">
        <v>1013</v>
      </c>
      <c r="O3" s="2">
        <v>9009</v>
      </c>
      <c r="P3" s="2">
        <v>9006</v>
      </c>
      <c r="Q3" s="2">
        <v>1003</v>
      </c>
      <c r="R3" s="2">
        <v>9000</v>
      </c>
      <c r="S3" s="2">
        <v>9001</v>
      </c>
      <c r="T3" s="2">
        <v>1019</v>
      </c>
      <c r="U3" s="2">
        <v>1026</v>
      </c>
      <c r="V3" s="2">
        <v>1009</v>
      </c>
      <c r="W3" s="2">
        <v>9002</v>
      </c>
      <c r="X3" s="2">
        <v>9003</v>
      </c>
      <c r="Y3" s="2">
        <v>1002</v>
      </c>
      <c r="Z3" s="2">
        <v>9004</v>
      </c>
      <c r="AA3" s="2">
        <v>1025</v>
      </c>
      <c r="AB3" s="2">
        <v>1014</v>
      </c>
      <c r="AC3" s="2">
        <v>9005</v>
      </c>
      <c r="AD3" s="2">
        <v>1017</v>
      </c>
      <c r="AE3" s="2">
        <v>1050</v>
      </c>
      <c r="AF3" s="2">
        <v>1010</v>
      </c>
      <c r="AG3" s="2">
        <v>1012</v>
      </c>
      <c r="AH3" s="2">
        <v>1006</v>
      </c>
      <c r="AI3" s="2">
        <v>1051</v>
      </c>
      <c r="AJ3">
        <v>-1</v>
      </c>
      <c r="AK3">
        <v>-1</v>
      </c>
      <c r="AL3">
        <v>-1</v>
      </c>
    </row>
    <row r="4" spans="1:38" x14ac:dyDescent="0.25">
      <c r="A4">
        <v>2</v>
      </c>
      <c r="B4" t="s">
        <v>2308</v>
      </c>
      <c r="C4" t="s">
        <v>1248</v>
      </c>
      <c r="D4" t="s">
        <v>2309</v>
      </c>
      <c r="E4" t="s">
        <v>2310</v>
      </c>
      <c r="F4">
        <v>-1</v>
      </c>
      <c r="G4" s="2">
        <v>9015</v>
      </c>
      <c r="H4" s="2">
        <v>9022</v>
      </c>
      <c r="I4" s="2">
        <v>9017</v>
      </c>
      <c r="J4" s="2">
        <v>9020</v>
      </c>
      <c r="K4" s="2">
        <v>9023</v>
      </c>
      <c r="L4" s="2">
        <v>9028</v>
      </c>
      <c r="M4" s="2">
        <v>9018</v>
      </c>
      <c r="N4" s="2">
        <v>9033</v>
      </c>
      <c r="O4" s="2">
        <v>9030</v>
      </c>
      <c r="P4" s="2">
        <v>9034</v>
      </c>
      <c r="Q4" s="2">
        <v>1001</v>
      </c>
      <c r="R4" s="2">
        <v>9027</v>
      </c>
      <c r="S4" s="2">
        <v>9026</v>
      </c>
      <c r="T4" s="2">
        <v>9032</v>
      </c>
      <c r="U4" s="2">
        <v>9019</v>
      </c>
      <c r="V4" s="2">
        <v>9021</v>
      </c>
      <c r="W4" s="2">
        <v>9029</v>
      </c>
      <c r="X4" s="2">
        <v>9031</v>
      </c>
      <c r="Y4" s="2">
        <v>9025</v>
      </c>
      <c r="Z4" s="2">
        <v>9024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</row>
    <row r="5" spans="1:38" x14ac:dyDescent="0.25">
      <c r="A5">
        <v>3</v>
      </c>
      <c r="B5" t="s">
        <v>2311</v>
      </c>
      <c r="C5" t="s">
        <v>1248</v>
      </c>
      <c r="D5" t="s">
        <v>2312</v>
      </c>
      <c r="E5" t="s">
        <v>2313</v>
      </c>
      <c r="F5">
        <v>-1</v>
      </c>
      <c r="G5" s="2">
        <v>1027</v>
      </c>
      <c r="H5" s="2">
        <v>1024</v>
      </c>
      <c r="I5" s="2">
        <v>9046</v>
      </c>
      <c r="J5" s="2">
        <v>9045</v>
      </c>
      <c r="K5" s="2">
        <v>1054</v>
      </c>
      <c r="L5" s="2">
        <v>1055</v>
      </c>
      <c r="M5" s="2">
        <v>1056</v>
      </c>
      <c r="N5" s="2">
        <v>1057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  <c r="U5">
        <v>-1</v>
      </c>
      <c r="V5">
        <v>-1</v>
      </c>
      <c r="W5">
        <v>-1</v>
      </c>
      <c r="X5">
        <v>-1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</row>
    <row r="6" spans="1:38" x14ac:dyDescent="0.25">
      <c r="A6">
        <v>4</v>
      </c>
      <c r="B6" t="s">
        <v>2314</v>
      </c>
      <c r="C6" t="s">
        <v>1248</v>
      </c>
      <c r="D6" t="s">
        <v>2315</v>
      </c>
      <c r="E6" t="s">
        <v>2316</v>
      </c>
      <c r="F6">
        <v>-1</v>
      </c>
      <c r="G6" s="2">
        <v>-255</v>
      </c>
      <c r="H6" s="2">
        <v>2004</v>
      </c>
      <c r="I6" s="2">
        <v>2011</v>
      </c>
      <c r="J6" s="2">
        <v>2035</v>
      </c>
      <c r="K6" s="2">
        <v>2013</v>
      </c>
      <c r="L6" s="2">
        <v>2052</v>
      </c>
      <c r="M6" s="2">
        <v>2053</v>
      </c>
      <c r="N6" s="2">
        <v>2019</v>
      </c>
      <c r="O6" s="2">
        <v>2012</v>
      </c>
      <c r="P6" s="2">
        <v>2018</v>
      </c>
      <c r="Q6" s="2">
        <v>2039</v>
      </c>
      <c r="R6" s="2">
        <v>2038</v>
      </c>
      <c r="S6" s="2">
        <v>2017</v>
      </c>
      <c r="T6" s="2">
        <v>2010</v>
      </c>
      <c r="U6" s="2">
        <v>2024</v>
      </c>
      <c r="V6" s="2">
        <v>2015</v>
      </c>
      <c r="W6" s="2">
        <v>2008</v>
      </c>
      <c r="X6" s="2">
        <v>2054</v>
      </c>
      <c r="Y6" s="2">
        <v>2007</v>
      </c>
      <c r="Z6" s="2">
        <v>2014</v>
      </c>
      <c r="AA6" s="2">
        <v>2046</v>
      </c>
      <c r="AB6" s="2">
        <v>2001</v>
      </c>
      <c r="AC6" s="2">
        <v>2026</v>
      </c>
      <c r="AD6" s="2">
        <v>2003</v>
      </c>
      <c r="AE6" s="2">
        <v>2021</v>
      </c>
      <c r="AF6" s="2">
        <v>2044</v>
      </c>
      <c r="AG6" s="2">
        <v>2040</v>
      </c>
      <c r="AH6" s="2">
        <v>2036</v>
      </c>
      <c r="AI6" s="2">
        <v>2037</v>
      </c>
      <c r="AJ6" s="2">
        <v>2022</v>
      </c>
      <c r="AK6" s="2">
        <v>20026</v>
      </c>
      <c r="AL6" s="2">
        <v>20011</v>
      </c>
    </row>
    <row r="7" spans="1:38" x14ac:dyDescent="0.25">
      <c r="A7">
        <v>5</v>
      </c>
      <c r="B7" t="s">
        <v>2317</v>
      </c>
      <c r="C7" t="s">
        <v>1248</v>
      </c>
      <c r="D7" t="s">
        <v>2318</v>
      </c>
      <c r="E7" t="s">
        <v>2319</v>
      </c>
      <c r="F7">
        <v>-1</v>
      </c>
      <c r="G7" s="2">
        <v>10000</v>
      </c>
      <c r="H7" s="2">
        <v>10006</v>
      </c>
      <c r="I7" s="2">
        <v>10002</v>
      </c>
      <c r="J7" s="2">
        <v>10001</v>
      </c>
      <c r="K7" s="2">
        <v>10004</v>
      </c>
      <c r="L7" s="2">
        <v>10005</v>
      </c>
      <c r="M7" s="2">
        <v>10003</v>
      </c>
      <c r="N7" s="2">
        <v>10007</v>
      </c>
      <c r="O7" s="2">
        <v>-1</v>
      </c>
      <c r="P7" s="2">
        <v>-1</v>
      </c>
      <c r="Q7" s="2">
        <v>-1</v>
      </c>
      <c r="R7" s="2">
        <v>-1</v>
      </c>
      <c r="S7" s="2">
        <v>-1</v>
      </c>
      <c r="T7" s="2">
        <v>-1</v>
      </c>
      <c r="U7" s="2">
        <v>-1</v>
      </c>
      <c r="V7" s="2">
        <v>-1</v>
      </c>
      <c r="W7" s="2">
        <v>-1</v>
      </c>
      <c r="X7" s="2">
        <v>-1</v>
      </c>
      <c r="Y7" s="2">
        <v>-1</v>
      </c>
      <c r="Z7" s="2">
        <v>-1</v>
      </c>
      <c r="AA7" s="2">
        <v>-1</v>
      </c>
      <c r="AB7" s="2">
        <v>-1</v>
      </c>
      <c r="AC7" s="2">
        <v>-1</v>
      </c>
      <c r="AD7" s="2">
        <v>-1</v>
      </c>
      <c r="AE7" s="2">
        <v>-1</v>
      </c>
      <c r="AF7" s="2">
        <v>-1</v>
      </c>
      <c r="AG7" s="2">
        <v>-1</v>
      </c>
      <c r="AH7" s="2">
        <v>-1</v>
      </c>
      <c r="AI7" s="2">
        <v>-1</v>
      </c>
      <c r="AJ7" s="2">
        <v>-1</v>
      </c>
      <c r="AK7" s="2">
        <v>-1</v>
      </c>
      <c r="AL7" s="2">
        <v>-1</v>
      </c>
    </row>
    <row r="8" spans="1:38" x14ac:dyDescent="0.25">
      <c r="A8">
        <v>6</v>
      </c>
      <c r="B8" t="s">
        <v>2320</v>
      </c>
      <c r="C8" t="s">
        <v>2320</v>
      </c>
      <c r="D8" t="s">
        <v>2321</v>
      </c>
      <c r="E8" t="s">
        <v>2322</v>
      </c>
      <c r="F8">
        <v>-1</v>
      </c>
      <c r="G8" s="2">
        <v>-99</v>
      </c>
      <c r="H8" s="2">
        <v>-98</v>
      </c>
      <c r="I8" s="2">
        <v>-97</v>
      </c>
      <c r="J8" s="2">
        <v>-96</v>
      </c>
      <c r="K8" s="2">
        <v>-95</v>
      </c>
      <c r="L8" s="2">
        <v>-94</v>
      </c>
      <c r="M8" s="2">
        <v>-85</v>
      </c>
      <c r="N8" s="2">
        <v>-84</v>
      </c>
      <c r="O8" s="2">
        <v>-83</v>
      </c>
      <c r="P8" s="2">
        <v>-82</v>
      </c>
      <c r="Q8" s="2">
        <v>-1</v>
      </c>
      <c r="R8" s="2">
        <v>-1</v>
      </c>
      <c r="S8" s="2">
        <v>-1</v>
      </c>
      <c r="T8" s="2">
        <v>-1</v>
      </c>
      <c r="U8" s="2">
        <v>-1</v>
      </c>
      <c r="V8" s="2">
        <v>-1</v>
      </c>
      <c r="W8" s="2">
        <v>-1</v>
      </c>
      <c r="X8" s="2">
        <v>-1</v>
      </c>
      <c r="Y8" s="2">
        <v>-1</v>
      </c>
      <c r="Z8" s="2">
        <v>-1</v>
      </c>
      <c r="AA8" s="2">
        <v>-1</v>
      </c>
      <c r="AB8" s="2">
        <v>-1</v>
      </c>
      <c r="AC8" s="2">
        <v>-1</v>
      </c>
      <c r="AD8" s="2">
        <v>-1</v>
      </c>
      <c r="AE8" s="2">
        <v>-1</v>
      </c>
      <c r="AF8" s="2">
        <v>-1</v>
      </c>
      <c r="AG8" s="2">
        <v>-1</v>
      </c>
      <c r="AH8" s="2">
        <v>-1</v>
      </c>
      <c r="AI8" s="2">
        <v>-1</v>
      </c>
      <c r="AJ8" s="2">
        <v>-1</v>
      </c>
      <c r="AK8" s="2">
        <v>-1</v>
      </c>
      <c r="AL8" s="2">
        <v>-1</v>
      </c>
    </row>
    <row r="9" spans="1:38" x14ac:dyDescent="0.25">
      <c r="A9">
        <v>7</v>
      </c>
      <c r="B9" t="s">
        <v>2305</v>
      </c>
      <c r="C9" t="s">
        <v>1248</v>
      </c>
      <c r="D9" t="s">
        <v>2323</v>
      </c>
      <c r="E9" t="s">
        <v>2307</v>
      </c>
      <c r="F9">
        <v>-1</v>
      </c>
      <c r="G9" s="2">
        <v>-1</v>
      </c>
      <c r="H9" s="2">
        <v>-1</v>
      </c>
      <c r="I9" s="2">
        <v>-1</v>
      </c>
      <c r="J9" s="2">
        <v>-1</v>
      </c>
      <c r="K9" s="2">
        <v>-1</v>
      </c>
      <c r="L9" s="2">
        <v>-1</v>
      </c>
      <c r="M9" s="2">
        <v>-1</v>
      </c>
      <c r="N9" s="2">
        <v>-1</v>
      </c>
      <c r="O9" s="2">
        <v>-1</v>
      </c>
      <c r="P9" s="2">
        <v>-1</v>
      </c>
      <c r="Q9" s="2">
        <v>-1</v>
      </c>
      <c r="R9" s="2">
        <v>-1</v>
      </c>
      <c r="S9" s="2">
        <v>-1</v>
      </c>
      <c r="T9" s="2">
        <v>-1</v>
      </c>
      <c r="U9" s="2">
        <v>-1</v>
      </c>
      <c r="V9" s="2">
        <v>-1</v>
      </c>
      <c r="W9" s="2">
        <v>-1</v>
      </c>
      <c r="X9" s="2">
        <v>-1</v>
      </c>
      <c r="Y9" s="2">
        <v>-1</v>
      </c>
      <c r="Z9" s="2">
        <v>-1</v>
      </c>
      <c r="AA9" s="2">
        <v>-1</v>
      </c>
      <c r="AB9" s="2">
        <v>-1</v>
      </c>
      <c r="AC9" s="2">
        <v>-1</v>
      </c>
      <c r="AD9" s="2">
        <v>-1</v>
      </c>
      <c r="AE9" s="2">
        <v>-1</v>
      </c>
      <c r="AF9" s="2">
        <v>-1</v>
      </c>
      <c r="AG9" s="2">
        <v>-1</v>
      </c>
      <c r="AH9" s="2">
        <v>-1</v>
      </c>
      <c r="AI9" s="2">
        <v>-1</v>
      </c>
      <c r="AJ9" s="2">
        <v>-1</v>
      </c>
      <c r="AK9" s="2">
        <v>-1</v>
      </c>
      <c r="AL9" s="2">
        <v>-1</v>
      </c>
    </row>
    <row r="10" spans="1:38" x14ac:dyDescent="0.25">
      <c r="A10">
        <v>8</v>
      </c>
      <c r="B10" t="s">
        <v>2324</v>
      </c>
      <c r="C10" t="s">
        <v>2325</v>
      </c>
      <c r="D10" t="s">
        <v>2326</v>
      </c>
      <c r="E10" t="s">
        <v>2327</v>
      </c>
      <c r="F10">
        <v>-1</v>
      </c>
      <c r="G10" s="2">
        <v>-1</v>
      </c>
      <c r="H10" s="2">
        <v>-1</v>
      </c>
      <c r="I10" s="2">
        <v>-1</v>
      </c>
      <c r="J10" s="2">
        <v>-1</v>
      </c>
      <c r="K10" s="2">
        <v>-1</v>
      </c>
      <c r="L10" s="2">
        <v>-1</v>
      </c>
      <c r="M10" s="2">
        <v>-1</v>
      </c>
      <c r="N10" s="2">
        <v>-1</v>
      </c>
      <c r="O10" s="2">
        <v>-1</v>
      </c>
      <c r="P10" s="2">
        <v>-1</v>
      </c>
      <c r="Q10" s="2">
        <v>-1</v>
      </c>
      <c r="R10" s="2">
        <v>-1</v>
      </c>
      <c r="S10" s="2">
        <v>-1</v>
      </c>
      <c r="T10" s="2">
        <v>-1</v>
      </c>
      <c r="U10" s="2">
        <v>-1</v>
      </c>
      <c r="V10" s="2">
        <v>-1</v>
      </c>
      <c r="W10" s="2">
        <v>-1</v>
      </c>
      <c r="X10" s="2">
        <v>-1</v>
      </c>
      <c r="Y10" s="2">
        <v>-1</v>
      </c>
      <c r="Z10" s="2">
        <v>-1</v>
      </c>
      <c r="AA10" s="2">
        <v>-1</v>
      </c>
      <c r="AB10" s="2">
        <v>-1</v>
      </c>
      <c r="AC10" s="2">
        <v>-1</v>
      </c>
      <c r="AD10" s="2">
        <v>-1</v>
      </c>
      <c r="AE10" s="2">
        <v>-1</v>
      </c>
      <c r="AF10" s="2">
        <v>-1</v>
      </c>
      <c r="AG10" s="2">
        <v>-1</v>
      </c>
      <c r="AH10" s="2">
        <v>-1</v>
      </c>
      <c r="AI10" s="2">
        <v>-1</v>
      </c>
      <c r="AJ10" s="2">
        <v>-1</v>
      </c>
      <c r="AK10" s="2">
        <v>-1</v>
      </c>
      <c r="AL10" s="2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9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3" sqref="F3:G99"/>
    </sheetView>
  </sheetViews>
  <sheetFormatPr defaultRowHeight="15" x14ac:dyDescent="0.25"/>
  <cols>
    <col min="1" max="1" width="9.28515625" customWidth="1"/>
    <col min="2" max="2" width="11.7109375" customWidth="1"/>
    <col min="4" max="17" width="9.28515625" customWidth="1"/>
  </cols>
  <sheetData>
    <row r="1" spans="1:17" s="1" customFormat="1" ht="45" x14ac:dyDescent="0.25">
      <c r="A1" s="1" t="s">
        <v>2142</v>
      </c>
      <c r="B1" s="1" t="s">
        <v>2364</v>
      </c>
      <c r="C1" s="1" t="s">
        <v>2436</v>
      </c>
      <c r="D1" s="1" t="s">
        <v>2171</v>
      </c>
      <c r="E1" s="1" t="s">
        <v>2437</v>
      </c>
      <c r="F1" s="1" t="s">
        <v>2440</v>
      </c>
      <c r="G1" s="1" t="s">
        <v>2441</v>
      </c>
      <c r="H1" s="1" t="s">
        <v>2438</v>
      </c>
      <c r="I1" s="1" t="s">
        <v>2439</v>
      </c>
      <c r="J1" s="1" t="s">
        <v>1133</v>
      </c>
      <c r="K1" s="1" t="s">
        <v>63</v>
      </c>
      <c r="L1" s="1" t="s">
        <v>723</v>
      </c>
      <c r="M1" s="1" t="s">
        <v>1274</v>
      </c>
      <c r="N1" s="1" t="s">
        <v>1297</v>
      </c>
      <c r="O1" s="1" t="s">
        <v>1298</v>
      </c>
      <c r="P1" s="1" t="s">
        <v>1275</v>
      </c>
      <c r="Q1" s="1" t="s">
        <v>1276</v>
      </c>
    </row>
    <row r="2" spans="1:17" s="1" customFormat="1" x14ac:dyDescent="0.25"/>
    <row r="3" spans="1:17" x14ac:dyDescent="0.25">
      <c r="A3">
        <v>87</v>
      </c>
      <c r="B3">
        <v>1</v>
      </c>
      <c r="C3" s="2">
        <v>1015</v>
      </c>
      <c r="D3">
        <v>0</v>
      </c>
      <c r="E3">
        <v>-1</v>
      </c>
      <c r="F3">
        <v>-1</v>
      </c>
      <c r="G3">
        <v>-1</v>
      </c>
      <c r="H3">
        <v>0</v>
      </c>
      <c r="I3">
        <v>-1</v>
      </c>
      <c r="J3" t="s">
        <v>59</v>
      </c>
      <c r="K3">
        <v>-9999</v>
      </c>
      <c r="L3">
        <v>-9999</v>
      </c>
      <c r="M3">
        <v>-9999</v>
      </c>
      <c r="N3">
        <v>-9999</v>
      </c>
      <c r="O3">
        <v>-9999</v>
      </c>
      <c r="P3">
        <v>-9999</v>
      </c>
      <c r="Q3">
        <v>-9999</v>
      </c>
    </row>
    <row r="4" spans="1:17" x14ac:dyDescent="0.25">
      <c r="A4">
        <v>75</v>
      </c>
      <c r="B4">
        <v>1</v>
      </c>
      <c r="C4" s="2">
        <v>1022</v>
      </c>
      <c r="D4">
        <v>150</v>
      </c>
      <c r="E4">
        <v>-1</v>
      </c>
      <c r="F4">
        <v>-1</v>
      </c>
      <c r="G4">
        <v>-1</v>
      </c>
      <c r="H4">
        <v>15</v>
      </c>
      <c r="I4">
        <v>-1</v>
      </c>
      <c r="J4" t="s">
        <v>59</v>
      </c>
      <c r="K4">
        <v>-9999</v>
      </c>
      <c r="L4">
        <v>-9999</v>
      </c>
      <c r="M4">
        <v>-9999</v>
      </c>
      <c r="N4">
        <v>-9999</v>
      </c>
      <c r="O4">
        <v>-9999</v>
      </c>
      <c r="P4">
        <v>-9999</v>
      </c>
      <c r="Q4">
        <v>-9999</v>
      </c>
    </row>
    <row r="5" spans="1:17" x14ac:dyDescent="0.25">
      <c r="A5">
        <v>91</v>
      </c>
      <c r="B5">
        <v>1</v>
      </c>
      <c r="C5" s="2">
        <v>1031</v>
      </c>
      <c r="D5">
        <v>150</v>
      </c>
      <c r="E5">
        <v>-1</v>
      </c>
      <c r="F5">
        <v>-1</v>
      </c>
      <c r="G5">
        <v>-1</v>
      </c>
      <c r="H5">
        <v>20</v>
      </c>
      <c r="I5">
        <v>-1</v>
      </c>
      <c r="J5" t="s">
        <v>59</v>
      </c>
      <c r="K5">
        <v>-9999</v>
      </c>
      <c r="L5">
        <v>-9999</v>
      </c>
      <c r="M5">
        <v>-9999</v>
      </c>
      <c r="N5">
        <v>-9999</v>
      </c>
      <c r="O5">
        <v>-9999</v>
      </c>
      <c r="P5">
        <v>-9999</v>
      </c>
      <c r="Q5">
        <v>-9999</v>
      </c>
    </row>
    <row r="6" spans="1:17" x14ac:dyDescent="0.25">
      <c r="A6">
        <v>76</v>
      </c>
      <c r="B6">
        <v>1</v>
      </c>
      <c r="C6" s="2">
        <v>1023</v>
      </c>
      <c r="D6">
        <v>300</v>
      </c>
      <c r="E6">
        <v>-1</v>
      </c>
      <c r="F6">
        <v>-1</v>
      </c>
      <c r="G6">
        <v>-1</v>
      </c>
      <c r="H6">
        <v>40</v>
      </c>
      <c r="I6">
        <v>-1</v>
      </c>
      <c r="J6" t="s">
        <v>59</v>
      </c>
      <c r="K6">
        <v>-9999</v>
      </c>
      <c r="L6">
        <v>-9999</v>
      </c>
      <c r="M6">
        <v>-9999</v>
      </c>
      <c r="N6">
        <v>-9999</v>
      </c>
      <c r="O6">
        <v>-9999</v>
      </c>
      <c r="P6">
        <v>-9999</v>
      </c>
      <c r="Q6">
        <v>-9999</v>
      </c>
    </row>
    <row r="7" spans="1:17" x14ac:dyDescent="0.25">
      <c r="A7">
        <v>124</v>
      </c>
      <c r="B7">
        <v>1</v>
      </c>
      <c r="C7" s="2">
        <v>1004</v>
      </c>
      <c r="D7">
        <v>600</v>
      </c>
      <c r="E7">
        <v>-1</v>
      </c>
      <c r="F7">
        <v>-1</v>
      </c>
      <c r="G7">
        <v>-1</v>
      </c>
      <c r="H7">
        <v>60</v>
      </c>
      <c r="I7">
        <v>-1</v>
      </c>
      <c r="J7" t="s">
        <v>59</v>
      </c>
      <c r="K7">
        <v>-9999</v>
      </c>
      <c r="L7">
        <v>-9999</v>
      </c>
      <c r="M7">
        <v>-9999</v>
      </c>
      <c r="N7">
        <v>-9999</v>
      </c>
      <c r="O7">
        <v>-9999</v>
      </c>
      <c r="P7">
        <v>-9999</v>
      </c>
      <c r="Q7">
        <v>-9999</v>
      </c>
    </row>
    <row r="8" spans="1:17" x14ac:dyDescent="0.25">
      <c r="A8">
        <v>74</v>
      </c>
      <c r="B8">
        <v>1</v>
      </c>
      <c r="C8" s="2">
        <v>1016</v>
      </c>
      <c r="D8">
        <v>800</v>
      </c>
      <c r="E8">
        <v>-1</v>
      </c>
      <c r="F8">
        <v>-1</v>
      </c>
      <c r="G8">
        <v>-1</v>
      </c>
      <c r="H8">
        <v>80</v>
      </c>
      <c r="I8">
        <v>-1</v>
      </c>
      <c r="J8" t="s">
        <v>59</v>
      </c>
      <c r="K8">
        <v>-9999</v>
      </c>
      <c r="L8">
        <v>-9999</v>
      </c>
      <c r="M8">
        <v>-9999</v>
      </c>
      <c r="N8">
        <v>-9999</v>
      </c>
      <c r="O8">
        <v>-9999</v>
      </c>
      <c r="P8">
        <v>-9999</v>
      </c>
      <c r="Q8">
        <v>-9999</v>
      </c>
    </row>
    <row r="9" spans="1:17" x14ac:dyDescent="0.25">
      <c r="A9">
        <v>126</v>
      </c>
      <c r="B9">
        <v>1</v>
      </c>
      <c r="C9" s="2">
        <v>1007</v>
      </c>
      <c r="D9">
        <v>1600</v>
      </c>
      <c r="E9">
        <v>-1</v>
      </c>
      <c r="F9">
        <v>-1</v>
      </c>
      <c r="G9">
        <v>-1</v>
      </c>
      <c r="H9">
        <v>100</v>
      </c>
      <c r="I9">
        <v>-1</v>
      </c>
      <c r="J9" t="s">
        <v>59</v>
      </c>
      <c r="K9">
        <v>-9999</v>
      </c>
      <c r="L9">
        <v>-9999</v>
      </c>
      <c r="M9">
        <v>-9999</v>
      </c>
      <c r="N9">
        <v>-9999</v>
      </c>
      <c r="O9">
        <v>-9999</v>
      </c>
      <c r="P9">
        <v>-9999</v>
      </c>
      <c r="Q9">
        <v>-9999</v>
      </c>
    </row>
    <row r="10" spans="1:17" x14ac:dyDescent="0.25">
      <c r="A10">
        <v>132</v>
      </c>
      <c r="B10">
        <v>1</v>
      </c>
      <c r="C10" s="2">
        <v>1013</v>
      </c>
      <c r="D10">
        <v>-1</v>
      </c>
      <c r="E10">
        <v>145</v>
      </c>
      <c r="F10">
        <v>-1</v>
      </c>
      <c r="G10">
        <v>-1</v>
      </c>
      <c r="H10">
        <v>-1</v>
      </c>
      <c r="I10">
        <v>14</v>
      </c>
      <c r="J10" t="s">
        <v>59</v>
      </c>
      <c r="K10">
        <v>-9999</v>
      </c>
      <c r="L10">
        <v>-9999</v>
      </c>
      <c r="M10">
        <v>-9999</v>
      </c>
      <c r="N10">
        <v>-9999</v>
      </c>
      <c r="O10">
        <v>-9999</v>
      </c>
      <c r="P10">
        <v>-9999</v>
      </c>
      <c r="Q10">
        <v>-9999</v>
      </c>
    </row>
    <row r="11" spans="1:17" x14ac:dyDescent="0.25">
      <c r="A11">
        <v>8</v>
      </c>
      <c r="B11">
        <v>1</v>
      </c>
      <c r="C11" s="2">
        <v>9009</v>
      </c>
      <c r="D11">
        <v>1900</v>
      </c>
      <c r="E11">
        <v>-1</v>
      </c>
      <c r="F11">
        <v>-1</v>
      </c>
      <c r="G11">
        <v>-1</v>
      </c>
      <c r="H11">
        <v>100</v>
      </c>
      <c r="I11">
        <v>-1</v>
      </c>
      <c r="J11" t="s">
        <v>59</v>
      </c>
      <c r="K11">
        <v>-9999</v>
      </c>
      <c r="L11">
        <v>-9999</v>
      </c>
      <c r="M11">
        <v>-9999</v>
      </c>
      <c r="N11">
        <v>-9999</v>
      </c>
      <c r="O11">
        <v>-9999</v>
      </c>
      <c r="P11">
        <v>-9999</v>
      </c>
      <c r="Q11">
        <v>-9999</v>
      </c>
    </row>
    <row r="12" spans="1:17" x14ac:dyDescent="0.25">
      <c r="A12">
        <v>7</v>
      </c>
      <c r="B12">
        <v>1</v>
      </c>
      <c r="C12" s="2">
        <v>9006</v>
      </c>
      <c r="D12">
        <v>2000</v>
      </c>
      <c r="E12">
        <v>-1</v>
      </c>
      <c r="F12">
        <v>-1</v>
      </c>
      <c r="G12">
        <v>-1</v>
      </c>
      <c r="H12">
        <v>160</v>
      </c>
      <c r="I12">
        <v>-1</v>
      </c>
      <c r="J12" t="s">
        <v>59</v>
      </c>
      <c r="K12">
        <v>-9999</v>
      </c>
      <c r="L12">
        <v>-9999</v>
      </c>
      <c r="M12">
        <v>-9999</v>
      </c>
      <c r="N12">
        <v>-9999</v>
      </c>
      <c r="O12">
        <v>-9999</v>
      </c>
      <c r="P12">
        <v>-9999</v>
      </c>
      <c r="Q12">
        <v>-9999</v>
      </c>
    </row>
    <row r="13" spans="1:17" x14ac:dyDescent="0.25">
      <c r="A13">
        <v>123</v>
      </c>
      <c r="B13">
        <v>1</v>
      </c>
      <c r="C13" s="2">
        <v>1003</v>
      </c>
      <c r="D13">
        <v>-1</v>
      </c>
      <c r="E13">
        <v>215</v>
      </c>
      <c r="F13">
        <v>-1</v>
      </c>
      <c r="G13">
        <v>-1</v>
      </c>
      <c r="H13">
        <v>-1</v>
      </c>
      <c r="I13">
        <v>21</v>
      </c>
      <c r="J13" t="s">
        <v>59</v>
      </c>
      <c r="K13">
        <v>-9999</v>
      </c>
      <c r="L13">
        <v>-9999</v>
      </c>
      <c r="M13">
        <v>-9999</v>
      </c>
      <c r="N13">
        <v>-9999</v>
      </c>
      <c r="O13">
        <v>-9999</v>
      </c>
      <c r="P13">
        <v>-9999</v>
      </c>
      <c r="Q13">
        <v>-9999</v>
      </c>
    </row>
    <row r="14" spans="1:17" x14ac:dyDescent="0.25">
      <c r="A14">
        <v>1</v>
      </c>
      <c r="B14">
        <v>1</v>
      </c>
      <c r="C14" s="2">
        <v>9000</v>
      </c>
      <c r="D14">
        <v>2600</v>
      </c>
      <c r="E14">
        <v>-1</v>
      </c>
      <c r="F14">
        <v>-1</v>
      </c>
      <c r="G14">
        <v>-1</v>
      </c>
      <c r="H14">
        <v>240</v>
      </c>
      <c r="I14">
        <v>-1</v>
      </c>
      <c r="J14" t="s">
        <v>59</v>
      </c>
      <c r="K14">
        <v>-9999</v>
      </c>
      <c r="L14">
        <v>-9999</v>
      </c>
      <c r="M14">
        <v>-9999</v>
      </c>
      <c r="N14">
        <v>-9999</v>
      </c>
      <c r="O14">
        <v>-9999</v>
      </c>
      <c r="P14">
        <v>-9999</v>
      </c>
      <c r="Q14">
        <v>-9999</v>
      </c>
    </row>
    <row r="15" spans="1:17" x14ac:dyDescent="0.25">
      <c r="A15">
        <v>2</v>
      </c>
      <c r="B15">
        <v>1</v>
      </c>
      <c r="C15" s="2">
        <v>9001</v>
      </c>
      <c r="D15">
        <v>3600</v>
      </c>
      <c r="E15">
        <v>-1</v>
      </c>
      <c r="F15">
        <v>-1</v>
      </c>
      <c r="G15">
        <v>-1</v>
      </c>
      <c r="H15">
        <v>280</v>
      </c>
      <c r="I15">
        <v>-1</v>
      </c>
      <c r="J15" t="s">
        <v>59</v>
      </c>
      <c r="K15">
        <v>-9999</v>
      </c>
      <c r="L15">
        <v>-9999</v>
      </c>
      <c r="M15">
        <v>-9999</v>
      </c>
      <c r="N15">
        <v>-9999</v>
      </c>
      <c r="O15">
        <v>-9999</v>
      </c>
      <c r="P15">
        <v>-9999</v>
      </c>
      <c r="Q15">
        <v>-9999</v>
      </c>
    </row>
    <row r="16" spans="1:17" x14ac:dyDescent="0.25">
      <c r="A16">
        <v>88</v>
      </c>
      <c r="B16">
        <v>1</v>
      </c>
      <c r="C16" s="2">
        <v>1019</v>
      </c>
      <c r="D16">
        <v>-1</v>
      </c>
      <c r="E16">
        <v>430</v>
      </c>
      <c r="F16">
        <v>-1</v>
      </c>
      <c r="G16">
        <v>-1</v>
      </c>
      <c r="H16">
        <v>-1</v>
      </c>
      <c r="I16">
        <v>43</v>
      </c>
      <c r="J16" t="s">
        <v>59</v>
      </c>
      <c r="K16">
        <v>-9999</v>
      </c>
      <c r="L16">
        <v>-9999</v>
      </c>
      <c r="M16">
        <v>-9999</v>
      </c>
      <c r="N16">
        <v>-9999</v>
      </c>
      <c r="O16">
        <v>-9999</v>
      </c>
      <c r="P16">
        <v>-9999</v>
      </c>
      <c r="Q16">
        <v>-9999</v>
      </c>
    </row>
    <row r="17" spans="1:17" x14ac:dyDescent="0.25">
      <c r="A17">
        <v>89</v>
      </c>
      <c r="B17">
        <v>1</v>
      </c>
      <c r="C17" s="2">
        <v>1026</v>
      </c>
      <c r="D17">
        <v>5700</v>
      </c>
      <c r="E17">
        <v>-1</v>
      </c>
      <c r="F17">
        <v>-1</v>
      </c>
      <c r="G17">
        <v>-1</v>
      </c>
      <c r="H17">
        <v>350</v>
      </c>
      <c r="I17">
        <v>-1</v>
      </c>
      <c r="J17" t="s">
        <v>59</v>
      </c>
      <c r="K17">
        <v>-9999</v>
      </c>
      <c r="L17">
        <v>-9999</v>
      </c>
      <c r="M17">
        <v>-9999</v>
      </c>
      <c r="N17">
        <v>-9999</v>
      </c>
      <c r="O17">
        <v>-9999</v>
      </c>
      <c r="P17">
        <v>-9999</v>
      </c>
      <c r="Q17">
        <v>-9999</v>
      </c>
    </row>
    <row r="18" spans="1:17" x14ac:dyDescent="0.25">
      <c r="A18">
        <v>128</v>
      </c>
      <c r="B18">
        <v>1</v>
      </c>
      <c r="C18" s="2">
        <v>1009</v>
      </c>
      <c r="D18">
        <v>-1</v>
      </c>
      <c r="E18">
        <v>290</v>
      </c>
      <c r="F18">
        <v>-1</v>
      </c>
      <c r="G18">
        <v>-1</v>
      </c>
      <c r="H18">
        <v>-1</v>
      </c>
      <c r="I18">
        <v>29</v>
      </c>
      <c r="J18" t="s">
        <v>59</v>
      </c>
      <c r="K18">
        <v>-9999</v>
      </c>
      <c r="L18">
        <v>-9999</v>
      </c>
      <c r="M18">
        <v>-9999</v>
      </c>
      <c r="N18">
        <v>-9999</v>
      </c>
      <c r="O18">
        <v>-9999</v>
      </c>
      <c r="P18">
        <v>-9999</v>
      </c>
      <c r="Q18">
        <v>-9999</v>
      </c>
    </row>
    <row r="19" spans="1:17" x14ac:dyDescent="0.25">
      <c r="A19">
        <v>3</v>
      </c>
      <c r="B19">
        <v>1</v>
      </c>
      <c r="C19" s="2">
        <v>9002</v>
      </c>
      <c r="D19">
        <v>6700</v>
      </c>
      <c r="E19">
        <v>-1</v>
      </c>
      <c r="F19">
        <v>-1</v>
      </c>
      <c r="G19">
        <v>-1</v>
      </c>
      <c r="H19">
        <v>420</v>
      </c>
      <c r="I19">
        <v>-1</v>
      </c>
      <c r="J19" t="s">
        <v>59</v>
      </c>
      <c r="K19">
        <v>-9999</v>
      </c>
      <c r="L19">
        <v>-9999</v>
      </c>
      <c r="M19">
        <v>-9999</v>
      </c>
      <c r="N19">
        <v>-9999</v>
      </c>
      <c r="O19">
        <v>-9999</v>
      </c>
      <c r="P19">
        <v>-9999</v>
      </c>
      <c r="Q19">
        <v>-9999</v>
      </c>
    </row>
    <row r="20" spans="1:17" x14ac:dyDescent="0.25">
      <c r="A20">
        <v>4</v>
      </c>
      <c r="B20">
        <v>1</v>
      </c>
      <c r="C20" s="2">
        <v>9003</v>
      </c>
      <c r="D20">
        <v>8500</v>
      </c>
      <c r="E20">
        <v>-1</v>
      </c>
      <c r="F20">
        <v>-1</v>
      </c>
      <c r="G20">
        <v>-1</v>
      </c>
      <c r="H20">
        <v>460</v>
      </c>
      <c r="I20">
        <v>-1</v>
      </c>
      <c r="J20" t="s">
        <v>59</v>
      </c>
      <c r="K20">
        <v>-9999</v>
      </c>
      <c r="L20">
        <v>-9999</v>
      </c>
      <c r="M20">
        <v>-9999</v>
      </c>
      <c r="N20">
        <v>-9999</v>
      </c>
      <c r="O20">
        <v>-9999</v>
      </c>
      <c r="P20">
        <v>-9999</v>
      </c>
      <c r="Q20">
        <v>-9999</v>
      </c>
    </row>
    <row r="21" spans="1:17" x14ac:dyDescent="0.25">
      <c r="A21">
        <v>122</v>
      </c>
      <c r="B21">
        <v>1</v>
      </c>
      <c r="C21" s="2">
        <v>1002</v>
      </c>
      <c r="D21">
        <v>9000</v>
      </c>
      <c r="E21">
        <v>-1</v>
      </c>
      <c r="F21">
        <v>-1</v>
      </c>
      <c r="G21">
        <v>-1</v>
      </c>
      <c r="H21">
        <v>500</v>
      </c>
      <c r="I21">
        <v>-1</v>
      </c>
      <c r="J21" t="s">
        <v>59</v>
      </c>
      <c r="K21">
        <v>-9999</v>
      </c>
      <c r="L21">
        <v>-9999</v>
      </c>
      <c r="M21">
        <v>-9999</v>
      </c>
      <c r="N21">
        <v>-9999</v>
      </c>
      <c r="O21">
        <v>-9999</v>
      </c>
      <c r="P21">
        <v>-9999</v>
      </c>
      <c r="Q21">
        <v>-9999</v>
      </c>
    </row>
    <row r="22" spans="1:17" x14ac:dyDescent="0.25">
      <c r="A22">
        <v>5</v>
      </c>
      <c r="B22">
        <v>1</v>
      </c>
      <c r="C22" s="2">
        <v>9004</v>
      </c>
      <c r="D22">
        <v>16000</v>
      </c>
      <c r="E22">
        <v>-1</v>
      </c>
      <c r="F22">
        <v>-1</v>
      </c>
      <c r="G22">
        <v>-1</v>
      </c>
      <c r="H22">
        <v>550</v>
      </c>
      <c r="I22">
        <v>-1</v>
      </c>
      <c r="J22" t="s">
        <v>59</v>
      </c>
      <c r="K22">
        <v>-9999</v>
      </c>
      <c r="L22">
        <v>-9999</v>
      </c>
      <c r="M22">
        <v>-9999</v>
      </c>
      <c r="N22">
        <v>-9999</v>
      </c>
      <c r="O22">
        <v>-9999</v>
      </c>
      <c r="P22">
        <v>-9999</v>
      </c>
      <c r="Q22">
        <v>-9999</v>
      </c>
    </row>
    <row r="23" spans="1:17" x14ac:dyDescent="0.25">
      <c r="A23">
        <v>90</v>
      </c>
      <c r="B23">
        <v>1</v>
      </c>
      <c r="C23" s="2">
        <v>1025</v>
      </c>
      <c r="D23">
        <v>-1</v>
      </c>
      <c r="E23">
        <v>250</v>
      </c>
      <c r="F23">
        <v>-1</v>
      </c>
      <c r="G23">
        <v>-1</v>
      </c>
      <c r="H23">
        <v>-1</v>
      </c>
      <c r="I23">
        <v>8</v>
      </c>
      <c r="J23" t="s">
        <v>59</v>
      </c>
      <c r="K23">
        <v>-9999</v>
      </c>
      <c r="L23">
        <v>-9999</v>
      </c>
      <c r="M23">
        <v>-9999</v>
      </c>
      <c r="N23">
        <v>-9999</v>
      </c>
      <c r="O23">
        <v>-9999</v>
      </c>
      <c r="P23">
        <v>-9999</v>
      </c>
      <c r="Q23">
        <v>-9999</v>
      </c>
    </row>
    <row r="24" spans="1:17" x14ac:dyDescent="0.25">
      <c r="A24">
        <v>133</v>
      </c>
      <c r="B24">
        <v>1</v>
      </c>
      <c r="C24" s="2">
        <v>1014</v>
      </c>
      <c r="D24">
        <v>28000</v>
      </c>
      <c r="E24">
        <v>-1</v>
      </c>
      <c r="F24">
        <v>-1</v>
      </c>
      <c r="G24">
        <v>-1</v>
      </c>
      <c r="H24">
        <v>650</v>
      </c>
      <c r="I24">
        <v>-1</v>
      </c>
      <c r="J24" t="s">
        <v>59</v>
      </c>
      <c r="K24">
        <v>-9999</v>
      </c>
      <c r="L24">
        <v>-9999</v>
      </c>
      <c r="M24">
        <v>-9999</v>
      </c>
      <c r="N24">
        <v>-9999</v>
      </c>
      <c r="O24">
        <v>-9999</v>
      </c>
      <c r="P24">
        <v>-9999</v>
      </c>
      <c r="Q24">
        <v>-9999</v>
      </c>
    </row>
    <row r="25" spans="1:17" x14ac:dyDescent="0.25">
      <c r="A25">
        <v>6</v>
      </c>
      <c r="B25">
        <v>1</v>
      </c>
      <c r="C25" s="2">
        <v>9005</v>
      </c>
      <c r="D25">
        <v>32000</v>
      </c>
      <c r="E25">
        <v>-1</v>
      </c>
      <c r="F25">
        <v>-1</v>
      </c>
      <c r="G25">
        <v>-1</v>
      </c>
      <c r="H25">
        <v>680</v>
      </c>
      <c r="I25">
        <v>-1</v>
      </c>
      <c r="J25" t="s">
        <v>59</v>
      </c>
      <c r="K25">
        <v>-9999</v>
      </c>
      <c r="L25">
        <v>-9999</v>
      </c>
      <c r="M25">
        <v>-9999</v>
      </c>
      <c r="N25">
        <v>-9999</v>
      </c>
      <c r="O25">
        <v>-9999</v>
      </c>
      <c r="P25">
        <v>-9999</v>
      </c>
      <c r="Q25">
        <v>-9999</v>
      </c>
    </row>
    <row r="26" spans="1:17" x14ac:dyDescent="0.25">
      <c r="A26">
        <v>85</v>
      </c>
      <c r="B26">
        <v>1</v>
      </c>
      <c r="C26" s="2">
        <v>1017</v>
      </c>
      <c r="D26">
        <v>45000</v>
      </c>
      <c r="E26">
        <v>-1</v>
      </c>
      <c r="F26">
        <v>-1</v>
      </c>
      <c r="G26">
        <v>-1</v>
      </c>
      <c r="H26">
        <v>700</v>
      </c>
      <c r="I26">
        <v>-1</v>
      </c>
      <c r="J26" t="s">
        <v>59</v>
      </c>
      <c r="K26">
        <v>-9999</v>
      </c>
      <c r="L26">
        <v>-9999</v>
      </c>
      <c r="M26">
        <v>-9999</v>
      </c>
      <c r="N26">
        <v>-9999</v>
      </c>
      <c r="O26">
        <v>-9999</v>
      </c>
      <c r="P26">
        <v>-9999</v>
      </c>
      <c r="Q26">
        <v>-9999</v>
      </c>
    </row>
    <row r="27" spans="1:17" x14ac:dyDescent="0.25">
      <c r="A27">
        <v>79</v>
      </c>
      <c r="B27">
        <v>1</v>
      </c>
      <c r="C27" s="2">
        <v>1050</v>
      </c>
      <c r="D27">
        <v>65000</v>
      </c>
      <c r="E27">
        <v>-1</v>
      </c>
      <c r="F27">
        <v>-1</v>
      </c>
      <c r="G27">
        <v>-1</v>
      </c>
      <c r="H27">
        <v>750</v>
      </c>
      <c r="I27">
        <v>-1</v>
      </c>
      <c r="J27" t="s">
        <v>59</v>
      </c>
      <c r="K27">
        <v>-9999</v>
      </c>
      <c r="L27">
        <v>-9999</v>
      </c>
      <c r="M27">
        <v>-9999</v>
      </c>
      <c r="N27">
        <v>-9999</v>
      </c>
      <c r="O27">
        <v>-9999</v>
      </c>
      <c r="P27">
        <v>-9999</v>
      </c>
      <c r="Q27">
        <v>-9999</v>
      </c>
    </row>
    <row r="28" spans="1:17" x14ac:dyDescent="0.25">
      <c r="A28">
        <v>129</v>
      </c>
      <c r="B28">
        <v>1</v>
      </c>
      <c r="C28" s="2">
        <v>1010</v>
      </c>
      <c r="D28">
        <v>-1</v>
      </c>
      <c r="E28">
        <v>345</v>
      </c>
      <c r="F28">
        <v>-1</v>
      </c>
      <c r="G28">
        <v>-1</v>
      </c>
      <c r="H28">
        <v>-1</v>
      </c>
      <c r="I28">
        <v>34</v>
      </c>
      <c r="J28" t="s">
        <v>59</v>
      </c>
      <c r="K28">
        <v>-9999</v>
      </c>
      <c r="L28">
        <v>-9999</v>
      </c>
      <c r="M28">
        <v>-9999</v>
      </c>
      <c r="N28">
        <v>-9999</v>
      </c>
      <c r="O28">
        <v>-9999</v>
      </c>
      <c r="P28">
        <v>-9999</v>
      </c>
      <c r="Q28">
        <v>-9999</v>
      </c>
    </row>
    <row r="29" spans="1:17" x14ac:dyDescent="0.25">
      <c r="A29">
        <v>131</v>
      </c>
      <c r="B29">
        <v>1</v>
      </c>
      <c r="C29" s="2">
        <v>1012</v>
      </c>
      <c r="D29">
        <v>80000</v>
      </c>
      <c r="E29">
        <v>-1</v>
      </c>
      <c r="F29">
        <v>-1</v>
      </c>
      <c r="G29">
        <v>-1</v>
      </c>
      <c r="H29">
        <v>800</v>
      </c>
      <c r="I29">
        <v>-1</v>
      </c>
      <c r="J29" t="s">
        <v>59</v>
      </c>
      <c r="K29">
        <v>-9999</v>
      </c>
      <c r="L29">
        <v>-9999</v>
      </c>
      <c r="M29">
        <v>-9999</v>
      </c>
      <c r="N29">
        <v>-9999</v>
      </c>
      <c r="O29">
        <v>-9999</v>
      </c>
      <c r="P29">
        <v>-9999</v>
      </c>
      <c r="Q29">
        <v>-9999</v>
      </c>
    </row>
    <row r="30" spans="1:17" x14ac:dyDescent="0.25">
      <c r="A30">
        <v>125</v>
      </c>
      <c r="B30">
        <v>1</v>
      </c>
      <c r="C30" s="2">
        <v>1006</v>
      </c>
      <c r="D30">
        <v>-1</v>
      </c>
      <c r="E30">
        <v>430</v>
      </c>
      <c r="F30">
        <v>-1</v>
      </c>
      <c r="G30">
        <v>-1</v>
      </c>
      <c r="H30">
        <v>-1</v>
      </c>
      <c r="I30">
        <v>43</v>
      </c>
      <c r="J30" t="s">
        <v>59</v>
      </c>
      <c r="K30">
        <v>-9999</v>
      </c>
      <c r="L30">
        <v>-9999</v>
      </c>
      <c r="M30">
        <v>-9999</v>
      </c>
      <c r="N30">
        <v>-9999</v>
      </c>
      <c r="O30">
        <v>-9999</v>
      </c>
      <c r="P30">
        <v>-9999</v>
      </c>
      <c r="Q30">
        <v>-9999</v>
      </c>
    </row>
    <row r="31" spans="1:17" x14ac:dyDescent="0.25">
      <c r="A31">
        <v>78</v>
      </c>
      <c r="B31">
        <v>1</v>
      </c>
      <c r="C31" s="2">
        <v>1051</v>
      </c>
      <c r="D31">
        <v>100000</v>
      </c>
      <c r="E31">
        <v>-1</v>
      </c>
      <c r="F31">
        <v>-1</v>
      </c>
      <c r="G31">
        <v>-1</v>
      </c>
      <c r="H31">
        <v>850</v>
      </c>
      <c r="I31">
        <v>-1</v>
      </c>
      <c r="J31" t="s">
        <v>59</v>
      </c>
      <c r="K31">
        <v>-9999</v>
      </c>
      <c r="L31">
        <v>-9999</v>
      </c>
      <c r="M31">
        <v>-9999</v>
      </c>
      <c r="N31">
        <v>-9999</v>
      </c>
      <c r="O31">
        <v>-9999</v>
      </c>
      <c r="P31">
        <v>-9999</v>
      </c>
      <c r="Q31">
        <v>-9999</v>
      </c>
    </row>
    <row r="32" spans="1:17" x14ac:dyDescent="0.25">
      <c r="A32">
        <v>12</v>
      </c>
      <c r="B32">
        <v>2</v>
      </c>
      <c r="C32" s="2">
        <v>9015</v>
      </c>
      <c r="D32">
        <v>500</v>
      </c>
      <c r="E32">
        <v>-1</v>
      </c>
      <c r="F32">
        <v>-1</v>
      </c>
      <c r="G32">
        <v>-1</v>
      </c>
      <c r="H32">
        <v>100</v>
      </c>
      <c r="I32">
        <v>-1</v>
      </c>
      <c r="J32" t="s">
        <v>59</v>
      </c>
      <c r="K32">
        <v>-9999</v>
      </c>
      <c r="L32">
        <v>-9999</v>
      </c>
      <c r="M32">
        <v>-9999</v>
      </c>
      <c r="N32">
        <v>-9999</v>
      </c>
      <c r="O32">
        <v>-9999</v>
      </c>
      <c r="P32">
        <v>-9999</v>
      </c>
      <c r="Q32">
        <v>-9999</v>
      </c>
    </row>
    <row r="33" spans="1:17" x14ac:dyDescent="0.25">
      <c r="A33">
        <v>13</v>
      </c>
      <c r="B33">
        <v>2</v>
      </c>
      <c r="C33" s="2">
        <v>9022</v>
      </c>
      <c r="D33">
        <v>700</v>
      </c>
      <c r="E33">
        <v>-1</v>
      </c>
      <c r="F33">
        <v>-1</v>
      </c>
      <c r="G33">
        <v>-1</v>
      </c>
      <c r="H33">
        <v>100</v>
      </c>
      <c r="I33">
        <v>-1</v>
      </c>
      <c r="J33" t="s">
        <v>59</v>
      </c>
      <c r="K33">
        <v>-9999</v>
      </c>
      <c r="L33">
        <v>-9999</v>
      </c>
      <c r="M33">
        <v>-9999</v>
      </c>
      <c r="N33">
        <v>-9999</v>
      </c>
      <c r="O33">
        <v>-9999</v>
      </c>
      <c r="P33">
        <v>-9999</v>
      </c>
      <c r="Q33">
        <v>-9999</v>
      </c>
    </row>
    <row r="34" spans="1:17" x14ac:dyDescent="0.25">
      <c r="A34">
        <v>14</v>
      </c>
      <c r="B34">
        <v>2</v>
      </c>
      <c r="C34" s="2">
        <v>9017</v>
      </c>
      <c r="D34">
        <v>900</v>
      </c>
      <c r="E34">
        <v>-1</v>
      </c>
      <c r="F34">
        <v>-1</v>
      </c>
      <c r="G34">
        <v>-1</v>
      </c>
      <c r="H34">
        <v>100</v>
      </c>
      <c r="I34">
        <v>-1</v>
      </c>
      <c r="J34" t="s">
        <v>59</v>
      </c>
      <c r="K34">
        <v>-9999</v>
      </c>
      <c r="L34">
        <v>-9999</v>
      </c>
      <c r="M34">
        <v>-9999</v>
      </c>
      <c r="N34">
        <v>-9999</v>
      </c>
      <c r="O34">
        <v>-9999</v>
      </c>
      <c r="P34">
        <v>-9999</v>
      </c>
      <c r="Q34">
        <v>-9999</v>
      </c>
    </row>
    <row r="35" spans="1:17" x14ac:dyDescent="0.25">
      <c r="A35">
        <v>15</v>
      </c>
      <c r="B35">
        <v>2</v>
      </c>
      <c r="C35" s="2">
        <v>9020</v>
      </c>
      <c r="D35">
        <v>1200</v>
      </c>
      <c r="E35">
        <v>-1</v>
      </c>
      <c r="F35">
        <v>-1</v>
      </c>
      <c r="G35">
        <v>-1</v>
      </c>
      <c r="H35">
        <v>100</v>
      </c>
      <c r="I35">
        <v>-1</v>
      </c>
      <c r="J35" t="s">
        <v>59</v>
      </c>
      <c r="K35">
        <v>-9999</v>
      </c>
      <c r="L35">
        <v>-9999</v>
      </c>
      <c r="M35">
        <v>-9999</v>
      </c>
      <c r="N35">
        <v>-9999</v>
      </c>
      <c r="O35">
        <v>-9999</v>
      </c>
      <c r="P35">
        <v>-9999</v>
      </c>
      <c r="Q35">
        <v>-9999</v>
      </c>
    </row>
    <row r="36" spans="1:17" x14ac:dyDescent="0.25">
      <c r="A36">
        <v>16</v>
      </c>
      <c r="B36">
        <v>2</v>
      </c>
      <c r="C36" s="2">
        <v>9023</v>
      </c>
      <c r="D36">
        <v>1500</v>
      </c>
      <c r="E36">
        <v>-1</v>
      </c>
      <c r="F36">
        <v>-1</v>
      </c>
      <c r="G36">
        <v>-1</v>
      </c>
      <c r="H36">
        <v>100</v>
      </c>
      <c r="I36">
        <v>-1</v>
      </c>
      <c r="J36" t="s">
        <v>59</v>
      </c>
      <c r="K36">
        <v>-9999</v>
      </c>
      <c r="L36">
        <v>-9999</v>
      </c>
      <c r="M36">
        <v>-9999</v>
      </c>
      <c r="N36">
        <v>-9999</v>
      </c>
      <c r="O36">
        <v>-9999</v>
      </c>
      <c r="P36">
        <v>-9999</v>
      </c>
      <c r="Q36">
        <v>-9999</v>
      </c>
    </row>
    <row r="37" spans="1:17" x14ac:dyDescent="0.25">
      <c r="A37">
        <v>17</v>
      </c>
      <c r="B37">
        <v>2</v>
      </c>
      <c r="C37" s="2">
        <v>9028</v>
      </c>
      <c r="D37">
        <v>1800</v>
      </c>
      <c r="E37">
        <v>-1</v>
      </c>
      <c r="F37">
        <v>-1</v>
      </c>
      <c r="G37">
        <v>-1</v>
      </c>
      <c r="H37">
        <v>100</v>
      </c>
      <c r="I37">
        <v>-1</v>
      </c>
      <c r="J37" t="s">
        <v>59</v>
      </c>
      <c r="K37">
        <v>-9999</v>
      </c>
      <c r="L37">
        <v>-9999</v>
      </c>
      <c r="M37">
        <v>-9999</v>
      </c>
      <c r="N37">
        <v>-9999</v>
      </c>
      <c r="O37">
        <v>-9999</v>
      </c>
      <c r="P37">
        <v>-9999</v>
      </c>
      <c r="Q37">
        <v>-9999</v>
      </c>
    </row>
    <row r="38" spans="1:17" x14ac:dyDescent="0.25">
      <c r="A38">
        <v>18</v>
      </c>
      <c r="B38">
        <v>2</v>
      </c>
      <c r="C38" s="2">
        <v>9018</v>
      </c>
      <c r="D38">
        <v>2500</v>
      </c>
      <c r="E38">
        <v>-1</v>
      </c>
      <c r="F38">
        <v>-1</v>
      </c>
      <c r="G38">
        <v>-1</v>
      </c>
      <c r="H38">
        <v>100</v>
      </c>
      <c r="I38">
        <v>-1</v>
      </c>
      <c r="J38" t="s">
        <v>59</v>
      </c>
      <c r="K38">
        <v>-9999</v>
      </c>
      <c r="L38">
        <v>-9999</v>
      </c>
      <c r="M38">
        <v>-9999</v>
      </c>
      <c r="N38">
        <v>-9999</v>
      </c>
      <c r="O38">
        <v>-9999</v>
      </c>
      <c r="P38">
        <v>-9999</v>
      </c>
      <c r="Q38">
        <v>-9999</v>
      </c>
    </row>
    <row r="39" spans="1:17" x14ac:dyDescent="0.25">
      <c r="A39">
        <v>19</v>
      </c>
      <c r="B39">
        <v>2</v>
      </c>
      <c r="C39" s="2">
        <v>9033</v>
      </c>
      <c r="D39">
        <v>3000</v>
      </c>
      <c r="E39">
        <v>-1</v>
      </c>
      <c r="F39">
        <v>-1</v>
      </c>
      <c r="G39">
        <v>-1</v>
      </c>
      <c r="H39">
        <v>100</v>
      </c>
      <c r="I39">
        <v>-1</v>
      </c>
      <c r="J39" t="s">
        <v>59</v>
      </c>
      <c r="K39">
        <v>-9999</v>
      </c>
      <c r="L39">
        <v>-9999</v>
      </c>
      <c r="M39">
        <v>-9999</v>
      </c>
      <c r="N39">
        <v>-9999</v>
      </c>
      <c r="O39">
        <v>-9999</v>
      </c>
      <c r="P39">
        <v>-9999</v>
      </c>
      <c r="Q39">
        <v>-9999</v>
      </c>
    </row>
    <row r="40" spans="1:17" x14ac:dyDescent="0.25">
      <c r="A40">
        <v>20</v>
      </c>
      <c r="B40">
        <v>2</v>
      </c>
      <c r="C40" s="2">
        <v>9030</v>
      </c>
      <c r="D40">
        <v>3500</v>
      </c>
      <c r="E40">
        <v>-1</v>
      </c>
      <c r="F40">
        <v>-1</v>
      </c>
      <c r="G40">
        <v>-1</v>
      </c>
      <c r="H40">
        <v>100</v>
      </c>
      <c r="I40">
        <v>-1</v>
      </c>
      <c r="J40" t="s">
        <v>59</v>
      </c>
      <c r="K40">
        <v>-9999</v>
      </c>
      <c r="L40">
        <v>-9999</v>
      </c>
      <c r="M40">
        <v>-9999</v>
      </c>
      <c r="N40">
        <v>-9999</v>
      </c>
      <c r="O40">
        <v>-9999</v>
      </c>
      <c r="P40">
        <v>-9999</v>
      </c>
      <c r="Q40">
        <v>-9999</v>
      </c>
    </row>
    <row r="41" spans="1:17" x14ac:dyDescent="0.25">
      <c r="A41">
        <v>21</v>
      </c>
      <c r="B41">
        <v>2</v>
      </c>
      <c r="C41" s="2">
        <v>9034</v>
      </c>
      <c r="D41">
        <v>4000</v>
      </c>
      <c r="E41">
        <v>-1</v>
      </c>
      <c r="F41">
        <v>-1</v>
      </c>
      <c r="G41">
        <v>-1</v>
      </c>
      <c r="H41">
        <v>100</v>
      </c>
      <c r="I41">
        <v>-1</v>
      </c>
      <c r="J41" t="s">
        <v>59</v>
      </c>
      <c r="K41">
        <v>-9999</v>
      </c>
      <c r="L41">
        <v>-9999</v>
      </c>
      <c r="M41">
        <v>-9999</v>
      </c>
      <c r="N41">
        <v>-9999</v>
      </c>
      <c r="O41">
        <v>-9999</v>
      </c>
      <c r="P41">
        <v>-9999</v>
      </c>
      <c r="Q41">
        <v>-9999</v>
      </c>
    </row>
    <row r="42" spans="1:17" x14ac:dyDescent="0.25">
      <c r="A42">
        <v>121</v>
      </c>
      <c r="B42">
        <v>2</v>
      </c>
      <c r="C42" s="2">
        <v>1001</v>
      </c>
      <c r="D42">
        <v>4500</v>
      </c>
      <c r="E42">
        <v>-1</v>
      </c>
      <c r="F42">
        <v>-1</v>
      </c>
      <c r="G42">
        <v>-1</v>
      </c>
      <c r="H42">
        <v>300</v>
      </c>
      <c r="I42">
        <v>-1</v>
      </c>
      <c r="J42" t="s">
        <v>59</v>
      </c>
      <c r="K42">
        <v>-9999</v>
      </c>
      <c r="L42">
        <v>-9999</v>
      </c>
      <c r="M42">
        <v>-9999</v>
      </c>
      <c r="N42">
        <v>-9999</v>
      </c>
      <c r="O42">
        <v>-9999</v>
      </c>
      <c r="P42">
        <v>-9999</v>
      </c>
      <c r="Q42">
        <v>-9999</v>
      </c>
    </row>
    <row r="43" spans="1:17" x14ac:dyDescent="0.25">
      <c r="A43">
        <v>22</v>
      </c>
      <c r="B43">
        <v>2</v>
      </c>
      <c r="C43" s="2">
        <v>9027</v>
      </c>
      <c r="D43">
        <v>5000</v>
      </c>
      <c r="E43">
        <v>-1</v>
      </c>
      <c r="F43">
        <v>-1</v>
      </c>
      <c r="G43">
        <v>-1</v>
      </c>
      <c r="H43">
        <v>100</v>
      </c>
      <c r="I43">
        <v>-1</v>
      </c>
      <c r="J43" t="s">
        <v>59</v>
      </c>
      <c r="K43">
        <v>-9999</v>
      </c>
      <c r="L43">
        <v>-9999</v>
      </c>
      <c r="M43">
        <v>-9999</v>
      </c>
      <c r="N43">
        <v>-9999</v>
      </c>
      <c r="O43">
        <v>-9999</v>
      </c>
      <c r="P43">
        <v>-9999</v>
      </c>
      <c r="Q43">
        <v>-9999</v>
      </c>
    </row>
    <row r="44" spans="1:17" x14ac:dyDescent="0.25">
      <c r="A44">
        <v>23</v>
      </c>
      <c r="B44">
        <v>2</v>
      </c>
      <c r="C44" s="2">
        <v>9026</v>
      </c>
      <c r="D44">
        <v>5500</v>
      </c>
      <c r="E44">
        <v>-1</v>
      </c>
      <c r="F44">
        <v>-1</v>
      </c>
      <c r="G44">
        <v>-1</v>
      </c>
      <c r="H44">
        <v>100</v>
      </c>
      <c r="I44">
        <v>-1</v>
      </c>
      <c r="J44" t="s">
        <v>59</v>
      </c>
      <c r="K44">
        <v>-9999</v>
      </c>
      <c r="L44">
        <v>-9999</v>
      </c>
      <c r="M44">
        <v>-9999</v>
      </c>
      <c r="N44">
        <v>-9999</v>
      </c>
      <c r="O44">
        <v>-9999</v>
      </c>
      <c r="P44">
        <v>-9999</v>
      </c>
      <c r="Q44">
        <v>-9999</v>
      </c>
    </row>
    <row r="45" spans="1:17" x14ac:dyDescent="0.25">
      <c r="A45">
        <v>24</v>
      </c>
      <c r="B45">
        <v>2</v>
      </c>
      <c r="C45" s="2">
        <v>9032</v>
      </c>
      <c r="D45">
        <v>6500</v>
      </c>
      <c r="E45">
        <v>-1</v>
      </c>
      <c r="F45">
        <v>-1</v>
      </c>
      <c r="G45">
        <v>-1</v>
      </c>
      <c r="H45">
        <v>100</v>
      </c>
      <c r="I45">
        <v>-1</v>
      </c>
      <c r="J45" t="s">
        <v>59</v>
      </c>
      <c r="K45">
        <v>-9999</v>
      </c>
      <c r="L45">
        <v>-9999</v>
      </c>
      <c r="M45">
        <v>-9999</v>
      </c>
      <c r="N45">
        <v>-9999</v>
      </c>
      <c r="O45">
        <v>-9999</v>
      </c>
      <c r="P45">
        <v>-9999</v>
      </c>
      <c r="Q45">
        <v>-9999</v>
      </c>
    </row>
    <row r="46" spans="1:17" x14ac:dyDescent="0.25">
      <c r="A46">
        <v>25</v>
      </c>
      <c r="B46">
        <v>2</v>
      </c>
      <c r="C46" s="2">
        <v>9019</v>
      </c>
      <c r="D46">
        <v>8000</v>
      </c>
      <c r="E46">
        <v>-1</v>
      </c>
      <c r="F46">
        <v>-1</v>
      </c>
      <c r="G46">
        <v>-1</v>
      </c>
      <c r="H46">
        <v>100</v>
      </c>
      <c r="I46">
        <v>-1</v>
      </c>
      <c r="J46" t="s">
        <v>59</v>
      </c>
      <c r="K46">
        <v>-9999</v>
      </c>
      <c r="L46">
        <v>-9999</v>
      </c>
      <c r="M46">
        <v>-9999</v>
      </c>
      <c r="N46">
        <v>-9999</v>
      </c>
      <c r="O46">
        <v>-9999</v>
      </c>
      <c r="P46">
        <v>-9999</v>
      </c>
      <c r="Q46">
        <v>-9999</v>
      </c>
    </row>
    <row r="47" spans="1:17" x14ac:dyDescent="0.25">
      <c r="A47">
        <v>26</v>
      </c>
      <c r="B47">
        <v>2</v>
      </c>
      <c r="C47" s="2">
        <v>9021</v>
      </c>
      <c r="D47">
        <v>15000</v>
      </c>
      <c r="E47">
        <v>-1</v>
      </c>
      <c r="F47">
        <v>-1</v>
      </c>
      <c r="G47">
        <v>-1</v>
      </c>
      <c r="H47">
        <v>100</v>
      </c>
      <c r="I47">
        <v>-1</v>
      </c>
      <c r="J47" t="s">
        <v>59</v>
      </c>
      <c r="K47">
        <v>-9999</v>
      </c>
      <c r="L47">
        <v>-9999</v>
      </c>
      <c r="M47">
        <v>-9999</v>
      </c>
      <c r="N47">
        <v>-9999</v>
      </c>
      <c r="O47">
        <v>-9999</v>
      </c>
      <c r="P47">
        <v>-9999</v>
      </c>
      <c r="Q47">
        <v>-9999</v>
      </c>
    </row>
    <row r="48" spans="1:17" x14ac:dyDescent="0.25">
      <c r="A48">
        <v>27</v>
      </c>
      <c r="B48">
        <v>2</v>
      </c>
      <c r="C48" s="2">
        <v>9029</v>
      </c>
      <c r="D48">
        <v>25000</v>
      </c>
      <c r="E48">
        <v>-1</v>
      </c>
      <c r="F48">
        <v>-1</v>
      </c>
      <c r="G48">
        <v>-1</v>
      </c>
      <c r="H48">
        <v>100</v>
      </c>
      <c r="I48">
        <v>-1</v>
      </c>
      <c r="J48" t="s">
        <v>59</v>
      </c>
      <c r="K48">
        <v>-9999</v>
      </c>
      <c r="L48">
        <v>-9999</v>
      </c>
      <c r="M48">
        <v>-9999</v>
      </c>
      <c r="N48">
        <v>-9999</v>
      </c>
      <c r="O48">
        <v>-9999</v>
      </c>
      <c r="P48">
        <v>-9999</v>
      </c>
      <c r="Q48">
        <v>-9999</v>
      </c>
    </row>
    <row r="49" spans="1:17" x14ac:dyDescent="0.25">
      <c r="A49">
        <v>28</v>
      </c>
      <c r="B49">
        <v>2</v>
      </c>
      <c r="C49" s="2">
        <v>9031</v>
      </c>
      <c r="D49">
        <v>40000</v>
      </c>
      <c r="E49">
        <v>-1</v>
      </c>
      <c r="F49">
        <v>-1</v>
      </c>
      <c r="G49">
        <v>-1</v>
      </c>
      <c r="H49">
        <v>100</v>
      </c>
      <c r="I49">
        <v>-1</v>
      </c>
      <c r="J49" t="s">
        <v>59</v>
      </c>
      <c r="K49">
        <v>-9999</v>
      </c>
      <c r="L49">
        <v>-9999</v>
      </c>
      <c r="M49">
        <v>-9999</v>
      </c>
      <c r="N49">
        <v>-9999</v>
      </c>
      <c r="O49">
        <v>-9999</v>
      </c>
      <c r="P49">
        <v>-9999</v>
      </c>
      <c r="Q49">
        <v>-9999</v>
      </c>
    </row>
    <row r="50" spans="1:17" x14ac:dyDescent="0.25">
      <c r="A50">
        <v>29</v>
      </c>
      <c r="B50">
        <v>2</v>
      </c>
      <c r="C50" s="2">
        <v>9025</v>
      </c>
      <c r="D50">
        <v>60000</v>
      </c>
      <c r="E50">
        <v>-1</v>
      </c>
      <c r="F50">
        <v>-1</v>
      </c>
      <c r="G50">
        <v>-1</v>
      </c>
      <c r="H50">
        <v>100</v>
      </c>
      <c r="I50">
        <v>-1</v>
      </c>
      <c r="J50" t="s">
        <v>59</v>
      </c>
      <c r="K50">
        <v>-9999</v>
      </c>
      <c r="L50">
        <v>-9999</v>
      </c>
      <c r="M50">
        <v>-9999</v>
      </c>
      <c r="N50">
        <v>-9999</v>
      </c>
      <c r="O50">
        <v>-9999</v>
      </c>
      <c r="P50">
        <v>-9999</v>
      </c>
      <c r="Q50">
        <v>-9999</v>
      </c>
    </row>
    <row r="51" spans="1:17" x14ac:dyDescent="0.25">
      <c r="A51">
        <v>30</v>
      </c>
      <c r="B51">
        <v>2</v>
      </c>
      <c r="C51" s="2">
        <v>9024</v>
      </c>
      <c r="D51">
        <v>100000</v>
      </c>
      <c r="E51">
        <v>-1</v>
      </c>
      <c r="F51">
        <v>-1</v>
      </c>
      <c r="G51">
        <v>-1</v>
      </c>
      <c r="H51">
        <v>100</v>
      </c>
      <c r="I51">
        <v>-1</v>
      </c>
      <c r="J51" t="s">
        <v>59</v>
      </c>
      <c r="K51">
        <v>-9999</v>
      </c>
      <c r="L51">
        <v>-9999</v>
      </c>
      <c r="M51">
        <v>-9999</v>
      </c>
      <c r="N51">
        <v>-9999</v>
      </c>
      <c r="O51">
        <v>-9999</v>
      </c>
      <c r="P51">
        <v>-9999</v>
      </c>
      <c r="Q51">
        <v>-9999</v>
      </c>
    </row>
    <row r="52" spans="1:17" x14ac:dyDescent="0.25">
      <c r="A52">
        <v>69</v>
      </c>
      <c r="B52">
        <v>3</v>
      </c>
      <c r="C52" s="2">
        <v>1027</v>
      </c>
      <c r="D52">
        <v>25</v>
      </c>
      <c r="E52">
        <v>-1</v>
      </c>
      <c r="F52">
        <v>-1</v>
      </c>
      <c r="G52">
        <v>-1</v>
      </c>
      <c r="H52">
        <v>20</v>
      </c>
      <c r="I52">
        <v>-1</v>
      </c>
      <c r="J52" t="s">
        <v>2365</v>
      </c>
      <c r="K52" t="s">
        <v>1450</v>
      </c>
      <c r="L52">
        <v>-9999</v>
      </c>
      <c r="M52">
        <v>-9999</v>
      </c>
      <c r="N52">
        <v>-9999</v>
      </c>
      <c r="O52">
        <v>-9999</v>
      </c>
      <c r="P52">
        <v>-9999</v>
      </c>
      <c r="Q52">
        <v>-9999</v>
      </c>
    </row>
    <row r="53" spans="1:17" x14ac:dyDescent="0.25">
      <c r="A53">
        <v>67</v>
      </c>
      <c r="B53">
        <v>3</v>
      </c>
      <c r="C53" s="2">
        <v>1024</v>
      </c>
      <c r="D53">
        <v>50</v>
      </c>
      <c r="E53">
        <v>-1</v>
      </c>
      <c r="F53">
        <v>-1</v>
      </c>
      <c r="G53">
        <v>-1</v>
      </c>
      <c r="H53">
        <v>5</v>
      </c>
      <c r="I53">
        <v>-1</v>
      </c>
      <c r="J53" t="s">
        <v>2366</v>
      </c>
      <c r="K53">
        <v>-9999</v>
      </c>
      <c r="L53">
        <v>-9999</v>
      </c>
      <c r="M53">
        <v>-9999</v>
      </c>
      <c r="N53">
        <v>-9999</v>
      </c>
      <c r="O53">
        <v>-9999</v>
      </c>
      <c r="P53">
        <v>-9999</v>
      </c>
      <c r="Q53">
        <v>-9999</v>
      </c>
    </row>
    <row r="54" spans="1:17" x14ac:dyDescent="0.25">
      <c r="A54">
        <v>42</v>
      </c>
      <c r="B54">
        <v>3</v>
      </c>
      <c r="C54" s="2">
        <v>9046</v>
      </c>
      <c r="D54">
        <v>500</v>
      </c>
      <c r="E54">
        <v>-1</v>
      </c>
      <c r="F54">
        <v>-1</v>
      </c>
      <c r="G54">
        <v>-1</v>
      </c>
      <c r="H54">
        <v>0</v>
      </c>
      <c r="I54">
        <v>-1</v>
      </c>
      <c r="J54" t="s">
        <v>2367</v>
      </c>
      <c r="K54">
        <v>-9999</v>
      </c>
      <c r="L54">
        <v>-9999</v>
      </c>
      <c r="M54">
        <v>-9999</v>
      </c>
      <c r="N54">
        <v>-9999</v>
      </c>
      <c r="O54">
        <v>-9999</v>
      </c>
      <c r="P54">
        <v>-9999</v>
      </c>
      <c r="Q54">
        <v>-9999</v>
      </c>
    </row>
    <row r="55" spans="1:17" x14ac:dyDescent="0.25">
      <c r="A55">
        <v>41</v>
      </c>
      <c r="B55">
        <v>3</v>
      </c>
      <c r="C55" s="2">
        <v>9045</v>
      </c>
      <c r="D55">
        <v>750</v>
      </c>
      <c r="E55">
        <v>-1</v>
      </c>
      <c r="F55">
        <v>-1</v>
      </c>
      <c r="G55">
        <v>-1</v>
      </c>
      <c r="H55">
        <v>0</v>
      </c>
      <c r="I55">
        <v>-1</v>
      </c>
      <c r="J55" t="s">
        <v>2368</v>
      </c>
      <c r="K55">
        <v>-9999</v>
      </c>
      <c r="L55">
        <v>-9999</v>
      </c>
      <c r="M55">
        <v>-9999</v>
      </c>
      <c r="N55">
        <v>-9999</v>
      </c>
      <c r="O55">
        <v>-9999</v>
      </c>
      <c r="P55">
        <v>-9999</v>
      </c>
      <c r="Q55">
        <v>-9999</v>
      </c>
    </row>
    <row r="56" spans="1:17" x14ac:dyDescent="0.25">
      <c r="A56">
        <v>81</v>
      </c>
      <c r="B56">
        <v>3</v>
      </c>
      <c r="C56" s="2">
        <v>1054</v>
      </c>
      <c r="D56">
        <v>1200</v>
      </c>
      <c r="E56">
        <v>-1</v>
      </c>
      <c r="F56">
        <v>-1</v>
      </c>
      <c r="G56">
        <v>-1</v>
      </c>
      <c r="H56">
        <v>240</v>
      </c>
      <c r="I56">
        <v>-1</v>
      </c>
      <c r="J56" t="s">
        <v>2369</v>
      </c>
      <c r="K56">
        <v>-9999</v>
      </c>
      <c r="L56">
        <v>-9999</v>
      </c>
      <c r="M56">
        <v>-9999</v>
      </c>
      <c r="N56">
        <v>-9999</v>
      </c>
      <c r="O56">
        <v>-9999</v>
      </c>
      <c r="P56">
        <v>-9999</v>
      </c>
      <c r="Q56">
        <v>-9999</v>
      </c>
    </row>
    <row r="57" spans="1:17" x14ac:dyDescent="0.25">
      <c r="A57">
        <v>82</v>
      </c>
      <c r="B57">
        <v>3</v>
      </c>
      <c r="C57" s="2">
        <v>1055</v>
      </c>
      <c r="D57">
        <v>2000</v>
      </c>
      <c r="E57">
        <v>-1</v>
      </c>
      <c r="F57">
        <v>-1</v>
      </c>
      <c r="G57">
        <v>-1</v>
      </c>
      <c r="H57">
        <v>200</v>
      </c>
      <c r="I57">
        <v>-1</v>
      </c>
      <c r="J57" t="s">
        <v>2370</v>
      </c>
      <c r="K57">
        <v>-9999</v>
      </c>
      <c r="L57">
        <v>-9999</v>
      </c>
      <c r="M57">
        <v>-9999</v>
      </c>
      <c r="N57">
        <v>-9999</v>
      </c>
      <c r="O57">
        <v>-9999</v>
      </c>
      <c r="P57">
        <v>-9999</v>
      </c>
      <c r="Q57">
        <v>-9999</v>
      </c>
    </row>
    <row r="58" spans="1:17" x14ac:dyDescent="0.25">
      <c r="A58">
        <v>83</v>
      </c>
      <c r="B58">
        <v>3</v>
      </c>
      <c r="C58" s="2">
        <v>1056</v>
      </c>
      <c r="D58">
        <v>4000</v>
      </c>
      <c r="E58">
        <v>-1</v>
      </c>
      <c r="F58">
        <v>-1</v>
      </c>
      <c r="G58">
        <v>-1</v>
      </c>
      <c r="H58">
        <v>400</v>
      </c>
      <c r="I58">
        <v>-1</v>
      </c>
      <c r="J58" t="s">
        <v>2371</v>
      </c>
      <c r="K58">
        <v>-9999</v>
      </c>
      <c r="L58">
        <v>-9999</v>
      </c>
      <c r="M58">
        <v>-9999</v>
      </c>
      <c r="N58">
        <v>-9999</v>
      </c>
      <c r="O58">
        <v>-9999</v>
      </c>
      <c r="P58">
        <v>-9999</v>
      </c>
      <c r="Q58">
        <v>-9999</v>
      </c>
    </row>
    <row r="59" spans="1:17" x14ac:dyDescent="0.25">
      <c r="A59">
        <v>84</v>
      </c>
      <c r="B59">
        <v>3</v>
      </c>
      <c r="C59" s="2">
        <v>1057</v>
      </c>
      <c r="D59">
        <v>6000</v>
      </c>
      <c r="E59">
        <v>-1</v>
      </c>
      <c r="F59">
        <v>-1</v>
      </c>
      <c r="G59">
        <v>-1</v>
      </c>
      <c r="H59">
        <v>600</v>
      </c>
      <c r="I59">
        <v>-1</v>
      </c>
      <c r="J59" t="s">
        <v>2372</v>
      </c>
      <c r="K59">
        <v>-9999</v>
      </c>
      <c r="L59">
        <v>-9999</v>
      </c>
      <c r="M59">
        <v>-9999</v>
      </c>
      <c r="N59">
        <v>-9999</v>
      </c>
      <c r="O59">
        <v>-9999</v>
      </c>
      <c r="P59">
        <v>-9999</v>
      </c>
      <c r="Q59">
        <v>-9999</v>
      </c>
    </row>
    <row r="60" spans="1:17" x14ac:dyDescent="0.25">
      <c r="A60">
        <v>64</v>
      </c>
      <c r="B60">
        <v>4</v>
      </c>
      <c r="C60" s="2">
        <v>-255</v>
      </c>
      <c r="D60">
        <v>5</v>
      </c>
      <c r="E60">
        <v>-1</v>
      </c>
      <c r="F60">
        <v>-1</v>
      </c>
      <c r="G60">
        <v>-1</v>
      </c>
      <c r="H60">
        <v>-1</v>
      </c>
      <c r="I60">
        <v>-1</v>
      </c>
      <c r="J60" t="s">
        <v>2373</v>
      </c>
      <c r="K60">
        <v>-9999</v>
      </c>
      <c r="L60" t="s">
        <v>2374</v>
      </c>
      <c r="M60" t="s">
        <v>1353</v>
      </c>
      <c r="N60">
        <v>140</v>
      </c>
      <c r="O60">
        <v>140</v>
      </c>
      <c r="P60" t="s">
        <v>2375</v>
      </c>
      <c r="Q60" t="s">
        <v>1355</v>
      </c>
    </row>
    <row r="61" spans="1:17" x14ac:dyDescent="0.25">
      <c r="A61">
        <v>103</v>
      </c>
      <c r="B61">
        <v>4</v>
      </c>
      <c r="C61" s="2">
        <v>2004</v>
      </c>
      <c r="D61">
        <v>60</v>
      </c>
      <c r="E61">
        <v>-1</v>
      </c>
      <c r="F61">
        <v>-1</v>
      </c>
      <c r="G61">
        <v>-1</v>
      </c>
      <c r="H61">
        <v>12</v>
      </c>
      <c r="I61">
        <v>-1</v>
      </c>
      <c r="J61" t="s">
        <v>2376</v>
      </c>
      <c r="K61">
        <v>-9999</v>
      </c>
      <c r="L61">
        <v>-9999</v>
      </c>
      <c r="M61">
        <v>-9999</v>
      </c>
      <c r="N61">
        <v>-9999</v>
      </c>
      <c r="O61">
        <v>-9999</v>
      </c>
      <c r="P61">
        <v>-9999</v>
      </c>
      <c r="Q61">
        <v>-9999</v>
      </c>
    </row>
    <row r="62" spans="1:17" x14ac:dyDescent="0.25">
      <c r="A62">
        <v>108</v>
      </c>
      <c r="B62">
        <v>4</v>
      </c>
      <c r="C62" s="2">
        <v>2011</v>
      </c>
      <c r="D62">
        <v>50</v>
      </c>
      <c r="E62">
        <v>-1</v>
      </c>
      <c r="F62">
        <v>-1</v>
      </c>
      <c r="G62">
        <v>-1</v>
      </c>
      <c r="H62">
        <v>5</v>
      </c>
      <c r="I62">
        <v>-1</v>
      </c>
      <c r="J62" t="s">
        <v>2377</v>
      </c>
      <c r="K62">
        <v>-9999</v>
      </c>
      <c r="L62">
        <v>-9999</v>
      </c>
      <c r="M62">
        <v>-9999</v>
      </c>
      <c r="N62">
        <v>-9999</v>
      </c>
      <c r="O62">
        <v>-9999</v>
      </c>
      <c r="P62">
        <v>-9999</v>
      </c>
      <c r="Q62">
        <v>-9999</v>
      </c>
    </row>
    <row r="63" spans="1:17" x14ac:dyDescent="0.25">
      <c r="A63">
        <v>137</v>
      </c>
      <c r="B63">
        <v>4</v>
      </c>
      <c r="C63" s="2">
        <v>2035</v>
      </c>
      <c r="D63">
        <v>50</v>
      </c>
      <c r="E63">
        <v>-1</v>
      </c>
      <c r="F63">
        <v>-1</v>
      </c>
      <c r="G63">
        <v>-1</v>
      </c>
      <c r="H63">
        <v>10</v>
      </c>
      <c r="I63">
        <v>-1</v>
      </c>
      <c r="J63" t="s">
        <v>2378</v>
      </c>
      <c r="K63">
        <v>-9999</v>
      </c>
      <c r="L63">
        <v>-9999</v>
      </c>
      <c r="M63">
        <v>-9999</v>
      </c>
      <c r="N63">
        <v>-9999</v>
      </c>
      <c r="O63">
        <v>-9999</v>
      </c>
      <c r="P63">
        <v>-9999</v>
      </c>
      <c r="Q63">
        <v>-9999</v>
      </c>
    </row>
    <row r="64" spans="1:17" x14ac:dyDescent="0.25">
      <c r="A64">
        <v>110</v>
      </c>
      <c r="B64">
        <v>4</v>
      </c>
      <c r="C64" s="2">
        <v>2013</v>
      </c>
      <c r="D64">
        <v>100</v>
      </c>
      <c r="E64">
        <v>-1</v>
      </c>
      <c r="F64">
        <v>-1</v>
      </c>
      <c r="G64">
        <v>-1</v>
      </c>
      <c r="H64">
        <v>20</v>
      </c>
      <c r="I64">
        <v>-1</v>
      </c>
      <c r="J64" t="s">
        <v>1098</v>
      </c>
      <c r="K64">
        <v>-9999</v>
      </c>
      <c r="L64">
        <v>-9999</v>
      </c>
      <c r="M64">
        <v>-9999</v>
      </c>
      <c r="N64">
        <v>-9999</v>
      </c>
      <c r="O64">
        <v>-9999</v>
      </c>
      <c r="P64">
        <v>-9999</v>
      </c>
      <c r="Q64">
        <v>-9999</v>
      </c>
    </row>
    <row r="65" spans="1:17" x14ac:dyDescent="0.25">
      <c r="A65">
        <v>149</v>
      </c>
      <c r="B65">
        <v>4</v>
      </c>
      <c r="C65" s="2">
        <v>2052</v>
      </c>
      <c r="D65">
        <v>100</v>
      </c>
      <c r="E65">
        <v>-1</v>
      </c>
      <c r="F65">
        <v>-1</v>
      </c>
      <c r="G65">
        <v>-1</v>
      </c>
      <c r="H65">
        <v>10</v>
      </c>
      <c r="I65">
        <v>-1</v>
      </c>
      <c r="J65" t="s">
        <v>2379</v>
      </c>
      <c r="K65">
        <v>-9999</v>
      </c>
      <c r="L65">
        <v>-9999</v>
      </c>
      <c r="M65">
        <v>-9999</v>
      </c>
      <c r="N65">
        <v>-9999</v>
      </c>
      <c r="O65">
        <v>-9999</v>
      </c>
      <c r="P65">
        <v>-9999</v>
      </c>
      <c r="Q65">
        <v>-9999</v>
      </c>
    </row>
    <row r="66" spans="1:17" x14ac:dyDescent="0.25">
      <c r="A66">
        <v>150</v>
      </c>
      <c r="B66">
        <v>4</v>
      </c>
      <c r="C66" s="2">
        <v>2053</v>
      </c>
      <c r="D66">
        <v>50</v>
      </c>
      <c r="E66">
        <v>-1</v>
      </c>
      <c r="F66">
        <v>-1</v>
      </c>
      <c r="G66">
        <v>-1</v>
      </c>
      <c r="H66">
        <v>5</v>
      </c>
      <c r="I66">
        <v>-1</v>
      </c>
      <c r="J66" t="s">
        <v>2380</v>
      </c>
      <c r="K66">
        <v>-9999</v>
      </c>
      <c r="L66">
        <v>-9999</v>
      </c>
      <c r="M66">
        <v>-9999</v>
      </c>
      <c r="N66">
        <v>-9999</v>
      </c>
      <c r="O66">
        <v>-9999</v>
      </c>
      <c r="P66">
        <v>-9999</v>
      </c>
      <c r="Q66">
        <v>-9999</v>
      </c>
    </row>
    <row r="67" spans="1:17" x14ac:dyDescent="0.25">
      <c r="A67">
        <v>115</v>
      </c>
      <c r="B67">
        <v>4</v>
      </c>
      <c r="C67" s="2">
        <v>2019</v>
      </c>
      <c r="D67">
        <v>-1</v>
      </c>
      <c r="E67">
        <v>30</v>
      </c>
      <c r="F67">
        <v>-1</v>
      </c>
      <c r="G67">
        <v>-1</v>
      </c>
      <c r="H67">
        <v>100</v>
      </c>
      <c r="I67">
        <v>-1</v>
      </c>
      <c r="J67" t="s">
        <v>1110</v>
      </c>
      <c r="K67">
        <v>-9999</v>
      </c>
      <c r="L67">
        <v>-9999</v>
      </c>
      <c r="M67">
        <v>-9999</v>
      </c>
      <c r="N67">
        <v>-9999</v>
      </c>
      <c r="O67">
        <v>-9999</v>
      </c>
      <c r="P67">
        <v>-9999</v>
      </c>
      <c r="Q67">
        <v>-9999</v>
      </c>
    </row>
    <row r="68" spans="1:17" x14ac:dyDescent="0.25">
      <c r="A68">
        <v>109</v>
      </c>
      <c r="B68">
        <v>4</v>
      </c>
      <c r="C68" s="2">
        <v>2012</v>
      </c>
      <c r="D68">
        <v>-1</v>
      </c>
      <c r="E68">
        <v>10</v>
      </c>
      <c r="F68">
        <v>-1</v>
      </c>
      <c r="G68">
        <v>-1</v>
      </c>
      <c r="H68">
        <v>-1</v>
      </c>
      <c r="I68">
        <v>2</v>
      </c>
      <c r="J68" t="s">
        <v>1098</v>
      </c>
      <c r="K68">
        <v>-9999</v>
      </c>
      <c r="L68">
        <v>-9999</v>
      </c>
      <c r="M68">
        <v>-9999</v>
      </c>
      <c r="N68">
        <v>-9999</v>
      </c>
      <c r="O68">
        <v>-9999</v>
      </c>
      <c r="P68">
        <v>-9999</v>
      </c>
      <c r="Q68">
        <v>-9999</v>
      </c>
    </row>
    <row r="69" spans="1:17" x14ac:dyDescent="0.25">
      <c r="A69">
        <v>114</v>
      </c>
      <c r="B69">
        <v>4</v>
      </c>
      <c r="C69" s="2">
        <v>2018</v>
      </c>
      <c r="D69">
        <v>-1</v>
      </c>
      <c r="E69">
        <v>3</v>
      </c>
      <c r="F69">
        <v>-1</v>
      </c>
      <c r="G69">
        <v>-1</v>
      </c>
      <c r="H69">
        <v>-1</v>
      </c>
      <c r="I69">
        <v>2</v>
      </c>
      <c r="J69" t="s">
        <v>1106</v>
      </c>
      <c r="K69">
        <v>-9999</v>
      </c>
      <c r="L69">
        <v>-9999</v>
      </c>
      <c r="M69">
        <v>-9999</v>
      </c>
      <c r="N69">
        <v>-9999</v>
      </c>
      <c r="O69">
        <v>-9999</v>
      </c>
      <c r="P69">
        <v>-9999</v>
      </c>
      <c r="Q69">
        <v>-9999</v>
      </c>
    </row>
    <row r="70" spans="1:17" x14ac:dyDescent="0.25">
      <c r="A70">
        <v>99</v>
      </c>
      <c r="B70">
        <v>4</v>
      </c>
      <c r="C70" s="2">
        <v>2039</v>
      </c>
      <c r="D70">
        <v>10</v>
      </c>
      <c r="E70">
        <v>-1</v>
      </c>
      <c r="F70">
        <v>-1</v>
      </c>
      <c r="G70">
        <v>-1</v>
      </c>
      <c r="H70">
        <v>2</v>
      </c>
      <c r="I70">
        <v>-1</v>
      </c>
      <c r="J70" t="s">
        <v>2381</v>
      </c>
      <c r="K70">
        <v>-9999</v>
      </c>
      <c r="L70">
        <v>-9999</v>
      </c>
      <c r="M70">
        <v>-9999</v>
      </c>
      <c r="N70">
        <v>-9999</v>
      </c>
      <c r="O70">
        <v>-9999</v>
      </c>
      <c r="P70">
        <v>-9999</v>
      </c>
      <c r="Q70">
        <v>-9999</v>
      </c>
    </row>
    <row r="71" spans="1:17" x14ac:dyDescent="0.25">
      <c r="A71">
        <v>140</v>
      </c>
      <c r="B71">
        <v>4</v>
      </c>
      <c r="C71" s="2">
        <v>2038</v>
      </c>
      <c r="D71">
        <v>10</v>
      </c>
      <c r="E71">
        <v>-1</v>
      </c>
      <c r="F71">
        <v>-1</v>
      </c>
      <c r="G71">
        <v>-1</v>
      </c>
      <c r="H71">
        <v>2</v>
      </c>
      <c r="I71">
        <v>-1</v>
      </c>
      <c r="J71" t="s">
        <v>2382</v>
      </c>
      <c r="K71">
        <v>-9999</v>
      </c>
      <c r="L71">
        <v>-9999</v>
      </c>
      <c r="M71">
        <v>-9999</v>
      </c>
      <c r="N71">
        <v>-9999</v>
      </c>
      <c r="O71">
        <v>-9999</v>
      </c>
      <c r="P71">
        <v>-9999</v>
      </c>
      <c r="Q71">
        <v>-9999</v>
      </c>
    </row>
    <row r="72" spans="1:17" x14ac:dyDescent="0.25">
      <c r="A72">
        <v>113</v>
      </c>
      <c r="B72">
        <v>4</v>
      </c>
      <c r="C72" s="2">
        <v>2017</v>
      </c>
      <c r="D72">
        <v>400</v>
      </c>
      <c r="E72">
        <v>-1</v>
      </c>
      <c r="F72">
        <v>-1</v>
      </c>
      <c r="G72">
        <v>-1</v>
      </c>
      <c r="H72">
        <v>80</v>
      </c>
      <c r="I72">
        <v>-1</v>
      </c>
      <c r="J72" t="s">
        <v>2383</v>
      </c>
      <c r="K72">
        <v>-9999</v>
      </c>
      <c r="L72">
        <v>-9999</v>
      </c>
      <c r="M72">
        <v>-9999</v>
      </c>
      <c r="N72">
        <v>-9999</v>
      </c>
      <c r="O72">
        <v>-9999</v>
      </c>
      <c r="P72">
        <v>-9999</v>
      </c>
      <c r="Q72">
        <v>-9999</v>
      </c>
    </row>
    <row r="73" spans="1:17" x14ac:dyDescent="0.25">
      <c r="A73">
        <v>107</v>
      </c>
      <c r="B73">
        <v>4</v>
      </c>
      <c r="C73" s="2">
        <v>2010</v>
      </c>
      <c r="D73">
        <v>200</v>
      </c>
      <c r="E73">
        <v>-1</v>
      </c>
      <c r="F73">
        <v>-1</v>
      </c>
      <c r="G73">
        <v>-1</v>
      </c>
      <c r="H73">
        <v>40</v>
      </c>
      <c r="I73">
        <v>-1</v>
      </c>
      <c r="J73" t="s">
        <v>2384</v>
      </c>
      <c r="K73">
        <v>-9999</v>
      </c>
      <c r="L73">
        <v>-9999</v>
      </c>
      <c r="M73">
        <v>-9999</v>
      </c>
      <c r="N73">
        <v>-9999</v>
      </c>
      <c r="O73">
        <v>-9999</v>
      </c>
      <c r="P73">
        <v>-9999</v>
      </c>
      <c r="Q73">
        <v>-9999</v>
      </c>
    </row>
    <row r="74" spans="1:17" x14ac:dyDescent="0.25">
      <c r="A74">
        <v>120</v>
      </c>
      <c r="B74">
        <v>4</v>
      </c>
      <c r="C74" s="2">
        <v>2024</v>
      </c>
      <c r="D74">
        <v>-1</v>
      </c>
      <c r="E74">
        <v>4</v>
      </c>
      <c r="F74">
        <v>-1</v>
      </c>
      <c r="G74">
        <v>-1</v>
      </c>
      <c r="H74">
        <v>-1</v>
      </c>
      <c r="I74">
        <v>1</v>
      </c>
      <c r="J74" t="s">
        <v>1122</v>
      </c>
      <c r="K74">
        <v>-9999</v>
      </c>
      <c r="L74">
        <v>-9999</v>
      </c>
      <c r="M74">
        <v>-9999</v>
      </c>
      <c r="N74">
        <v>-9999</v>
      </c>
      <c r="O74">
        <v>-9999</v>
      </c>
      <c r="P74">
        <v>-9999</v>
      </c>
      <c r="Q74">
        <v>-9999</v>
      </c>
    </row>
    <row r="75" spans="1:17" x14ac:dyDescent="0.25">
      <c r="A75">
        <v>112</v>
      </c>
      <c r="B75">
        <v>4</v>
      </c>
      <c r="C75" s="2">
        <v>2015</v>
      </c>
      <c r="D75">
        <v>400</v>
      </c>
      <c r="E75">
        <v>-1</v>
      </c>
      <c r="F75">
        <v>-1</v>
      </c>
      <c r="G75">
        <v>-1</v>
      </c>
      <c r="H75">
        <v>80</v>
      </c>
      <c r="I75">
        <v>-1</v>
      </c>
      <c r="J75" t="s">
        <v>2385</v>
      </c>
      <c r="K75">
        <v>-9999</v>
      </c>
      <c r="L75">
        <v>-9999</v>
      </c>
      <c r="M75">
        <v>-9999</v>
      </c>
      <c r="N75">
        <v>-9999</v>
      </c>
      <c r="O75">
        <v>-9999</v>
      </c>
      <c r="P75">
        <v>-9999</v>
      </c>
      <c r="Q75">
        <v>-9999</v>
      </c>
    </row>
    <row r="76" spans="1:17" x14ac:dyDescent="0.25">
      <c r="A76">
        <v>105</v>
      </c>
      <c r="B76">
        <v>4</v>
      </c>
      <c r="C76" s="2">
        <v>2008</v>
      </c>
      <c r="D76">
        <v>200</v>
      </c>
      <c r="E76">
        <v>-1</v>
      </c>
      <c r="F76">
        <v>-1</v>
      </c>
      <c r="G76">
        <v>-1</v>
      </c>
      <c r="H76">
        <v>40</v>
      </c>
      <c r="I76">
        <v>-1</v>
      </c>
      <c r="J76" t="s">
        <v>2386</v>
      </c>
      <c r="K76">
        <v>-9999</v>
      </c>
      <c r="L76">
        <v>-9999</v>
      </c>
      <c r="M76">
        <v>-9999</v>
      </c>
      <c r="N76">
        <v>-9999</v>
      </c>
      <c r="O76">
        <v>-9999</v>
      </c>
      <c r="P76">
        <v>-9999</v>
      </c>
      <c r="Q76">
        <v>-9999</v>
      </c>
    </row>
    <row r="77" spans="1:17" x14ac:dyDescent="0.25">
      <c r="A77">
        <v>151</v>
      </c>
      <c r="B77">
        <v>4</v>
      </c>
      <c r="C77" s="2">
        <v>2054</v>
      </c>
      <c r="D77">
        <v>500</v>
      </c>
      <c r="E77">
        <v>-1</v>
      </c>
      <c r="F77">
        <v>-1</v>
      </c>
      <c r="G77">
        <v>-1</v>
      </c>
      <c r="H77">
        <v>100</v>
      </c>
      <c r="I77">
        <v>-1</v>
      </c>
      <c r="J77" t="s">
        <v>2387</v>
      </c>
      <c r="K77">
        <v>-9999</v>
      </c>
      <c r="L77">
        <v>-9999</v>
      </c>
      <c r="M77">
        <v>-9999</v>
      </c>
      <c r="N77">
        <v>-9999</v>
      </c>
      <c r="O77">
        <v>-9999</v>
      </c>
      <c r="P77">
        <v>-9999</v>
      </c>
      <c r="Q77">
        <v>-9999</v>
      </c>
    </row>
    <row r="78" spans="1:17" x14ac:dyDescent="0.25">
      <c r="A78">
        <v>104</v>
      </c>
      <c r="B78">
        <v>4</v>
      </c>
      <c r="C78" s="2">
        <v>2007</v>
      </c>
      <c r="D78">
        <v>500</v>
      </c>
      <c r="E78">
        <v>-1</v>
      </c>
      <c r="F78">
        <v>-1</v>
      </c>
      <c r="G78">
        <v>-1</v>
      </c>
      <c r="H78">
        <v>100</v>
      </c>
      <c r="I78">
        <v>-1</v>
      </c>
      <c r="J78" t="s">
        <v>2388</v>
      </c>
      <c r="K78">
        <v>-9999</v>
      </c>
      <c r="L78">
        <v>-9999</v>
      </c>
      <c r="M78">
        <v>-9999</v>
      </c>
      <c r="N78">
        <v>-9999</v>
      </c>
      <c r="O78">
        <v>-9999</v>
      </c>
      <c r="P78">
        <v>-9999</v>
      </c>
      <c r="Q78">
        <v>-9999</v>
      </c>
    </row>
    <row r="79" spans="1:17" x14ac:dyDescent="0.25">
      <c r="A79">
        <v>111</v>
      </c>
      <c r="B79">
        <v>4</v>
      </c>
      <c r="C79" s="2">
        <v>2014</v>
      </c>
      <c r="D79">
        <v>100</v>
      </c>
      <c r="E79">
        <v>-1</v>
      </c>
      <c r="F79">
        <v>-1</v>
      </c>
      <c r="G79">
        <v>-1</v>
      </c>
      <c r="H79">
        <v>-1</v>
      </c>
      <c r="I79">
        <v>2</v>
      </c>
      <c r="J79" t="s">
        <v>1098</v>
      </c>
      <c r="K79">
        <v>-9999</v>
      </c>
      <c r="L79">
        <v>-9999</v>
      </c>
      <c r="M79">
        <v>-9999</v>
      </c>
      <c r="N79">
        <v>-9999</v>
      </c>
      <c r="O79">
        <v>-9999</v>
      </c>
      <c r="P79">
        <v>-9999</v>
      </c>
      <c r="Q79">
        <v>-9999</v>
      </c>
    </row>
    <row r="80" spans="1:17" x14ac:dyDescent="0.25">
      <c r="A80">
        <v>98</v>
      </c>
      <c r="B80">
        <v>4</v>
      </c>
      <c r="C80" s="2">
        <v>2046</v>
      </c>
      <c r="D80">
        <v>300</v>
      </c>
      <c r="E80">
        <v>-1</v>
      </c>
      <c r="F80">
        <v>-1</v>
      </c>
      <c r="G80">
        <v>-1</v>
      </c>
      <c r="H80">
        <v>60</v>
      </c>
      <c r="I80">
        <v>-1</v>
      </c>
      <c r="J80" t="s">
        <v>2389</v>
      </c>
      <c r="K80">
        <v>-9999</v>
      </c>
      <c r="L80">
        <v>-9999</v>
      </c>
      <c r="M80">
        <v>-9999</v>
      </c>
      <c r="N80">
        <v>-9999</v>
      </c>
      <c r="O80">
        <v>-9999</v>
      </c>
      <c r="P80">
        <v>-9999</v>
      </c>
      <c r="Q80">
        <v>-9999</v>
      </c>
    </row>
    <row r="81" spans="1:17" x14ac:dyDescent="0.25">
      <c r="A81">
        <v>100</v>
      </c>
      <c r="B81">
        <v>4</v>
      </c>
      <c r="C81" s="2">
        <v>2001</v>
      </c>
      <c r="D81">
        <v>500</v>
      </c>
      <c r="E81">
        <v>-1</v>
      </c>
      <c r="F81">
        <v>-1</v>
      </c>
      <c r="G81">
        <v>-1</v>
      </c>
      <c r="H81">
        <v>100</v>
      </c>
      <c r="I81">
        <v>-1</v>
      </c>
      <c r="J81" t="s">
        <v>2390</v>
      </c>
      <c r="K81">
        <v>-9999</v>
      </c>
      <c r="L81">
        <v>-9999</v>
      </c>
      <c r="M81">
        <v>-9999</v>
      </c>
      <c r="N81">
        <v>-9999</v>
      </c>
      <c r="O81">
        <v>-9999</v>
      </c>
      <c r="P81">
        <v>-9999</v>
      </c>
      <c r="Q81">
        <v>-9999</v>
      </c>
    </row>
    <row r="82" spans="1:17" x14ac:dyDescent="0.25">
      <c r="A82">
        <v>146</v>
      </c>
      <c r="B82">
        <v>4</v>
      </c>
      <c r="C82" s="2">
        <v>2026</v>
      </c>
      <c r="D82">
        <v>-1</v>
      </c>
      <c r="E82">
        <v>8</v>
      </c>
      <c r="F82">
        <v>-1</v>
      </c>
      <c r="G82">
        <v>-1</v>
      </c>
      <c r="H82">
        <v>-1</v>
      </c>
      <c r="I82">
        <v>0</v>
      </c>
      <c r="J82" t="s">
        <v>1126</v>
      </c>
      <c r="K82">
        <v>-9999</v>
      </c>
      <c r="L82">
        <v>-9999</v>
      </c>
      <c r="M82">
        <v>-9999</v>
      </c>
      <c r="N82">
        <v>-9999</v>
      </c>
      <c r="O82">
        <v>-9999</v>
      </c>
      <c r="P82">
        <v>-9999</v>
      </c>
      <c r="Q82">
        <v>-9999</v>
      </c>
    </row>
    <row r="83" spans="1:17" x14ac:dyDescent="0.25">
      <c r="A83">
        <v>102</v>
      </c>
      <c r="B83">
        <v>4</v>
      </c>
      <c r="C83" s="2">
        <v>2003</v>
      </c>
      <c r="D83">
        <v>-1</v>
      </c>
      <c r="E83">
        <v>8</v>
      </c>
      <c r="F83">
        <v>-1</v>
      </c>
      <c r="G83">
        <v>-1</v>
      </c>
      <c r="H83">
        <v>-1</v>
      </c>
      <c r="I83">
        <v>1</v>
      </c>
      <c r="J83" t="s">
        <v>1094</v>
      </c>
      <c r="K83">
        <v>-9999</v>
      </c>
      <c r="L83">
        <v>-9999</v>
      </c>
      <c r="M83">
        <v>-9999</v>
      </c>
      <c r="N83">
        <v>-9999</v>
      </c>
      <c r="O83">
        <v>-9999</v>
      </c>
      <c r="P83">
        <v>-9999</v>
      </c>
      <c r="Q83">
        <v>-9999</v>
      </c>
    </row>
    <row r="84" spans="1:17" x14ac:dyDescent="0.25">
      <c r="A84">
        <v>117</v>
      </c>
      <c r="B84">
        <v>4</v>
      </c>
      <c r="C84" s="2">
        <v>2021</v>
      </c>
      <c r="D84">
        <v>-1</v>
      </c>
      <c r="E84">
        <v>10</v>
      </c>
      <c r="F84">
        <v>-1</v>
      </c>
      <c r="G84">
        <v>-1</v>
      </c>
      <c r="H84">
        <v>-1</v>
      </c>
      <c r="I84">
        <v>1</v>
      </c>
      <c r="J84" t="s">
        <v>1114</v>
      </c>
      <c r="K84">
        <v>-9999</v>
      </c>
      <c r="L84">
        <v>-9999</v>
      </c>
      <c r="M84">
        <v>-9999</v>
      </c>
      <c r="N84">
        <v>-9999</v>
      </c>
      <c r="O84">
        <v>-9999</v>
      </c>
      <c r="P84">
        <v>-9999</v>
      </c>
      <c r="Q84">
        <v>-9999</v>
      </c>
    </row>
    <row r="85" spans="1:17" x14ac:dyDescent="0.25">
      <c r="A85">
        <v>145</v>
      </c>
      <c r="B85">
        <v>4</v>
      </c>
      <c r="C85" s="2">
        <v>2044</v>
      </c>
      <c r="D85">
        <v>-1</v>
      </c>
      <c r="E85">
        <v>10</v>
      </c>
      <c r="F85">
        <v>-1</v>
      </c>
      <c r="G85">
        <v>-1</v>
      </c>
      <c r="H85">
        <v>-1</v>
      </c>
      <c r="I85">
        <v>1</v>
      </c>
      <c r="J85" t="s">
        <v>1102</v>
      </c>
      <c r="K85">
        <v>-9999</v>
      </c>
      <c r="L85">
        <v>-9999</v>
      </c>
      <c r="M85">
        <v>-9999</v>
      </c>
      <c r="N85">
        <v>-9999</v>
      </c>
      <c r="O85">
        <v>-9999</v>
      </c>
      <c r="P85">
        <v>-9999</v>
      </c>
      <c r="Q85">
        <v>-9999</v>
      </c>
    </row>
    <row r="86" spans="1:17" x14ac:dyDescent="0.25">
      <c r="A86">
        <v>142</v>
      </c>
      <c r="B86">
        <v>4</v>
      </c>
      <c r="C86" s="2">
        <v>2040</v>
      </c>
      <c r="D86">
        <v>10</v>
      </c>
      <c r="E86">
        <v>-1</v>
      </c>
      <c r="F86">
        <v>-1</v>
      </c>
      <c r="G86">
        <v>-1</v>
      </c>
      <c r="H86">
        <v>2</v>
      </c>
      <c r="I86">
        <v>-1</v>
      </c>
      <c r="J86" t="s">
        <v>2391</v>
      </c>
      <c r="K86">
        <v>-9999</v>
      </c>
      <c r="L86">
        <v>-9999</v>
      </c>
      <c r="M86">
        <v>-9999</v>
      </c>
      <c r="N86">
        <v>-9999</v>
      </c>
      <c r="O86">
        <v>-9999</v>
      </c>
      <c r="P86">
        <v>-9999</v>
      </c>
      <c r="Q86">
        <v>-9999</v>
      </c>
    </row>
    <row r="87" spans="1:17" x14ac:dyDescent="0.25">
      <c r="A87">
        <v>138</v>
      </c>
      <c r="B87">
        <v>4</v>
      </c>
      <c r="C87" s="2">
        <v>2036</v>
      </c>
      <c r="D87">
        <v>1000</v>
      </c>
      <c r="E87">
        <v>-1</v>
      </c>
      <c r="F87">
        <v>-1</v>
      </c>
      <c r="G87">
        <v>-1</v>
      </c>
      <c r="H87">
        <v>200</v>
      </c>
      <c r="I87">
        <v>-1</v>
      </c>
      <c r="J87" t="s">
        <v>2392</v>
      </c>
      <c r="K87">
        <v>-9999</v>
      </c>
      <c r="L87">
        <v>-9999</v>
      </c>
      <c r="M87">
        <v>-9999</v>
      </c>
      <c r="N87">
        <v>-9999</v>
      </c>
      <c r="O87">
        <v>-9999</v>
      </c>
      <c r="P87">
        <v>-9999</v>
      </c>
      <c r="Q87">
        <v>-9999</v>
      </c>
    </row>
    <row r="88" spans="1:17" x14ac:dyDescent="0.25">
      <c r="A88">
        <v>139</v>
      </c>
      <c r="B88">
        <v>4</v>
      </c>
      <c r="C88" s="2">
        <v>2037</v>
      </c>
      <c r="D88">
        <v>-1</v>
      </c>
      <c r="E88">
        <v>10</v>
      </c>
      <c r="F88">
        <v>-1</v>
      </c>
      <c r="G88">
        <v>-1</v>
      </c>
      <c r="H88">
        <v>-1</v>
      </c>
      <c r="I88">
        <v>2</v>
      </c>
      <c r="J88" t="s">
        <v>1130</v>
      </c>
      <c r="K88">
        <v>-9999</v>
      </c>
      <c r="L88">
        <v>-9999</v>
      </c>
      <c r="M88">
        <v>-9999</v>
      </c>
      <c r="N88">
        <v>-9999</v>
      </c>
      <c r="O88">
        <v>-9999</v>
      </c>
      <c r="P88">
        <v>-9999</v>
      </c>
      <c r="Q88">
        <v>-9999</v>
      </c>
    </row>
    <row r="89" spans="1:17" x14ac:dyDescent="0.25">
      <c r="A89">
        <v>118</v>
      </c>
      <c r="B89">
        <v>4</v>
      </c>
      <c r="C89" s="2">
        <v>2022</v>
      </c>
      <c r="D89">
        <v>-1</v>
      </c>
      <c r="E89">
        <v>5</v>
      </c>
      <c r="F89">
        <v>-1</v>
      </c>
      <c r="G89">
        <v>-1</v>
      </c>
      <c r="H89">
        <v>-1</v>
      </c>
      <c r="I89">
        <v>1</v>
      </c>
      <c r="J89" t="s">
        <v>1118</v>
      </c>
      <c r="K89">
        <v>-9999</v>
      </c>
      <c r="L89">
        <v>-9999</v>
      </c>
      <c r="M89">
        <v>-9999</v>
      </c>
      <c r="N89">
        <v>-9999</v>
      </c>
      <c r="O89">
        <v>-9999</v>
      </c>
      <c r="P89">
        <v>-9999</v>
      </c>
      <c r="Q89">
        <v>-9999</v>
      </c>
    </row>
    <row r="90" spans="1:17" x14ac:dyDescent="0.25">
      <c r="A90">
        <v>187</v>
      </c>
      <c r="B90">
        <v>4</v>
      </c>
      <c r="C90" s="2">
        <v>20026</v>
      </c>
      <c r="D90">
        <v>300</v>
      </c>
      <c r="E90">
        <v>-1</v>
      </c>
      <c r="F90">
        <v>-1</v>
      </c>
      <c r="G90">
        <v>-1</v>
      </c>
      <c r="H90">
        <v>100</v>
      </c>
      <c r="I90">
        <v>-1</v>
      </c>
      <c r="J90" t="s">
        <v>2393</v>
      </c>
      <c r="K90">
        <v>-9999</v>
      </c>
      <c r="L90">
        <v>-9999</v>
      </c>
      <c r="M90">
        <v>-9999</v>
      </c>
      <c r="N90">
        <v>-9999</v>
      </c>
      <c r="O90">
        <v>-9999</v>
      </c>
      <c r="P90">
        <v>-9999</v>
      </c>
      <c r="Q90">
        <v>-9999</v>
      </c>
    </row>
    <row r="91" spans="1:17" x14ac:dyDescent="0.25">
      <c r="A91">
        <v>172</v>
      </c>
      <c r="B91">
        <v>4</v>
      </c>
      <c r="C91" s="2">
        <v>20011</v>
      </c>
      <c r="D91">
        <v>300</v>
      </c>
      <c r="E91">
        <v>-1</v>
      </c>
      <c r="F91">
        <v>-1</v>
      </c>
      <c r="G91">
        <v>-1</v>
      </c>
      <c r="H91">
        <v>30</v>
      </c>
      <c r="I91">
        <v>-1</v>
      </c>
      <c r="J91" t="s">
        <v>2394</v>
      </c>
      <c r="K91">
        <v>-9999</v>
      </c>
      <c r="L91">
        <v>-9999</v>
      </c>
      <c r="M91">
        <v>-9999</v>
      </c>
      <c r="N91">
        <v>-9999</v>
      </c>
      <c r="O91">
        <v>-9999</v>
      </c>
      <c r="P91">
        <v>-9999</v>
      </c>
      <c r="Q91">
        <v>-9999</v>
      </c>
    </row>
    <row r="92" spans="1:17" x14ac:dyDescent="0.25">
      <c r="A92">
        <v>44</v>
      </c>
      <c r="B92">
        <v>5</v>
      </c>
      <c r="C92" s="2">
        <v>10000</v>
      </c>
      <c r="D92">
        <v>600</v>
      </c>
      <c r="E92">
        <v>-1</v>
      </c>
      <c r="F92">
        <v>-1</v>
      </c>
      <c r="G92">
        <v>-1</v>
      </c>
      <c r="H92">
        <v>7</v>
      </c>
      <c r="I92">
        <v>-1</v>
      </c>
      <c r="J92" t="s">
        <v>59</v>
      </c>
      <c r="K92" t="s">
        <v>1248</v>
      </c>
      <c r="L92">
        <v>-9999</v>
      </c>
      <c r="M92">
        <v>-9999</v>
      </c>
      <c r="N92">
        <v>-9999</v>
      </c>
      <c r="O92">
        <v>-9999</v>
      </c>
      <c r="P92">
        <v>-9999</v>
      </c>
      <c r="Q92">
        <v>-9999</v>
      </c>
    </row>
    <row r="93" spans="1:17" x14ac:dyDescent="0.25">
      <c r="A93">
        <v>50</v>
      </c>
      <c r="B93">
        <v>5</v>
      </c>
      <c r="C93" s="2">
        <v>10006</v>
      </c>
      <c r="D93">
        <v>1100</v>
      </c>
      <c r="E93">
        <v>-1</v>
      </c>
      <c r="F93">
        <v>-1</v>
      </c>
      <c r="G93">
        <v>-1</v>
      </c>
      <c r="H93">
        <v>7</v>
      </c>
      <c r="I93">
        <v>-1</v>
      </c>
      <c r="J93" t="s">
        <v>59</v>
      </c>
      <c r="K93" t="s">
        <v>1248</v>
      </c>
      <c r="L93">
        <v>-9999</v>
      </c>
      <c r="M93">
        <v>-9999</v>
      </c>
      <c r="N93">
        <v>-9999</v>
      </c>
      <c r="O93">
        <v>-9999</v>
      </c>
      <c r="P93">
        <v>-9999</v>
      </c>
      <c r="Q93">
        <v>-9999</v>
      </c>
    </row>
    <row r="94" spans="1:17" x14ac:dyDescent="0.25">
      <c r="A94">
        <v>46</v>
      </c>
      <c r="B94">
        <v>5</v>
      </c>
      <c r="C94" s="2">
        <v>10002</v>
      </c>
      <c r="D94">
        <v>1200</v>
      </c>
      <c r="E94">
        <v>-1</v>
      </c>
      <c r="F94">
        <v>-1</v>
      </c>
      <c r="G94">
        <v>-1</v>
      </c>
      <c r="H94">
        <v>7</v>
      </c>
      <c r="I94">
        <v>-1</v>
      </c>
      <c r="J94" t="s">
        <v>59</v>
      </c>
      <c r="K94" t="s">
        <v>1248</v>
      </c>
      <c r="L94">
        <v>-9999</v>
      </c>
      <c r="M94">
        <v>-9999</v>
      </c>
      <c r="N94">
        <v>-9999</v>
      </c>
      <c r="O94">
        <v>-9999</v>
      </c>
      <c r="P94">
        <v>-9999</v>
      </c>
      <c r="Q94">
        <v>-9999</v>
      </c>
    </row>
    <row r="95" spans="1:17" x14ac:dyDescent="0.25">
      <c r="A95">
        <v>45</v>
      </c>
      <c r="B95">
        <v>5</v>
      </c>
      <c r="C95" s="2">
        <v>10001</v>
      </c>
      <c r="D95">
        <v>2100</v>
      </c>
      <c r="E95">
        <v>-1</v>
      </c>
      <c r="F95">
        <v>-1</v>
      </c>
      <c r="G95">
        <v>-1</v>
      </c>
      <c r="H95">
        <v>7</v>
      </c>
      <c r="I95">
        <v>-1</v>
      </c>
      <c r="J95" t="s">
        <v>59</v>
      </c>
      <c r="K95" t="s">
        <v>1248</v>
      </c>
      <c r="L95">
        <v>-9999</v>
      </c>
      <c r="M95">
        <v>-9999</v>
      </c>
      <c r="N95">
        <v>-9999</v>
      </c>
      <c r="O95">
        <v>-9999</v>
      </c>
      <c r="P95">
        <v>-9999</v>
      </c>
      <c r="Q95">
        <v>-9999</v>
      </c>
    </row>
    <row r="96" spans="1:17" x14ac:dyDescent="0.25">
      <c r="A96">
        <v>48</v>
      </c>
      <c r="B96">
        <v>5</v>
      </c>
      <c r="C96" s="2">
        <v>10004</v>
      </c>
      <c r="D96">
        <v>2900</v>
      </c>
      <c r="E96">
        <v>-1</v>
      </c>
      <c r="F96">
        <v>-1</v>
      </c>
      <c r="G96">
        <v>-1</v>
      </c>
      <c r="H96">
        <v>7</v>
      </c>
      <c r="I96">
        <v>-1</v>
      </c>
      <c r="J96" t="s">
        <v>59</v>
      </c>
      <c r="K96" t="s">
        <v>1248</v>
      </c>
      <c r="L96">
        <v>-9999</v>
      </c>
      <c r="M96">
        <v>-9999</v>
      </c>
      <c r="N96">
        <v>-9999</v>
      </c>
      <c r="O96">
        <v>-9999</v>
      </c>
      <c r="P96">
        <v>-9999</v>
      </c>
      <c r="Q96">
        <v>-9999</v>
      </c>
    </row>
    <row r="97" spans="1:17" x14ac:dyDescent="0.25">
      <c r="A97">
        <v>49</v>
      </c>
      <c r="B97">
        <v>5</v>
      </c>
      <c r="C97" s="2">
        <v>10005</v>
      </c>
      <c r="D97">
        <v>3600</v>
      </c>
      <c r="E97">
        <v>-1</v>
      </c>
      <c r="F97">
        <v>-1</v>
      </c>
      <c r="G97">
        <v>-1</v>
      </c>
      <c r="H97">
        <v>7</v>
      </c>
      <c r="I97">
        <v>-1</v>
      </c>
      <c r="J97" t="s">
        <v>59</v>
      </c>
      <c r="K97" t="s">
        <v>1248</v>
      </c>
      <c r="L97">
        <v>-9999</v>
      </c>
      <c r="M97">
        <v>-9999</v>
      </c>
      <c r="N97">
        <v>-9999</v>
      </c>
      <c r="O97">
        <v>-9999</v>
      </c>
      <c r="P97">
        <v>-9999</v>
      </c>
      <c r="Q97">
        <v>-9999</v>
      </c>
    </row>
    <row r="98" spans="1:17" x14ac:dyDescent="0.25">
      <c r="A98">
        <v>47</v>
      </c>
      <c r="B98">
        <v>5</v>
      </c>
      <c r="C98" s="2">
        <v>10003</v>
      </c>
      <c r="D98">
        <v>4700</v>
      </c>
      <c r="E98">
        <v>-1</v>
      </c>
      <c r="F98">
        <v>-1</v>
      </c>
      <c r="G98">
        <v>-1</v>
      </c>
      <c r="H98">
        <v>7</v>
      </c>
      <c r="I98">
        <v>-1</v>
      </c>
      <c r="J98" t="s">
        <v>59</v>
      </c>
      <c r="K98" t="s">
        <v>1248</v>
      </c>
      <c r="L98">
        <v>-9999</v>
      </c>
      <c r="M98">
        <v>-9999</v>
      </c>
      <c r="N98">
        <v>-9999</v>
      </c>
      <c r="O98">
        <v>-9999</v>
      </c>
      <c r="P98">
        <v>-9999</v>
      </c>
      <c r="Q98">
        <v>-9999</v>
      </c>
    </row>
    <row r="99" spans="1:17" x14ac:dyDescent="0.25">
      <c r="A99">
        <v>51</v>
      </c>
      <c r="B99">
        <v>5</v>
      </c>
      <c r="C99" s="2">
        <v>10007</v>
      </c>
      <c r="D99">
        <v>6200</v>
      </c>
      <c r="E99">
        <v>-1</v>
      </c>
      <c r="F99">
        <v>-1</v>
      </c>
      <c r="G99">
        <v>-1</v>
      </c>
      <c r="H99">
        <v>7</v>
      </c>
      <c r="I99">
        <v>-1</v>
      </c>
      <c r="J99" t="s">
        <v>59</v>
      </c>
      <c r="K99" t="s">
        <v>1248</v>
      </c>
      <c r="L99">
        <v>-9999</v>
      </c>
      <c r="M99">
        <v>-9999</v>
      </c>
      <c r="N99">
        <v>-9999</v>
      </c>
      <c r="O99">
        <v>-9999</v>
      </c>
      <c r="P99">
        <v>-9999</v>
      </c>
      <c r="Q99">
        <v>-9999</v>
      </c>
    </row>
  </sheetData>
  <conditionalFormatting sqref="A1:Q99">
    <cfRule type="cellIs" dxfId="39" priority="1" operator="equal">
      <formula>-9999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9" sqref="C9"/>
    </sheetView>
  </sheetViews>
  <sheetFormatPr defaultRowHeight="15" x14ac:dyDescent="0.25"/>
  <cols>
    <col min="14" max="14" width="27.140625" bestFit="1" customWidth="1"/>
  </cols>
  <sheetData>
    <row r="1" spans="1:14" s="1" customFormat="1" ht="45" x14ac:dyDescent="0.25">
      <c r="A1" s="1" t="s">
        <v>2142</v>
      </c>
      <c r="B1" s="1" t="s">
        <v>2364</v>
      </c>
      <c r="C1" s="1" t="s">
        <v>2442</v>
      </c>
      <c r="D1" s="1" t="s">
        <v>1133</v>
      </c>
      <c r="E1" s="1" t="s">
        <v>723</v>
      </c>
      <c r="F1" s="1" t="s">
        <v>2150</v>
      </c>
      <c r="G1" s="1" t="s">
        <v>2184</v>
      </c>
      <c r="H1" s="1" t="s">
        <v>2185</v>
      </c>
      <c r="I1" s="1" t="s">
        <v>2169</v>
      </c>
      <c r="J1" s="1" t="s">
        <v>2170</v>
      </c>
      <c r="K1" s="1" t="s">
        <v>2443</v>
      </c>
      <c r="L1" s="1" t="s">
        <v>2445</v>
      </c>
      <c r="M1" s="1" t="s">
        <v>2446</v>
      </c>
      <c r="N1" s="1" t="s">
        <v>2444</v>
      </c>
    </row>
    <row r="3" spans="1:14" x14ac:dyDescent="0.25">
      <c r="A3">
        <v>54</v>
      </c>
      <c r="B3">
        <v>6</v>
      </c>
      <c r="C3" s="2">
        <v>-99</v>
      </c>
      <c r="D3" t="s">
        <v>2395</v>
      </c>
      <c r="E3" t="s">
        <v>2396</v>
      </c>
      <c r="F3" t="s">
        <v>1353</v>
      </c>
      <c r="G3">
        <v>108</v>
      </c>
      <c r="H3">
        <v>120</v>
      </c>
      <c r="I3" t="s">
        <v>2397</v>
      </c>
      <c r="J3" t="s">
        <v>1355</v>
      </c>
      <c r="K3" t="s">
        <v>2398</v>
      </c>
      <c r="L3">
        <v>25</v>
      </c>
      <c r="M3">
        <v>-1</v>
      </c>
      <c r="N3" t="s">
        <v>2399</v>
      </c>
    </row>
    <row r="4" spans="1:14" x14ac:dyDescent="0.25">
      <c r="A4">
        <v>55</v>
      </c>
      <c r="B4">
        <v>6</v>
      </c>
      <c r="C4" s="2">
        <v>-98</v>
      </c>
      <c r="D4" t="s">
        <v>2400</v>
      </c>
      <c r="E4" t="s">
        <v>2401</v>
      </c>
      <c r="F4" t="s">
        <v>1353</v>
      </c>
      <c r="G4">
        <v>56</v>
      </c>
      <c r="H4">
        <v>122</v>
      </c>
      <c r="I4" t="s">
        <v>2402</v>
      </c>
      <c r="J4" t="s">
        <v>1355</v>
      </c>
      <c r="K4" t="s">
        <v>2398</v>
      </c>
      <c r="L4">
        <v>50</v>
      </c>
      <c r="M4">
        <v>-1</v>
      </c>
      <c r="N4" t="s">
        <v>2403</v>
      </c>
    </row>
    <row r="5" spans="1:14" x14ac:dyDescent="0.25">
      <c r="A5">
        <v>56</v>
      </c>
      <c r="B5">
        <v>6</v>
      </c>
      <c r="C5" s="2">
        <v>-97</v>
      </c>
      <c r="D5" t="s">
        <v>2404</v>
      </c>
      <c r="E5" t="s">
        <v>2405</v>
      </c>
      <c r="F5" t="s">
        <v>1353</v>
      </c>
      <c r="G5">
        <v>116</v>
      </c>
      <c r="H5">
        <v>94</v>
      </c>
      <c r="I5" t="s">
        <v>2406</v>
      </c>
      <c r="J5" t="s">
        <v>1355</v>
      </c>
      <c r="K5" t="s">
        <v>2398</v>
      </c>
      <c r="L5">
        <v>150</v>
      </c>
      <c r="M5">
        <v>-1</v>
      </c>
      <c r="N5" t="s">
        <v>2407</v>
      </c>
    </row>
    <row r="6" spans="1:14" x14ac:dyDescent="0.25">
      <c r="A6">
        <v>57</v>
      </c>
      <c r="B6">
        <v>6</v>
      </c>
      <c r="C6" s="2">
        <v>-96</v>
      </c>
      <c r="D6" t="s">
        <v>2408</v>
      </c>
      <c r="E6" t="s">
        <v>2409</v>
      </c>
      <c r="F6" t="s">
        <v>1353</v>
      </c>
      <c r="G6">
        <v>118</v>
      </c>
      <c r="H6">
        <v>112</v>
      </c>
      <c r="I6" t="s">
        <v>2410</v>
      </c>
      <c r="J6" t="s">
        <v>1355</v>
      </c>
      <c r="K6" t="s">
        <v>2398</v>
      </c>
      <c r="L6">
        <v>450</v>
      </c>
      <c r="M6">
        <v>-1</v>
      </c>
      <c r="N6" t="s">
        <v>2411</v>
      </c>
    </row>
    <row r="7" spans="1:14" x14ac:dyDescent="0.25">
      <c r="A7">
        <v>58</v>
      </c>
      <c r="B7">
        <v>6</v>
      </c>
      <c r="C7" s="2">
        <v>-95</v>
      </c>
      <c r="D7" t="s">
        <v>2412</v>
      </c>
      <c r="E7" t="s">
        <v>2413</v>
      </c>
      <c r="F7" t="s">
        <v>1353</v>
      </c>
      <c r="G7">
        <v>124</v>
      </c>
      <c r="H7">
        <v>62</v>
      </c>
      <c r="I7" t="s">
        <v>2414</v>
      </c>
      <c r="J7" t="s">
        <v>1355</v>
      </c>
      <c r="K7" t="s">
        <v>2398</v>
      </c>
      <c r="L7">
        <v>1800</v>
      </c>
      <c r="M7">
        <v>-1</v>
      </c>
      <c r="N7" t="s">
        <v>2415</v>
      </c>
    </row>
    <row r="8" spans="1:14" x14ac:dyDescent="0.25">
      <c r="A8">
        <v>59</v>
      </c>
      <c r="B8">
        <v>6</v>
      </c>
      <c r="C8" s="2">
        <v>-94</v>
      </c>
      <c r="D8" t="s">
        <v>2416</v>
      </c>
      <c r="E8" t="s">
        <v>2417</v>
      </c>
      <c r="F8" t="s">
        <v>1353</v>
      </c>
      <c r="G8">
        <v>94</v>
      </c>
      <c r="H8">
        <v>120</v>
      </c>
      <c r="I8" t="s">
        <v>2418</v>
      </c>
      <c r="J8" t="s">
        <v>1355</v>
      </c>
      <c r="K8" t="s">
        <v>2398</v>
      </c>
      <c r="L8">
        <v>4000</v>
      </c>
      <c r="M8">
        <v>-1</v>
      </c>
      <c r="N8" t="s">
        <v>2419</v>
      </c>
    </row>
    <row r="9" spans="1:14" x14ac:dyDescent="0.25">
      <c r="A9">
        <v>60</v>
      </c>
      <c r="B9">
        <v>6</v>
      </c>
      <c r="C9" s="2">
        <v>-85</v>
      </c>
      <c r="D9" t="s">
        <v>2420</v>
      </c>
      <c r="E9" t="s">
        <v>2421</v>
      </c>
      <c r="F9" t="s">
        <v>1353</v>
      </c>
      <c r="G9">
        <v>128</v>
      </c>
      <c r="H9">
        <v>128</v>
      </c>
      <c r="I9" t="s">
        <v>2422</v>
      </c>
      <c r="J9" t="s">
        <v>1355</v>
      </c>
      <c r="K9" t="s">
        <v>2398</v>
      </c>
      <c r="L9">
        <v>-1</v>
      </c>
      <c r="M9">
        <v>100</v>
      </c>
      <c r="N9" t="s">
        <v>2423</v>
      </c>
    </row>
    <row r="10" spans="1:14" x14ac:dyDescent="0.25">
      <c r="A10">
        <v>61</v>
      </c>
      <c r="B10">
        <v>6</v>
      </c>
      <c r="C10" s="2">
        <v>-84</v>
      </c>
      <c r="D10" t="s">
        <v>2424</v>
      </c>
      <c r="E10" t="s">
        <v>2425</v>
      </c>
      <c r="F10" t="s">
        <v>1353</v>
      </c>
      <c r="G10">
        <v>94</v>
      </c>
      <c r="H10">
        <v>124</v>
      </c>
      <c r="I10" t="s">
        <v>2426</v>
      </c>
      <c r="J10" t="s">
        <v>1355</v>
      </c>
      <c r="K10" t="s">
        <v>2398</v>
      </c>
      <c r="L10">
        <v>-1</v>
      </c>
      <c r="M10">
        <v>500</v>
      </c>
      <c r="N10" t="s">
        <v>2427</v>
      </c>
    </row>
    <row r="11" spans="1:14" x14ac:dyDescent="0.25">
      <c r="A11">
        <v>62</v>
      </c>
      <c r="B11">
        <v>6</v>
      </c>
      <c r="C11" s="2">
        <v>-83</v>
      </c>
      <c r="D11" t="s">
        <v>2428</v>
      </c>
      <c r="E11" t="s">
        <v>2429</v>
      </c>
      <c r="F11" t="s">
        <v>1353</v>
      </c>
      <c r="G11">
        <v>122</v>
      </c>
      <c r="H11">
        <v>118</v>
      </c>
      <c r="I11" t="s">
        <v>2430</v>
      </c>
      <c r="J11" t="s">
        <v>1355</v>
      </c>
      <c r="K11" t="s">
        <v>2398</v>
      </c>
      <c r="L11">
        <v>-1</v>
      </c>
      <c r="M11">
        <v>1250</v>
      </c>
      <c r="N11" t="s">
        <v>2431</v>
      </c>
    </row>
    <row r="12" spans="1:14" x14ac:dyDescent="0.25">
      <c r="A12">
        <v>63</v>
      </c>
      <c r="B12">
        <v>6</v>
      </c>
      <c r="C12" s="2">
        <v>-82</v>
      </c>
      <c r="D12" t="s">
        <v>2432</v>
      </c>
      <c r="E12" t="s">
        <v>2433</v>
      </c>
      <c r="F12" t="s">
        <v>1353</v>
      </c>
      <c r="G12">
        <v>126</v>
      </c>
      <c r="H12">
        <v>118</v>
      </c>
      <c r="I12" t="s">
        <v>2434</v>
      </c>
      <c r="J12" t="s">
        <v>1355</v>
      </c>
      <c r="K12" t="s">
        <v>2398</v>
      </c>
      <c r="L12">
        <v>-1</v>
      </c>
      <c r="M12">
        <v>10000</v>
      </c>
      <c r="N12" t="s">
        <v>2435</v>
      </c>
    </row>
  </sheetData>
  <conditionalFormatting sqref="A3:N12">
    <cfRule type="cellIs" dxfId="38" priority="1" operator="equal">
      <formula>-9999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C16" sqref="C16"/>
    </sheetView>
  </sheetViews>
  <sheetFormatPr defaultRowHeight="15" x14ac:dyDescent="0.25"/>
  <cols>
    <col min="2" max="2" width="17.42578125" bestFit="1" customWidth="1"/>
    <col min="3" max="3" width="21.85546875" customWidth="1"/>
    <col min="4" max="4" width="13.85546875" customWidth="1"/>
  </cols>
  <sheetData>
    <row r="1" spans="1:4" s="1" customFormat="1" ht="45" x14ac:dyDescent="0.25">
      <c r="A1" s="1" t="s">
        <v>2142</v>
      </c>
      <c r="B1" s="1" t="s">
        <v>2450</v>
      </c>
      <c r="C1" s="1" t="s">
        <v>2451</v>
      </c>
      <c r="D1" s="1" t="s">
        <v>2452</v>
      </c>
    </row>
    <row r="3" spans="1:4" x14ac:dyDescent="0.25">
      <c r="A3">
        <v>1</v>
      </c>
      <c r="B3" t="s">
        <v>2398</v>
      </c>
      <c r="C3" s="5">
        <v>3.3333299999999998E-3</v>
      </c>
      <c r="D3" s="2">
        <v>1.2</v>
      </c>
    </row>
    <row r="4" spans="1:4" x14ac:dyDescent="0.25">
      <c r="A4">
        <v>2</v>
      </c>
      <c r="B4" t="s">
        <v>2447</v>
      </c>
      <c r="C4" s="5">
        <v>6.6666599999999996E-3</v>
      </c>
      <c r="D4" s="2">
        <v>1.1000000000000001</v>
      </c>
    </row>
    <row r="5" spans="1:4" x14ac:dyDescent="0.25">
      <c r="A5">
        <v>3</v>
      </c>
      <c r="B5" t="s">
        <v>1611</v>
      </c>
      <c r="C5" s="5">
        <v>5.0000000000000001E-3</v>
      </c>
      <c r="D5" s="2">
        <v>1.1000000000000001</v>
      </c>
    </row>
    <row r="6" spans="1:4" x14ac:dyDescent="0.25">
      <c r="A6">
        <v>4</v>
      </c>
      <c r="B6" t="s">
        <v>2448</v>
      </c>
      <c r="C6" s="5">
        <v>1.0000000000000001E-5</v>
      </c>
      <c r="D6" s="2">
        <v>1.2</v>
      </c>
    </row>
    <row r="7" spans="1:4" x14ac:dyDescent="0.25">
      <c r="A7">
        <v>5</v>
      </c>
      <c r="B7" t="s">
        <v>1578</v>
      </c>
      <c r="C7" s="5">
        <v>1E-4</v>
      </c>
      <c r="D7" s="2">
        <v>1.2</v>
      </c>
    </row>
    <row r="8" spans="1:4" x14ac:dyDescent="0.25">
      <c r="A8">
        <v>6</v>
      </c>
      <c r="B8" t="s">
        <v>2449</v>
      </c>
      <c r="C8" s="5">
        <v>1E-3</v>
      </c>
      <c r="D8" s="2">
        <v>1.2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23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29" sqref="D29"/>
    </sheetView>
  </sheetViews>
  <sheetFormatPr defaultRowHeight="15" x14ac:dyDescent="0.25"/>
  <cols>
    <col min="2" max="2" width="15" bestFit="1" customWidth="1"/>
    <col min="3" max="3" width="19.28515625" bestFit="1" customWidth="1"/>
    <col min="4" max="4" width="17.28515625" bestFit="1" customWidth="1"/>
    <col min="5" max="5" width="17.7109375" bestFit="1" customWidth="1"/>
    <col min="6" max="6" width="16.140625" bestFit="1" customWidth="1"/>
    <col min="7" max="7" width="24" bestFit="1" customWidth="1"/>
    <col min="8" max="8" width="21.85546875" bestFit="1" customWidth="1"/>
    <col min="9" max="9" width="21.5703125" bestFit="1" customWidth="1"/>
    <col min="10" max="10" width="18.85546875" bestFit="1" customWidth="1"/>
    <col min="11" max="11" width="23.5703125" bestFit="1" customWidth="1"/>
    <col min="12" max="12" width="20" bestFit="1" customWidth="1"/>
    <col min="13" max="13" width="18.140625" bestFit="1" customWidth="1"/>
    <col min="14" max="14" width="16.5703125" bestFit="1" customWidth="1"/>
    <col min="15" max="15" width="23.42578125" bestFit="1" customWidth="1"/>
    <col min="16" max="16" width="11.140625" bestFit="1" customWidth="1"/>
    <col min="17" max="17" width="27.7109375" bestFit="1" customWidth="1"/>
    <col min="18" max="18" width="22.140625" bestFit="1" customWidth="1"/>
    <col min="19" max="19" width="17" bestFit="1" customWidth="1"/>
    <col min="20" max="20" width="15.7109375" bestFit="1" customWidth="1"/>
    <col min="21" max="21" width="14" bestFit="1" customWidth="1"/>
    <col min="22" max="22" width="14.5703125" bestFit="1" customWidth="1"/>
    <col min="23" max="23" width="13.7109375" bestFit="1" customWidth="1"/>
    <col min="24" max="25" width="11.28515625" bestFit="1" customWidth="1"/>
    <col min="26" max="26" width="16.42578125" bestFit="1" customWidth="1"/>
    <col min="27" max="27" width="14.140625" bestFit="1" customWidth="1"/>
    <col min="28" max="28" width="9" bestFit="1" customWidth="1"/>
    <col min="29" max="29" width="15.28515625" bestFit="1" customWidth="1"/>
    <col min="30" max="30" width="13.7109375" bestFit="1" customWidth="1"/>
    <col min="31" max="31" width="15.5703125" bestFit="1" customWidth="1"/>
    <col min="32" max="32" width="9" bestFit="1" customWidth="1"/>
    <col min="33" max="33" width="9.5703125" bestFit="1" customWidth="1"/>
    <col min="34" max="34" width="9" bestFit="1" customWidth="1"/>
    <col min="35" max="35" width="13.140625" bestFit="1" customWidth="1"/>
    <col min="36" max="36" width="15.42578125" bestFit="1" customWidth="1"/>
    <col min="37" max="37" width="10.42578125" bestFit="1" customWidth="1"/>
    <col min="38" max="39" width="9" bestFit="1" customWidth="1"/>
    <col min="40" max="40" width="12.85546875" bestFit="1" customWidth="1"/>
    <col min="41" max="41" width="20.42578125" bestFit="1" customWidth="1"/>
  </cols>
  <sheetData>
    <row r="1" spans="1:41" x14ac:dyDescent="0.25">
      <c r="A1" t="s">
        <v>2142</v>
      </c>
      <c r="B1" t="s">
        <v>2499</v>
      </c>
      <c r="C1" t="s">
        <v>2500</v>
      </c>
      <c r="D1" t="s">
        <v>2501</v>
      </c>
      <c r="E1" t="s">
        <v>2502</v>
      </c>
      <c r="F1" t="s">
        <v>2503</v>
      </c>
      <c r="G1" t="s">
        <v>2504</v>
      </c>
      <c r="H1" t="s">
        <v>2505</v>
      </c>
      <c r="I1" t="s">
        <v>2506</v>
      </c>
      <c r="J1" t="s">
        <v>2507</v>
      </c>
      <c r="K1" t="s">
        <v>2508</v>
      </c>
      <c r="L1" t="s">
        <v>2509</v>
      </c>
      <c r="M1" t="s">
        <v>2510</v>
      </c>
      <c r="N1" t="s">
        <v>2511</v>
      </c>
      <c r="O1" t="s">
        <v>2512</v>
      </c>
      <c r="P1" t="s">
        <v>2513</v>
      </c>
      <c r="Q1" t="s">
        <v>2514</v>
      </c>
      <c r="R1" t="s">
        <v>2515</v>
      </c>
      <c r="S1" t="s">
        <v>2516</v>
      </c>
      <c r="T1" t="s">
        <v>2517</v>
      </c>
      <c r="U1" t="s">
        <v>2518</v>
      </c>
      <c r="V1" t="s">
        <v>2519</v>
      </c>
      <c r="W1" t="s">
        <v>2520</v>
      </c>
      <c r="X1" t="s">
        <v>2521</v>
      </c>
      <c r="Y1" t="s">
        <v>2522</v>
      </c>
      <c r="Z1" t="s">
        <v>2523</v>
      </c>
      <c r="AA1" t="s">
        <v>2524</v>
      </c>
      <c r="AB1" t="s">
        <v>2525</v>
      </c>
      <c r="AC1" t="s">
        <v>2526</v>
      </c>
      <c r="AD1" t="s">
        <v>2527</v>
      </c>
      <c r="AE1" t="s">
        <v>2528</v>
      </c>
      <c r="AF1" t="s">
        <v>2529</v>
      </c>
      <c r="AG1" t="s">
        <v>2530</v>
      </c>
      <c r="AH1" t="s">
        <v>2531</v>
      </c>
      <c r="AI1" t="s">
        <v>2532</v>
      </c>
      <c r="AJ1" t="s">
        <v>2533</v>
      </c>
      <c r="AK1" t="s">
        <v>2534</v>
      </c>
      <c r="AL1" t="s">
        <v>2535</v>
      </c>
      <c r="AM1" t="s">
        <v>2536</v>
      </c>
      <c r="AN1" t="s">
        <v>2537</v>
      </c>
      <c r="AO1" t="s">
        <v>2538</v>
      </c>
    </row>
    <row r="3" spans="1:41" x14ac:dyDescent="0.25">
      <c r="A3">
        <v>1</v>
      </c>
      <c r="B3" t="s">
        <v>2453</v>
      </c>
      <c r="C3" t="s">
        <v>844</v>
      </c>
      <c r="D3" t="s">
        <v>893</v>
      </c>
      <c r="E3" t="s">
        <v>849</v>
      </c>
      <c r="F3" t="s">
        <v>867</v>
      </c>
      <c r="G3" t="s">
        <v>829</v>
      </c>
      <c r="H3" t="s">
        <v>55</v>
      </c>
      <c r="I3" t="s">
        <v>781</v>
      </c>
      <c r="J3" t="s">
        <v>866</v>
      </c>
      <c r="K3" t="s">
        <v>397</v>
      </c>
      <c r="L3" t="s">
        <v>800</v>
      </c>
      <c r="M3" t="s">
        <v>996</v>
      </c>
      <c r="N3" t="s">
        <v>430</v>
      </c>
      <c r="O3" t="s">
        <v>59</v>
      </c>
      <c r="P3" t="s">
        <v>59</v>
      </c>
      <c r="Q3" t="s">
        <v>59</v>
      </c>
      <c r="R3" t="s">
        <v>59</v>
      </c>
      <c r="S3" t="s">
        <v>59</v>
      </c>
      <c r="T3" t="s">
        <v>59</v>
      </c>
      <c r="U3" t="s">
        <v>59</v>
      </c>
      <c r="V3" t="s">
        <v>59</v>
      </c>
      <c r="W3" t="s">
        <v>59</v>
      </c>
      <c r="X3" t="s">
        <v>59</v>
      </c>
      <c r="Y3" t="s">
        <v>59</v>
      </c>
      <c r="Z3" t="s">
        <v>59</v>
      </c>
      <c r="AA3" t="s">
        <v>59</v>
      </c>
      <c r="AB3" t="s">
        <v>59</v>
      </c>
      <c r="AC3" t="s">
        <v>59</v>
      </c>
      <c r="AD3" t="s">
        <v>59</v>
      </c>
      <c r="AE3" t="s">
        <v>59</v>
      </c>
      <c r="AF3" t="s">
        <v>59</v>
      </c>
      <c r="AG3" t="s">
        <v>59</v>
      </c>
      <c r="AH3" t="s">
        <v>59</v>
      </c>
      <c r="AI3" t="s">
        <v>59</v>
      </c>
      <c r="AJ3" t="s">
        <v>59</v>
      </c>
      <c r="AK3" t="s">
        <v>59</v>
      </c>
      <c r="AL3" t="s">
        <v>59</v>
      </c>
      <c r="AM3" t="s">
        <v>59</v>
      </c>
      <c r="AN3" t="s">
        <v>59</v>
      </c>
      <c r="AO3" t="s">
        <v>59</v>
      </c>
    </row>
    <row r="4" spans="1:41" x14ac:dyDescent="0.25">
      <c r="A4">
        <v>2</v>
      </c>
      <c r="B4" t="s">
        <v>2454</v>
      </c>
      <c r="C4" t="s">
        <v>771</v>
      </c>
      <c r="D4" t="s">
        <v>2472</v>
      </c>
      <c r="E4" t="s">
        <v>812</v>
      </c>
      <c r="F4" t="s">
        <v>2473</v>
      </c>
      <c r="G4" t="s">
        <v>801</v>
      </c>
      <c r="H4" t="s">
        <v>770</v>
      </c>
      <c r="I4" t="s">
        <v>2474</v>
      </c>
      <c r="J4" t="s">
        <v>804</v>
      </c>
      <c r="K4" t="s">
        <v>777</v>
      </c>
      <c r="L4" t="s">
        <v>822</v>
      </c>
      <c r="M4" t="s">
        <v>59</v>
      </c>
      <c r="N4" t="s">
        <v>59</v>
      </c>
      <c r="O4" t="s">
        <v>59</v>
      </c>
      <c r="P4" t="s">
        <v>59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  <c r="Y4" t="s">
        <v>59</v>
      </c>
      <c r="Z4" t="s">
        <v>59</v>
      </c>
      <c r="AA4" t="s">
        <v>59</v>
      </c>
      <c r="AB4" t="s">
        <v>59</v>
      </c>
      <c r="AC4" t="s">
        <v>59</v>
      </c>
      <c r="AD4" t="s">
        <v>59</v>
      </c>
      <c r="AE4" t="s">
        <v>59</v>
      </c>
      <c r="AF4" t="s">
        <v>59</v>
      </c>
      <c r="AG4" t="s">
        <v>59</v>
      </c>
      <c r="AH4" t="s">
        <v>59</v>
      </c>
      <c r="AI4" t="s">
        <v>59</v>
      </c>
      <c r="AJ4" t="s">
        <v>59</v>
      </c>
      <c r="AK4" t="s">
        <v>59</v>
      </c>
      <c r="AL4" t="s">
        <v>59</v>
      </c>
      <c r="AM4" t="s">
        <v>59</v>
      </c>
      <c r="AN4" t="s">
        <v>59</v>
      </c>
      <c r="AO4" t="s">
        <v>59</v>
      </c>
    </row>
    <row r="5" spans="1:41" x14ac:dyDescent="0.25">
      <c r="A5">
        <v>3</v>
      </c>
      <c r="B5" t="s">
        <v>2455</v>
      </c>
      <c r="C5" t="s">
        <v>853</v>
      </c>
      <c r="D5" t="s">
        <v>987</v>
      </c>
      <c r="E5" t="s">
        <v>839</v>
      </c>
      <c r="F5" t="s">
        <v>898</v>
      </c>
      <c r="G5" t="s">
        <v>823</v>
      </c>
      <c r="H5" t="s">
        <v>778</v>
      </c>
      <c r="I5" t="s">
        <v>782</v>
      </c>
      <c r="J5" t="s">
        <v>2475</v>
      </c>
      <c r="K5" t="s">
        <v>59</v>
      </c>
      <c r="L5" t="s">
        <v>59</v>
      </c>
      <c r="M5" t="s">
        <v>59</v>
      </c>
      <c r="N5" t="s">
        <v>59</v>
      </c>
      <c r="O5" t="s">
        <v>59</v>
      </c>
      <c r="P5" t="s">
        <v>59</v>
      </c>
      <c r="Q5" t="s">
        <v>59</v>
      </c>
      <c r="R5" t="s">
        <v>59</v>
      </c>
      <c r="S5" t="s">
        <v>59</v>
      </c>
      <c r="T5" t="s">
        <v>59</v>
      </c>
      <c r="U5" t="s">
        <v>59</v>
      </c>
      <c r="V5" t="s">
        <v>59</v>
      </c>
      <c r="W5" t="s">
        <v>59</v>
      </c>
      <c r="X5" t="s">
        <v>59</v>
      </c>
      <c r="Y5" t="s">
        <v>59</v>
      </c>
      <c r="Z5" t="s">
        <v>59</v>
      </c>
      <c r="AA5" t="s">
        <v>59</v>
      </c>
      <c r="AB5" t="s">
        <v>59</v>
      </c>
      <c r="AC5" t="s">
        <v>59</v>
      </c>
      <c r="AD5" t="s">
        <v>59</v>
      </c>
      <c r="AE5" t="s">
        <v>59</v>
      </c>
      <c r="AF5" t="s">
        <v>59</v>
      </c>
      <c r="AG5" t="s">
        <v>59</v>
      </c>
      <c r="AH5" t="s">
        <v>59</v>
      </c>
      <c r="AI5" t="s">
        <v>59</v>
      </c>
      <c r="AJ5" t="s">
        <v>59</v>
      </c>
      <c r="AK5" t="s">
        <v>59</v>
      </c>
      <c r="AL5" t="s">
        <v>59</v>
      </c>
      <c r="AM5" t="s">
        <v>59</v>
      </c>
      <c r="AN5" t="s">
        <v>59</v>
      </c>
      <c r="AO5" t="s">
        <v>59</v>
      </c>
    </row>
    <row r="6" spans="1:41" x14ac:dyDescent="0.25">
      <c r="A6">
        <v>4</v>
      </c>
      <c r="B6" t="s">
        <v>2456</v>
      </c>
      <c r="C6" t="s">
        <v>2476</v>
      </c>
      <c r="D6" t="s">
        <v>59</v>
      </c>
      <c r="E6" t="s">
        <v>59</v>
      </c>
      <c r="F6" t="s">
        <v>59</v>
      </c>
      <c r="G6" t="s">
        <v>59</v>
      </c>
      <c r="H6" t="s">
        <v>59</v>
      </c>
      <c r="I6" t="s">
        <v>59</v>
      </c>
      <c r="J6" t="s">
        <v>59</v>
      </c>
      <c r="K6" t="s">
        <v>59</v>
      </c>
      <c r="L6" t="s">
        <v>59</v>
      </c>
      <c r="M6" t="s">
        <v>59</v>
      </c>
      <c r="N6" t="s">
        <v>59</v>
      </c>
      <c r="O6" t="s">
        <v>59</v>
      </c>
      <c r="P6" t="s">
        <v>59</v>
      </c>
      <c r="Q6" t="s">
        <v>59</v>
      </c>
      <c r="R6" t="s">
        <v>59</v>
      </c>
      <c r="S6" t="s">
        <v>59</v>
      </c>
      <c r="T6" t="s">
        <v>59</v>
      </c>
      <c r="U6" t="s">
        <v>59</v>
      </c>
      <c r="V6" t="s">
        <v>59</v>
      </c>
      <c r="W6" t="s">
        <v>59</v>
      </c>
      <c r="X6" t="s">
        <v>59</v>
      </c>
      <c r="Y6" t="s">
        <v>59</v>
      </c>
      <c r="Z6" t="s">
        <v>59</v>
      </c>
      <c r="AA6" t="s">
        <v>59</v>
      </c>
      <c r="AB6" t="s">
        <v>59</v>
      </c>
      <c r="AC6" t="s">
        <v>59</v>
      </c>
      <c r="AD6" t="s">
        <v>59</v>
      </c>
      <c r="AE6" t="s">
        <v>59</v>
      </c>
      <c r="AF6" t="s">
        <v>59</v>
      </c>
      <c r="AG6" t="s">
        <v>59</v>
      </c>
      <c r="AH6" t="s">
        <v>59</v>
      </c>
      <c r="AI6" t="s">
        <v>59</v>
      </c>
      <c r="AJ6" t="s">
        <v>59</v>
      </c>
      <c r="AK6" t="s">
        <v>59</v>
      </c>
      <c r="AL6" t="s">
        <v>59</v>
      </c>
      <c r="AM6" t="s">
        <v>59</v>
      </c>
      <c r="AN6" t="s">
        <v>59</v>
      </c>
      <c r="AO6" t="s">
        <v>59</v>
      </c>
    </row>
    <row r="7" spans="1:41" x14ac:dyDescent="0.25">
      <c r="A7">
        <v>5</v>
      </c>
      <c r="B7" t="s">
        <v>868</v>
      </c>
      <c r="C7" t="s">
        <v>868</v>
      </c>
      <c r="D7" t="s">
        <v>870</v>
      </c>
      <c r="E7" t="s">
        <v>871</v>
      </c>
      <c r="F7" t="s">
        <v>59</v>
      </c>
      <c r="G7" t="s">
        <v>59</v>
      </c>
      <c r="H7" t="s">
        <v>59</v>
      </c>
      <c r="I7" t="s">
        <v>59</v>
      </c>
      <c r="J7" t="s">
        <v>59</v>
      </c>
      <c r="K7" t="s">
        <v>59</v>
      </c>
      <c r="L7" t="s">
        <v>59</v>
      </c>
      <c r="M7" t="s">
        <v>59</v>
      </c>
      <c r="N7" t="s">
        <v>59</v>
      </c>
      <c r="O7" t="s">
        <v>59</v>
      </c>
      <c r="P7" t="s">
        <v>59</v>
      </c>
      <c r="Q7" t="s">
        <v>59</v>
      </c>
      <c r="R7" t="s">
        <v>59</v>
      </c>
      <c r="S7" t="s">
        <v>59</v>
      </c>
      <c r="T7" t="s">
        <v>59</v>
      </c>
      <c r="U7" t="s">
        <v>59</v>
      </c>
      <c r="V7" t="s">
        <v>59</v>
      </c>
      <c r="W7" t="s">
        <v>59</v>
      </c>
      <c r="X7" t="s">
        <v>59</v>
      </c>
      <c r="Y7" t="s">
        <v>59</v>
      </c>
      <c r="Z7" t="s">
        <v>59</v>
      </c>
      <c r="AA7" t="s">
        <v>59</v>
      </c>
      <c r="AB7" t="s">
        <v>59</v>
      </c>
      <c r="AC7" t="s">
        <v>59</v>
      </c>
      <c r="AD7" t="s">
        <v>59</v>
      </c>
      <c r="AE7" t="s">
        <v>59</v>
      </c>
      <c r="AF7" t="s">
        <v>59</v>
      </c>
      <c r="AG7" t="s">
        <v>59</v>
      </c>
      <c r="AH7" t="s">
        <v>59</v>
      </c>
      <c r="AI7" t="s">
        <v>59</v>
      </c>
      <c r="AJ7" t="s">
        <v>59</v>
      </c>
      <c r="AK7" t="s">
        <v>59</v>
      </c>
      <c r="AL7" t="s">
        <v>59</v>
      </c>
      <c r="AM7" t="s">
        <v>59</v>
      </c>
      <c r="AN7" t="s">
        <v>59</v>
      </c>
      <c r="AO7" t="s">
        <v>59</v>
      </c>
    </row>
    <row r="8" spans="1:41" x14ac:dyDescent="0.25">
      <c r="A8">
        <v>6</v>
      </c>
      <c r="B8" t="s">
        <v>2457</v>
      </c>
      <c r="C8" t="s">
        <v>837</v>
      </c>
      <c r="D8" t="s">
        <v>2477</v>
      </c>
      <c r="E8" t="s">
        <v>2478</v>
      </c>
      <c r="F8" t="s">
        <v>833</v>
      </c>
      <c r="G8" t="s">
        <v>2479</v>
      </c>
      <c r="H8" t="s">
        <v>2480</v>
      </c>
      <c r="I8" t="s">
        <v>59</v>
      </c>
      <c r="J8" t="s">
        <v>59</v>
      </c>
      <c r="K8" t="s">
        <v>59</v>
      </c>
      <c r="L8" t="s">
        <v>59</v>
      </c>
      <c r="M8" t="s">
        <v>59</v>
      </c>
      <c r="N8" t="s">
        <v>59</v>
      </c>
      <c r="O8" t="s">
        <v>59</v>
      </c>
      <c r="P8" t="s">
        <v>59</v>
      </c>
      <c r="Q8" t="s">
        <v>59</v>
      </c>
      <c r="R8" t="s">
        <v>59</v>
      </c>
      <c r="S8" t="s">
        <v>59</v>
      </c>
      <c r="T8" t="s">
        <v>59</v>
      </c>
      <c r="U8" t="s">
        <v>59</v>
      </c>
      <c r="V8" t="s">
        <v>59</v>
      </c>
      <c r="W8" t="s">
        <v>59</v>
      </c>
      <c r="X8" t="s">
        <v>59</v>
      </c>
      <c r="Y8" t="s">
        <v>59</v>
      </c>
      <c r="Z8" t="s">
        <v>59</v>
      </c>
      <c r="AA8" t="s">
        <v>59</v>
      </c>
      <c r="AB8" t="s">
        <v>59</v>
      </c>
      <c r="AC8" t="s">
        <v>59</v>
      </c>
      <c r="AD8" t="s">
        <v>59</v>
      </c>
      <c r="AE8" t="s">
        <v>59</v>
      </c>
      <c r="AF8" t="s">
        <v>59</v>
      </c>
      <c r="AG8" t="s">
        <v>59</v>
      </c>
      <c r="AH8" t="s">
        <v>59</v>
      </c>
      <c r="AI8" t="s">
        <v>59</v>
      </c>
      <c r="AJ8" t="s">
        <v>59</v>
      </c>
      <c r="AK8" t="s">
        <v>59</v>
      </c>
      <c r="AL8" t="s">
        <v>59</v>
      </c>
      <c r="AM8" t="s">
        <v>59</v>
      </c>
      <c r="AN8" t="s">
        <v>59</v>
      </c>
      <c r="AO8" t="s">
        <v>59</v>
      </c>
    </row>
    <row r="9" spans="1:41" x14ac:dyDescent="0.25">
      <c r="A9">
        <v>7</v>
      </c>
      <c r="B9" t="s">
        <v>2458</v>
      </c>
      <c r="C9" t="s">
        <v>895</v>
      </c>
      <c r="D9" t="s">
        <v>2481</v>
      </c>
      <c r="E9" t="s">
        <v>59</v>
      </c>
      <c r="F9" t="s">
        <v>59</v>
      </c>
      <c r="G9" t="s">
        <v>59</v>
      </c>
      <c r="H9" t="s">
        <v>59</v>
      </c>
      <c r="I9" t="s">
        <v>59</v>
      </c>
      <c r="J9" t="s">
        <v>59</v>
      </c>
      <c r="K9" t="s">
        <v>59</v>
      </c>
      <c r="L9" t="s">
        <v>59</v>
      </c>
      <c r="M9" t="s">
        <v>59</v>
      </c>
      <c r="N9" t="s">
        <v>59</v>
      </c>
      <c r="O9" t="s">
        <v>59</v>
      </c>
      <c r="P9" t="s">
        <v>59</v>
      </c>
      <c r="Q9" t="s">
        <v>59</v>
      </c>
      <c r="R9" t="s">
        <v>59</v>
      </c>
      <c r="S9" t="s">
        <v>59</v>
      </c>
      <c r="T9" t="s">
        <v>59</v>
      </c>
      <c r="U9" t="s">
        <v>59</v>
      </c>
      <c r="V9" t="s">
        <v>59</v>
      </c>
      <c r="W9" t="s">
        <v>59</v>
      </c>
      <c r="X9" t="s">
        <v>59</v>
      </c>
      <c r="Y9" t="s">
        <v>59</v>
      </c>
      <c r="Z9" t="s">
        <v>59</v>
      </c>
      <c r="AA9" t="s">
        <v>59</v>
      </c>
      <c r="AB9" t="s">
        <v>59</v>
      </c>
      <c r="AC9" t="s">
        <v>59</v>
      </c>
      <c r="AD9" t="s">
        <v>59</v>
      </c>
      <c r="AE9" t="s">
        <v>59</v>
      </c>
      <c r="AF9" t="s">
        <v>59</v>
      </c>
      <c r="AG9" t="s">
        <v>59</v>
      </c>
      <c r="AH9" t="s">
        <v>59</v>
      </c>
      <c r="AI9" t="s">
        <v>59</v>
      </c>
      <c r="AJ9" t="s">
        <v>59</v>
      </c>
      <c r="AK9" t="s">
        <v>59</v>
      </c>
      <c r="AL9" t="s">
        <v>59</v>
      </c>
      <c r="AM9" t="s">
        <v>59</v>
      </c>
      <c r="AN9" t="s">
        <v>59</v>
      </c>
      <c r="AO9" t="s">
        <v>59</v>
      </c>
    </row>
    <row r="10" spans="1:41" x14ac:dyDescent="0.25">
      <c r="A10">
        <v>8</v>
      </c>
      <c r="B10" t="s">
        <v>2459</v>
      </c>
      <c r="C10" t="s">
        <v>2482</v>
      </c>
      <c r="D10" t="s">
        <v>2483</v>
      </c>
      <c r="E10" t="s">
        <v>2484</v>
      </c>
      <c r="F10" t="s">
        <v>59</v>
      </c>
      <c r="G10" t="s">
        <v>59</v>
      </c>
      <c r="H10" t="s">
        <v>59</v>
      </c>
      <c r="I10" t="s">
        <v>59</v>
      </c>
      <c r="J10" t="s">
        <v>59</v>
      </c>
      <c r="K10" t="s">
        <v>59</v>
      </c>
      <c r="L10" t="s">
        <v>59</v>
      </c>
      <c r="M10" t="s">
        <v>59</v>
      </c>
      <c r="N10" t="s">
        <v>59</v>
      </c>
      <c r="O10" t="s">
        <v>59</v>
      </c>
      <c r="P10" t="s">
        <v>59</v>
      </c>
      <c r="Q10" t="s">
        <v>59</v>
      </c>
      <c r="R10" t="s">
        <v>59</v>
      </c>
      <c r="S10" t="s">
        <v>59</v>
      </c>
      <c r="T10" t="s">
        <v>59</v>
      </c>
      <c r="U10" t="s">
        <v>59</v>
      </c>
      <c r="V10" t="s">
        <v>59</v>
      </c>
      <c r="W10" t="s">
        <v>59</v>
      </c>
      <c r="X10" t="s">
        <v>59</v>
      </c>
      <c r="Y10" t="s">
        <v>59</v>
      </c>
      <c r="Z10" t="s">
        <v>59</v>
      </c>
      <c r="AA10" t="s">
        <v>59</v>
      </c>
      <c r="AB10" t="s">
        <v>59</v>
      </c>
      <c r="AC10" t="s">
        <v>59</v>
      </c>
      <c r="AD10" t="s">
        <v>59</v>
      </c>
      <c r="AE10" t="s">
        <v>59</v>
      </c>
      <c r="AF10" t="s">
        <v>59</v>
      </c>
      <c r="AG10" t="s">
        <v>59</v>
      </c>
      <c r="AH10" t="s">
        <v>59</v>
      </c>
      <c r="AI10" t="s">
        <v>59</v>
      </c>
      <c r="AJ10" t="s">
        <v>59</v>
      </c>
      <c r="AK10" t="s">
        <v>59</v>
      </c>
      <c r="AL10" t="s">
        <v>59</v>
      </c>
      <c r="AM10" t="s">
        <v>59</v>
      </c>
      <c r="AN10" t="s">
        <v>59</v>
      </c>
      <c r="AO10" t="s">
        <v>59</v>
      </c>
    </row>
    <row r="11" spans="1:41" x14ac:dyDescent="0.25">
      <c r="A11">
        <v>9</v>
      </c>
      <c r="B11" t="s">
        <v>2460</v>
      </c>
      <c r="C11" t="s">
        <v>836</v>
      </c>
      <c r="D11" t="s">
        <v>2485</v>
      </c>
      <c r="E11" t="s">
        <v>59</v>
      </c>
      <c r="F11" t="s">
        <v>59</v>
      </c>
      <c r="G11" t="s">
        <v>59</v>
      </c>
      <c r="H11" t="s">
        <v>59</v>
      </c>
      <c r="I11" t="s">
        <v>59</v>
      </c>
      <c r="J11" t="s">
        <v>59</v>
      </c>
      <c r="K11" t="s">
        <v>59</v>
      </c>
      <c r="L11" t="s">
        <v>59</v>
      </c>
      <c r="M11" t="s">
        <v>59</v>
      </c>
      <c r="N11" t="s">
        <v>59</v>
      </c>
      <c r="O11" t="s">
        <v>59</v>
      </c>
      <c r="P11" t="s">
        <v>59</v>
      </c>
      <c r="Q11" t="s">
        <v>59</v>
      </c>
      <c r="R11" t="s">
        <v>59</v>
      </c>
      <c r="S11" t="s">
        <v>59</v>
      </c>
      <c r="T11" t="s">
        <v>59</v>
      </c>
      <c r="U11" t="s">
        <v>59</v>
      </c>
      <c r="V11" t="s">
        <v>59</v>
      </c>
      <c r="W11" t="s">
        <v>59</v>
      </c>
      <c r="X11" t="s">
        <v>59</v>
      </c>
      <c r="Y11" t="s">
        <v>59</v>
      </c>
      <c r="Z11" t="s">
        <v>59</v>
      </c>
      <c r="AA11" t="s">
        <v>59</v>
      </c>
      <c r="AB11" t="s">
        <v>59</v>
      </c>
      <c r="AC11" t="s">
        <v>59</v>
      </c>
      <c r="AD11" t="s">
        <v>59</v>
      </c>
      <c r="AE11" t="s">
        <v>59</v>
      </c>
      <c r="AF11" t="s">
        <v>59</v>
      </c>
      <c r="AG11" t="s">
        <v>59</v>
      </c>
      <c r="AH11" t="s">
        <v>59</v>
      </c>
      <c r="AI11" t="s">
        <v>59</v>
      </c>
      <c r="AJ11" t="s">
        <v>59</v>
      </c>
      <c r="AK11" t="s">
        <v>59</v>
      </c>
      <c r="AL11" t="s">
        <v>59</v>
      </c>
      <c r="AM11" t="s">
        <v>59</v>
      </c>
      <c r="AN11" t="s">
        <v>59</v>
      </c>
      <c r="AO11" t="s">
        <v>59</v>
      </c>
    </row>
    <row r="12" spans="1:41" x14ac:dyDescent="0.25">
      <c r="A12">
        <v>10</v>
      </c>
      <c r="B12" t="s">
        <v>1978</v>
      </c>
      <c r="C12" t="s">
        <v>2486</v>
      </c>
      <c r="D12" t="s">
        <v>59</v>
      </c>
      <c r="E12" t="s">
        <v>59</v>
      </c>
      <c r="F12" t="s">
        <v>59</v>
      </c>
      <c r="G12" t="s">
        <v>59</v>
      </c>
      <c r="H12" t="s">
        <v>59</v>
      </c>
      <c r="I12" t="s">
        <v>59</v>
      </c>
      <c r="J12" t="s">
        <v>59</v>
      </c>
      <c r="K12" t="s">
        <v>59</v>
      </c>
      <c r="L12" t="s">
        <v>59</v>
      </c>
      <c r="M12" t="s">
        <v>59</v>
      </c>
      <c r="N12" t="s">
        <v>59</v>
      </c>
      <c r="O12" t="s">
        <v>59</v>
      </c>
      <c r="P12" t="s">
        <v>59</v>
      </c>
      <c r="Q12" t="s">
        <v>59</v>
      </c>
      <c r="R12" t="s">
        <v>59</v>
      </c>
      <c r="S12" t="s">
        <v>59</v>
      </c>
      <c r="T12" t="s">
        <v>59</v>
      </c>
      <c r="U12" t="s">
        <v>59</v>
      </c>
      <c r="V12" t="s">
        <v>59</v>
      </c>
      <c r="W12" t="s">
        <v>59</v>
      </c>
      <c r="X12" t="s">
        <v>59</v>
      </c>
      <c r="Y12" t="s">
        <v>59</v>
      </c>
      <c r="Z12" t="s">
        <v>59</v>
      </c>
      <c r="AA12" t="s">
        <v>59</v>
      </c>
      <c r="AB12" t="s">
        <v>59</v>
      </c>
      <c r="AC12" t="s">
        <v>59</v>
      </c>
      <c r="AD12" t="s">
        <v>59</v>
      </c>
      <c r="AE12" t="s">
        <v>59</v>
      </c>
      <c r="AF12" t="s">
        <v>59</v>
      </c>
      <c r="AG12" t="s">
        <v>59</v>
      </c>
      <c r="AH12" t="s">
        <v>59</v>
      </c>
      <c r="AI12" t="s">
        <v>59</v>
      </c>
      <c r="AJ12" t="s">
        <v>59</v>
      </c>
      <c r="AK12" t="s">
        <v>59</v>
      </c>
      <c r="AL12" t="s">
        <v>59</v>
      </c>
      <c r="AM12" t="s">
        <v>59</v>
      </c>
      <c r="AN12" t="s">
        <v>59</v>
      </c>
      <c r="AO12" t="s">
        <v>59</v>
      </c>
    </row>
    <row r="13" spans="1:41" x14ac:dyDescent="0.25">
      <c r="A13">
        <v>11</v>
      </c>
      <c r="B13" t="s">
        <v>2461</v>
      </c>
      <c r="C13" t="s">
        <v>838</v>
      </c>
      <c r="D13" t="s">
        <v>59</v>
      </c>
      <c r="E13" t="s">
        <v>59</v>
      </c>
      <c r="F13" t="s">
        <v>59</v>
      </c>
      <c r="G13" t="s">
        <v>59</v>
      </c>
      <c r="H13" t="s">
        <v>59</v>
      </c>
      <c r="I13" t="s">
        <v>59</v>
      </c>
      <c r="J13" t="s">
        <v>59</v>
      </c>
      <c r="K13" t="s">
        <v>59</v>
      </c>
      <c r="L13" t="s">
        <v>59</v>
      </c>
      <c r="M13" t="s">
        <v>59</v>
      </c>
      <c r="N13" t="s">
        <v>59</v>
      </c>
      <c r="O13" t="s">
        <v>59</v>
      </c>
      <c r="P13" t="s">
        <v>59</v>
      </c>
      <c r="Q13" t="s">
        <v>59</v>
      </c>
      <c r="R13" t="s">
        <v>59</v>
      </c>
      <c r="S13" t="s">
        <v>59</v>
      </c>
      <c r="T13" t="s">
        <v>59</v>
      </c>
      <c r="U13" t="s">
        <v>59</v>
      </c>
      <c r="V13" t="s">
        <v>59</v>
      </c>
      <c r="W13" t="s">
        <v>59</v>
      </c>
      <c r="X13" t="s">
        <v>59</v>
      </c>
      <c r="Y13" t="s">
        <v>59</v>
      </c>
      <c r="Z13" t="s">
        <v>59</v>
      </c>
      <c r="AA13" t="s">
        <v>59</v>
      </c>
      <c r="AB13" t="s">
        <v>59</v>
      </c>
      <c r="AC13" t="s">
        <v>59</v>
      </c>
      <c r="AD13" t="s">
        <v>59</v>
      </c>
      <c r="AE13" t="s">
        <v>59</v>
      </c>
      <c r="AF13" t="s">
        <v>59</v>
      </c>
      <c r="AG13" t="s">
        <v>59</v>
      </c>
      <c r="AH13" t="s">
        <v>59</v>
      </c>
      <c r="AI13" t="s">
        <v>59</v>
      </c>
      <c r="AJ13" t="s">
        <v>59</v>
      </c>
      <c r="AK13" t="s">
        <v>59</v>
      </c>
      <c r="AL13" t="s">
        <v>59</v>
      </c>
      <c r="AM13" t="s">
        <v>59</v>
      </c>
      <c r="AN13" t="s">
        <v>59</v>
      </c>
      <c r="AO13" t="s">
        <v>59</v>
      </c>
    </row>
    <row r="14" spans="1:41" x14ac:dyDescent="0.25">
      <c r="A14">
        <v>12</v>
      </c>
      <c r="B14" t="s">
        <v>2462</v>
      </c>
      <c r="C14" t="s">
        <v>2487</v>
      </c>
      <c r="D14" t="s">
        <v>59</v>
      </c>
      <c r="E14" t="s">
        <v>59</v>
      </c>
      <c r="F14" t="s">
        <v>59</v>
      </c>
      <c r="G14" t="s">
        <v>59</v>
      </c>
      <c r="H14" t="s">
        <v>59</v>
      </c>
      <c r="I14" t="s">
        <v>59</v>
      </c>
      <c r="J14" t="s">
        <v>59</v>
      </c>
      <c r="K14" t="s">
        <v>59</v>
      </c>
      <c r="L14" t="s">
        <v>59</v>
      </c>
      <c r="M14" t="s">
        <v>59</v>
      </c>
      <c r="N14" t="s">
        <v>59</v>
      </c>
      <c r="O14" t="s">
        <v>59</v>
      </c>
      <c r="P14" t="s">
        <v>59</v>
      </c>
      <c r="Q14" t="s">
        <v>59</v>
      </c>
      <c r="R14" t="s">
        <v>59</v>
      </c>
      <c r="S14" t="s">
        <v>59</v>
      </c>
      <c r="T14" t="s">
        <v>59</v>
      </c>
      <c r="U14" t="s">
        <v>59</v>
      </c>
      <c r="V14" t="s">
        <v>59</v>
      </c>
      <c r="W14" t="s">
        <v>59</v>
      </c>
      <c r="X14" t="s">
        <v>59</v>
      </c>
      <c r="Y14" t="s">
        <v>59</v>
      </c>
      <c r="Z14" t="s">
        <v>59</v>
      </c>
      <c r="AA14" t="s">
        <v>59</v>
      </c>
      <c r="AB14" t="s">
        <v>59</v>
      </c>
      <c r="AC14" t="s">
        <v>59</v>
      </c>
      <c r="AD14" t="s">
        <v>59</v>
      </c>
      <c r="AE14" t="s">
        <v>59</v>
      </c>
      <c r="AF14" t="s">
        <v>59</v>
      </c>
      <c r="AG14" t="s">
        <v>59</v>
      </c>
      <c r="AH14" t="s">
        <v>59</v>
      </c>
      <c r="AI14" t="s">
        <v>59</v>
      </c>
      <c r="AJ14" t="s">
        <v>59</v>
      </c>
      <c r="AK14" t="s">
        <v>59</v>
      </c>
      <c r="AL14" t="s">
        <v>59</v>
      </c>
      <c r="AM14" t="s">
        <v>59</v>
      </c>
      <c r="AN14" t="s">
        <v>59</v>
      </c>
      <c r="AO14" t="s">
        <v>59</v>
      </c>
    </row>
    <row r="15" spans="1:41" x14ac:dyDescent="0.25">
      <c r="A15">
        <v>13</v>
      </c>
      <c r="B15" t="s">
        <v>2463</v>
      </c>
      <c r="C15" t="s">
        <v>789</v>
      </c>
      <c r="D15" t="s">
        <v>791</v>
      </c>
      <c r="E15" t="s">
        <v>793</v>
      </c>
      <c r="F15" t="s">
        <v>794</v>
      </c>
      <c r="G15" t="s">
        <v>795</v>
      </c>
      <c r="H15" t="s">
        <v>796</v>
      </c>
      <c r="I15" t="s">
        <v>797</v>
      </c>
      <c r="J15" t="s">
        <v>798</v>
      </c>
      <c r="K15" t="s">
        <v>799</v>
      </c>
      <c r="L15" t="s">
        <v>792</v>
      </c>
      <c r="M15" t="s">
        <v>985</v>
      </c>
      <c r="N15" t="s">
        <v>352</v>
      </c>
      <c r="O15" t="s">
        <v>986</v>
      </c>
      <c r="P15" t="s">
        <v>59</v>
      </c>
      <c r="Q15" t="s">
        <v>59</v>
      </c>
      <c r="R15" t="s">
        <v>59</v>
      </c>
      <c r="S15" t="s">
        <v>59</v>
      </c>
      <c r="T15" t="s">
        <v>59</v>
      </c>
      <c r="U15" t="s">
        <v>59</v>
      </c>
      <c r="V15" t="s">
        <v>59</v>
      </c>
      <c r="W15" t="s">
        <v>59</v>
      </c>
      <c r="X15" t="s">
        <v>59</v>
      </c>
      <c r="Y15" t="s">
        <v>59</v>
      </c>
      <c r="Z15" t="s">
        <v>59</v>
      </c>
      <c r="AA15" t="s">
        <v>59</v>
      </c>
      <c r="AB15" t="s">
        <v>59</v>
      </c>
      <c r="AC15" t="s">
        <v>59</v>
      </c>
      <c r="AD15" t="s">
        <v>59</v>
      </c>
      <c r="AE15" t="s">
        <v>59</v>
      </c>
      <c r="AF15" t="s">
        <v>59</v>
      </c>
      <c r="AG15" t="s">
        <v>59</v>
      </c>
      <c r="AH15" t="s">
        <v>59</v>
      </c>
      <c r="AI15" t="s">
        <v>59</v>
      </c>
      <c r="AJ15" t="s">
        <v>59</v>
      </c>
      <c r="AK15" t="s">
        <v>59</v>
      </c>
      <c r="AL15" t="s">
        <v>59</v>
      </c>
      <c r="AM15" t="s">
        <v>59</v>
      </c>
      <c r="AN15" t="s">
        <v>59</v>
      </c>
      <c r="AO15" t="s">
        <v>59</v>
      </c>
    </row>
    <row r="16" spans="1:41" x14ac:dyDescent="0.25">
      <c r="A16">
        <v>14</v>
      </c>
      <c r="B16" t="s">
        <v>2464</v>
      </c>
      <c r="C16" t="s">
        <v>827</v>
      </c>
      <c r="D16" t="s">
        <v>824</v>
      </c>
      <c r="E16" t="s">
        <v>825</v>
      </c>
      <c r="F16" t="s">
        <v>826</v>
      </c>
      <c r="G16" t="s">
        <v>828</v>
      </c>
      <c r="H16" t="s">
        <v>406</v>
      </c>
      <c r="I16" t="s">
        <v>59</v>
      </c>
      <c r="J16" t="s">
        <v>59</v>
      </c>
      <c r="K16" t="s">
        <v>59</v>
      </c>
      <c r="L16" t="s">
        <v>59</v>
      </c>
      <c r="M16" t="s">
        <v>59</v>
      </c>
      <c r="N16" t="s">
        <v>59</v>
      </c>
      <c r="O16" t="s">
        <v>59</v>
      </c>
      <c r="P16" t="s">
        <v>59</v>
      </c>
      <c r="Q16" t="s">
        <v>59</v>
      </c>
      <c r="R16" t="s">
        <v>59</v>
      </c>
      <c r="S16" t="s">
        <v>59</v>
      </c>
      <c r="T16" t="s">
        <v>59</v>
      </c>
      <c r="U16" t="s">
        <v>59</v>
      </c>
      <c r="V16" t="s">
        <v>59</v>
      </c>
      <c r="W16" t="s">
        <v>59</v>
      </c>
      <c r="X16" t="s">
        <v>59</v>
      </c>
      <c r="Y16" t="s">
        <v>59</v>
      </c>
      <c r="Z16" t="s">
        <v>59</v>
      </c>
      <c r="AA16" t="s">
        <v>59</v>
      </c>
      <c r="AB16" t="s">
        <v>59</v>
      </c>
      <c r="AC16" t="s">
        <v>59</v>
      </c>
      <c r="AD16" t="s">
        <v>59</v>
      </c>
      <c r="AE16" t="s">
        <v>59</v>
      </c>
      <c r="AF16" t="s">
        <v>59</v>
      </c>
      <c r="AG16" t="s">
        <v>59</v>
      </c>
      <c r="AH16" t="s">
        <v>59</v>
      </c>
      <c r="AI16" t="s">
        <v>59</v>
      </c>
      <c r="AJ16" t="s">
        <v>59</v>
      </c>
      <c r="AK16" t="s">
        <v>59</v>
      </c>
      <c r="AL16" t="s">
        <v>59</v>
      </c>
      <c r="AM16" t="s">
        <v>59</v>
      </c>
      <c r="AN16" t="s">
        <v>59</v>
      </c>
      <c r="AO16" t="s">
        <v>59</v>
      </c>
    </row>
    <row r="17" spans="1:41" x14ac:dyDescent="0.25">
      <c r="A17">
        <v>15</v>
      </c>
      <c r="B17" t="s">
        <v>2465</v>
      </c>
      <c r="C17" t="s">
        <v>880</v>
      </c>
      <c r="D17" t="s">
        <v>881</v>
      </c>
      <c r="E17" t="s">
        <v>882</v>
      </c>
      <c r="F17" t="s">
        <v>883</v>
      </c>
      <c r="G17" t="s">
        <v>884</v>
      </c>
      <c r="H17" t="s">
        <v>885</v>
      </c>
      <c r="I17" t="s">
        <v>886</v>
      </c>
      <c r="J17" t="s">
        <v>887</v>
      </c>
      <c r="K17" t="s">
        <v>888</v>
      </c>
      <c r="L17" t="s">
        <v>890</v>
      </c>
      <c r="M17" t="s">
        <v>891</v>
      </c>
      <c r="N17" t="s">
        <v>892</v>
      </c>
      <c r="O17" t="s">
        <v>59</v>
      </c>
      <c r="P17" t="s">
        <v>59</v>
      </c>
      <c r="Q17" t="s">
        <v>59</v>
      </c>
      <c r="R17" t="s">
        <v>59</v>
      </c>
      <c r="S17" t="s">
        <v>59</v>
      </c>
      <c r="T17" t="s">
        <v>59</v>
      </c>
      <c r="U17" t="s">
        <v>59</v>
      </c>
      <c r="V17" t="s">
        <v>59</v>
      </c>
      <c r="W17" t="s">
        <v>59</v>
      </c>
      <c r="X17" t="s">
        <v>59</v>
      </c>
      <c r="Y17" t="s">
        <v>59</v>
      </c>
      <c r="Z17" t="s">
        <v>59</v>
      </c>
      <c r="AA17" t="s">
        <v>59</v>
      </c>
      <c r="AB17" t="s">
        <v>59</v>
      </c>
      <c r="AC17" t="s">
        <v>59</v>
      </c>
      <c r="AD17" t="s">
        <v>59</v>
      </c>
      <c r="AE17" t="s">
        <v>59</v>
      </c>
      <c r="AF17" t="s">
        <v>59</v>
      </c>
      <c r="AG17" t="s">
        <v>59</v>
      </c>
      <c r="AH17" t="s">
        <v>59</v>
      </c>
      <c r="AI17" t="s">
        <v>59</v>
      </c>
      <c r="AJ17" t="s">
        <v>59</v>
      </c>
      <c r="AK17" t="s">
        <v>59</v>
      </c>
      <c r="AL17" t="s">
        <v>59</v>
      </c>
      <c r="AM17" t="s">
        <v>59</v>
      </c>
      <c r="AN17" t="s">
        <v>59</v>
      </c>
      <c r="AO17" t="s">
        <v>59</v>
      </c>
    </row>
    <row r="18" spans="1:41" x14ac:dyDescent="0.25">
      <c r="A18">
        <v>16</v>
      </c>
      <c r="B18" t="s">
        <v>2466</v>
      </c>
      <c r="C18" t="s">
        <v>813</v>
      </c>
      <c r="D18" t="s">
        <v>814</v>
      </c>
      <c r="E18" t="s">
        <v>815</v>
      </c>
      <c r="F18" t="s">
        <v>816</v>
      </c>
      <c r="G18" t="s">
        <v>817</v>
      </c>
      <c r="H18" t="s">
        <v>818</v>
      </c>
      <c r="I18" t="s">
        <v>819</v>
      </c>
      <c r="J18" t="s">
        <v>820</v>
      </c>
      <c r="K18" t="s">
        <v>821</v>
      </c>
      <c r="L18" t="s">
        <v>59</v>
      </c>
      <c r="M18" t="s">
        <v>59</v>
      </c>
      <c r="N18" t="s">
        <v>59</v>
      </c>
      <c r="O18" t="s">
        <v>59</v>
      </c>
      <c r="P18" t="s">
        <v>59</v>
      </c>
      <c r="Q18" t="s">
        <v>59</v>
      </c>
      <c r="R18" t="s">
        <v>59</v>
      </c>
      <c r="S18" t="s">
        <v>59</v>
      </c>
      <c r="T18" t="s">
        <v>59</v>
      </c>
      <c r="U18" t="s">
        <v>59</v>
      </c>
      <c r="V18" t="s">
        <v>59</v>
      </c>
      <c r="W18" t="s">
        <v>59</v>
      </c>
      <c r="X18" t="s">
        <v>59</v>
      </c>
      <c r="Y18" t="s">
        <v>59</v>
      </c>
      <c r="Z18" t="s">
        <v>59</v>
      </c>
      <c r="AA18" t="s">
        <v>59</v>
      </c>
      <c r="AB18" t="s">
        <v>59</v>
      </c>
      <c r="AC18" t="s">
        <v>59</v>
      </c>
      <c r="AD18" t="s">
        <v>59</v>
      </c>
      <c r="AE18" t="s">
        <v>59</v>
      </c>
      <c r="AF18" t="s">
        <v>59</v>
      </c>
      <c r="AG18" t="s">
        <v>59</v>
      </c>
      <c r="AH18" t="s">
        <v>59</v>
      </c>
      <c r="AI18" t="s">
        <v>59</v>
      </c>
      <c r="AJ18" t="s">
        <v>59</v>
      </c>
      <c r="AK18" t="s">
        <v>59</v>
      </c>
      <c r="AL18" t="s">
        <v>59</v>
      </c>
      <c r="AM18" t="s">
        <v>59</v>
      </c>
      <c r="AN18" t="s">
        <v>59</v>
      </c>
      <c r="AO18" t="s">
        <v>59</v>
      </c>
    </row>
    <row r="19" spans="1:41" x14ac:dyDescent="0.25">
      <c r="A19">
        <v>17</v>
      </c>
      <c r="B19" t="s">
        <v>2467</v>
      </c>
      <c r="C19" t="s">
        <v>872</v>
      </c>
      <c r="D19" t="s">
        <v>873</v>
      </c>
      <c r="E19" t="s">
        <v>874</v>
      </c>
      <c r="F19" t="s">
        <v>875</v>
      </c>
      <c r="G19" t="s">
        <v>876</v>
      </c>
      <c r="H19" t="s">
        <v>877</v>
      </c>
      <c r="I19" t="s">
        <v>878</v>
      </c>
      <c r="J19" t="s">
        <v>879</v>
      </c>
      <c r="K19" t="s">
        <v>59</v>
      </c>
      <c r="L19" t="s">
        <v>59</v>
      </c>
      <c r="M19" t="s">
        <v>59</v>
      </c>
      <c r="N19" t="s">
        <v>59</v>
      </c>
      <c r="O19" t="s">
        <v>59</v>
      </c>
      <c r="P19" t="s">
        <v>59</v>
      </c>
      <c r="Q19" t="s">
        <v>59</v>
      </c>
      <c r="R19" t="s">
        <v>59</v>
      </c>
      <c r="S19" t="s">
        <v>59</v>
      </c>
      <c r="T19" t="s">
        <v>59</v>
      </c>
      <c r="U19" t="s">
        <v>59</v>
      </c>
      <c r="V19" t="s">
        <v>59</v>
      </c>
      <c r="W19" t="s">
        <v>59</v>
      </c>
      <c r="X19" t="s">
        <v>59</v>
      </c>
      <c r="Y19" t="s">
        <v>59</v>
      </c>
      <c r="Z19" t="s">
        <v>59</v>
      </c>
      <c r="AA19" t="s">
        <v>59</v>
      </c>
      <c r="AB19" t="s">
        <v>59</v>
      </c>
      <c r="AC19" t="s">
        <v>59</v>
      </c>
      <c r="AD19" t="s">
        <v>59</v>
      </c>
      <c r="AE19" t="s">
        <v>59</v>
      </c>
      <c r="AF19" t="s">
        <v>59</v>
      </c>
      <c r="AG19" t="s">
        <v>59</v>
      </c>
      <c r="AH19" t="s">
        <v>59</v>
      </c>
      <c r="AI19" t="s">
        <v>59</v>
      </c>
      <c r="AJ19" t="s">
        <v>59</v>
      </c>
      <c r="AK19" t="s">
        <v>59</v>
      </c>
      <c r="AL19" t="s">
        <v>59</v>
      </c>
      <c r="AM19" t="s">
        <v>59</v>
      </c>
      <c r="AN19" t="s">
        <v>59</v>
      </c>
      <c r="AO19" t="s">
        <v>59</v>
      </c>
    </row>
    <row r="20" spans="1:41" x14ac:dyDescent="0.25">
      <c r="A20">
        <v>18</v>
      </c>
      <c r="B20" t="s">
        <v>2468</v>
      </c>
      <c r="C20" t="s">
        <v>982</v>
      </c>
      <c r="D20" t="s">
        <v>983</v>
      </c>
      <c r="E20" t="s">
        <v>783</v>
      </c>
      <c r="F20" t="s">
        <v>786</v>
      </c>
      <c r="G20" t="s">
        <v>984</v>
      </c>
      <c r="H20" t="s">
        <v>2488</v>
      </c>
      <c r="I20" t="s">
        <v>2489</v>
      </c>
      <c r="J20" t="s">
        <v>2490</v>
      </c>
      <c r="K20" t="s">
        <v>2491</v>
      </c>
      <c r="L20" t="s">
        <v>2492</v>
      </c>
      <c r="M20" t="s">
        <v>2493</v>
      </c>
      <c r="N20" t="s">
        <v>2494</v>
      </c>
      <c r="O20" t="s">
        <v>2495</v>
      </c>
      <c r="P20" t="s">
        <v>2496</v>
      </c>
      <c r="Q20" t="s">
        <v>772</v>
      </c>
      <c r="R20" t="s">
        <v>980</v>
      </c>
      <c r="S20" t="s">
        <v>979</v>
      </c>
      <c r="T20" t="s">
        <v>976</v>
      </c>
      <c r="U20" t="s">
        <v>978</v>
      </c>
      <c r="V20" t="s">
        <v>977</v>
      </c>
      <c r="W20" t="s">
        <v>391</v>
      </c>
      <c r="X20" t="s">
        <v>59</v>
      </c>
      <c r="Y20" t="s">
        <v>59</v>
      </c>
      <c r="Z20" t="s">
        <v>59</v>
      </c>
      <c r="AA20" t="s">
        <v>59</v>
      </c>
      <c r="AB20" t="s">
        <v>59</v>
      </c>
      <c r="AC20" t="s">
        <v>59</v>
      </c>
      <c r="AD20" t="s">
        <v>59</v>
      </c>
      <c r="AE20" t="s">
        <v>59</v>
      </c>
      <c r="AF20" t="s">
        <v>59</v>
      </c>
      <c r="AG20" t="s">
        <v>59</v>
      </c>
      <c r="AH20" t="s">
        <v>59</v>
      </c>
      <c r="AI20" t="s">
        <v>59</v>
      </c>
      <c r="AJ20" t="s">
        <v>59</v>
      </c>
      <c r="AK20" t="s">
        <v>59</v>
      </c>
      <c r="AL20" t="s">
        <v>59</v>
      </c>
      <c r="AM20" t="s">
        <v>59</v>
      </c>
      <c r="AN20" t="s">
        <v>59</v>
      </c>
      <c r="AO20" t="s">
        <v>59</v>
      </c>
    </row>
    <row r="21" spans="1:41" x14ac:dyDescent="0.25">
      <c r="A21">
        <v>19</v>
      </c>
      <c r="B21" t="s">
        <v>2469</v>
      </c>
      <c r="C21" t="s">
        <v>854</v>
      </c>
      <c r="D21" t="s">
        <v>857</v>
      </c>
      <c r="E21" t="s">
        <v>858</v>
      </c>
      <c r="F21" t="s">
        <v>2497</v>
      </c>
      <c r="G21" t="s">
        <v>2498</v>
      </c>
      <c r="H21" t="s">
        <v>859</v>
      </c>
      <c r="I21" t="s">
        <v>860</v>
      </c>
      <c r="J21" t="s">
        <v>861</v>
      </c>
      <c r="K21" t="s">
        <v>862</v>
      </c>
      <c r="L21" t="s">
        <v>863</v>
      </c>
      <c r="M21" t="s">
        <v>864</v>
      </c>
      <c r="N21" t="s">
        <v>865</v>
      </c>
      <c r="O21" t="s">
        <v>59</v>
      </c>
      <c r="P21" t="s">
        <v>59</v>
      </c>
      <c r="Q21" t="s">
        <v>59</v>
      </c>
      <c r="R21" t="s">
        <v>59</v>
      </c>
      <c r="S21" t="s">
        <v>59</v>
      </c>
      <c r="T21" t="s">
        <v>59</v>
      </c>
      <c r="U21" t="s">
        <v>59</v>
      </c>
      <c r="V21" t="s">
        <v>59</v>
      </c>
      <c r="W21" t="s">
        <v>59</v>
      </c>
      <c r="X21" t="s">
        <v>59</v>
      </c>
      <c r="Y21" t="s">
        <v>59</v>
      </c>
      <c r="Z21" t="s">
        <v>59</v>
      </c>
      <c r="AA21" t="s">
        <v>59</v>
      </c>
      <c r="AB21" t="s">
        <v>59</v>
      </c>
      <c r="AC21" t="s">
        <v>59</v>
      </c>
      <c r="AD21" t="s">
        <v>59</v>
      </c>
      <c r="AE21" t="s">
        <v>59</v>
      </c>
      <c r="AF21" t="s">
        <v>59</v>
      </c>
      <c r="AG21" t="s">
        <v>59</v>
      </c>
      <c r="AH21" t="s">
        <v>59</v>
      </c>
      <c r="AI21" t="s">
        <v>59</v>
      </c>
      <c r="AJ21" t="s">
        <v>59</v>
      </c>
      <c r="AK21" t="s">
        <v>59</v>
      </c>
      <c r="AL21" t="s">
        <v>59</v>
      </c>
      <c r="AM21" t="s">
        <v>59</v>
      </c>
      <c r="AN21" t="s">
        <v>59</v>
      </c>
      <c r="AO21" t="s">
        <v>59</v>
      </c>
    </row>
    <row r="22" spans="1:41" x14ac:dyDescent="0.25">
      <c r="A22">
        <v>20</v>
      </c>
      <c r="B22" t="s">
        <v>2470</v>
      </c>
      <c r="C22" t="s">
        <v>754</v>
      </c>
      <c r="D22" t="s">
        <v>755</v>
      </c>
      <c r="E22" t="s">
        <v>756</v>
      </c>
      <c r="F22" t="s">
        <v>757</v>
      </c>
      <c r="G22" t="s">
        <v>758</v>
      </c>
      <c r="H22" t="s">
        <v>759</v>
      </c>
      <c r="I22" t="s">
        <v>49</v>
      </c>
      <c r="J22" t="s">
        <v>760</v>
      </c>
      <c r="K22" t="s">
        <v>761</v>
      </c>
      <c r="L22" t="s">
        <v>762</v>
      </c>
      <c r="M22" t="s">
        <v>763</v>
      </c>
      <c r="N22" t="s">
        <v>764</v>
      </c>
      <c r="O22" t="s">
        <v>765</v>
      </c>
      <c r="P22" t="s">
        <v>766</v>
      </c>
      <c r="Q22" t="s">
        <v>767</v>
      </c>
      <c r="R22" t="s">
        <v>768</v>
      </c>
      <c r="S22" t="s">
        <v>769</v>
      </c>
      <c r="T22" t="s">
        <v>349</v>
      </c>
      <c r="U22" t="s">
        <v>355</v>
      </c>
      <c r="V22" t="s">
        <v>358</v>
      </c>
      <c r="W22" t="s">
        <v>361</v>
      </c>
      <c r="X22" t="s">
        <v>427</v>
      </c>
      <c r="Y22" t="s">
        <v>418</v>
      </c>
      <c r="Z22" t="s">
        <v>403</v>
      </c>
      <c r="AA22" t="s">
        <v>421</v>
      </c>
      <c r="AB22" t="s">
        <v>424</v>
      </c>
      <c r="AC22" t="s">
        <v>409</v>
      </c>
      <c r="AD22" t="s">
        <v>415</v>
      </c>
      <c r="AE22" t="s">
        <v>412</v>
      </c>
      <c r="AF22" t="s">
        <v>364</v>
      </c>
      <c r="AG22" t="s">
        <v>373</v>
      </c>
      <c r="AH22" t="s">
        <v>382</v>
      </c>
      <c r="AI22" t="s">
        <v>385</v>
      </c>
      <c r="AJ22" t="s">
        <v>400</v>
      </c>
      <c r="AK22" t="s">
        <v>433</v>
      </c>
      <c r="AL22" t="s">
        <v>436</v>
      </c>
      <c r="AM22" t="s">
        <v>439</v>
      </c>
      <c r="AN22" t="s">
        <v>442</v>
      </c>
      <c r="AO22" t="s">
        <v>445</v>
      </c>
    </row>
    <row r="23" spans="1:41" x14ac:dyDescent="0.25">
      <c r="A23">
        <v>21</v>
      </c>
      <c r="B23" t="s">
        <v>2471</v>
      </c>
      <c r="C23" t="s">
        <v>809</v>
      </c>
      <c r="D23" t="s">
        <v>810</v>
      </c>
      <c r="E23" t="s">
        <v>802</v>
      </c>
      <c r="F23" t="s">
        <v>803</v>
      </c>
      <c r="G23" t="s">
        <v>805</v>
      </c>
      <c r="H23" t="s">
        <v>806</v>
      </c>
      <c r="I23" t="s">
        <v>807</v>
      </c>
      <c r="J23" t="s">
        <v>808</v>
      </c>
      <c r="K23" t="s">
        <v>811</v>
      </c>
      <c r="L23" t="s">
        <v>59</v>
      </c>
      <c r="M23" t="s">
        <v>59</v>
      </c>
      <c r="N23" t="s">
        <v>59</v>
      </c>
      <c r="O23" t="s">
        <v>59</v>
      </c>
      <c r="P23" t="s">
        <v>59</v>
      </c>
      <c r="Q23" t="s">
        <v>59</v>
      </c>
      <c r="R23" t="s">
        <v>59</v>
      </c>
      <c r="S23" t="s">
        <v>59</v>
      </c>
      <c r="T23" t="s">
        <v>59</v>
      </c>
      <c r="U23" t="s">
        <v>59</v>
      </c>
      <c r="V23" t="s">
        <v>59</v>
      </c>
      <c r="W23" t="s">
        <v>59</v>
      </c>
      <c r="X23" t="s">
        <v>59</v>
      </c>
      <c r="Y23" t="s">
        <v>59</v>
      </c>
      <c r="Z23" t="s">
        <v>59</v>
      </c>
      <c r="AA23" t="s">
        <v>59</v>
      </c>
      <c r="AB23" t="s">
        <v>59</v>
      </c>
      <c r="AC23" t="s">
        <v>59</v>
      </c>
      <c r="AD23" t="s">
        <v>59</v>
      </c>
      <c r="AE23" t="s">
        <v>59</v>
      </c>
      <c r="AF23" t="s">
        <v>59</v>
      </c>
      <c r="AG23" t="s">
        <v>59</v>
      </c>
      <c r="AH23" t="s">
        <v>59</v>
      </c>
      <c r="AI23" t="s">
        <v>59</v>
      </c>
      <c r="AJ23" t="s">
        <v>59</v>
      </c>
      <c r="AK23" t="s">
        <v>59</v>
      </c>
      <c r="AL23" t="s">
        <v>59</v>
      </c>
      <c r="AM23" t="s">
        <v>59</v>
      </c>
      <c r="AN23" t="s">
        <v>59</v>
      </c>
      <c r="AO23" t="s">
        <v>59</v>
      </c>
    </row>
  </sheetData>
  <conditionalFormatting sqref="A1:AO23">
    <cfRule type="containsText" dxfId="37" priority="1" operator="containsText" text="n/a">
      <formula>NOT(ISERROR(SEARCH("n/a",A1)))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1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7" sqref="E17"/>
    </sheetView>
  </sheetViews>
  <sheetFormatPr defaultRowHeight="15" x14ac:dyDescent="0.25"/>
  <cols>
    <col min="1" max="1" width="5.140625" bestFit="1" customWidth="1"/>
    <col min="2" max="2" width="54.7109375" bestFit="1" customWidth="1"/>
    <col min="3" max="256" width="21.7109375" customWidth="1"/>
    <col min="257" max="257" width="5.140625" bestFit="1" customWidth="1"/>
    <col min="258" max="258" width="54.7109375" bestFit="1" customWidth="1"/>
    <col min="259" max="512" width="21.7109375" customWidth="1"/>
    <col min="513" max="513" width="5.140625" bestFit="1" customWidth="1"/>
    <col min="514" max="514" width="54.7109375" bestFit="1" customWidth="1"/>
    <col min="515" max="768" width="21.7109375" customWidth="1"/>
    <col min="769" max="769" width="5.140625" bestFit="1" customWidth="1"/>
    <col min="770" max="770" width="54.7109375" bestFit="1" customWidth="1"/>
    <col min="771" max="1024" width="21.7109375" customWidth="1"/>
    <col min="1025" max="1025" width="5.140625" bestFit="1" customWidth="1"/>
    <col min="1026" max="1026" width="54.7109375" bestFit="1" customWidth="1"/>
    <col min="1027" max="1280" width="21.7109375" customWidth="1"/>
    <col min="1281" max="1281" width="5.140625" bestFit="1" customWidth="1"/>
    <col min="1282" max="1282" width="54.7109375" bestFit="1" customWidth="1"/>
    <col min="1283" max="1536" width="21.7109375" customWidth="1"/>
    <col min="1537" max="1537" width="5.140625" bestFit="1" customWidth="1"/>
    <col min="1538" max="1538" width="54.7109375" bestFit="1" customWidth="1"/>
    <col min="1539" max="1792" width="21.7109375" customWidth="1"/>
    <col min="1793" max="1793" width="5.140625" bestFit="1" customWidth="1"/>
    <col min="1794" max="1794" width="54.7109375" bestFit="1" customWidth="1"/>
    <col min="1795" max="2048" width="21.7109375" customWidth="1"/>
    <col min="2049" max="2049" width="5.140625" bestFit="1" customWidth="1"/>
    <col min="2050" max="2050" width="54.7109375" bestFit="1" customWidth="1"/>
    <col min="2051" max="2304" width="21.7109375" customWidth="1"/>
    <col min="2305" max="2305" width="5.140625" bestFit="1" customWidth="1"/>
    <col min="2306" max="2306" width="54.7109375" bestFit="1" customWidth="1"/>
    <col min="2307" max="2560" width="21.7109375" customWidth="1"/>
    <col min="2561" max="2561" width="5.140625" bestFit="1" customWidth="1"/>
    <col min="2562" max="2562" width="54.7109375" bestFit="1" customWidth="1"/>
    <col min="2563" max="2816" width="21.7109375" customWidth="1"/>
    <col min="2817" max="2817" width="5.140625" bestFit="1" customWidth="1"/>
    <col min="2818" max="2818" width="54.7109375" bestFit="1" customWidth="1"/>
    <col min="2819" max="3072" width="21.7109375" customWidth="1"/>
    <col min="3073" max="3073" width="5.140625" bestFit="1" customWidth="1"/>
    <col min="3074" max="3074" width="54.7109375" bestFit="1" customWidth="1"/>
    <col min="3075" max="3328" width="21.7109375" customWidth="1"/>
    <col min="3329" max="3329" width="5.140625" bestFit="1" customWidth="1"/>
    <col min="3330" max="3330" width="54.7109375" bestFit="1" customWidth="1"/>
    <col min="3331" max="3584" width="21.7109375" customWidth="1"/>
    <col min="3585" max="3585" width="5.140625" bestFit="1" customWidth="1"/>
    <col min="3586" max="3586" width="54.7109375" bestFit="1" customWidth="1"/>
    <col min="3587" max="3840" width="21.7109375" customWidth="1"/>
    <col min="3841" max="3841" width="5.140625" bestFit="1" customWidth="1"/>
    <col min="3842" max="3842" width="54.7109375" bestFit="1" customWidth="1"/>
    <col min="3843" max="4096" width="21.7109375" customWidth="1"/>
    <col min="4097" max="4097" width="5.140625" bestFit="1" customWidth="1"/>
    <col min="4098" max="4098" width="54.7109375" bestFit="1" customWidth="1"/>
    <col min="4099" max="4352" width="21.7109375" customWidth="1"/>
    <col min="4353" max="4353" width="5.140625" bestFit="1" customWidth="1"/>
    <col min="4354" max="4354" width="54.7109375" bestFit="1" customWidth="1"/>
    <col min="4355" max="4608" width="21.7109375" customWidth="1"/>
    <col min="4609" max="4609" width="5.140625" bestFit="1" customWidth="1"/>
    <col min="4610" max="4610" width="54.7109375" bestFit="1" customWidth="1"/>
    <col min="4611" max="4864" width="21.7109375" customWidth="1"/>
    <col min="4865" max="4865" width="5.140625" bestFit="1" customWidth="1"/>
    <col min="4866" max="4866" width="54.7109375" bestFit="1" customWidth="1"/>
    <col min="4867" max="5120" width="21.7109375" customWidth="1"/>
    <col min="5121" max="5121" width="5.140625" bestFit="1" customWidth="1"/>
    <col min="5122" max="5122" width="54.7109375" bestFit="1" customWidth="1"/>
    <col min="5123" max="5376" width="21.7109375" customWidth="1"/>
    <col min="5377" max="5377" width="5.140625" bestFit="1" customWidth="1"/>
    <col min="5378" max="5378" width="54.7109375" bestFit="1" customWidth="1"/>
    <col min="5379" max="5632" width="21.7109375" customWidth="1"/>
    <col min="5633" max="5633" width="5.140625" bestFit="1" customWidth="1"/>
    <col min="5634" max="5634" width="54.7109375" bestFit="1" customWidth="1"/>
    <col min="5635" max="5888" width="21.7109375" customWidth="1"/>
    <col min="5889" max="5889" width="5.140625" bestFit="1" customWidth="1"/>
    <col min="5890" max="5890" width="54.7109375" bestFit="1" customWidth="1"/>
    <col min="5891" max="6144" width="21.7109375" customWidth="1"/>
    <col min="6145" max="6145" width="5.140625" bestFit="1" customWidth="1"/>
    <col min="6146" max="6146" width="54.7109375" bestFit="1" customWidth="1"/>
    <col min="6147" max="6400" width="21.7109375" customWidth="1"/>
    <col min="6401" max="6401" width="5.140625" bestFit="1" customWidth="1"/>
    <col min="6402" max="6402" width="54.7109375" bestFit="1" customWidth="1"/>
    <col min="6403" max="6656" width="21.7109375" customWidth="1"/>
    <col min="6657" max="6657" width="5.140625" bestFit="1" customWidth="1"/>
    <col min="6658" max="6658" width="54.7109375" bestFit="1" customWidth="1"/>
    <col min="6659" max="6912" width="21.7109375" customWidth="1"/>
    <col min="6913" max="6913" width="5.140625" bestFit="1" customWidth="1"/>
    <col min="6914" max="6914" width="54.7109375" bestFit="1" customWidth="1"/>
    <col min="6915" max="7168" width="21.7109375" customWidth="1"/>
    <col min="7169" max="7169" width="5.140625" bestFit="1" customWidth="1"/>
    <col min="7170" max="7170" width="54.7109375" bestFit="1" customWidth="1"/>
    <col min="7171" max="7424" width="21.7109375" customWidth="1"/>
    <col min="7425" max="7425" width="5.140625" bestFit="1" customWidth="1"/>
    <col min="7426" max="7426" width="54.7109375" bestFit="1" customWidth="1"/>
    <col min="7427" max="7680" width="21.7109375" customWidth="1"/>
    <col min="7681" max="7681" width="5.140625" bestFit="1" customWidth="1"/>
    <col min="7682" max="7682" width="54.7109375" bestFit="1" customWidth="1"/>
    <col min="7683" max="7936" width="21.7109375" customWidth="1"/>
    <col min="7937" max="7937" width="5.140625" bestFit="1" customWidth="1"/>
    <col min="7938" max="7938" width="54.7109375" bestFit="1" customWidth="1"/>
    <col min="7939" max="8192" width="21.7109375" customWidth="1"/>
    <col min="8193" max="8193" width="5.140625" bestFit="1" customWidth="1"/>
    <col min="8194" max="8194" width="54.7109375" bestFit="1" customWidth="1"/>
    <col min="8195" max="8448" width="21.7109375" customWidth="1"/>
    <col min="8449" max="8449" width="5.140625" bestFit="1" customWidth="1"/>
    <col min="8450" max="8450" width="54.7109375" bestFit="1" customWidth="1"/>
    <col min="8451" max="8704" width="21.7109375" customWidth="1"/>
    <col min="8705" max="8705" width="5.140625" bestFit="1" customWidth="1"/>
    <col min="8706" max="8706" width="54.7109375" bestFit="1" customWidth="1"/>
    <col min="8707" max="8960" width="21.7109375" customWidth="1"/>
    <col min="8961" max="8961" width="5.140625" bestFit="1" customWidth="1"/>
    <col min="8962" max="8962" width="54.7109375" bestFit="1" customWidth="1"/>
    <col min="8963" max="9216" width="21.7109375" customWidth="1"/>
    <col min="9217" max="9217" width="5.140625" bestFit="1" customWidth="1"/>
    <col min="9218" max="9218" width="54.7109375" bestFit="1" customWidth="1"/>
    <col min="9219" max="9472" width="21.7109375" customWidth="1"/>
    <col min="9473" max="9473" width="5.140625" bestFit="1" customWidth="1"/>
    <col min="9474" max="9474" width="54.7109375" bestFit="1" customWidth="1"/>
    <col min="9475" max="9728" width="21.7109375" customWidth="1"/>
    <col min="9729" max="9729" width="5.140625" bestFit="1" customWidth="1"/>
    <col min="9730" max="9730" width="54.7109375" bestFit="1" customWidth="1"/>
    <col min="9731" max="9984" width="21.7109375" customWidth="1"/>
    <col min="9985" max="9985" width="5.140625" bestFit="1" customWidth="1"/>
    <col min="9986" max="9986" width="54.7109375" bestFit="1" customWidth="1"/>
    <col min="9987" max="10240" width="21.7109375" customWidth="1"/>
    <col min="10241" max="10241" width="5.140625" bestFit="1" customWidth="1"/>
    <col min="10242" max="10242" width="54.7109375" bestFit="1" customWidth="1"/>
    <col min="10243" max="10496" width="21.7109375" customWidth="1"/>
    <col min="10497" max="10497" width="5.140625" bestFit="1" customWidth="1"/>
    <col min="10498" max="10498" width="54.7109375" bestFit="1" customWidth="1"/>
    <col min="10499" max="10752" width="21.7109375" customWidth="1"/>
    <col min="10753" max="10753" width="5.140625" bestFit="1" customWidth="1"/>
    <col min="10754" max="10754" width="54.7109375" bestFit="1" customWidth="1"/>
    <col min="10755" max="11008" width="21.7109375" customWidth="1"/>
    <col min="11009" max="11009" width="5.140625" bestFit="1" customWidth="1"/>
    <col min="11010" max="11010" width="54.7109375" bestFit="1" customWidth="1"/>
    <col min="11011" max="11264" width="21.7109375" customWidth="1"/>
    <col min="11265" max="11265" width="5.140625" bestFit="1" customWidth="1"/>
    <col min="11266" max="11266" width="54.7109375" bestFit="1" customWidth="1"/>
    <col min="11267" max="11520" width="21.7109375" customWidth="1"/>
    <col min="11521" max="11521" width="5.140625" bestFit="1" customWidth="1"/>
    <col min="11522" max="11522" width="54.7109375" bestFit="1" customWidth="1"/>
    <col min="11523" max="11776" width="21.7109375" customWidth="1"/>
    <col min="11777" max="11777" width="5.140625" bestFit="1" customWidth="1"/>
    <col min="11778" max="11778" width="54.7109375" bestFit="1" customWidth="1"/>
    <col min="11779" max="12032" width="21.7109375" customWidth="1"/>
    <col min="12033" max="12033" width="5.140625" bestFit="1" customWidth="1"/>
    <col min="12034" max="12034" width="54.7109375" bestFit="1" customWidth="1"/>
    <col min="12035" max="12288" width="21.7109375" customWidth="1"/>
    <col min="12289" max="12289" width="5.140625" bestFit="1" customWidth="1"/>
    <col min="12290" max="12290" width="54.7109375" bestFit="1" customWidth="1"/>
    <col min="12291" max="12544" width="21.7109375" customWidth="1"/>
    <col min="12545" max="12545" width="5.140625" bestFit="1" customWidth="1"/>
    <col min="12546" max="12546" width="54.7109375" bestFit="1" customWidth="1"/>
    <col min="12547" max="12800" width="21.7109375" customWidth="1"/>
    <col min="12801" max="12801" width="5.140625" bestFit="1" customWidth="1"/>
    <col min="12802" max="12802" width="54.7109375" bestFit="1" customWidth="1"/>
    <col min="12803" max="13056" width="21.7109375" customWidth="1"/>
    <col min="13057" max="13057" width="5.140625" bestFit="1" customWidth="1"/>
    <col min="13058" max="13058" width="54.7109375" bestFit="1" customWidth="1"/>
    <col min="13059" max="13312" width="21.7109375" customWidth="1"/>
    <col min="13313" max="13313" width="5.140625" bestFit="1" customWidth="1"/>
    <col min="13314" max="13314" width="54.7109375" bestFit="1" customWidth="1"/>
    <col min="13315" max="13568" width="21.7109375" customWidth="1"/>
    <col min="13569" max="13569" width="5.140625" bestFit="1" customWidth="1"/>
    <col min="13570" max="13570" width="54.7109375" bestFit="1" customWidth="1"/>
    <col min="13571" max="13824" width="21.7109375" customWidth="1"/>
    <col min="13825" max="13825" width="5.140625" bestFit="1" customWidth="1"/>
    <col min="13826" max="13826" width="54.7109375" bestFit="1" customWidth="1"/>
    <col min="13827" max="14080" width="21.7109375" customWidth="1"/>
    <col min="14081" max="14081" width="5.140625" bestFit="1" customWidth="1"/>
    <col min="14082" max="14082" width="54.7109375" bestFit="1" customWidth="1"/>
    <col min="14083" max="14336" width="21.7109375" customWidth="1"/>
    <col min="14337" max="14337" width="5.140625" bestFit="1" customWidth="1"/>
    <col min="14338" max="14338" width="54.7109375" bestFit="1" customWidth="1"/>
    <col min="14339" max="14592" width="21.7109375" customWidth="1"/>
    <col min="14593" max="14593" width="5.140625" bestFit="1" customWidth="1"/>
    <col min="14594" max="14594" width="54.7109375" bestFit="1" customWidth="1"/>
    <col min="14595" max="14848" width="21.7109375" customWidth="1"/>
    <col min="14849" max="14849" width="5.140625" bestFit="1" customWidth="1"/>
    <col min="14850" max="14850" width="54.7109375" bestFit="1" customWidth="1"/>
    <col min="14851" max="15104" width="21.7109375" customWidth="1"/>
    <col min="15105" max="15105" width="5.140625" bestFit="1" customWidth="1"/>
    <col min="15106" max="15106" width="54.7109375" bestFit="1" customWidth="1"/>
    <col min="15107" max="15360" width="21.7109375" customWidth="1"/>
    <col min="15361" max="15361" width="5.140625" bestFit="1" customWidth="1"/>
    <col min="15362" max="15362" width="54.7109375" bestFit="1" customWidth="1"/>
    <col min="15363" max="15616" width="21.7109375" customWidth="1"/>
    <col min="15617" max="15617" width="5.140625" bestFit="1" customWidth="1"/>
    <col min="15618" max="15618" width="54.7109375" bestFit="1" customWidth="1"/>
    <col min="15619" max="15872" width="21.7109375" customWidth="1"/>
    <col min="15873" max="15873" width="5.140625" bestFit="1" customWidth="1"/>
    <col min="15874" max="15874" width="54.7109375" bestFit="1" customWidth="1"/>
    <col min="15875" max="16128" width="21.7109375" customWidth="1"/>
    <col min="16129" max="16129" width="5.140625" bestFit="1" customWidth="1"/>
    <col min="16130" max="16130" width="54.7109375" bestFit="1" customWidth="1"/>
    <col min="16131" max="16384" width="21.7109375" customWidth="1"/>
  </cols>
  <sheetData>
    <row r="1" spans="1:18" x14ac:dyDescent="0.25">
      <c r="A1" s="6" t="s">
        <v>2142</v>
      </c>
      <c r="B1" s="6" t="s">
        <v>723</v>
      </c>
      <c r="C1" s="6" t="s">
        <v>66</v>
      </c>
      <c r="D1" s="6" t="s">
        <v>64</v>
      </c>
      <c r="E1" s="6" t="s">
        <v>724</v>
      </c>
      <c r="F1" s="6" t="s">
        <v>725</v>
      </c>
      <c r="G1" s="6" t="s">
        <v>726</v>
      </c>
      <c r="H1" s="6" t="s">
        <v>727</v>
      </c>
      <c r="I1" s="6" t="s">
        <v>728</v>
      </c>
      <c r="J1" s="6" t="s">
        <v>2539</v>
      </c>
      <c r="K1" s="6" t="s">
        <v>2540</v>
      </c>
      <c r="L1" s="6" t="s">
        <v>2541</v>
      </c>
      <c r="M1" s="6" t="s">
        <v>63</v>
      </c>
      <c r="N1" s="6" t="s">
        <v>729</v>
      </c>
      <c r="O1" s="6" t="s">
        <v>730</v>
      </c>
      <c r="P1" s="6" t="s">
        <v>2542</v>
      </c>
      <c r="Q1" s="6" t="s">
        <v>2543</v>
      </c>
      <c r="R1" s="6" t="s">
        <v>2544</v>
      </c>
    </row>
    <row r="3" spans="1:18" x14ac:dyDescent="0.25">
      <c r="A3">
        <v>1</v>
      </c>
      <c r="B3" t="s">
        <v>89</v>
      </c>
      <c r="C3">
        <v>8675309</v>
      </c>
      <c r="D3" t="s">
        <v>90</v>
      </c>
      <c r="E3" t="s">
        <v>91</v>
      </c>
      <c r="F3" t="s">
        <v>92</v>
      </c>
      <c r="G3" t="s">
        <v>93</v>
      </c>
      <c r="H3">
        <v>1</v>
      </c>
      <c r="I3">
        <v>10</v>
      </c>
      <c r="J3">
        <v>-1</v>
      </c>
      <c r="K3">
        <v>-1</v>
      </c>
      <c r="L3">
        <v>-1</v>
      </c>
      <c r="M3" s="6" t="s">
        <v>59</v>
      </c>
      <c r="N3" s="6" t="s">
        <v>59</v>
      </c>
      <c r="O3" s="6" t="s">
        <v>59</v>
      </c>
      <c r="P3">
        <v>0</v>
      </c>
      <c r="Q3">
        <v>0</v>
      </c>
      <c r="R3">
        <v>0</v>
      </c>
    </row>
    <row r="4" spans="1:18" x14ac:dyDescent="0.25">
      <c r="A4">
        <v>2</v>
      </c>
      <c r="B4" t="s">
        <v>115</v>
      </c>
      <c r="C4">
        <v>2</v>
      </c>
      <c r="D4" t="s">
        <v>116</v>
      </c>
      <c r="E4" t="s">
        <v>117</v>
      </c>
      <c r="F4" t="s">
        <v>97</v>
      </c>
      <c r="G4" t="s">
        <v>98</v>
      </c>
      <c r="H4">
        <v>1</v>
      </c>
      <c r="I4">
        <v>-1</v>
      </c>
      <c r="J4">
        <v>-1</v>
      </c>
      <c r="K4">
        <v>-1</v>
      </c>
      <c r="L4">
        <v>-1</v>
      </c>
      <c r="M4" t="s">
        <v>118</v>
      </c>
      <c r="N4">
        <v>9999999</v>
      </c>
      <c r="O4" t="s">
        <v>100</v>
      </c>
      <c r="P4">
        <v>0</v>
      </c>
      <c r="Q4">
        <v>0</v>
      </c>
      <c r="R4">
        <v>0</v>
      </c>
    </row>
    <row r="5" spans="1:18" x14ac:dyDescent="0.25">
      <c r="A5">
        <v>3</v>
      </c>
      <c r="B5" t="s">
        <v>119</v>
      </c>
      <c r="C5">
        <v>3</v>
      </c>
      <c r="D5" t="s">
        <v>120</v>
      </c>
      <c r="E5" t="s">
        <v>121</v>
      </c>
      <c r="F5" t="s">
        <v>122</v>
      </c>
      <c r="G5" t="s">
        <v>123</v>
      </c>
      <c r="H5">
        <v>5</v>
      </c>
      <c r="I5">
        <v>-1</v>
      </c>
      <c r="J5">
        <v>-1</v>
      </c>
      <c r="K5">
        <v>-1</v>
      </c>
      <c r="L5">
        <v>-1</v>
      </c>
      <c r="M5" t="s">
        <v>124</v>
      </c>
      <c r="N5">
        <v>9999999</v>
      </c>
      <c r="O5" t="s">
        <v>100</v>
      </c>
      <c r="P5">
        <v>0</v>
      </c>
      <c r="Q5">
        <v>0</v>
      </c>
      <c r="R5">
        <v>0</v>
      </c>
    </row>
    <row r="6" spans="1:18" x14ac:dyDescent="0.25">
      <c r="A6">
        <v>4</v>
      </c>
      <c r="B6" t="s">
        <v>125</v>
      </c>
      <c r="C6">
        <v>4</v>
      </c>
      <c r="D6" t="s">
        <v>126</v>
      </c>
      <c r="E6" s="6" t="s">
        <v>59</v>
      </c>
      <c r="F6" s="6" t="s">
        <v>59</v>
      </c>
      <c r="G6" s="6" t="s">
        <v>59</v>
      </c>
      <c r="H6">
        <v>1E-3</v>
      </c>
      <c r="I6">
        <v>-1</v>
      </c>
      <c r="J6">
        <v>-1</v>
      </c>
      <c r="K6">
        <v>-1</v>
      </c>
      <c r="L6">
        <v>-1</v>
      </c>
      <c r="M6" t="s">
        <v>127</v>
      </c>
      <c r="N6">
        <v>35</v>
      </c>
      <c r="O6" s="6" t="s">
        <v>59</v>
      </c>
      <c r="P6">
        <v>0</v>
      </c>
      <c r="Q6">
        <v>0</v>
      </c>
      <c r="R6">
        <v>0</v>
      </c>
    </row>
    <row r="7" spans="1:18" x14ac:dyDescent="0.25">
      <c r="A7">
        <v>5</v>
      </c>
      <c r="B7" t="s">
        <v>128</v>
      </c>
      <c r="C7">
        <v>5</v>
      </c>
      <c r="D7" t="s">
        <v>129</v>
      </c>
      <c r="E7" t="s">
        <v>130</v>
      </c>
      <c r="F7" t="s">
        <v>131</v>
      </c>
      <c r="G7" s="6" t="s">
        <v>59</v>
      </c>
      <c r="H7">
        <v>1E-3</v>
      </c>
      <c r="I7">
        <v>-1</v>
      </c>
      <c r="J7">
        <v>-1</v>
      </c>
      <c r="K7">
        <v>-1</v>
      </c>
      <c r="L7">
        <v>-1</v>
      </c>
      <c r="M7" t="s">
        <v>132</v>
      </c>
      <c r="N7">
        <v>9999999</v>
      </c>
      <c r="O7" t="s">
        <v>100</v>
      </c>
      <c r="P7">
        <v>0</v>
      </c>
      <c r="Q7">
        <v>0</v>
      </c>
      <c r="R7">
        <v>0</v>
      </c>
    </row>
    <row r="8" spans="1:18" x14ac:dyDescent="0.25">
      <c r="A8">
        <v>6</v>
      </c>
      <c r="B8" t="s">
        <v>94</v>
      </c>
      <c r="C8">
        <v>51</v>
      </c>
      <c r="D8" t="s">
        <v>95</v>
      </c>
      <c r="E8" t="s">
        <v>96</v>
      </c>
      <c r="F8" t="s">
        <v>97</v>
      </c>
      <c r="G8" t="s">
        <v>98</v>
      </c>
      <c r="H8">
        <v>1</v>
      </c>
      <c r="I8">
        <v>-1</v>
      </c>
      <c r="J8">
        <v>-1</v>
      </c>
      <c r="K8">
        <v>-1</v>
      </c>
      <c r="L8">
        <v>-1</v>
      </c>
      <c r="M8" t="s">
        <v>99</v>
      </c>
      <c r="N8">
        <v>9999999</v>
      </c>
      <c r="O8" t="s">
        <v>100</v>
      </c>
      <c r="P8">
        <v>0</v>
      </c>
      <c r="Q8">
        <v>0</v>
      </c>
      <c r="R8">
        <v>0</v>
      </c>
    </row>
    <row r="9" spans="1:18" x14ac:dyDescent="0.25">
      <c r="A9">
        <v>7</v>
      </c>
      <c r="B9" t="s">
        <v>101</v>
      </c>
      <c r="C9">
        <v>52</v>
      </c>
      <c r="D9" t="s">
        <v>102</v>
      </c>
      <c r="E9" t="s">
        <v>103</v>
      </c>
      <c r="F9" t="s">
        <v>104</v>
      </c>
      <c r="G9" t="s">
        <v>98</v>
      </c>
      <c r="H9">
        <v>1</v>
      </c>
      <c r="I9">
        <v>-1</v>
      </c>
      <c r="J9">
        <v>-1</v>
      </c>
      <c r="K9">
        <v>-1</v>
      </c>
      <c r="L9">
        <v>-1</v>
      </c>
      <c r="M9" t="s">
        <v>105</v>
      </c>
      <c r="N9">
        <v>9999999</v>
      </c>
      <c r="O9" t="s">
        <v>100</v>
      </c>
      <c r="P9">
        <v>0</v>
      </c>
      <c r="Q9">
        <v>0</v>
      </c>
      <c r="R9">
        <v>0</v>
      </c>
    </row>
    <row r="10" spans="1:18" x14ac:dyDescent="0.25">
      <c r="A10">
        <v>8</v>
      </c>
      <c r="B10" t="s">
        <v>106</v>
      </c>
      <c r="C10">
        <v>53</v>
      </c>
      <c r="D10" t="s">
        <v>107</v>
      </c>
      <c r="E10" t="s">
        <v>108</v>
      </c>
      <c r="F10" t="s">
        <v>104</v>
      </c>
      <c r="G10" t="s">
        <v>98</v>
      </c>
      <c r="H10">
        <v>10</v>
      </c>
      <c r="I10">
        <v>-1</v>
      </c>
      <c r="J10">
        <v>-1</v>
      </c>
      <c r="K10">
        <v>-1</v>
      </c>
      <c r="L10">
        <v>-1</v>
      </c>
      <c r="M10" t="s">
        <v>109</v>
      </c>
      <c r="N10">
        <v>9999999</v>
      </c>
      <c r="O10" t="s">
        <v>100</v>
      </c>
      <c r="P10">
        <v>0</v>
      </c>
      <c r="Q10">
        <v>0</v>
      </c>
      <c r="R10">
        <v>0</v>
      </c>
    </row>
    <row r="11" spans="1:18" x14ac:dyDescent="0.25">
      <c r="A11">
        <v>9</v>
      </c>
      <c r="B11" t="s">
        <v>294</v>
      </c>
      <c r="C11">
        <v>9002</v>
      </c>
      <c r="D11" t="s">
        <v>295</v>
      </c>
      <c r="E11" t="s">
        <v>296</v>
      </c>
      <c r="F11" t="s">
        <v>140</v>
      </c>
      <c r="G11" t="s">
        <v>141</v>
      </c>
      <c r="H11">
        <v>0.11119999999999999</v>
      </c>
      <c r="I11">
        <v>170</v>
      </c>
      <c r="J11">
        <v>-1</v>
      </c>
      <c r="K11">
        <v>-1</v>
      </c>
      <c r="L11">
        <v>-1</v>
      </c>
      <c r="M11" s="6" t="s">
        <v>59</v>
      </c>
      <c r="N11" s="6" t="s">
        <v>59</v>
      </c>
      <c r="O11" s="6" t="s">
        <v>59</v>
      </c>
      <c r="P11">
        <v>0</v>
      </c>
      <c r="Q11">
        <v>0</v>
      </c>
      <c r="R11">
        <v>0</v>
      </c>
    </row>
    <row r="12" spans="1:18" x14ac:dyDescent="0.25">
      <c r="A12">
        <v>10</v>
      </c>
      <c r="B12" t="s">
        <v>372</v>
      </c>
      <c r="C12">
        <v>9109</v>
      </c>
      <c r="D12" t="s">
        <v>373</v>
      </c>
      <c r="E12" t="s">
        <v>374</v>
      </c>
      <c r="F12" t="s">
        <v>140</v>
      </c>
      <c r="G12" t="s">
        <v>141</v>
      </c>
      <c r="H12">
        <v>0.5</v>
      </c>
      <c r="I12">
        <v>14</v>
      </c>
      <c r="J12">
        <v>-1</v>
      </c>
      <c r="K12">
        <v>-1</v>
      </c>
      <c r="L12">
        <v>-1</v>
      </c>
      <c r="M12" s="6" t="s">
        <v>59</v>
      </c>
      <c r="N12" s="6" t="s">
        <v>59</v>
      </c>
      <c r="O12" s="6" t="s">
        <v>59</v>
      </c>
      <c r="P12">
        <v>0</v>
      </c>
      <c r="Q12">
        <v>0</v>
      </c>
      <c r="R12">
        <v>0</v>
      </c>
    </row>
    <row r="13" spans="1:18" x14ac:dyDescent="0.25">
      <c r="A13">
        <v>11</v>
      </c>
      <c r="B13" t="s">
        <v>369</v>
      </c>
      <c r="C13">
        <v>9108</v>
      </c>
      <c r="D13" t="s">
        <v>370</v>
      </c>
      <c r="E13" t="s">
        <v>371</v>
      </c>
      <c r="F13" t="s">
        <v>140</v>
      </c>
      <c r="G13" t="s">
        <v>141</v>
      </c>
      <c r="H13">
        <v>0.5</v>
      </c>
      <c r="I13">
        <v>14</v>
      </c>
      <c r="J13">
        <v>-1</v>
      </c>
      <c r="K13">
        <v>-1</v>
      </c>
      <c r="L13">
        <v>-1</v>
      </c>
      <c r="M13" s="6" t="s">
        <v>59</v>
      </c>
      <c r="N13" s="6" t="s">
        <v>59</v>
      </c>
      <c r="O13" s="6" t="s">
        <v>59</v>
      </c>
      <c r="P13">
        <v>0</v>
      </c>
      <c r="Q13">
        <v>0</v>
      </c>
      <c r="R13">
        <v>0</v>
      </c>
    </row>
    <row r="14" spans="1:18" x14ac:dyDescent="0.25">
      <c r="A14">
        <v>12</v>
      </c>
      <c r="B14" t="s">
        <v>375</v>
      </c>
      <c r="C14">
        <v>9110</v>
      </c>
      <c r="D14" t="s">
        <v>376</v>
      </c>
      <c r="E14" t="s">
        <v>377</v>
      </c>
      <c r="F14" t="s">
        <v>140</v>
      </c>
      <c r="G14" t="s">
        <v>141</v>
      </c>
      <c r="H14">
        <v>0.5</v>
      </c>
      <c r="I14">
        <v>14</v>
      </c>
      <c r="J14">
        <v>-1</v>
      </c>
      <c r="K14">
        <v>-1</v>
      </c>
      <c r="L14">
        <v>-1</v>
      </c>
      <c r="M14" s="6" t="s">
        <v>59</v>
      </c>
      <c r="N14" s="6" t="s">
        <v>59</v>
      </c>
      <c r="O14" s="6" t="s">
        <v>59</v>
      </c>
      <c r="P14">
        <v>0</v>
      </c>
      <c r="Q14">
        <v>0</v>
      </c>
      <c r="R14">
        <v>0</v>
      </c>
    </row>
    <row r="15" spans="1:18" x14ac:dyDescent="0.25">
      <c r="A15">
        <v>13</v>
      </c>
      <c r="B15" t="s">
        <v>429</v>
      </c>
      <c r="C15">
        <v>9200</v>
      </c>
      <c r="D15" t="s">
        <v>430</v>
      </c>
      <c r="E15" t="s">
        <v>431</v>
      </c>
      <c r="F15" t="s">
        <v>140</v>
      </c>
      <c r="G15" t="s">
        <v>141</v>
      </c>
      <c r="H15">
        <v>0.5</v>
      </c>
      <c r="I15">
        <v>14</v>
      </c>
      <c r="J15">
        <v>-1</v>
      </c>
      <c r="K15">
        <v>-1</v>
      </c>
      <c r="L15">
        <v>-1</v>
      </c>
      <c r="M15" s="6" t="s">
        <v>59</v>
      </c>
      <c r="N15" s="6" t="s">
        <v>59</v>
      </c>
      <c r="O15" s="6" t="s">
        <v>59</v>
      </c>
      <c r="P15">
        <v>0</v>
      </c>
      <c r="Q15">
        <v>0</v>
      </c>
      <c r="R15">
        <v>0</v>
      </c>
    </row>
    <row r="16" spans="1:18" x14ac:dyDescent="0.25">
      <c r="A16">
        <v>14</v>
      </c>
      <c r="B16" t="s">
        <v>480</v>
      </c>
      <c r="C16">
        <v>10011</v>
      </c>
      <c r="D16" t="s">
        <v>481</v>
      </c>
      <c r="E16" t="s">
        <v>482</v>
      </c>
      <c r="F16" t="s">
        <v>140</v>
      </c>
      <c r="G16" t="s">
        <v>141</v>
      </c>
      <c r="H16">
        <v>0.11112</v>
      </c>
      <c r="I16">
        <v>999</v>
      </c>
      <c r="J16">
        <v>-1</v>
      </c>
      <c r="K16">
        <v>-1</v>
      </c>
      <c r="L16">
        <v>-1</v>
      </c>
      <c r="M16" s="6" t="s">
        <v>59</v>
      </c>
      <c r="N16" s="6" t="s">
        <v>59</v>
      </c>
      <c r="O16" s="6" t="s">
        <v>59</v>
      </c>
      <c r="P16">
        <v>0</v>
      </c>
      <c r="Q16">
        <v>0</v>
      </c>
      <c r="R16">
        <v>0</v>
      </c>
    </row>
    <row r="17" spans="1:18" x14ac:dyDescent="0.25">
      <c r="A17">
        <v>15</v>
      </c>
      <c r="B17" t="s">
        <v>297</v>
      </c>
      <c r="C17">
        <v>9003</v>
      </c>
      <c r="D17" t="s">
        <v>298</v>
      </c>
      <c r="E17" t="s">
        <v>299</v>
      </c>
      <c r="F17" t="s">
        <v>140</v>
      </c>
      <c r="G17" t="s">
        <v>141</v>
      </c>
      <c r="H17">
        <v>0.11119999999999999</v>
      </c>
      <c r="I17">
        <v>170</v>
      </c>
      <c r="J17">
        <v>-1</v>
      </c>
      <c r="K17">
        <v>-1</v>
      </c>
      <c r="L17">
        <v>-1</v>
      </c>
      <c r="M17" s="6" t="s">
        <v>59</v>
      </c>
      <c r="N17" s="6" t="s">
        <v>59</v>
      </c>
      <c r="O17" s="6" t="s">
        <v>59</v>
      </c>
      <c r="P17">
        <v>0</v>
      </c>
      <c r="Q17">
        <v>0</v>
      </c>
      <c r="R17">
        <v>0</v>
      </c>
    </row>
    <row r="18" spans="1:18" x14ac:dyDescent="0.25">
      <c r="A18">
        <v>16</v>
      </c>
      <c r="B18" t="s">
        <v>363</v>
      </c>
      <c r="C18">
        <v>9106</v>
      </c>
      <c r="D18" t="s">
        <v>364</v>
      </c>
      <c r="E18" t="s">
        <v>365</v>
      </c>
      <c r="F18" t="s">
        <v>140</v>
      </c>
      <c r="G18" t="s">
        <v>141</v>
      </c>
      <c r="H18">
        <v>0.5</v>
      </c>
      <c r="I18">
        <v>14</v>
      </c>
      <c r="J18">
        <v>-1</v>
      </c>
      <c r="K18">
        <v>-1</v>
      </c>
      <c r="L18">
        <v>-1</v>
      </c>
      <c r="M18" s="6" t="s">
        <v>59</v>
      </c>
      <c r="N18" s="6" t="s">
        <v>59</v>
      </c>
      <c r="O18" s="6" t="s">
        <v>59</v>
      </c>
      <c r="P18">
        <v>0</v>
      </c>
      <c r="Q18">
        <v>0</v>
      </c>
      <c r="R18">
        <v>0</v>
      </c>
    </row>
    <row r="19" spans="1:18" x14ac:dyDescent="0.25">
      <c r="A19">
        <v>17</v>
      </c>
      <c r="B19" t="s">
        <v>300</v>
      </c>
      <c r="C19">
        <v>9004</v>
      </c>
      <c r="D19" t="s">
        <v>301</v>
      </c>
      <c r="E19" t="s">
        <v>302</v>
      </c>
      <c r="F19" t="s">
        <v>140</v>
      </c>
      <c r="G19" t="s">
        <v>141</v>
      </c>
      <c r="H19">
        <v>0.11119999999999999</v>
      </c>
      <c r="I19">
        <v>170</v>
      </c>
      <c r="J19">
        <v>-1</v>
      </c>
      <c r="K19">
        <v>-1</v>
      </c>
      <c r="L19">
        <v>-1</v>
      </c>
      <c r="M19" s="6" t="s">
        <v>59</v>
      </c>
      <c r="N19" s="6" t="s">
        <v>59</v>
      </c>
      <c r="O19" s="6" t="s">
        <v>59</v>
      </c>
      <c r="P19">
        <v>0</v>
      </c>
      <c r="Q19">
        <v>0</v>
      </c>
      <c r="R19">
        <v>0</v>
      </c>
    </row>
    <row r="20" spans="1:18" x14ac:dyDescent="0.25">
      <c r="A20">
        <v>18</v>
      </c>
      <c r="B20" t="s">
        <v>378</v>
      </c>
      <c r="C20">
        <v>9111</v>
      </c>
      <c r="D20" t="s">
        <v>379</v>
      </c>
      <c r="E20" t="s">
        <v>380</v>
      </c>
      <c r="F20" t="s">
        <v>140</v>
      </c>
      <c r="G20" t="s">
        <v>141</v>
      </c>
      <c r="H20">
        <v>0.5</v>
      </c>
      <c r="I20">
        <v>14</v>
      </c>
      <c r="J20">
        <v>-1</v>
      </c>
      <c r="K20">
        <v>-1</v>
      </c>
      <c r="L20">
        <v>-1</v>
      </c>
      <c r="M20" s="6" t="s">
        <v>59</v>
      </c>
      <c r="N20" s="6" t="s">
        <v>59</v>
      </c>
      <c r="O20" s="6" t="s">
        <v>59</v>
      </c>
      <c r="P20">
        <v>0</v>
      </c>
      <c r="Q20">
        <v>0</v>
      </c>
      <c r="R20">
        <v>0</v>
      </c>
    </row>
    <row r="21" spans="1:18" x14ac:dyDescent="0.25">
      <c r="A21">
        <v>19</v>
      </c>
      <c r="B21" t="s">
        <v>381</v>
      </c>
      <c r="C21">
        <v>9112</v>
      </c>
      <c r="D21" t="s">
        <v>382</v>
      </c>
      <c r="E21" t="s">
        <v>383</v>
      </c>
      <c r="F21" t="s">
        <v>140</v>
      </c>
      <c r="G21" t="s">
        <v>141</v>
      </c>
      <c r="H21">
        <v>0.5</v>
      </c>
      <c r="I21">
        <v>14</v>
      </c>
      <c r="J21">
        <v>-1</v>
      </c>
      <c r="K21">
        <v>-1</v>
      </c>
      <c r="L21">
        <v>-1</v>
      </c>
      <c r="M21" s="6" t="s">
        <v>59</v>
      </c>
      <c r="N21" s="6" t="s">
        <v>59</v>
      </c>
      <c r="O21" s="6" t="s">
        <v>59</v>
      </c>
      <c r="P21">
        <v>0</v>
      </c>
      <c r="Q21">
        <v>0</v>
      </c>
      <c r="R21">
        <v>0</v>
      </c>
    </row>
    <row r="22" spans="1:18" x14ac:dyDescent="0.25">
      <c r="A22">
        <v>20</v>
      </c>
      <c r="B22" t="s">
        <v>384</v>
      </c>
      <c r="C22">
        <v>9113</v>
      </c>
      <c r="D22" t="s">
        <v>385</v>
      </c>
      <c r="E22" t="s">
        <v>386</v>
      </c>
      <c r="F22" t="s">
        <v>140</v>
      </c>
      <c r="G22" t="s">
        <v>141</v>
      </c>
      <c r="H22">
        <v>0.5</v>
      </c>
      <c r="I22">
        <v>14</v>
      </c>
      <c r="J22">
        <v>-1</v>
      </c>
      <c r="K22">
        <v>-1</v>
      </c>
      <c r="L22">
        <v>-1</v>
      </c>
      <c r="M22" s="6" t="s">
        <v>59</v>
      </c>
      <c r="N22" s="6" t="s">
        <v>59</v>
      </c>
      <c r="O22" s="6" t="s">
        <v>59</v>
      </c>
      <c r="P22">
        <v>0</v>
      </c>
      <c r="Q22">
        <v>0</v>
      </c>
      <c r="R22">
        <v>0</v>
      </c>
    </row>
    <row r="23" spans="1:18" x14ac:dyDescent="0.25">
      <c r="A23">
        <v>21</v>
      </c>
      <c r="B23" t="s">
        <v>303</v>
      </c>
      <c r="C23">
        <v>9005</v>
      </c>
      <c r="D23" t="s">
        <v>304</v>
      </c>
      <c r="E23" t="s">
        <v>305</v>
      </c>
      <c r="F23" t="s">
        <v>140</v>
      </c>
      <c r="G23" t="s">
        <v>141</v>
      </c>
      <c r="H23">
        <v>0.11119999999999999</v>
      </c>
      <c r="I23">
        <v>170</v>
      </c>
      <c r="J23">
        <v>-1</v>
      </c>
      <c r="K23">
        <v>-1</v>
      </c>
      <c r="L23">
        <v>-1</v>
      </c>
      <c r="M23" s="6" t="s">
        <v>59</v>
      </c>
      <c r="N23" s="6" t="s">
        <v>59</v>
      </c>
      <c r="O23" s="6" t="s">
        <v>59</v>
      </c>
      <c r="P23">
        <v>0</v>
      </c>
      <c r="Q23">
        <v>0</v>
      </c>
      <c r="R23">
        <v>0</v>
      </c>
    </row>
    <row r="24" spans="1:18" x14ac:dyDescent="0.25">
      <c r="A24">
        <v>22</v>
      </c>
      <c r="B24" t="s">
        <v>306</v>
      </c>
      <c r="C24">
        <v>9006</v>
      </c>
      <c r="D24" t="s">
        <v>307</v>
      </c>
      <c r="E24" t="s">
        <v>308</v>
      </c>
      <c r="F24" t="s">
        <v>140</v>
      </c>
      <c r="G24" t="s">
        <v>141</v>
      </c>
      <c r="H24">
        <v>0.11119999999999999</v>
      </c>
      <c r="I24">
        <v>170</v>
      </c>
      <c r="J24">
        <v>-1</v>
      </c>
      <c r="K24">
        <v>-1</v>
      </c>
      <c r="L24">
        <v>-1</v>
      </c>
      <c r="M24" s="6" t="s">
        <v>59</v>
      </c>
      <c r="N24" s="6" t="s">
        <v>59</v>
      </c>
      <c r="O24" s="6" t="s">
        <v>59</v>
      </c>
      <c r="P24">
        <v>0</v>
      </c>
      <c r="Q24">
        <v>0</v>
      </c>
      <c r="R24">
        <v>0</v>
      </c>
    </row>
    <row r="25" spans="1:18" x14ac:dyDescent="0.25">
      <c r="A25">
        <v>23</v>
      </c>
      <c r="B25" t="s">
        <v>387</v>
      </c>
      <c r="C25">
        <v>9114</v>
      </c>
      <c r="D25" t="s">
        <v>388</v>
      </c>
      <c r="E25" t="s">
        <v>389</v>
      </c>
      <c r="F25" t="s">
        <v>140</v>
      </c>
      <c r="G25" t="s">
        <v>141</v>
      </c>
      <c r="H25">
        <v>0.5</v>
      </c>
      <c r="I25">
        <v>14</v>
      </c>
      <c r="J25">
        <v>-1</v>
      </c>
      <c r="K25">
        <v>-1</v>
      </c>
      <c r="L25">
        <v>-1</v>
      </c>
      <c r="M25" s="6" t="s">
        <v>59</v>
      </c>
      <c r="N25" s="6" t="s">
        <v>59</v>
      </c>
      <c r="O25" s="6" t="s">
        <v>59</v>
      </c>
      <c r="P25">
        <v>0</v>
      </c>
      <c r="Q25">
        <v>0</v>
      </c>
      <c r="R25">
        <v>0</v>
      </c>
    </row>
    <row r="26" spans="1:18" x14ac:dyDescent="0.25">
      <c r="A26">
        <v>24</v>
      </c>
      <c r="B26" t="s">
        <v>309</v>
      </c>
      <c r="C26">
        <v>9007</v>
      </c>
      <c r="D26" t="s">
        <v>310</v>
      </c>
      <c r="E26" t="s">
        <v>311</v>
      </c>
      <c r="F26" t="s">
        <v>140</v>
      </c>
      <c r="G26" t="s">
        <v>141</v>
      </c>
      <c r="H26">
        <v>0.11119999999999999</v>
      </c>
      <c r="I26">
        <v>170</v>
      </c>
      <c r="J26">
        <v>-1</v>
      </c>
      <c r="K26">
        <v>-1</v>
      </c>
      <c r="L26">
        <v>-1</v>
      </c>
      <c r="M26" s="6" t="s">
        <v>59</v>
      </c>
      <c r="N26" s="6" t="s">
        <v>59</v>
      </c>
      <c r="O26" s="6" t="s">
        <v>59</v>
      </c>
      <c r="P26">
        <v>0</v>
      </c>
      <c r="Q26">
        <v>0</v>
      </c>
      <c r="R26">
        <v>0</v>
      </c>
    </row>
    <row r="27" spans="1:18" x14ac:dyDescent="0.25">
      <c r="A27">
        <v>25</v>
      </c>
      <c r="B27" t="s">
        <v>390</v>
      </c>
      <c r="C27">
        <v>9115</v>
      </c>
      <c r="D27" t="s">
        <v>391</v>
      </c>
      <c r="E27" t="s">
        <v>392</v>
      </c>
      <c r="F27" t="s">
        <v>140</v>
      </c>
      <c r="G27" t="s">
        <v>141</v>
      </c>
      <c r="H27">
        <v>0.5</v>
      </c>
      <c r="I27">
        <v>14</v>
      </c>
      <c r="J27">
        <v>-1</v>
      </c>
      <c r="K27">
        <v>-1</v>
      </c>
      <c r="L27">
        <v>-1</v>
      </c>
      <c r="M27" s="6" t="s">
        <v>59</v>
      </c>
      <c r="N27" s="6" t="s">
        <v>59</v>
      </c>
      <c r="O27" s="6" t="s">
        <v>59</v>
      </c>
      <c r="P27">
        <v>0</v>
      </c>
      <c r="Q27">
        <v>0</v>
      </c>
      <c r="R27">
        <v>0</v>
      </c>
    </row>
    <row r="28" spans="1:18" x14ac:dyDescent="0.25">
      <c r="A28">
        <v>26</v>
      </c>
      <c r="B28" t="s">
        <v>393</v>
      </c>
      <c r="C28">
        <v>9116</v>
      </c>
      <c r="D28" t="s">
        <v>394</v>
      </c>
      <c r="E28" t="s">
        <v>395</v>
      </c>
      <c r="F28" t="s">
        <v>140</v>
      </c>
      <c r="G28" t="s">
        <v>141</v>
      </c>
      <c r="H28">
        <v>0.5</v>
      </c>
      <c r="I28">
        <v>14</v>
      </c>
      <c r="J28">
        <v>-1</v>
      </c>
      <c r="K28">
        <v>-1</v>
      </c>
      <c r="L28">
        <v>-1</v>
      </c>
      <c r="M28" s="6" t="s">
        <v>59</v>
      </c>
      <c r="N28" s="6" t="s">
        <v>59</v>
      </c>
      <c r="O28" s="6" t="s">
        <v>59</v>
      </c>
      <c r="P28">
        <v>0</v>
      </c>
      <c r="Q28">
        <v>0</v>
      </c>
      <c r="R28">
        <v>0</v>
      </c>
    </row>
    <row r="29" spans="1:18" x14ac:dyDescent="0.25">
      <c r="A29">
        <v>27</v>
      </c>
      <c r="B29" t="s">
        <v>312</v>
      </c>
      <c r="C29">
        <v>9008</v>
      </c>
      <c r="D29" t="s">
        <v>313</v>
      </c>
      <c r="E29" t="s">
        <v>314</v>
      </c>
      <c r="F29" t="s">
        <v>140</v>
      </c>
      <c r="G29" t="s">
        <v>141</v>
      </c>
      <c r="H29">
        <v>0.11119999999999999</v>
      </c>
      <c r="I29">
        <v>170</v>
      </c>
      <c r="J29">
        <v>-1</v>
      </c>
      <c r="K29">
        <v>-1</v>
      </c>
      <c r="L29">
        <v>-1</v>
      </c>
      <c r="M29" s="6" t="s">
        <v>59</v>
      </c>
      <c r="N29" s="6" t="s">
        <v>59</v>
      </c>
      <c r="O29" s="6" t="s">
        <v>59</v>
      </c>
      <c r="P29">
        <v>0</v>
      </c>
      <c r="Q29">
        <v>0</v>
      </c>
      <c r="R29">
        <v>0</v>
      </c>
    </row>
    <row r="30" spans="1:18" x14ac:dyDescent="0.25">
      <c r="A30">
        <v>28</v>
      </c>
      <c r="B30" t="s">
        <v>315</v>
      </c>
      <c r="C30">
        <v>9009</v>
      </c>
      <c r="D30" t="s">
        <v>316</v>
      </c>
      <c r="E30" t="s">
        <v>317</v>
      </c>
      <c r="F30" t="s">
        <v>140</v>
      </c>
      <c r="G30" t="s">
        <v>141</v>
      </c>
      <c r="H30">
        <v>0.11119999999999999</v>
      </c>
      <c r="I30">
        <v>170</v>
      </c>
      <c r="J30">
        <v>-1</v>
      </c>
      <c r="K30">
        <v>-1</v>
      </c>
      <c r="L30">
        <v>-1</v>
      </c>
      <c r="M30" s="6" t="s">
        <v>59</v>
      </c>
      <c r="N30" s="6" t="s">
        <v>59</v>
      </c>
      <c r="O30" s="6" t="s">
        <v>59</v>
      </c>
      <c r="P30">
        <v>0</v>
      </c>
      <c r="Q30">
        <v>0</v>
      </c>
      <c r="R30">
        <v>0</v>
      </c>
    </row>
    <row r="31" spans="1:18" x14ac:dyDescent="0.25">
      <c r="A31">
        <v>29</v>
      </c>
      <c r="B31" t="s">
        <v>318</v>
      </c>
      <c r="C31">
        <v>9010</v>
      </c>
      <c r="D31" t="s">
        <v>319</v>
      </c>
      <c r="E31" t="s">
        <v>320</v>
      </c>
      <c r="F31" t="s">
        <v>140</v>
      </c>
      <c r="G31" t="s">
        <v>141</v>
      </c>
      <c r="H31">
        <v>0.11119999999999999</v>
      </c>
      <c r="I31">
        <v>170</v>
      </c>
      <c r="J31">
        <v>-1</v>
      </c>
      <c r="K31">
        <v>-1</v>
      </c>
      <c r="L31">
        <v>-1</v>
      </c>
      <c r="M31" s="6" t="s">
        <v>59</v>
      </c>
      <c r="N31" s="6" t="s">
        <v>59</v>
      </c>
      <c r="O31" s="6" t="s">
        <v>59</v>
      </c>
      <c r="P31">
        <v>0</v>
      </c>
      <c r="Q31">
        <v>0</v>
      </c>
      <c r="R31">
        <v>0</v>
      </c>
    </row>
    <row r="32" spans="1:18" x14ac:dyDescent="0.25">
      <c r="A32">
        <v>30</v>
      </c>
      <c r="B32" t="s">
        <v>366</v>
      </c>
      <c r="C32">
        <v>9107</v>
      </c>
      <c r="D32" t="s">
        <v>367</v>
      </c>
      <c r="E32" t="s">
        <v>368</v>
      </c>
      <c r="F32" t="s">
        <v>140</v>
      </c>
      <c r="G32" t="s">
        <v>141</v>
      </c>
      <c r="H32">
        <v>0.5</v>
      </c>
      <c r="I32">
        <v>14</v>
      </c>
      <c r="J32">
        <v>-1</v>
      </c>
      <c r="K32">
        <v>-1</v>
      </c>
      <c r="L32">
        <v>-1</v>
      </c>
      <c r="M32" s="6" t="s">
        <v>59</v>
      </c>
      <c r="N32" s="6" t="s">
        <v>59</v>
      </c>
      <c r="O32" s="6" t="s">
        <v>59</v>
      </c>
      <c r="P32">
        <v>0</v>
      </c>
      <c r="Q32">
        <v>0</v>
      </c>
      <c r="R32">
        <v>0</v>
      </c>
    </row>
    <row r="33" spans="1:18" x14ac:dyDescent="0.25">
      <c r="A33">
        <v>31</v>
      </c>
      <c r="B33" t="s">
        <v>321</v>
      </c>
      <c r="C33">
        <v>9011</v>
      </c>
      <c r="D33" t="s">
        <v>322</v>
      </c>
      <c r="E33" t="s">
        <v>323</v>
      </c>
      <c r="F33" t="s">
        <v>140</v>
      </c>
      <c r="G33" t="s">
        <v>141</v>
      </c>
      <c r="H33">
        <v>0.11119999999999999</v>
      </c>
      <c r="I33">
        <v>170</v>
      </c>
      <c r="J33">
        <v>-1</v>
      </c>
      <c r="K33">
        <v>-1</v>
      </c>
      <c r="L33">
        <v>-1</v>
      </c>
      <c r="M33" s="6" t="s">
        <v>59</v>
      </c>
      <c r="N33" s="6" t="s">
        <v>59</v>
      </c>
      <c r="O33" s="6" t="s">
        <v>59</v>
      </c>
      <c r="P33">
        <v>0</v>
      </c>
      <c r="Q33">
        <v>0</v>
      </c>
      <c r="R33">
        <v>0</v>
      </c>
    </row>
    <row r="34" spans="1:18" x14ac:dyDescent="0.25">
      <c r="A34">
        <v>32</v>
      </c>
      <c r="B34" t="s">
        <v>396</v>
      </c>
      <c r="C34">
        <v>9117</v>
      </c>
      <c r="D34" t="s">
        <v>397</v>
      </c>
      <c r="E34" t="s">
        <v>398</v>
      </c>
      <c r="F34" t="s">
        <v>140</v>
      </c>
      <c r="G34" t="s">
        <v>141</v>
      </c>
      <c r="H34">
        <v>0.5</v>
      </c>
      <c r="I34">
        <v>14</v>
      </c>
      <c r="J34">
        <v>-1</v>
      </c>
      <c r="K34">
        <v>-1</v>
      </c>
      <c r="L34">
        <v>-1</v>
      </c>
      <c r="M34" s="6" t="s">
        <v>59</v>
      </c>
      <c r="N34" s="6" t="s">
        <v>59</v>
      </c>
      <c r="O34" s="6" t="s">
        <v>59</v>
      </c>
      <c r="P34">
        <v>0</v>
      </c>
      <c r="Q34">
        <v>0</v>
      </c>
      <c r="R34">
        <v>0</v>
      </c>
    </row>
    <row r="35" spans="1:18" x14ac:dyDescent="0.25">
      <c r="A35">
        <v>33</v>
      </c>
      <c r="B35" t="s">
        <v>399</v>
      </c>
      <c r="C35">
        <v>9118</v>
      </c>
      <c r="D35" t="s">
        <v>400</v>
      </c>
      <c r="E35" t="s">
        <v>401</v>
      </c>
      <c r="F35" t="s">
        <v>140</v>
      </c>
      <c r="G35" t="s">
        <v>141</v>
      </c>
      <c r="H35">
        <v>0.5</v>
      </c>
      <c r="I35">
        <v>14</v>
      </c>
      <c r="J35">
        <v>-1</v>
      </c>
      <c r="K35">
        <v>-1</v>
      </c>
      <c r="L35">
        <v>-1</v>
      </c>
      <c r="M35" s="6" t="s">
        <v>59</v>
      </c>
      <c r="N35" s="6" t="s">
        <v>59</v>
      </c>
      <c r="O35" s="6" t="s">
        <v>59</v>
      </c>
      <c r="P35">
        <v>0</v>
      </c>
      <c r="Q35">
        <v>0</v>
      </c>
      <c r="R35">
        <v>0</v>
      </c>
    </row>
    <row r="36" spans="1:18" x14ac:dyDescent="0.25">
      <c r="A36">
        <v>34</v>
      </c>
      <c r="B36" t="s">
        <v>164</v>
      </c>
      <c r="C36">
        <v>17</v>
      </c>
      <c r="D36" t="s">
        <v>165</v>
      </c>
      <c r="E36" t="s">
        <v>166</v>
      </c>
      <c r="F36" t="s">
        <v>167</v>
      </c>
      <c r="G36" t="s">
        <v>168</v>
      </c>
      <c r="H36">
        <v>1E-3</v>
      </c>
      <c r="I36">
        <v>999</v>
      </c>
      <c r="J36">
        <v>5</v>
      </c>
      <c r="K36">
        <v>1</v>
      </c>
      <c r="L36">
        <v>120</v>
      </c>
      <c r="M36" s="6" t="s">
        <v>59</v>
      </c>
      <c r="N36" s="6" t="s">
        <v>59</v>
      </c>
      <c r="O36" s="6" t="s">
        <v>59</v>
      </c>
      <c r="P36">
        <v>0</v>
      </c>
      <c r="Q36">
        <v>0</v>
      </c>
      <c r="R36">
        <v>0</v>
      </c>
    </row>
    <row r="37" spans="1:18" x14ac:dyDescent="0.25">
      <c r="A37">
        <v>35</v>
      </c>
      <c r="B37" t="s">
        <v>450</v>
      </c>
      <c r="C37">
        <v>10001</v>
      </c>
      <c r="D37" t="s">
        <v>451</v>
      </c>
      <c r="E37" t="s">
        <v>452</v>
      </c>
      <c r="F37" t="s">
        <v>140</v>
      </c>
      <c r="G37" t="s">
        <v>141</v>
      </c>
      <c r="H37">
        <v>4.546E-2</v>
      </c>
      <c r="I37">
        <v>999</v>
      </c>
      <c r="J37">
        <v>-1</v>
      </c>
      <c r="K37">
        <v>-1</v>
      </c>
      <c r="L37">
        <v>-1</v>
      </c>
      <c r="M37" s="6" t="s">
        <v>59</v>
      </c>
      <c r="N37" s="6" t="s">
        <v>59</v>
      </c>
      <c r="O37" s="6" t="s">
        <v>59</v>
      </c>
      <c r="P37">
        <v>0</v>
      </c>
      <c r="Q37">
        <v>0</v>
      </c>
      <c r="R37">
        <v>0</v>
      </c>
    </row>
    <row r="38" spans="1:18" x14ac:dyDescent="0.25">
      <c r="A38">
        <v>36</v>
      </c>
      <c r="B38" t="s">
        <v>405</v>
      </c>
      <c r="C38">
        <v>9120</v>
      </c>
      <c r="D38" t="s">
        <v>406</v>
      </c>
      <c r="E38" t="s">
        <v>407</v>
      </c>
      <c r="F38" t="s">
        <v>113</v>
      </c>
      <c r="G38" t="s">
        <v>114</v>
      </c>
      <c r="H38">
        <v>0.11119999999999999</v>
      </c>
      <c r="I38">
        <v>170</v>
      </c>
      <c r="J38">
        <v>240</v>
      </c>
      <c r="K38">
        <v>9</v>
      </c>
      <c r="L38">
        <v>64800</v>
      </c>
      <c r="M38" s="6" t="s">
        <v>59</v>
      </c>
      <c r="N38" s="6" t="s">
        <v>59</v>
      </c>
      <c r="O38" s="6" t="s">
        <v>59</v>
      </c>
      <c r="P38">
        <v>0</v>
      </c>
      <c r="Q38">
        <v>0</v>
      </c>
      <c r="R38">
        <v>0</v>
      </c>
    </row>
    <row r="39" spans="1:18" x14ac:dyDescent="0.25">
      <c r="A39">
        <v>37</v>
      </c>
      <c r="B39" t="s">
        <v>673</v>
      </c>
      <c r="C39">
        <v>80000</v>
      </c>
      <c r="D39" t="s">
        <v>674</v>
      </c>
      <c r="E39" t="s">
        <v>675</v>
      </c>
      <c r="F39" t="s">
        <v>92</v>
      </c>
      <c r="G39" t="s">
        <v>93</v>
      </c>
      <c r="H39">
        <v>1.8870000000000001E-2</v>
      </c>
      <c r="I39">
        <v>999</v>
      </c>
      <c r="J39">
        <v>45</v>
      </c>
      <c r="K39">
        <v>4</v>
      </c>
      <c r="L39">
        <v>7200</v>
      </c>
      <c r="M39" s="6" t="s">
        <v>59</v>
      </c>
      <c r="N39" s="6" t="s">
        <v>59</v>
      </c>
      <c r="O39" s="6" t="s">
        <v>59</v>
      </c>
      <c r="P39">
        <v>0</v>
      </c>
      <c r="Q39">
        <v>0</v>
      </c>
      <c r="R39">
        <v>0</v>
      </c>
    </row>
    <row r="40" spans="1:18" x14ac:dyDescent="0.25">
      <c r="A40">
        <v>38</v>
      </c>
      <c r="B40" t="s">
        <v>676</v>
      </c>
      <c r="C40">
        <v>80001</v>
      </c>
      <c r="D40" t="s">
        <v>677</v>
      </c>
      <c r="E40" t="s">
        <v>678</v>
      </c>
      <c r="F40" t="s">
        <v>92</v>
      </c>
      <c r="G40" t="s">
        <v>93</v>
      </c>
      <c r="H40">
        <v>4.8799999999999998E-3</v>
      </c>
      <c r="I40">
        <v>999</v>
      </c>
      <c r="J40">
        <v>245</v>
      </c>
      <c r="K40">
        <v>6</v>
      </c>
      <c r="L40">
        <v>43200</v>
      </c>
      <c r="M40" s="6" t="s">
        <v>59</v>
      </c>
      <c r="N40" s="6" t="s">
        <v>59</v>
      </c>
      <c r="O40" s="6" t="s">
        <v>59</v>
      </c>
      <c r="P40">
        <v>0</v>
      </c>
      <c r="Q40">
        <v>0</v>
      </c>
      <c r="R40">
        <v>0</v>
      </c>
    </row>
    <row r="41" spans="1:18" x14ac:dyDescent="0.25">
      <c r="A41">
        <v>39</v>
      </c>
      <c r="B41" t="s">
        <v>679</v>
      </c>
      <c r="C41">
        <v>80002</v>
      </c>
      <c r="D41" t="s">
        <v>680</v>
      </c>
      <c r="E41" t="s">
        <v>681</v>
      </c>
      <c r="F41" t="s">
        <v>92</v>
      </c>
      <c r="G41" t="s">
        <v>93</v>
      </c>
      <c r="H41">
        <v>2.3400000000000001E-3</v>
      </c>
      <c r="I41">
        <v>999</v>
      </c>
      <c r="J41">
        <v>250</v>
      </c>
      <c r="K41">
        <v>10</v>
      </c>
      <c r="L41">
        <v>86400</v>
      </c>
      <c r="M41" s="6" t="s">
        <v>59</v>
      </c>
      <c r="N41" s="6" t="s">
        <v>59</v>
      </c>
      <c r="O41" s="6" t="s">
        <v>59</v>
      </c>
      <c r="P41">
        <v>0</v>
      </c>
      <c r="Q41">
        <v>0</v>
      </c>
      <c r="R41">
        <v>0</v>
      </c>
    </row>
    <row r="42" spans="1:18" x14ac:dyDescent="0.25">
      <c r="A42">
        <v>40</v>
      </c>
      <c r="B42" t="s">
        <v>682</v>
      </c>
      <c r="C42">
        <v>80003</v>
      </c>
      <c r="D42" t="s">
        <v>683</v>
      </c>
      <c r="E42" t="s">
        <v>684</v>
      </c>
      <c r="F42" t="s">
        <v>92</v>
      </c>
      <c r="G42" t="s">
        <v>93</v>
      </c>
      <c r="H42">
        <v>1.137E-2</v>
      </c>
      <c r="I42">
        <v>999</v>
      </c>
      <c r="J42">
        <v>-1</v>
      </c>
      <c r="K42">
        <v>-1</v>
      </c>
      <c r="L42">
        <v>-1</v>
      </c>
      <c r="M42" s="6" t="s">
        <v>59</v>
      </c>
      <c r="N42" s="6" t="s">
        <v>59</v>
      </c>
      <c r="O42" s="6" t="s">
        <v>59</v>
      </c>
      <c r="P42">
        <v>0</v>
      </c>
      <c r="Q42">
        <v>0</v>
      </c>
      <c r="R42">
        <v>0</v>
      </c>
    </row>
    <row r="43" spans="1:18" x14ac:dyDescent="0.25">
      <c r="A43">
        <v>41</v>
      </c>
      <c r="B43" t="s">
        <v>685</v>
      </c>
      <c r="C43">
        <v>80004</v>
      </c>
      <c r="D43" t="s">
        <v>686</v>
      </c>
      <c r="E43" t="s">
        <v>687</v>
      </c>
      <c r="F43" t="s">
        <v>92</v>
      </c>
      <c r="G43" t="s">
        <v>93</v>
      </c>
      <c r="H43">
        <v>1.5389999999999999E-2</v>
      </c>
      <c r="I43">
        <v>999</v>
      </c>
      <c r="J43">
        <v>121</v>
      </c>
      <c r="K43">
        <v>5</v>
      </c>
      <c r="L43">
        <v>21600</v>
      </c>
      <c r="M43" s="6" t="s">
        <v>59</v>
      </c>
      <c r="N43" s="6" t="s">
        <v>59</v>
      </c>
      <c r="O43" s="6" t="s">
        <v>59</v>
      </c>
      <c r="P43">
        <v>0</v>
      </c>
      <c r="Q43">
        <v>0</v>
      </c>
      <c r="R43">
        <v>0</v>
      </c>
    </row>
    <row r="44" spans="1:18" x14ac:dyDescent="0.25">
      <c r="A44">
        <v>42</v>
      </c>
      <c r="B44" t="s">
        <v>688</v>
      </c>
      <c r="C44">
        <v>80005</v>
      </c>
      <c r="D44" t="s">
        <v>689</v>
      </c>
      <c r="E44" t="s">
        <v>690</v>
      </c>
      <c r="F44" t="s">
        <v>92</v>
      </c>
      <c r="G44" t="s">
        <v>93</v>
      </c>
      <c r="H44">
        <v>4.3899999999999998E-3</v>
      </c>
      <c r="I44">
        <v>999</v>
      </c>
      <c r="J44">
        <v>35</v>
      </c>
      <c r="K44">
        <v>5</v>
      </c>
      <c r="L44">
        <v>86400</v>
      </c>
      <c r="M44" s="6" t="s">
        <v>59</v>
      </c>
      <c r="N44" s="6" t="s">
        <v>59</v>
      </c>
      <c r="O44" s="6" t="s">
        <v>59</v>
      </c>
      <c r="P44">
        <v>0</v>
      </c>
      <c r="Q44">
        <v>0</v>
      </c>
      <c r="R44">
        <v>0</v>
      </c>
    </row>
    <row r="45" spans="1:18" x14ac:dyDescent="0.25">
      <c r="A45">
        <v>43</v>
      </c>
      <c r="B45" t="s">
        <v>48</v>
      </c>
      <c r="C45">
        <v>80006</v>
      </c>
      <c r="D45" t="s">
        <v>691</v>
      </c>
      <c r="E45" t="s">
        <v>692</v>
      </c>
      <c r="F45" t="s">
        <v>92</v>
      </c>
      <c r="G45" t="s">
        <v>93</v>
      </c>
      <c r="H45">
        <v>4.3299999999999996E-3</v>
      </c>
      <c r="I45">
        <v>999</v>
      </c>
      <c r="J45">
        <v>124</v>
      </c>
      <c r="K45">
        <v>6</v>
      </c>
      <c r="L45">
        <v>43200</v>
      </c>
      <c r="M45" s="6" t="s">
        <v>59</v>
      </c>
      <c r="N45" s="6" t="s">
        <v>59</v>
      </c>
      <c r="O45" s="6" t="s">
        <v>59</v>
      </c>
      <c r="P45">
        <v>0</v>
      </c>
      <c r="Q45">
        <v>0</v>
      </c>
      <c r="R45">
        <v>0</v>
      </c>
    </row>
    <row r="46" spans="1:18" x14ac:dyDescent="0.25">
      <c r="A46">
        <v>44</v>
      </c>
      <c r="B46" t="s">
        <v>693</v>
      </c>
      <c r="C46">
        <v>80007</v>
      </c>
      <c r="D46" t="s">
        <v>694</v>
      </c>
      <c r="E46" t="s">
        <v>695</v>
      </c>
      <c r="F46" t="s">
        <v>92</v>
      </c>
      <c r="G46" t="s">
        <v>93</v>
      </c>
      <c r="H46">
        <v>3.125E-2</v>
      </c>
      <c r="I46">
        <v>999</v>
      </c>
      <c r="J46">
        <v>-1</v>
      </c>
      <c r="K46">
        <v>-1</v>
      </c>
      <c r="L46">
        <v>-1</v>
      </c>
      <c r="M46" s="6" t="s">
        <v>59</v>
      </c>
      <c r="N46" s="6" t="s">
        <v>59</v>
      </c>
      <c r="O46" s="6" t="s">
        <v>59</v>
      </c>
      <c r="P46">
        <v>0</v>
      </c>
      <c r="Q46">
        <v>0</v>
      </c>
      <c r="R46">
        <v>0</v>
      </c>
    </row>
    <row r="47" spans="1:18" x14ac:dyDescent="0.25">
      <c r="A47">
        <v>45</v>
      </c>
      <c r="B47" t="s">
        <v>696</v>
      </c>
      <c r="C47">
        <v>80008</v>
      </c>
      <c r="D47" t="s">
        <v>697</v>
      </c>
      <c r="E47" t="s">
        <v>698</v>
      </c>
      <c r="F47" t="s">
        <v>92</v>
      </c>
      <c r="G47" t="s">
        <v>93</v>
      </c>
      <c r="H47">
        <v>2.0300000000000001E-3</v>
      </c>
      <c r="I47">
        <v>999</v>
      </c>
      <c r="J47">
        <v>62</v>
      </c>
      <c r="K47">
        <v>5</v>
      </c>
      <c r="L47">
        <v>86400</v>
      </c>
      <c r="M47" s="6" t="s">
        <v>59</v>
      </c>
      <c r="N47" s="6" t="s">
        <v>59</v>
      </c>
      <c r="O47" s="6" t="s">
        <v>59</v>
      </c>
      <c r="P47">
        <v>0</v>
      </c>
      <c r="Q47">
        <v>0</v>
      </c>
      <c r="R47">
        <v>0</v>
      </c>
    </row>
    <row r="48" spans="1:18" x14ac:dyDescent="0.25">
      <c r="A48">
        <v>46</v>
      </c>
      <c r="B48" t="s">
        <v>699</v>
      </c>
      <c r="C48">
        <v>80009</v>
      </c>
      <c r="D48" t="s">
        <v>700</v>
      </c>
      <c r="E48" t="s">
        <v>701</v>
      </c>
      <c r="F48" t="s">
        <v>92</v>
      </c>
      <c r="G48" t="s">
        <v>93</v>
      </c>
      <c r="H48">
        <v>5.2100000000000002E-3</v>
      </c>
      <c r="I48">
        <v>999</v>
      </c>
      <c r="J48">
        <v>70</v>
      </c>
      <c r="K48">
        <v>6</v>
      </c>
      <c r="L48">
        <v>86400</v>
      </c>
      <c r="M48" s="6" t="s">
        <v>59</v>
      </c>
      <c r="N48" s="6" t="s">
        <v>59</v>
      </c>
      <c r="O48" s="6" t="s">
        <v>59</v>
      </c>
      <c r="P48">
        <v>0</v>
      </c>
      <c r="Q48">
        <v>0</v>
      </c>
      <c r="R48">
        <v>0</v>
      </c>
    </row>
    <row r="49" spans="1:18" x14ac:dyDescent="0.25">
      <c r="A49">
        <v>47</v>
      </c>
      <c r="B49" t="s">
        <v>702</v>
      </c>
      <c r="C49">
        <v>80010</v>
      </c>
      <c r="D49" t="s">
        <v>703</v>
      </c>
      <c r="E49" t="s">
        <v>704</v>
      </c>
      <c r="F49" t="s">
        <v>92</v>
      </c>
      <c r="G49" t="s">
        <v>93</v>
      </c>
      <c r="H49">
        <v>2.63E-3</v>
      </c>
      <c r="I49">
        <v>999</v>
      </c>
      <c r="J49">
        <v>175</v>
      </c>
      <c r="K49">
        <v>8</v>
      </c>
      <c r="L49">
        <v>43200</v>
      </c>
      <c r="M49" s="6" t="s">
        <v>59</v>
      </c>
      <c r="N49" s="6" t="s">
        <v>59</v>
      </c>
      <c r="O49" s="6" t="s">
        <v>59</v>
      </c>
      <c r="P49">
        <v>0</v>
      </c>
      <c r="Q49">
        <v>0</v>
      </c>
      <c r="R49">
        <v>0</v>
      </c>
    </row>
    <row r="50" spans="1:18" x14ac:dyDescent="0.25">
      <c r="A50">
        <v>48</v>
      </c>
      <c r="B50" t="s">
        <v>705</v>
      </c>
      <c r="C50">
        <v>80011</v>
      </c>
      <c r="D50" t="s">
        <v>706</v>
      </c>
      <c r="E50" t="s">
        <v>707</v>
      </c>
      <c r="F50" t="s">
        <v>92</v>
      </c>
      <c r="G50" t="s">
        <v>93</v>
      </c>
      <c r="H50">
        <v>5.7200000000000003E-3</v>
      </c>
      <c r="I50">
        <v>999</v>
      </c>
      <c r="J50">
        <v>305</v>
      </c>
      <c r="K50">
        <v>10</v>
      </c>
      <c r="L50">
        <v>86400</v>
      </c>
      <c r="M50" s="6" t="s">
        <v>59</v>
      </c>
      <c r="N50" s="6" t="s">
        <v>59</v>
      </c>
      <c r="O50" s="6" t="s">
        <v>59</v>
      </c>
      <c r="P50">
        <v>0</v>
      </c>
      <c r="Q50">
        <v>0</v>
      </c>
      <c r="R50">
        <v>0</v>
      </c>
    </row>
    <row r="51" spans="1:18" x14ac:dyDescent="0.25">
      <c r="A51">
        <v>49</v>
      </c>
      <c r="B51" t="s">
        <v>708</v>
      </c>
      <c r="C51">
        <v>80012</v>
      </c>
      <c r="D51" t="s">
        <v>709</v>
      </c>
      <c r="E51" t="s">
        <v>710</v>
      </c>
      <c r="F51" t="s">
        <v>92</v>
      </c>
      <c r="G51" t="s">
        <v>93</v>
      </c>
      <c r="H51">
        <v>9.6200000000000001E-3</v>
      </c>
      <c r="I51">
        <v>999</v>
      </c>
      <c r="J51">
        <v>320</v>
      </c>
      <c r="K51">
        <v>8</v>
      </c>
      <c r="L51">
        <v>86400</v>
      </c>
      <c r="M51" s="6" t="s">
        <v>59</v>
      </c>
      <c r="N51" s="6" t="s">
        <v>59</v>
      </c>
      <c r="O51" s="6" t="s">
        <v>59</v>
      </c>
      <c r="P51">
        <v>0</v>
      </c>
      <c r="Q51">
        <v>0</v>
      </c>
      <c r="R51">
        <v>0</v>
      </c>
    </row>
    <row r="52" spans="1:18" x14ac:dyDescent="0.25">
      <c r="A52">
        <v>50</v>
      </c>
      <c r="B52" t="s">
        <v>711</v>
      </c>
      <c r="C52">
        <v>80013</v>
      </c>
      <c r="D52" t="s">
        <v>712</v>
      </c>
      <c r="E52" t="s">
        <v>713</v>
      </c>
      <c r="F52" t="s">
        <v>92</v>
      </c>
      <c r="G52" t="s">
        <v>93</v>
      </c>
      <c r="H52">
        <v>6.1799999999999997E-3</v>
      </c>
      <c r="I52">
        <v>999</v>
      </c>
      <c r="J52">
        <v>134</v>
      </c>
      <c r="K52">
        <v>6</v>
      </c>
      <c r="L52">
        <v>86400</v>
      </c>
      <c r="M52" s="6" t="s">
        <v>59</v>
      </c>
      <c r="N52" s="6" t="s">
        <v>59</v>
      </c>
      <c r="O52" s="6" t="s">
        <v>59</v>
      </c>
      <c r="P52">
        <v>0</v>
      </c>
      <c r="Q52">
        <v>0</v>
      </c>
      <c r="R52">
        <v>0</v>
      </c>
    </row>
    <row r="53" spans="1:18" x14ac:dyDescent="0.25">
      <c r="A53">
        <v>51</v>
      </c>
      <c r="B53" t="s">
        <v>714</v>
      </c>
      <c r="C53">
        <v>80014</v>
      </c>
      <c r="D53" t="s">
        <v>715</v>
      </c>
      <c r="E53" t="s">
        <v>716</v>
      </c>
      <c r="F53" t="s">
        <v>92</v>
      </c>
      <c r="G53" t="s">
        <v>93</v>
      </c>
      <c r="H53">
        <v>1.3339999999999999E-2</v>
      </c>
      <c r="I53">
        <v>999</v>
      </c>
      <c r="J53">
        <v>340</v>
      </c>
      <c r="K53">
        <v>10</v>
      </c>
      <c r="L53">
        <v>21600</v>
      </c>
      <c r="M53" s="6" t="s">
        <v>59</v>
      </c>
      <c r="N53" s="6" t="s">
        <v>59</v>
      </c>
      <c r="O53" s="6" t="s">
        <v>59</v>
      </c>
      <c r="P53">
        <v>0</v>
      </c>
      <c r="Q53">
        <v>0</v>
      </c>
      <c r="R53">
        <v>0</v>
      </c>
    </row>
    <row r="54" spans="1:18" x14ac:dyDescent="0.25">
      <c r="A54">
        <v>52</v>
      </c>
      <c r="B54" t="s">
        <v>717</v>
      </c>
      <c r="C54">
        <v>80015</v>
      </c>
      <c r="D54" t="s">
        <v>718</v>
      </c>
      <c r="E54" t="s">
        <v>719</v>
      </c>
      <c r="F54" t="s">
        <v>92</v>
      </c>
      <c r="G54" t="s">
        <v>93</v>
      </c>
      <c r="H54">
        <v>7.6929999999999998E-2</v>
      </c>
      <c r="I54">
        <v>999</v>
      </c>
      <c r="J54">
        <v>-1</v>
      </c>
      <c r="K54">
        <v>-1</v>
      </c>
      <c r="L54">
        <v>-1</v>
      </c>
      <c r="M54" s="6" t="s">
        <v>59</v>
      </c>
      <c r="N54" s="6" t="s">
        <v>59</v>
      </c>
      <c r="O54" s="6" t="s">
        <v>59</v>
      </c>
      <c r="P54">
        <v>0</v>
      </c>
      <c r="Q54">
        <v>0</v>
      </c>
      <c r="R54">
        <v>0</v>
      </c>
    </row>
    <row r="55" spans="1:18" x14ac:dyDescent="0.25">
      <c r="A55">
        <v>53</v>
      </c>
      <c r="B55" t="s">
        <v>720</v>
      </c>
      <c r="C55">
        <v>80016</v>
      </c>
      <c r="D55" t="s">
        <v>721</v>
      </c>
      <c r="E55" t="s">
        <v>722</v>
      </c>
      <c r="F55" t="s">
        <v>92</v>
      </c>
      <c r="G55" t="s">
        <v>93</v>
      </c>
      <c r="H55">
        <v>1.4499999999999999E-3</v>
      </c>
      <c r="I55">
        <v>999</v>
      </c>
      <c r="J55">
        <v>210</v>
      </c>
      <c r="K55">
        <v>8</v>
      </c>
      <c r="L55">
        <v>21600</v>
      </c>
      <c r="M55" s="6" t="s">
        <v>59</v>
      </c>
      <c r="N55" s="6" t="s">
        <v>59</v>
      </c>
      <c r="O55" s="6" t="s">
        <v>59</v>
      </c>
      <c r="P55">
        <v>0</v>
      </c>
      <c r="Q55">
        <v>0</v>
      </c>
      <c r="R55">
        <v>0</v>
      </c>
    </row>
    <row r="56" spans="1:18" x14ac:dyDescent="0.25">
      <c r="A56">
        <v>54</v>
      </c>
      <c r="B56" t="s">
        <v>447</v>
      </c>
      <c r="C56">
        <v>10000</v>
      </c>
      <c r="D56" t="s">
        <v>448</v>
      </c>
      <c r="E56" t="s">
        <v>449</v>
      </c>
      <c r="F56" t="s">
        <v>140</v>
      </c>
      <c r="G56" t="s">
        <v>141</v>
      </c>
      <c r="H56">
        <v>0.112</v>
      </c>
      <c r="I56">
        <v>999</v>
      </c>
      <c r="J56">
        <v>-1</v>
      </c>
      <c r="K56">
        <v>-1</v>
      </c>
      <c r="L56">
        <v>-1</v>
      </c>
      <c r="M56" s="6" t="s">
        <v>59</v>
      </c>
      <c r="N56" s="6" t="s">
        <v>59</v>
      </c>
      <c r="O56" s="6" t="s">
        <v>59</v>
      </c>
      <c r="P56">
        <v>0</v>
      </c>
      <c r="Q56">
        <v>0</v>
      </c>
      <c r="R56">
        <v>0</v>
      </c>
    </row>
    <row r="57" spans="1:18" x14ac:dyDescent="0.25">
      <c r="A57">
        <v>55</v>
      </c>
      <c r="B57" t="s">
        <v>203</v>
      </c>
      <c r="C57">
        <v>28</v>
      </c>
      <c r="D57" t="s">
        <v>204</v>
      </c>
      <c r="E57" t="s">
        <v>205</v>
      </c>
      <c r="F57" t="s">
        <v>195</v>
      </c>
      <c r="G57" t="s">
        <v>196</v>
      </c>
      <c r="H57">
        <v>9.2599999999999991E-3</v>
      </c>
      <c r="I57">
        <v>80</v>
      </c>
      <c r="J57">
        <v>374</v>
      </c>
      <c r="K57">
        <v>10</v>
      </c>
      <c r="L57">
        <v>28800</v>
      </c>
      <c r="M57" s="6" t="s">
        <v>59</v>
      </c>
      <c r="N57" s="6" t="s">
        <v>59</v>
      </c>
      <c r="O57" s="6" t="s">
        <v>59</v>
      </c>
      <c r="P57">
        <v>0</v>
      </c>
      <c r="Q57">
        <v>0</v>
      </c>
      <c r="R57">
        <v>0</v>
      </c>
    </row>
    <row r="58" spans="1:18" x14ac:dyDescent="0.25">
      <c r="A58">
        <v>56</v>
      </c>
      <c r="B58" t="s">
        <v>474</v>
      </c>
      <c r="C58">
        <v>10009</v>
      </c>
      <c r="D58" t="s">
        <v>475</v>
      </c>
      <c r="E58" t="s">
        <v>476</v>
      </c>
      <c r="F58" t="s">
        <v>140</v>
      </c>
      <c r="G58" t="s">
        <v>141</v>
      </c>
      <c r="H58">
        <v>0.11112</v>
      </c>
      <c r="I58">
        <v>999</v>
      </c>
      <c r="J58">
        <v>-1</v>
      </c>
      <c r="K58">
        <v>-1</v>
      </c>
      <c r="L58">
        <v>-1</v>
      </c>
      <c r="M58" s="6" t="s">
        <v>59</v>
      </c>
      <c r="N58" s="6" t="s">
        <v>59</v>
      </c>
      <c r="O58" s="6" t="s">
        <v>59</v>
      </c>
      <c r="P58">
        <v>0</v>
      </c>
      <c r="Q58">
        <v>0</v>
      </c>
      <c r="R58">
        <v>0</v>
      </c>
    </row>
    <row r="59" spans="1:18" x14ac:dyDescent="0.25">
      <c r="A59">
        <v>57</v>
      </c>
      <c r="B59" t="s">
        <v>357</v>
      </c>
      <c r="C59">
        <v>9104</v>
      </c>
      <c r="D59" t="s">
        <v>358</v>
      </c>
      <c r="E59" t="s">
        <v>359</v>
      </c>
      <c r="F59" t="s">
        <v>113</v>
      </c>
      <c r="G59" t="s">
        <v>114</v>
      </c>
      <c r="H59">
        <v>0.11119999999999999</v>
      </c>
      <c r="I59">
        <v>170</v>
      </c>
      <c r="J59">
        <v>500</v>
      </c>
      <c r="K59">
        <v>15</v>
      </c>
      <c r="L59">
        <v>86400</v>
      </c>
      <c r="M59" s="6" t="s">
        <v>59</v>
      </c>
      <c r="N59" s="6" t="s">
        <v>59</v>
      </c>
      <c r="O59" s="6" t="s">
        <v>59</v>
      </c>
      <c r="P59">
        <v>0</v>
      </c>
      <c r="Q59">
        <v>0</v>
      </c>
      <c r="R59">
        <v>0</v>
      </c>
    </row>
    <row r="60" spans="1:18" x14ac:dyDescent="0.25">
      <c r="A60">
        <v>58</v>
      </c>
      <c r="B60" t="s">
        <v>232</v>
      </c>
      <c r="C60">
        <v>38</v>
      </c>
      <c r="D60" t="s">
        <v>233</v>
      </c>
      <c r="E60" t="s">
        <v>234</v>
      </c>
      <c r="F60" t="s">
        <v>92</v>
      </c>
      <c r="G60" t="s">
        <v>93</v>
      </c>
      <c r="H60">
        <v>0.01</v>
      </c>
      <c r="I60">
        <v>-1</v>
      </c>
      <c r="J60">
        <v>-1</v>
      </c>
      <c r="K60">
        <v>-1</v>
      </c>
      <c r="L60">
        <v>-1</v>
      </c>
      <c r="M60" s="6" t="s">
        <v>59</v>
      </c>
      <c r="N60" s="6" t="s">
        <v>59</v>
      </c>
      <c r="O60" s="6" t="s">
        <v>59</v>
      </c>
      <c r="P60">
        <v>0</v>
      </c>
      <c r="Q60">
        <v>0</v>
      </c>
      <c r="R60">
        <v>0</v>
      </c>
    </row>
    <row r="61" spans="1:18" x14ac:dyDescent="0.25">
      <c r="A61">
        <v>59</v>
      </c>
      <c r="B61" t="s">
        <v>200</v>
      </c>
      <c r="C61">
        <v>27</v>
      </c>
      <c r="D61" t="s">
        <v>201</v>
      </c>
      <c r="E61" t="s">
        <v>202</v>
      </c>
      <c r="F61" t="s">
        <v>92</v>
      </c>
      <c r="G61" t="s">
        <v>93</v>
      </c>
      <c r="H61">
        <v>7.6999999999999999E-2</v>
      </c>
      <c r="I61">
        <v>100</v>
      </c>
      <c r="J61">
        <v>28</v>
      </c>
      <c r="K61">
        <v>4</v>
      </c>
      <c r="L61">
        <v>1800</v>
      </c>
      <c r="M61" s="6" t="s">
        <v>59</v>
      </c>
      <c r="N61" s="6" t="s">
        <v>59</v>
      </c>
      <c r="O61" s="6" t="s">
        <v>59</v>
      </c>
      <c r="P61">
        <v>0</v>
      </c>
      <c r="Q61">
        <v>0</v>
      </c>
      <c r="R61">
        <v>0</v>
      </c>
    </row>
    <row r="62" spans="1:18" x14ac:dyDescent="0.25">
      <c r="A62">
        <v>60</v>
      </c>
      <c r="B62" t="s">
        <v>133</v>
      </c>
      <c r="C62">
        <v>6</v>
      </c>
      <c r="D62" t="s">
        <v>90</v>
      </c>
      <c r="E62" t="s">
        <v>134</v>
      </c>
      <c r="F62" t="s">
        <v>92</v>
      </c>
      <c r="G62" t="s">
        <v>93</v>
      </c>
      <c r="H62">
        <v>0.25</v>
      </c>
      <c r="I62">
        <v>10</v>
      </c>
      <c r="J62">
        <v>-1</v>
      </c>
      <c r="K62">
        <v>-1</v>
      </c>
      <c r="L62">
        <v>-1</v>
      </c>
      <c r="M62" s="6" t="s">
        <v>59</v>
      </c>
      <c r="N62" s="6" t="s">
        <v>59</v>
      </c>
      <c r="O62" s="6" t="s">
        <v>59</v>
      </c>
      <c r="P62">
        <v>0</v>
      </c>
      <c r="Q62">
        <v>0</v>
      </c>
      <c r="R62">
        <v>0</v>
      </c>
    </row>
    <row r="63" spans="1:18" x14ac:dyDescent="0.25">
      <c r="A63">
        <v>61</v>
      </c>
      <c r="B63" t="s">
        <v>212</v>
      </c>
      <c r="C63">
        <v>31</v>
      </c>
      <c r="D63" t="s">
        <v>213</v>
      </c>
      <c r="E63" t="s">
        <v>214</v>
      </c>
      <c r="F63" t="s">
        <v>184</v>
      </c>
      <c r="G63" t="s">
        <v>185</v>
      </c>
      <c r="H63">
        <v>2.273E-2</v>
      </c>
      <c r="I63">
        <v>50</v>
      </c>
      <c r="J63">
        <v>177</v>
      </c>
      <c r="K63">
        <v>4</v>
      </c>
      <c r="L63">
        <v>1800</v>
      </c>
      <c r="M63" s="6" t="s">
        <v>59</v>
      </c>
      <c r="N63" s="6" t="s">
        <v>59</v>
      </c>
      <c r="O63" s="6" t="s">
        <v>59</v>
      </c>
      <c r="P63">
        <v>0</v>
      </c>
      <c r="Q63">
        <v>0</v>
      </c>
      <c r="R63">
        <v>0</v>
      </c>
    </row>
    <row r="64" spans="1:18" x14ac:dyDescent="0.25">
      <c r="A64">
        <v>62</v>
      </c>
      <c r="B64" t="s">
        <v>417</v>
      </c>
      <c r="C64">
        <v>9124</v>
      </c>
      <c r="D64" t="s">
        <v>418</v>
      </c>
      <c r="E64" t="s">
        <v>419</v>
      </c>
      <c r="F64" t="s">
        <v>113</v>
      </c>
      <c r="G64" t="s">
        <v>114</v>
      </c>
      <c r="H64">
        <v>0.11119999999999999</v>
      </c>
      <c r="I64">
        <v>170</v>
      </c>
      <c r="J64">
        <v>250</v>
      </c>
      <c r="K64">
        <v>10</v>
      </c>
      <c r="L64">
        <v>72000</v>
      </c>
      <c r="M64" s="6" t="s">
        <v>59</v>
      </c>
      <c r="N64" s="6" t="s">
        <v>59</v>
      </c>
      <c r="O64" s="6" t="s">
        <v>59</v>
      </c>
      <c r="P64">
        <v>0</v>
      </c>
      <c r="Q64">
        <v>0</v>
      </c>
      <c r="R64">
        <v>0</v>
      </c>
    </row>
    <row r="65" spans="1:18" x14ac:dyDescent="0.25">
      <c r="A65">
        <v>63</v>
      </c>
      <c r="B65" t="s">
        <v>444</v>
      </c>
      <c r="C65">
        <v>9205</v>
      </c>
      <c r="D65" t="s">
        <v>445</v>
      </c>
      <c r="E65" t="s">
        <v>446</v>
      </c>
      <c r="F65" t="s">
        <v>113</v>
      </c>
      <c r="G65" t="s">
        <v>114</v>
      </c>
      <c r="H65">
        <v>0.11119999999999999</v>
      </c>
      <c r="I65">
        <v>170</v>
      </c>
      <c r="J65">
        <v>200</v>
      </c>
      <c r="K65">
        <v>6</v>
      </c>
      <c r="L65">
        <v>43200</v>
      </c>
      <c r="M65" s="6" t="s">
        <v>59</v>
      </c>
      <c r="N65" s="6" t="s">
        <v>59</v>
      </c>
      <c r="O65" s="6" t="s">
        <v>59</v>
      </c>
      <c r="P65">
        <v>0</v>
      </c>
      <c r="Q65">
        <v>0</v>
      </c>
      <c r="R65">
        <v>0</v>
      </c>
    </row>
    <row r="66" spans="1:18" x14ac:dyDescent="0.25">
      <c r="A66">
        <v>64</v>
      </c>
      <c r="B66" t="s">
        <v>254</v>
      </c>
      <c r="C66">
        <v>50</v>
      </c>
      <c r="D66" t="s">
        <v>255</v>
      </c>
      <c r="E66" t="s">
        <v>174</v>
      </c>
      <c r="F66" t="s">
        <v>113</v>
      </c>
      <c r="G66" t="s">
        <v>114</v>
      </c>
      <c r="H66">
        <v>1E-3</v>
      </c>
      <c r="I66">
        <v>999</v>
      </c>
      <c r="J66">
        <v>-1</v>
      </c>
      <c r="K66">
        <v>-1</v>
      </c>
      <c r="L66">
        <v>120</v>
      </c>
      <c r="M66" s="6" t="s">
        <v>59</v>
      </c>
      <c r="N66" s="6" t="s">
        <v>59</v>
      </c>
      <c r="O66" s="6" t="s">
        <v>59</v>
      </c>
      <c r="P66">
        <v>0</v>
      </c>
      <c r="Q66">
        <v>0</v>
      </c>
      <c r="R66">
        <v>0</v>
      </c>
    </row>
    <row r="67" spans="1:18" x14ac:dyDescent="0.25">
      <c r="A67">
        <v>65</v>
      </c>
      <c r="B67" t="s">
        <v>453</v>
      </c>
      <c r="C67">
        <v>10002</v>
      </c>
      <c r="D67" t="s">
        <v>454</v>
      </c>
      <c r="E67" t="s">
        <v>455</v>
      </c>
      <c r="F67" t="s">
        <v>140</v>
      </c>
      <c r="G67" t="s">
        <v>141</v>
      </c>
      <c r="H67">
        <v>6.25E-2</v>
      </c>
      <c r="I67">
        <v>999</v>
      </c>
      <c r="J67">
        <v>-1</v>
      </c>
      <c r="K67">
        <v>-1</v>
      </c>
      <c r="L67">
        <v>-1</v>
      </c>
      <c r="M67" s="6" t="s">
        <v>59</v>
      </c>
      <c r="N67" s="6" t="s">
        <v>59</v>
      </c>
      <c r="O67" s="6" t="s">
        <v>59</v>
      </c>
      <c r="P67">
        <v>0</v>
      </c>
      <c r="Q67">
        <v>0</v>
      </c>
      <c r="R67">
        <v>0</v>
      </c>
    </row>
    <row r="68" spans="1:18" x14ac:dyDescent="0.25">
      <c r="A68">
        <v>66</v>
      </c>
      <c r="B68" t="s">
        <v>477</v>
      </c>
      <c r="C68">
        <v>10010</v>
      </c>
      <c r="D68" t="s">
        <v>478</v>
      </c>
      <c r="E68" t="s">
        <v>479</v>
      </c>
      <c r="F68" t="s">
        <v>140</v>
      </c>
      <c r="G68" t="s">
        <v>141</v>
      </c>
      <c r="H68">
        <v>0.11112</v>
      </c>
      <c r="I68">
        <v>999</v>
      </c>
      <c r="J68">
        <v>-1</v>
      </c>
      <c r="K68">
        <v>-1</v>
      </c>
      <c r="L68">
        <v>-1</v>
      </c>
      <c r="M68" s="6" t="s">
        <v>59</v>
      </c>
      <c r="N68" s="6" t="s">
        <v>59</v>
      </c>
      <c r="O68" s="6" t="s">
        <v>59</v>
      </c>
      <c r="P68">
        <v>0</v>
      </c>
      <c r="Q68">
        <v>0</v>
      </c>
      <c r="R68">
        <v>0</v>
      </c>
    </row>
    <row r="69" spans="1:18" x14ac:dyDescent="0.25">
      <c r="A69">
        <v>67</v>
      </c>
      <c r="B69" t="s">
        <v>432</v>
      </c>
      <c r="C69">
        <v>9201</v>
      </c>
      <c r="D69" t="s">
        <v>433</v>
      </c>
      <c r="E69" t="s">
        <v>434</v>
      </c>
      <c r="F69" t="s">
        <v>113</v>
      </c>
      <c r="G69" t="s">
        <v>114</v>
      </c>
      <c r="H69">
        <v>0.11119999999999999</v>
      </c>
      <c r="I69">
        <v>170</v>
      </c>
      <c r="J69">
        <v>15</v>
      </c>
      <c r="K69">
        <v>1</v>
      </c>
      <c r="L69">
        <v>60</v>
      </c>
      <c r="M69" s="6" t="s">
        <v>59</v>
      </c>
      <c r="N69" s="6" t="s">
        <v>59</v>
      </c>
      <c r="O69" s="6" t="s">
        <v>59</v>
      </c>
      <c r="P69">
        <v>0</v>
      </c>
      <c r="Q69">
        <v>0</v>
      </c>
      <c r="R69">
        <v>0</v>
      </c>
    </row>
    <row r="70" spans="1:18" x14ac:dyDescent="0.25">
      <c r="A70">
        <v>68</v>
      </c>
      <c r="B70" t="s">
        <v>402</v>
      </c>
      <c r="C70">
        <v>9119</v>
      </c>
      <c r="D70" t="s">
        <v>403</v>
      </c>
      <c r="E70" t="s">
        <v>404</v>
      </c>
      <c r="F70" t="s">
        <v>113</v>
      </c>
      <c r="G70" t="s">
        <v>114</v>
      </c>
      <c r="H70">
        <v>0.11119999999999999</v>
      </c>
      <c r="I70">
        <v>170</v>
      </c>
      <c r="J70">
        <v>190</v>
      </c>
      <c r="K70">
        <v>5</v>
      </c>
      <c r="L70">
        <v>36000</v>
      </c>
      <c r="M70" s="6" t="s">
        <v>59</v>
      </c>
      <c r="N70" s="6" t="s">
        <v>59</v>
      </c>
      <c r="O70" s="6" t="s">
        <v>59</v>
      </c>
      <c r="P70">
        <v>0</v>
      </c>
      <c r="Q70">
        <v>0</v>
      </c>
      <c r="R70">
        <v>0</v>
      </c>
    </row>
    <row r="71" spans="1:18" x14ac:dyDescent="0.25">
      <c r="A71">
        <v>69</v>
      </c>
      <c r="B71" t="s">
        <v>456</v>
      </c>
      <c r="C71">
        <v>10003</v>
      </c>
      <c r="D71" t="s">
        <v>457</v>
      </c>
      <c r="E71" t="s">
        <v>458</v>
      </c>
      <c r="F71" t="s">
        <v>140</v>
      </c>
      <c r="G71" t="s">
        <v>141</v>
      </c>
      <c r="H71">
        <v>3.4500000000000003E-2</v>
      </c>
      <c r="I71">
        <v>999</v>
      </c>
      <c r="J71">
        <v>-1</v>
      </c>
      <c r="K71">
        <v>-1</v>
      </c>
      <c r="L71">
        <v>-1</v>
      </c>
      <c r="M71" s="6" t="s">
        <v>59</v>
      </c>
      <c r="N71" s="6" t="s">
        <v>59</v>
      </c>
      <c r="O71" s="6" t="s">
        <v>59</v>
      </c>
      <c r="P71">
        <v>0</v>
      </c>
      <c r="Q71">
        <v>0</v>
      </c>
      <c r="R71">
        <v>0</v>
      </c>
    </row>
    <row r="72" spans="1:18" x14ac:dyDescent="0.25">
      <c r="A72">
        <v>70</v>
      </c>
      <c r="B72" t="s">
        <v>282</v>
      </c>
      <c r="C72">
        <v>2001</v>
      </c>
      <c r="D72" t="s">
        <v>283</v>
      </c>
      <c r="E72" t="s">
        <v>284</v>
      </c>
      <c r="F72" t="s">
        <v>140</v>
      </c>
      <c r="G72" t="s">
        <v>141</v>
      </c>
      <c r="H72">
        <v>4.7620000000000003E-2</v>
      </c>
      <c r="I72">
        <v>170</v>
      </c>
      <c r="J72">
        <v>-1</v>
      </c>
      <c r="K72">
        <v>-1</v>
      </c>
      <c r="L72">
        <v>-1</v>
      </c>
      <c r="M72" s="6" t="s">
        <v>59</v>
      </c>
      <c r="N72" s="6" t="s">
        <v>59</v>
      </c>
      <c r="O72" s="6" t="s">
        <v>59</v>
      </c>
      <c r="P72">
        <v>0</v>
      </c>
      <c r="Q72">
        <v>0</v>
      </c>
      <c r="R72">
        <v>0</v>
      </c>
    </row>
    <row r="73" spans="1:18" x14ac:dyDescent="0.25">
      <c r="A73">
        <v>71</v>
      </c>
      <c r="B73" t="s">
        <v>441</v>
      </c>
      <c r="C73">
        <v>9204</v>
      </c>
      <c r="D73" t="s">
        <v>442</v>
      </c>
      <c r="E73" t="s">
        <v>443</v>
      </c>
      <c r="F73" t="s">
        <v>113</v>
      </c>
      <c r="G73" t="s">
        <v>114</v>
      </c>
      <c r="H73">
        <v>0.11119999999999999</v>
      </c>
      <c r="I73">
        <v>170</v>
      </c>
      <c r="J73">
        <v>180</v>
      </c>
      <c r="K73">
        <v>4</v>
      </c>
      <c r="L73">
        <v>28800</v>
      </c>
      <c r="M73" s="6" t="s">
        <v>59</v>
      </c>
      <c r="N73" s="6" t="s">
        <v>59</v>
      </c>
      <c r="O73" s="6" t="s">
        <v>59</v>
      </c>
      <c r="P73">
        <v>0</v>
      </c>
      <c r="Q73">
        <v>0</v>
      </c>
      <c r="R73">
        <v>0</v>
      </c>
    </row>
    <row r="74" spans="1:18" x14ac:dyDescent="0.25">
      <c r="A74">
        <v>72</v>
      </c>
      <c r="B74" t="s">
        <v>411</v>
      </c>
      <c r="C74">
        <v>9122</v>
      </c>
      <c r="D74" t="s">
        <v>412</v>
      </c>
      <c r="E74" t="s">
        <v>413</v>
      </c>
      <c r="F74" t="s">
        <v>113</v>
      </c>
      <c r="G74" t="s">
        <v>114</v>
      </c>
      <c r="H74">
        <v>0.11119999999999999</v>
      </c>
      <c r="I74">
        <v>170</v>
      </c>
      <c r="J74">
        <v>165</v>
      </c>
      <c r="K74">
        <v>3</v>
      </c>
      <c r="L74">
        <v>21600</v>
      </c>
      <c r="M74" s="6" t="s">
        <v>59</v>
      </c>
      <c r="N74" s="6" t="s">
        <v>59</v>
      </c>
      <c r="O74" s="6" t="s">
        <v>59</v>
      </c>
      <c r="P74">
        <v>0</v>
      </c>
      <c r="Q74">
        <v>0</v>
      </c>
      <c r="R74">
        <v>0</v>
      </c>
    </row>
    <row r="75" spans="1:18" x14ac:dyDescent="0.25">
      <c r="A75">
        <v>73</v>
      </c>
      <c r="B75" t="s">
        <v>262</v>
      </c>
      <c r="C75">
        <v>93</v>
      </c>
      <c r="D75" t="s">
        <v>263</v>
      </c>
      <c r="E75" t="s">
        <v>264</v>
      </c>
      <c r="F75" t="s">
        <v>92</v>
      </c>
      <c r="G75" s="6" t="s">
        <v>59</v>
      </c>
      <c r="H75">
        <v>1</v>
      </c>
      <c r="I75">
        <v>16</v>
      </c>
      <c r="J75">
        <v>-1</v>
      </c>
      <c r="K75">
        <v>-1</v>
      </c>
      <c r="L75">
        <v>-1</v>
      </c>
      <c r="M75" s="6" t="s">
        <v>59</v>
      </c>
      <c r="N75" s="6" t="s">
        <v>59</v>
      </c>
      <c r="O75" s="6" t="s">
        <v>59</v>
      </c>
      <c r="P75">
        <v>0</v>
      </c>
      <c r="Q75">
        <v>0</v>
      </c>
      <c r="R75">
        <v>0</v>
      </c>
    </row>
    <row r="76" spans="1:18" x14ac:dyDescent="0.25">
      <c r="A76">
        <v>74</v>
      </c>
      <c r="B76" t="s">
        <v>158</v>
      </c>
      <c r="C76">
        <v>15</v>
      </c>
      <c r="D76" t="s">
        <v>159</v>
      </c>
      <c r="E76" t="s">
        <v>160</v>
      </c>
      <c r="F76" t="s">
        <v>113</v>
      </c>
      <c r="G76" s="6" t="s">
        <v>59</v>
      </c>
      <c r="H76">
        <v>0.04</v>
      </c>
      <c r="I76">
        <v>70</v>
      </c>
      <c r="J76">
        <v>57</v>
      </c>
      <c r="K76">
        <v>3</v>
      </c>
      <c r="L76">
        <v>2700</v>
      </c>
      <c r="M76" s="6" t="s">
        <v>59</v>
      </c>
      <c r="N76" s="6" t="s">
        <v>59</v>
      </c>
      <c r="O76" s="6" t="s">
        <v>59</v>
      </c>
      <c r="P76">
        <v>0</v>
      </c>
      <c r="Q76">
        <v>0</v>
      </c>
      <c r="R76">
        <v>0</v>
      </c>
    </row>
    <row r="77" spans="1:18" x14ac:dyDescent="0.25">
      <c r="A77">
        <v>75</v>
      </c>
      <c r="B77" t="s">
        <v>267</v>
      </c>
      <c r="C77">
        <v>95</v>
      </c>
      <c r="D77" t="s">
        <v>268</v>
      </c>
      <c r="E77" t="s">
        <v>269</v>
      </c>
      <c r="F77" t="s">
        <v>140</v>
      </c>
      <c r="G77" t="s">
        <v>141</v>
      </c>
      <c r="H77">
        <v>2.7799999999999998E-2</v>
      </c>
      <c r="I77">
        <v>58</v>
      </c>
      <c r="J77">
        <v>57</v>
      </c>
      <c r="K77">
        <v>5</v>
      </c>
      <c r="L77">
        <v>21600</v>
      </c>
      <c r="M77" s="6" t="s">
        <v>59</v>
      </c>
      <c r="N77" s="6" t="s">
        <v>59</v>
      </c>
      <c r="O77" s="6" t="s">
        <v>59</v>
      </c>
      <c r="P77">
        <v>0</v>
      </c>
      <c r="Q77">
        <v>0</v>
      </c>
      <c r="R77">
        <v>0</v>
      </c>
    </row>
    <row r="78" spans="1:18" x14ac:dyDescent="0.25">
      <c r="A78">
        <v>76</v>
      </c>
      <c r="B78" t="s">
        <v>229</v>
      </c>
      <c r="C78">
        <v>37</v>
      </c>
      <c r="D78" t="s">
        <v>230</v>
      </c>
      <c r="E78" t="s">
        <v>231</v>
      </c>
      <c r="F78" t="s">
        <v>92</v>
      </c>
      <c r="G78" t="s">
        <v>93</v>
      </c>
      <c r="H78">
        <v>1E-3</v>
      </c>
      <c r="I78">
        <v>-1</v>
      </c>
      <c r="J78">
        <v>-1</v>
      </c>
      <c r="K78">
        <v>-1</v>
      </c>
      <c r="L78">
        <v>-1</v>
      </c>
      <c r="M78" s="6" t="s">
        <v>59</v>
      </c>
      <c r="N78" s="6" t="s">
        <v>59</v>
      </c>
      <c r="O78" s="6" t="s">
        <v>59</v>
      </c>
      <c r="P78">
        <v>0</v>
      </c>
      <c r="Q78">
        <v>0</v>
      </c>
      <c r="R78">
        <v>0</v>
      </c>
    </row>
    <row r="79" spans="1:18" x14ac:dyDescent="0.25">
      <c r="A79">
        <v>77</v>
      </c>
      <c r="B79" t="s">
        <v>161</v>
      </c>
      <c r="C79">
        <v>16</v>
      </c>
      <c r="D79" t="s">
        <v>162</v>
      </c>
      <c r="E79" t="s">
        <v>163</v>
      </c>
      <c r="F79" t="s">
        <v>113</v>
      </c>
      <c r="G79" t="s">
        <v>114</v>
      </c>
      <c r="H79">
        <v>2.3259999999999999E-2</v>
      </c>
      <c r="I79">
        <v>140</v>
      </c>
      <c r="J79">
        <v>85</v>
      </c>
      <c r="K79">
        <v>4</v>
      </c>
      <c r="L79">
        <v>3600</v>
      </c>
      <c r="M79" s="6" t="s">
        <v>59</v>
      </c>
      <c r="N79" s="6" t="s">
        <v>59</v>
      </c>
      <c r="O79" s="6" t="s">
        <v>59</v>
      </c>
      <c r="P79">
        <v>0</v>
      </c>
      <c r="Q79">
        <v>0</v>
      </c>
      <c r="R79">
        <v>0</v>
      </c>
    </row>
    <row r="80" spans="1:18" x14ac:dyDescent="0.25">
      <c r="A80">
        <v>78</v>
      </c>
      <c r="B80" t="s">
        <v>420</v>
      </c>
      <c r="C80">
        <v>9125</v>
      </c>
      <c r="D80" t="s">
        <v>421</v>
      </c>
      <c r="E80" t="s">
        <v>422</v>
      </c>
      <c r="F80" t="s">
        <v>113</v>
      </c>
      <c r="G80" t="s">
        <v>114</v>
      </c>
      <c r="H80">
        <v>0.11119999999999999</v>
      </c>
      <c r="I80">
        <v>170</v>
      </c>
      <c r="J80">
        <v>225</v>
      </c>
      <c r="K80">
        <v>8</v>
      </c>
      <c r="L80">
        <v>57600</v>
      </c>
      <c r="M80" s="6" t="s">
        <v>59</v>
      </c>
      <c r="N80" s="6" t="s">
        <v>59</v>
      </c>
      <c r="O80" s="6" t="s">
        <v>59</v>
      </c>
      <c r="P80">
        <v>0</v>
      </c>
      <c r="Q80">
        <v>0</v>
      </c>
      <c r="R80">
        <v>0</v>
      </c>
    </row>
    <row r="81" spans="1:18" x14ac:dyDescent="0.25">
      <c r="A81">
        <v>79</v>
      </c>
      <c r="B81" t="s">
        <v>248</v>
      </c>
      <c r="C81">
        <v>45</v>
      </c>
      <c r="D81" t="s">
        <v>249</v>
      </c>
      <c r="E81" t="s">
        <v>250</v>
      </c>
      <c r="F81" t="s">
        <v>113</v>
      </c>
      <c r="G81" t="s">
        <v>114</v>
      </c>
      <c r="H81">
        <v>1E-3</v>
      </c>
      <c r="I81">
        <v>999</v>
      </c>
      <c r="J81">
        <v>-1</v>
      </c>
      <c r="K81">
        <v>-1</v>
      </c>
      <c r="L81">
        <v>120</v>
      </c>
      <c r="M81" s="6" t="s">
        <v>59</v>
      </c>
      <c r="N81" s="6" t="s">
        <v>59</v>
      </c>
      <c r="O81" s="6" t="s">
        <v>59</v>
      </c>
      <c r="P81">
        <v>0</v>
      </c>
      <c r="Q81">
        <v>0</v>
      </c>
      <c r="R81">
        <v>0</v>
      </c>
    </row>
    <row r="82" spans="1:18" x14ac:dyDescent="0.25">
      <c r="A82">
        <v>80</v>
      </c>
      <c r="B82" t="s">
        <v>220</v>
      </c>
      <c r="C82">
        <v>34</v>
      </c>
      <c r="D82" t="s">
        <v>221</v>
      </c>
      <c r="E82" t="s">
        <v>222</v>
      </c>
      <c r="F82" t="s">
        <v>92</v>
      </c>
      <c r="G82" t="s">
        <v>93</v>
      </c>
      <c r="H82">
        <v>0.33</v>
      </c>
      <c r="I82">
        <v>-1</v>
      </c>
      <c r="J82">
        <v>-1</v>
      </c>
      <c r="K82">
        <v>-1</v>
      </c>
      <c r="L82">
        <v>-1</v>
      </c>
      <c r="M82" s="6" t="s">
        <v>59</v>
      </c>
      <c r="N82" s="6" t="s">
        <v>59</v>
      </c>
      <c r="O82" s="6" t="s">
        <v>59</v>
      </c>
      <c r="P82">
        <v>0</v>
      </c>
      <c r="Q82">
        <v>0</v>
      </c>
      <c r="R82">
        <v>0</v>
      </c>
    </row>
    <row r="83" spans="1:18" x14ac:dyDescent="0.25">
      <c r="A83">
        <v>81</v>
      </c>
      <c r="B83" t="s">
        <v>423</v>
      </c>
      <c r="C83">
        <v>9126</v>
      </c>
      <c r="D83" t="s">
        <v>424</v>
      </c>
      <c r="E83" t="s">
        <v>425</v>
      </c>
      <c r="F83" t="s">
        <v>113</v>
      </c>
      <c r="G83" t="s">
        <v>114</v>
      </c>
      <c r="H83">
        <v>0.11119999999999999</v>
      </c>
      <c r="I83">
        <v>170</v>
      </c>
      <c r="J83">
        <v>210</v>
      </c>
      <c r="K83">
        <v>7</v>
      </c>
      <c r="L83">
        <v>86400</v>
      </c>
      <c r="M83" s="6" t="s">
        <v>59</v>
      </c>
      <c r="N83" s="6" t="s">
        <v>59</v>
      </c>
      <c r="O83" s="6" t="s">
        <v>59</v>
      </c>
      <c r="P83">
        <v>0</v>
      </c>
      <c r="Q83">
        <v>0</v>
      </c>
      <c r="R83">
        <v>0</v>
      </c>
    </row>
    <row r="84" spans="1:18" x14ac:dyDescent="0.25">
      <c r="A84">
        <v>82</v>
      </c>
      <c r="B84" t="s">
        <v>285</v>
      </c>
      <c r="C84">
        <v>2002</v>
      </c>
      <c r="D84" t="s">
        <v>286</v>
      </c>
      <c r="E84" t="s">
        <v>287</v>
      </c>
      <c r="F84" t="s">
        <v>140</v>
      </c>
      <c r="G84" t="s">
        <v>141</v>
      </c>
      <c r="H84">
        <v>0.11119999999999999</v>
      </c>
      <c r="I84">
        <v>170</v>
      </c>
      <c r="J84">
        <v>-1</v>
      </c>
      <c r="K84">
        <v>-1</v>
      </c>
      <c r="L84">
        <v>-1</v>
      </c>
      <c r="M84" s="6" t="s">
        <v>59</v>
      </c>
      <c r="N84" s="6" t="s">
        <v>59</v>
      </c>
      <c r="O84" s="6" t="s">
        <v>59</v>
      </c>
      <c r="P84">
        <v>0</v>
      </c>
      <c r="Q84">
        <v>0</v>
      </c>
      <c r="R84">
        <v>0</v>
      </c>
    </row>
    <row r="85" spans="1:18" x14ac:dyDescent="0.25">
      <c r="A85">
        <v>83</v>
      </c>
      <c r="B85" t="s">
        <v>238</v>
      </c>
      <c r="C85">
        <v>41</v>
      </c>
      <c r="D85" t="s">
        <v>239</v>
      </c>
      <c r="E85" t="s">
        <v>222</v>
      </c>
      <c r="F85" t="s">
        <v>92</v>
      </c>
      <c r="G85" t="s">
        <v>93</v>
      </c>
      <c r="H85">
        <v>6.25E-2</v>
      </c>
      <c r="I85">
        <v>120</v>
      </c>
      <c r="J85">
        <v>85</v>
      </c>
      <c r="K85">
        <v>5</v>
      </c>
      <c r="L85">
        <v>3600</v>
      </c>
      <c r="M85" s="6" t="s">
        <v>59</v>
      </c>
      <c r="N85" s="6" t="s">
        <v>59</v>
      </c>
      <c r="O85" s="6" t="s">
        <v>59</v>
      </c>
      <c r="P85">
        <v>0</v>
      </c>
      <c r="Q85">
        <v>0</v>
      </c>
      <c r="R85">
        <v>0</v>
      </c>
    </row>
    <row r="86" spans="1:18" x14ac:dyDescent="0.25">
      <c r="A86">
        <v>84</v>
      </c>
      <c r="B86" t="s">
        <v>408</v>
      </c>
      <c r="C86">
        <v>9121</v>
      </c>
      <c r="D86" t="s">
        <v>409</v>
      </c>
      <c r="E86" t="s">
        <v>410</v>
      </c>
      <c r="F86" t="s">
        <v>113</v>
      </c>
      <c r="G86" t="s">
        <v>114</v>
      </c>
      <c r="H86">
        <v>0.11119999999999999</v>
      </c>
      <c r="I86">
        <v>170</v>
      </c>
      <c r="J86">
        <v>200</v>
      </c>
      <c r="K86">
        <v>6</v>
      </c>
      <c r="L86">
        <v>43200</v>
      </c>
      <c r="M86" s="6" t="s">
        <v>59</v>
      </c>
      <c r="N86" s="6" t="s">
        <v>59</v>
      </c>
      <c r="O86" s="6" t="s">
        <v>59</v>
      </c>
      <c r="P86">
        <v>0</v>
      </c>
      <c r="Q86">
        <v>0</v>
      </c>
      <c r="R86">
        <v>0</v>
      </c>
    </row>
    <row r="87" spans="1:18" x14ac:dyDescent="0.25">
      <c r="A87">
        <v>85</v>
      </c>
      <c r="B87" t="s">
        <v>197</v>
      </c>
      <c r="C87">
        <v>26</v>
      </c>
      <c r="D87" t="s">
        <v>198</v>
      </c>
      <c r="E87" t="s">
        <v>199</v>
      </c>
      <c r="F87" t="s">
        <v>92</v>
      </c>
      <c r="G87" t="s">
        <v>93</v>
      </c>
      <c r="H87">
        <v>1E-3</v>
      </c>
      <c r="I87">
        <v>999</v>
      </c>
      <c r="J87">
        <v>5</v>
      </c>
      <c r="K87">
        <v>1</v>
      </c>
      <c r="L87">
        <v>120</v>
      </c>
      <c r="M87" s="6" t="s">
        <v>59</v>
      </c>
      <c r="N87" s="6" t="s">
        <v>59</v>
      </c>
      <c r="O87" s="6" t="s">
        <v>59</v>
      </c>
      <c r="P87">
        <v>0</v>
      </c>
      <c r="Q87">
        <v>0</v>
      </c>
      <c r="R87">
        <v>0</v>
      </c>
    </row>
    <row r="88" spans="1:18" x14ac:dyDescent="0.25">
      <c r="A88">
        <v>86</v>
      </c>
      <c r="B88" t="s">
        <v>345</v>
      </c>
      <c r="C88">
        <v>9100</v>
      </c>
      <c r="D88" t="s">
        <v>346</v>
      </c>
      <c r="E88" t="s">
        <v>347</v>
      </c>
      <c r="F88" t="s">
        <v>113</v>
      </c>
      <c r="G88" t="s">
        <v>114</v>
      </c>
      <c r="H88">
        <v>0.11119999999999999</v>
      </c>
      <c r="I88">
        <v>170</v>
      </c>
      <c r="J88">
        <v>-1</v>
      </c>
      <c r="K88">
        <v>0</v>
      </c>
      <c r="L88">
        <v>0</v>
      </c>
      <c r="M88" s="6" t="s">
        <v>59</v>
      </c>
      <c r="N88" s="6" t="s">
        <v>59</v>
      </c>
      <c r="O88" s="6" t="s">
        <v>59</v>
      </c>
      <c r="P88">
        <v>1</v>
      </c>
      <c r="Q88">
        <v>1</v>
      </c>
      <c r="R88">
        <v>1</v>
      </c>
    </row>
    <row r="89" spans="1:18" x14ac:dyDescent="0.25">
      <c r="A89">
        <v>87</v>
      </c>
      <c r="B89" t="s">
        <v>414</v>
      </c>
      <c r="C89">
        <v>9123</v>
      </c>
      <c r="D89" t="s">
        <v>415</v>
      </c>
      <c r="E89" t="s">
        <v>416</v>
      </c>
      <c r="F89" t="s">
        <v>113</v>
      </c>
      <c r="G89" t="s">
        <v>114</v>
      </c>
      <c r="H89">
        <v>0.11119999999999999</v>
      </c>
      <c r="I89">
        <v>170</v>
      </c>
      <c r="J89">
        <v>180</v>
      </c>
      <c r="K89">
        <v>4</v>
      </c>
      <c r="L89">
        <v>28800</v>
      </c>
      <c r="M89" s="6" t="s">
        <v>59</v>
      </c>
      <c r="N89" s="6" t="s">
        <v>59</v>
      </c>
      <c r="O89" s="6" t="s">
        <v>59</v>
      </c>
      <c r="P89">
        <v>0</v>
      </c>
      <c r="Q89">
        <v>0</v>
      </c>
      <c r="R89">
        <v>0</v>
      </c>
    </row>
    <row r="90" spans="1:18" x14ac:dyDescent="0.25">
      <c r="A90">
        <v>88</v>
      </c>
      <c r="B90" t="s">
        <v>226</v>
      </c>
      <c r="C90">
        <v>1008</v>
      </c>
      <c r="D90" t="s">
        <v>227</v>
      </c>
      <c r="E90" t="s">
        <v>228</v>
      </c>
      <c r="F90" t="s">
        <v>92</v>
      </c>
      <c r="G90" t="s">
        <v>93</v>
      </c>
      <c r="H90">
        <v>0.25</v>
      </c>
      <c r="I90">
        <v>200</v>
      </c>
      <c r="J90">
        <v>-1</v>
      </c>
      <c r="K90">
        <v>-1</v>
      </c>
      <c r="L90">
        <v>-1</v>
      </c>
      <c r="M90" s="6" t="s">
        <v>59</v>
      </c>
      <c r="N90" s="6" t="s">
        <v>59</v>
      </c>
      <c r="O90" s="6" t="s">
        <v>59</v>
      </c>
      <c r="P90">
        <v>0</v>
      </c>
      <c r="Q90">
        <v>0</v>
      </c>
      <c r="R90">
        <v>0</v>
      </c>
    </row>
    <row r="91" spans="1:18" x14ac:dyDescent="0.25">
      <c r="A91">
        <v>89</v>
      </c>
      <c r="B91" t="s">
        <v>209</v>
      </c>
      <c r="C91">
        <v>30</v>
      </c>
      <c r="D91" t="s">
        <v>210</v>
      </c>
      <c r="E91" t="s">
        <v>211</v>
      </c>
      <c r="F91" t="s">
        <v>167</v>
      </c>
      <c r="G91" t="s">
        <v>168</v>
      </c>
      <c r="H91">
        <v>1E-3</v>
      </c>
      <c r="I91">
        <v>999</v>
      </c>
      <c r="J91">
        <v>5</v>
      </c>
      <c r="K91">
        <v>1</v>
      </c>
      <c r="L91">
        <v>120</v>
      </c>
      <c r="M91" s="6" t="s">
        <v>59</v>
      </c>
      <c r="N91" s="6" t="s">
        <v>59</v>
      </c>
      <c r="O91" s="6" t="s">
        <v>59</v>
      </c>
      <c r="P91">
        <v>0</v>
      </c>
      <c r="Q91">
        <v>0</v>
      </c>
      <c r="R91">
        <v>0</v>
      </c>
    </row>
    <row r="92" spans="1:18" x14ac:dyDescent="0.25">
      <c r="A92">
        <v>90</v>
      </c>
      <c r="B92" t="s">
        <v>270</v>
      </c>
      <c r="C92">
        <v>96</v>
      </c>
      <c r="D92" t="s">
        <v>271</v>
      </c>
      <c r="E92" t="s">
        <v>272</v>
      </c>
      <c r="F92" t="s">
        <v>92</v>
      </c>
      <c r="G92" t="s">
        <v>93</v>
      </c>
      <c r="H92">
        <v>0.2</v>
      </c>
      <c r="I92">
        <v>90</v>
      </c>
      <c r="J92">
        <v>12</v>
      </c>
      <c r="K92">
        <v>1</v>
      </c>
      <c r="L92">
        <v>3600</v>
      </c>
      <c r="M92" s="6" t="s">
        <v>59</v>
      </c>
      <c r="N92" s="6" t="s">
        <v>59</v>
      </c>
      <c r="O92" s="6" t="s">
        <v>59</v>
      </c>
      <c r="P92">
        <v>0</v>
      </c>
      <c r="Q92">
        <v>0</v>
      </c>
      <c r="R92">
        <v>0</v>
      </c>
    </row>
    <row r="93" spans="1:18" x14ac:dyDescent="0.25">
      <c r="A93">
        <v>91</v>
      </c>
      <c r="B93" t="s">
        <v>215</v>
      </c>
      <c r="C93">
        <v>32</v>
      </c>
      <c r="D93" t="s">
        <v>216</v>
      </c>
      <c r="E93" t="s">
        <v>217</v>
      </c>
      <c r="F93" t="s">
        <v>113</v>
      </c>
      <c r="G93" t="s">
        <v>114</v>
      </c>
      <c r="H93">
        <v>5.2699999999999997E-2</v>
      </c>
      <c r="I93">
        <v>60</v>
      </c>
      <c r="J93">
        <v>38</v>
      </c>
      <c r="K93">
        <v>3</v>
      </c>
      <c r="L93">
        <v>5400</v>
      </c>
      <c r="M93" s="6" t="s">
        <v>59</v>
      </c>
      <c r="N93" s="6" t="s">
        <v>59</v>
      </c>
      <c r="O93" s="6" t="s">
        <v>59</v>
      </c>
      <c r="P93">
        <v>0</v>
      </c>
      <c r="Q93">
        <v>0</v>
      </c>
      <c r="R93">
        <v>0</v>
      </c>
    </row>
    <row r="94" spans="1:18" x14ac:dyDescent="0.25">
      <c r="A94">
        <v>92</v>
      </c>
      <c r="B94" t="s">
        <v>155</v>
      </c>
      <c r="C94">
        <v>14</v>
      </c>
      <c r="D94" t="s">
        <v>156</v>
      </c>
      <c r="E94" t="s">
        <v>157</v>
      </c>
      <c r="F94" t="s">
        <v>140</v>
      </c>
      <c r="G94" t="s">
        <v>141</v>
      </c>
      <c r="H94">
        <v>0.2</v>
      </c>
      <c r="I94">
        <v>130</v>
      </c>
      <c r="J94">
        <v>-1</v>
      </c>
      <c r="K94">
        <v>-1</v>
      </c>
      <c r="L94">
        <v>-1</v>
      </c>
      <c r="M94" s="6" t="s">
        <v>59</v>
      </c>
      <c r="N94" s="6" t="s">
        <v>59</v>
      </c>
      <c r="O94" s="6" t="s">
        <v>59</v>
      </c>
      <c r="P94">
        <v>0</v>
      </c>
      <c r="Q94">
        <v>0</v>
      </c>
      <c r="R94">
        <v>0</v>
      </c>
    </row>
    <row r="95" spans="1:18" x14ac:dyDescent="0.25">
      <c r="A95">
        <v>93</v>
      </c>
      <c r="B95" t="s">
        <v>172</v>
      </c>
      <c r="C95">
        <v>19</v>
      </c>
      <c r="D95" t="s">
        <v>173</v>
      </c>
      <c r="E95" t="s">
        <v>174</v>
      </c>
      <c r="F95" t="s">
        <v>167</v>
      </c>
      <c r="G95" t="s">
        <v>168</v>
      </c>
      <c r="H95">
        <v>8.4100000000000008E-3</v>
      </c>
      <c r="I95">
        <v>180</v>
      </c>
      <c r="J95">
        <v>463</v>
      </c>
      <c r="K95">
        <v>10</v>
      </c>
      <c r="L95">
        <v>64800</v>
      </c>
      <c r="M95" s="6" t="s">
        <v>59</v>
      </c>
      <c r="N95" s="6" t="s">
        <v>59</v>
      </c>
      <c r="O95" s="6" t="s">
        <v>59</v>
      </c>
      <c r="P95">
        <v>0</v>
      </c>
      <c r="Q95">
        <v>0</v>
      </c>
      <c r="R95">
        <v>0</v>
      </c>
    </row>
    <row r="96" spans="1:18" x14ac:dyDescent="0.25">
      <c r="A96">
        <v>94</v>
      </c>
      <c r="B96" t="s">
        <v>178</v>
      </c>
      <c r="C96">
        <v>21</v>
      </c>
      <c r="D96" t="s">
        <v>179</v>
      </c>
      <c r="E96" t="s">
        <v>180</v>
      </c>
      <c r="F96" t="s">
        <v>113</v>
      </c>
      <c r="G96" t="s">
        <v>114</v>
      </c>
      <c r="H96">
        <v>0.02</v>
      </c>
      <c r="I96">
        <v>210</v>
      </c>
      <c r="J96">
        <v>162</v>
      </c>
      <c r="K96">
        <v>6</v>
      </c>
      <c r="L96">
        <v>28800</v>
      </c>
      <c r="M96" s="6" t="s">
        <v>59</v>
      </c>
      <c r="N96" s="6" t="s">
        <v>59</v>
      </c>
      <c r="O96" s="6" t="s">
        <v>59</v>
      </c>
      <c r="P96">
        <v>0</v>
      </c>
      <c r="Q96">
        <v>0</v>
      </c>
      <c r="R96">
        <v>0</v>
      </c>
    </row>
    <row r="97" spans="1:18" x14ac:dyDescent="0.25">
      <c r="A97">
        <v>95</v>
      </c>
      <c r="B97" t="s">
        <v>169</v>
      </c>
      <c r="C97">
        <v>18</v>
      </c>
      <c r="D97" t="s">
        <v>170</v>
      </c>
      <c r="E97" t="s">
        <v>171</v>
      </c>
      <c r="F97" t="s">
        <v>167</v>
      </c>
      <c r="G97" t="s">
        <v>168</v>
      </c>
      <c r="H97">
        <v>1.5384999999999999E-2</v>
      </c>
      <c r="I97">
        <v>190</v>
      </c>
      <c r="J97">
        <v>198</v>
      </c>
      <c r="K97">
        <v>6</v>
      </c>
      <c r="L97">
        <v>7200</v>
      </c>
      <c r="M97" s="6" t="s">
        <v>59</v>
      </c>
      <c r="N97" s="6" t="s">
        <v>59</v>
      </c>
      <c r="O97" s="6" t="s">
        <v>59</v>
      </c>
      <c r="P97">
        <v>0</v>
      </c>
      <c r="Q97">
        <v>0</v>
      </c>
      <c r="R97">
        <v>0</v>
      </c>
    </row>
    <row r="98" spans="1:18" x14ac:dyDescent="0.25">
      <c r="A98">
        <v>96</v>
      </c>
      <c r="B98" t="s">
        <v>189</v>
      </c>
      <c r="C98">
        <v>24</v>
      </c>
      <c r="D98" t="s">
        <v>190</v>
      </c>
      <c r="E98" t="s">
        <v>191</v>
      </c>
      <c r="F98" t="s">
        <v>167</v>
      </c>
      <c r="G98" t="s">
        <v>168</v>
      </c>
      <c r="H98">
        <v>1E-3</v>
      </c>
      <c r="I98">
        <v>999</v>
      </c>
      <c r="J98">
        <v>5</v>
      </c>
      <c r="K98">
        <v>1</v>
      </c>
      <c r="L98">
        <v>120</v>
      </c>
      <c r="M98" s="6" t="s">
        <v>59</v>
      </c>
      <c r="N98" s="6" t="s">
        <v>59</v>
      </c>
      <c r="O98" s="6" t="s">
        <v>59</v>
      </c>
      <c r="P98">
        <v>0</v>
      </c>
      <c r="Q98">
        <v>0</v>
      </c>
      <c r="R98">
        <v>0</v>
      </c>
    </row>
    <row r="99" spans="1:18" x14ac:dyDescent="0.25">
      <c r="A99">
        <v>97</v>
      </c>
      <c r="B99" t="s">
        <v>186</v>
      </c>
      <c r="C99">
        <v>23</v>
      </c>
      <c r="D99" t="s">
        <v>187</v>
      </c>
      <c r="E99" t="s">
        <v>188</v>
      </c>
      <c r="F99" t="s">
        <v>113</v>
      </c>
      <c r="G99" t="s">
        <v>114</v>
      </c>
      <c r="H99">
        <v>1.7250000000000001E-2</v>
      </c>
      <c r="I99">
        <v>160</v>
      </c>
      <c r="J99">
        <v>188</v>
      </c>
      <c r="K99">
        <v>6</v>
      </c>
      <c r="L99">
        <v>21600</v>
      </c>
      <c r="M99" s="6" t="s">
        <v>59</v>
      </c>
      <c r="N99" s="6" t="s">
        <v>59</v>
      </c>
      <c r="O99" s="6" t="s">
        <v>59</v>
      </c>
      <c r="P99">
        <v>0</v>
      </c>
      <c r="Q99">
        <v>0</v>
      </c>
      <c r="R99">
        <v>0</v>
      </c>
    </row>
    <row r="100" spans="1:18" x14ac:dyDescent="0.25">
      <c r="A100">
        <v>98</v>
      </c>
      <c r="B100" t="s">
        <v>175</v>
      </c>
      <c r="C100">
        <v>20</v>
      </c>
      <c r="D100" t="s">
        <v>176</v>
      </c>
      <c r="E100" t="s">
        <v>177</v>
      </c>
      <c r="F100" t="s">
        <v>167</v>
      </c>
      <c r="G100" t="s">
        <v>168</v>
      </c>
      <c r="H100">
        <v>1E-3</v>
      </c>
      <c r="I100">
        <v>999</v>
      </c>
      <c r="J100">
        <v>5</v>
      </c>
      <c r="K100">
        <v>1</v>
      </c>
      <c r="L100">
        <v>360</v>
      </c>
      <c r="M100" s="6" t="s">
        <v>59</v>
      </c>
      <c r="N100" s="6" t="s">
        <v>59</v>
      </c>
      <c r="O100" s="6" t="s">
        <v>59</v>
      </c>
      <c r="P100">
        <v>0</v>
      </c>
      <c r="Q100">
        <v>0</v>
      </c>
      <c r="R100">
        <v>0</v>
      </c>
    </row>
    <row r="101" spans="1:18" x14ac:dyDescent="0.25">
      <c r="A101">
        <v>99</v>
      </c>
      <c r="B101" t="s">
        <v>54</v>
      </c>
      <c r="C101">
        <v>94</v>
      </c>
      <c r="D101" t="s">
        <v>265</v>
      </c>
      <c r="E101" t="s">
        <v>266</v>
      </c>
      <c r="F101" t="s">
        <v>140</v>
      </c>
      <c r="G101" s="6" t="s">
        <v>59</v>
      </c>
      <c r="H101">
        <v>0.2</v>
      </c>
      <c r="I101">
        <v>17</v>
      </c>
      <c r="J101">
        <v>-1</v>
      </c>
      <c r="K101">
        <v>-1</v>
      </c>
      <c r="L101">
        <v>-1</v>
      </c>
      <c r="M101" s="6" t="s">
        <v>59</v>
      </c>
      <c r="N101" s="6" t="s">
        <v>59</v>
      </c>
      <c r="O101" s="6" t="s">
        <v>59</v>
      </c>
      <c r="P101">
        <v>0</v>
      </c>
      <c r="Q101">
        <v>0</v>
      </c>
      <c r="R101">
        <v>0</v>
      </c>
    </row>
    <row r="102" spans="1:18" x14ac:dyDescent="0.25">
      <c r="A102">
        <v>100</v>
      </c>
      <c r="B102" t="s">
        <v>110</v>
      </c>
      <c r="C102">
        <v>1</v>
      </c>
      <c r="D102" t="s">
        <v>111</v>
      </c>
      <c r="E102" t="s">
        <v>112</v>
      </c>
      <c r="F102" t="s">
        <v>113</v>
      </c>
      <c r="G102" t="s">
        <v>114</v>
      </c>
      <c r="H102">
        <v>5.883E-2</v>
      </c>
      <c r="I102">
        <v>40</v>
      </c>
      <c r="J102">
        <v>37</v>
      </c>
      <c r="K102">
        <v>2</v>
      </c>
      <c r="L102">
        <v>1800</v>
      </c>
      <c r="M102" s="6" t="s">
        <v>59</v>
      </c>
      <c r="N102" s="6" t="s">
        <v>59</v>
      </c>
      <c r="O102" s="6" t="s">
        <v>59</v>
      </c>
      <c r="P102">
        <v>0</v>
      </c>
      <c r="Q102">
        <v>0</v>
      </c>
      <c r="R102">
        <v>0</v>
      </c>
    </row>
    <row r="103" spans="1:18" x14ac:dyDescent="0.25">
      <c r="A103">
        <v>101</v>
      </c>
      <c r="B103" t="s">
        <v>459</v>
      </c>
      <c r="C103">
        <v>10004</v>
      </c>
      <c r="D103" t="s">
        <v>460</v>
      </c>
      <c r="E103" t="s">
        <v>461</v>
      </c>
      <c r="F103" t="s">
        <v>140</v>
      </c>
      <c r="G103" t="s">
        <v>141</v>
      </c>
      <c r="H103">
        <v>0.04</v>
      </c>
      <c r="I103">
        <v>999</v>
      </c>
      <c r="J103">
        <v>-1</v>
      </c>
      <c r="K103">
        <v>-1</v>
      </c>
      <c r="L103">
        <v>-1</v>
      </c>
      <c r="M103" s="6" t="s">
        <v>59</v>
      </c>
      <c r="N103" s="6" t="s">
        <v>59</v>
      </c>
      <c r="O103" s="6" t="s">
        <v>59</v>
      </c>
      <c r="P103">
        <v>0</v>
      </c>
      <c r="Q103">
        <v>0</v>
      </c>
      <c r="R103">
        <v>0</v>
      </c>
    </row>
    <row r="104" spans="1:18" x14ac:dyDescent="0.25">
      <c r="A104">
        <v>102</v>
      </c>
      <c r="B104" t="s">
        <v>137</v>
      </c>
      <c r="C104">
        <v>8</v>
      </c>
      <c r="D104" t="s">
        <v>138</v>
      </c>
      <c r="E104" t="s">
        <v>139</v>
      </c>
      <c r="F104" t="s">
        <v>140</v>
      </c>
      <c r="G104" t="s">
        <v>141</v>
      </c>
      <c r="H104">
        <v>0.5</v>
      </c>
      <c r="I104">
        <v>12</v>
      </c>
      <c r="J104">
        <v>-1</v>
      </c>
      <c r="K104">
        <v>-1</v>
      </c>
      <c r="L104">
        <v>-1</v>
      </c>
      <c r="M104" s="6" t="s">
        <v>59</v>
      </c>
      <c r="N104" s="6" t="s">
        <v>59</v>
      </c>
      <c r="O104" s="6" t="s">
        <v>59</v>
      </c>
      <c r="P104">
        <v>0</v>
      </c>
      <c r="Q104">
        <v>0</v>
      </c>
      <c r="R104">
        <v>0</v>
      </c>
    </row>
    <row r="105" spans="1:18" x14ac:dyDescent="0.25">
      <c r="A105">
        <v>103</v>
      </c>
      <c r="B105" t="s">
        <v>462</v>
      </c>
      <c r="C105">
        <v>10005</v>
      </c>
      <c r="D105" t="s">
        <v>463</v>
      </c>
      <c r="E105" t="s">
        <v>464</v>
      </c>
      <c r="F105" t="s">
        <v>140</v>
      </c>
      <c r="G105" t="s">
        <v>141</v>
      </c>
      <c r="H105">
        <v>3.5720000000000002E-2</v>
      </c>
      <c r="I105">
        <v>999</v>
      </c>
      <c r="J105">
        <v>-1</v>
      </c>
      <c r="K105">
        <v>-1</v>
      </c>
      <c r="L105">
        <v>-1</v>
      </c>
      <c r="M105" s="6" t="s">
        <v>59</v>
      </c>
      <c r="N105" s="6" t="s">
        <v>59</v>
      </c>
      <c r="O105" s="6" t="s">
        <v>59</v>
      </c>
      <c r="P105">
        <v>0</v>
      </c>
      <c r="Q105">
        <v>0</v>
      </c>
      <c r="R105">
        <v>0</v>
      </c>
    </row>
    <row r="106" spans="1:18" x14ac:dyDescent="0.25">
      <c r="A106">
        <v>104</v>
      </c>
      <c r="B106" t="s">
        <v>342</v>
      </c>
      <c r="C106">
        <v>9020</v>
      </c>
      <c r="D106" t="s">
        <v>343</v>
      </c>
      <c r="E106" t="s">
        <v>344</v>
      </c>
      <c r="F106" t="s">
        <v>140</v>
      </c>
      <c r="G106" t="s">
        <v>141</v>
      </c>
      <c r="H106">
        <v>0.11119999999999999</v>
      </c>
      <c r="I106">
        <v>170</v>
      </c>
      <c r="J106">
        <v>-1</v>
      </c>
      <c r="K106">
        <v>-1</v>
      </c>
      <c r="L106">
        <v>-1</v>
      </c>
      <c r="M106" s="6" t="s">
        <v>59</v>
      </c>
      <c r="N106" s="6" t="s">
        <v>59</v>
      </c>
      <c r="O106" s="6" t="s">
        <v>59</v>
      </c>
      <c r="P106">
        <v>0</v>
      </c>
      <c r="Q106">
        <v>0</v>
      </c>
      <c r="R106">
        <v>0</v>
      </c>
    </row>
    <row r="107" spans="1:18" x14ac:dyDescent="0.25">
      <c r="A107">
        <v>105</v>
      </c>
      <c r="B107" t="s">
        <v>149</v>
      </c>
      <c r="C107">
        <v>12</v>
      </c>
      <c r="D107" t="s">
        <v>150</v>
      </c>
      <c r="E107" t="s">
        <v>151</v>
      </c>
      <c r="F107" t="s">
        <v>140</v>
      </c>
      <c r="G107" t="s">
        <v>141</v>
      </c>
      <c r="H107">
        <v>0.5</v>
      </c>
      <c r="I107">
        <v>14</v>
      </c>
      <c r="J107">
        <v>-1</v>
      </c>
      <c r="K107">
        <v>-1</v>
      </c>
      <c r="L107">
        <v>-1</v>
      </c>
      <c r="M107" s="6" t="s">
        <v>59</v>
      </c>
      <c r="N107" s="6" t="s">
        <v>59</v>
      </c>
      <c r="O107" s="6" t="s">
        <v>59</v>
      </c>
      <c r="P107">
        <v>0</v>
      </c>
      <c r="Q107">
        <v>0</v>
      </c>
      <c r="R107">
        <v>0</v>
      </c>
    </row>
    <row r="108" spans="1:18" x14ac:dyDescent="0.25">
      <c r="A108">
        <v>106</v>
      </c>
      <c r="B108" t="s">
        <v>465</v>
      </c>
      <c r="C108">
        <v>10006</v>
      </c>
      <c r="D108" t="s">
        <v>466</v>
      </c>
      <c r="E108" t="s">
        <v>467</v>
      </c>
      <c r="F108" t="s">
        <v>140</v>
      </c>
      <c r="G108" t="s">
        <v>141</v>
      </c>
      <c r="H108">
        <v>7.6929999999999998E-2</v>
      </c>
      <c r="I108">
        <v>999</v>
      </c>
      <c r="J108">
        <v>-1</v>
      </c>
      <c r="K108">
        <v>-1</v>
      </c>
      <c r="L108">
        <v>-1</v>
      </c>
      <c r="M108" s="6" t="s">
        <v>59</v>
      </c>
      <c r="N108" s="6" t="s">
        <v>59</v>
      </c>
      <c r="O108" s="6" t="s">
        <v>59</v>
      </c>
      <c r="P108">
        <v>0</v>
      </c>
      <c r="Q108">
        <v>0</v>
      </c>
      <c r="R108">
        <v>0</v>
      </c>
    </row>
    <row r="109" spans="1:18" x14ac:dyDescent="0.25">
      <c r="A109">
        <v>107</v>
      </c>
      <c r="B109" t="s">
        <v>256</v>
      </c>
      <c r="C109">
        <v>90</v>
      </c>
      <c r="D109" t="s">
        <v>257</v>
      </c>
      <c r="E109" t="s">
        <v>258</v>
      </c>
      <c r="F109" t="s">
        <v>113</v>
      </c>
      <c r="G109" t="s">
        <v>114</v>
      </c>
      <c r="H109">
        <v>0.5</v>
      </c>
      <c r="I109">
        <v>11</v>
      </c>
      <c r="J109">
        <v>-1</v>
      </c>
      <c r="K109">
        <v>-1</v>
      </c>
      <c r="L109">
        <v>120</v>
      </c>
      <c r="M109" s="6" t="s">
        <v>59</v>
      </c>
      <c r="N109" s="6" t="s">
        <v>59</v>
      </c>
      <c r="O109" s="6" t="s">
        <v>59</v>
      </c>
      <c r="P109">
        <v>0</v>
      </c>
      <c r="Q109">
        <v>0</v>
      </c>
      <c r="R109">
        <v>0</v>
      </c>
    </row>
    <row r="110" spans="1:18" x14ac:dyDescent="0.25">
      <c r="A110">
        <v>108</v>
      </c>
      <c r="B110" t="s">
        <v>468</v>
      </c>
      <c r="C110">
        <v>10007</v>
      </c>
      <c r="D110" t="s">
        <v>469</v>
      </c>
      <c r="E110" t="s">
        <v>470</v>
      </c>
      <c r="F110" t="s">
        <v>140</v>
      </c>
      <c r="G110" t="s">
        <v>141</v>
      </c>
      <c r="H110">
        <v>3.125E-2</v>
      </c>
      <c r="I110">
        <v>999</v>
      </c>
      <c r="J110">
        <v>-1</v>
      </c>
      <c r="K110">
        <v>-1</v>
      </c>
      <c r="L110">
        <v>-1</v>
      </c>
      <c r="M110" s="6" t="s">
        <v>59</v>
      </c>
      <c r="N110" s="6" t="s">
        <v>59</v>
      </c>
      <c r="O110" s="6" t="s">
        <v>59</v>
      </c>
      <c r="P110">
        <v>0</v>
      </c>
      <c r="Q110">
        <v>0</v>
      </c>
      <c r="R110">
        <v>0</v>
      </c>
    </row>
    <row r="111" spans="1:18" x14ac:dyDescent="0.25">
      <c r="A111">
        <v>109</v>
      </c>
      <c r="B111" t="s">
        <v>354</v>
      </c>
      <c r="C111">
        <v>9103</v>
      </c>
      <c r="D111" t="s">
        <v>355</v>
      </c>
      <c r="E111" t="s">
        <v>356</v>
      </c>
      <c r="F111" t="s">
        <v>113</v>
      </c>
      <c r="G111" t="s">
        <v>114</v>
      </c>
      <c r="H111">
        <v>0.11119999999999999</v>
      </c>
      <c r="I111">
        <v>170</v>
      </c>
      <c r="J111">
        <v>140</v>
      </c>
      <c r="K111">
        <v>2</v>
      </c>
      <c r="L111">
        <v>14400</v>
      </c>
      <c r="M111" s="6" t="s">
        <v>59</v>
      </c>
      <c r="N111" s="6" t="s">
        <v>59</v>
      </c>
      <c r="O111" s="6" t="s">
        <v>59</v>
      </c>
      <c r="P111">
        <v>0</v>
      </c>
      <c r="Q111">
        <v>0</v>
      </c>
      <c r="R111">
        <v>0</v>
      </c>
    </row>
    <row r="112" spans="1:18" x14ac:dyDescent="0.25">
      <c r="A112">
        <v>110</v>
      </c>
      <c r="B112" t="s">
        <v>273</v>
      </c>
      <c r="C112">
        <v>97</v>
      </c>
      <c r="D112" t="s">
        <v>274</v>
      </c>
      <c r="E112" t="s">
        <v>275</v>
      </c>
      <c r="F112" t="s">
        <v>140</v>
      </c>
      <c r="G112" t="s">
        <v>141</v>
      </c>
      <c r="H112">
        <v>3.5720000000000002E-2</v>
      </c>
      <c r="I112">
        <v>110</v>
      </c>
      <c r="J112">
        <v>70</v>
      </c>
      <c r="K112">
        <v>3</v>
      </c>
      <c r="L112">
        <v>3600</v>
      </c>
      <c r="M112" s="6" t="s">
        <v>59</v>
      </c>
      <c r="N112" s="6" t="s">
        <v>59</v>
      </c>
      <c r="O112" s="6" t="s">
        <v>59</v>
      </c>
      <c r="P112">
        <v>0</v>
      </c>
      <c r="Q112">
        <v>0</v>
      </c>
      <c r="R112">
        <v>0</v>
      </c>
    </row>
    <row r="113" spans="1:18" x14ac:dyDescent="0.25">
      <c r="A113">
        <v>111</v>
      </c>
      <c r="B113" t="s">
        <v>276</v>
      </c>
      <c r="C113">
        <v>99</v>
      </c>
      <c r="D113" t="s">
        <v>277</v>
      </c>
      <c r="E113" t="s">
        <v>278</v>
      </c>
      <c r="F113" t="s">
        <v>113</v>
      </c>
      <c r="G113" t="s">
        <v>114</v>
      </c>
      <c r="H113">
        <v>0.1</v>
      </c>
      <c r="I113">
        <v>20</v>
      </c>
      <c r="J113">
        <v>19</v>
      </c>
      <c r="K113">
        <v>2</v>
      </c>
      <c r="L113">
        <v>900</v>
      </c>
      <c r="M113" s="6" t="s">
        <v>59</v>
      </c>
      <c r="N113" s="6" t="s">
        <v>59</v>
      </c>
      <c r="O113" s="6" t="s">
        <v>59</v>
      </c>
      <c r="P113">
        <v>0</v>
      </c>
      <c r="Q113">
        <v>0</v>
      </c>
      <c r="R113">
        <v>0</v>
      </c>
    </row>
    <row r="114" spans="1:18" x14ac:dyDescent="0.25">
      <c r="A114">
        <v>112</v>
      </c>
      <c r="B114" t="s">
        <v>435</v>
      </c>
      <c r="C114">
        <v>9202</v>
      </c>
      <c r="D114" t="s">
        <v>436</v>
      </c>
      <c r="E114" t="s">
        <v>437</v>
      </c>
      <c r="F114" t="s">
        <v>113</v>
      </c>
      <c r="G114" t="s">
        <v>114</v>
      </c>
      <c r="H114">
        <v>0.11119999999999999</v>
      </c>
      <c r="I114">
        <v>170</v>
      </c>
      <c r="J114">
        <v>125</v>
      </c>
      <c r="K114">
        <v>1</v>
      </c>
      <c r="L114">
        <v>600</v>
      </c>
      <c r="M114" s="6" t="s">
        <v>59</v>
      </c>
      <c r="N114" s="6" t="s">
        <v>59</v>
      </c>
      <c r="O114" s="6" t="s">
        <v>59</v>
      </c>
      <c r="P114">
        <v>0</v>
      </c>
      <c r="Q114">
        <v>0</v>
      </c>
      <c r="R114">
        <v>0</v>
      </c>
    </row>
    <row r="115" spans="1:18" x14ac:dyDescent="0.25">
      <c r="A115">
        <v>113</v>
      </c>
      <c r="B115" t="s">
        <v>152</v>
      </c>
      <c r="C115">
        <v>13</v>
      </c>
      <c r="D115" t="s">
        <v>153</v>
      </c>
      <c r="E115" t="s">
        <v>154</v>
      </c>
      <c r="F115" t="s">
        <v>140</v>
      </c>
      <c r="G115" t="s">
        <v>141</v>
      </c>
      <c r="H115">
        <v>0.1429</v>
      </c>
      <c r="I115">
        <v>170</v>
      </c>
      <c r="J115">
        <v>-1</v>
      </c>
      <c r="K115">
        <v>-1</v>
      </c>
      <c r="L115">
        <v>-1</v>
      </c>
      <c r="M115" s="6" t="s">
        <v>59</v>
      </c>
      <c r="N115" s="6" t="s">
        <v>59</v>
      </c>
      <c r="O115" s="6" t="s">
        <v>59</v>
      </c>
      <c r="P115">
        <v>0</v>
      </c>
      <c r="Q115">
        <v>0</v>
      </c>
      <c r="R115">
        <v>0</v>
      </c>
    </row>
    <row r="116" spans="1:18" x14ac:dyDescent="0.25">
      <c r="A116">
        <v>114</v>
      </c>
      <c r="B116" t="s">
        <v>351</v>
      </c>
      <c r="C116">
        <v>9102</v>
      </c>
      <c r="D116" t="s">
        <v>352</v>
      </c>
      <c r="E116" t="s">
        <v>353</v>
      </c>
      <c r="F116" t="s">
        <v>113</v>
      </c>
      <c r="G116" t="s">
        <v>114</v>
      </c>
      <c r="H116">
        <v>0.11119999999999999</v>
      </c>
      <c r="I116">
        <v>170</v>
      </c>
      <c r="J116">
        <v>125</v>
      </c>
      <c r="K116">
        <v>1</v>
      </c>
      <c r="L116">
        <v>7200</v>
      </c>
      <c r="M116" s="6" t="s">
        <v>59</v>
      </c>
      <c r="N116" s="6" t="s">
        <v>59</v>
      </c>
      <c r="O116" s="6" t="s">
        <v>59</v>
      </c>
      <c r="P116">
        <v>0</v>
      </c>
      <c r="Q116">
        <v>0</v>
      </c>
      <c r="R116">
        <v>0</v>
      </c>
    </row>
    <row r="117" spans="1:18" x14ac:dyDescent="0.25">
      <c r="A117">
        <v>115</v>
      </c>
      <c r="B117" t="s">
        <v>288</v>
      </c>
      <c r="C117">
        <v>9000</v>
      </c>
      <c r="D117" t="s">
        <v>289</v>
      </c>
      <c r="E117" t="s">
        <v>290</v>
      </c>
      <c r="F117" t="s">
        <v>113</v>
      </c>
      <c r="G117" t="s">
        <v>114</v>
      </c>
      <c r="H117">
        <v>0.11119999999999999</v>
      </c>
      <c r="I117">
        <v>170</v>
      </c>
      <c r="J117">
        <v>215</v>
      </c>
      <c r="K117">
        <v>8</v>
      </c>
      <c r="L117">
        <v>43200</v>
      </c>
      <c r="M117" s="6" t="s">
        <v>59</v>
      </c>
      <c r="N117" s="6" t="s">
        <v>59</v>
      </c>
      <c r="O117" s="6" t="s">
        <v>59</v>
      </c>
      <c r="P117">
        <v>0</v>
      </c>
      <c r="Q117">
        <v>0</v>
      </c>
      <c r="R117">
        <v>0</v>
      </c>
    </row>
    <row r="118" spans="1:18" x14ac:dyDescent="0.25">
      <c r="A118">
        <v>116</v>
      </c>
      <c r="B118" t="s">
        <v>291</v>
      </c>
      <c r="C118">
        <v>9001</v>
      </c>
      <c r="D118" t="s">
        <v>292</v>
      </c>
      <c r="E118" t="s">
        <v>293</v>
      </c>
      <c r="F118" t="s">
        <v>113</v>
      </c>
      <c r="G118" t="s">
        <v>114</v>
      </c>
      <c r="H118">
        <v>0.11119999999999999</v>
      </c>
      <c r="I118">
        <v>170</v>
      </c>
      <c r="J118">
        <v>190</v>
      </c>
      <c r="K118">
        <v>8</v>
      </c>
      <c r="L118">
        <v>43200</v>
      </c>
      <c r="M118" s="6" t="s">
        <v>59</v>
      </c>
      <c r="N118" s="6" t="s">
        <v>59</v>
      </c>
      <c r="O118" s="6" t="s">
        <v>59</v>
      </c>
      <c r="P118">
        <v>0</v>
      </c>
      <c r="Q118">
        <v>0</v>
      </c>
      <c r="R118">
        <v>0</v>
      </c>
    </row>
    <row r="119" spans="1:18" x14ac:dyDescent="0.25">
      <c r="A119">
        <v>117</v>
      </c>
      <c r="B119" t="s">
        <v>324</v>
      </c>
      <c r="C119">
        <v>9014</v>
      </c>
      <c r="D119" t="s">
        <v>325</v>
      </c>
      <c r="E119" t="s">
        <v>326</v>
      </c>
      <c r="F119" t="s">
        <v>113</v>
      </c>
      <c r="G119" t="s">
        <v>114</v>
      </c>
      <c r="H119">
        <v>0.11119999999999999</v>
      </c>
      <c r="I119">
        <v>170</v>
      </c>
      <c r="J119">
        <v>180</v>
      </c>
      <c r="K119">
        <v>6</v>
      </c>
      <c r="L119">
        <v>28800</v>
      </c>
      <c r="M119" s="6" t="s">
        <v>59</v>
      </c>
      <c r="N119" s="6" t="s">
        <v>59</v>
      </c>
      <c r="O119" s="6" t="s">
        <v>59</v>
      </c>
      <c r="P119">
        <v>0</v>
      </c>
      <c r="Q119">
        <v>0</v>
      </c>
      <c r="R119">
        <v>0</v>
      </c>
    </row>
    <row r="120" spans="1:18" x14ac:dyDescent="0.25">
      <c r="A120">
        <v>118</v>
      </c>
      <c r="B120" t="s">
        <v>327</v>
      </c>
      <c r="C120">
        <v>9015</v>
      </c>
      <c r="D120" t="s">
        <v>328</v>
      </c>
      <c r="E120" t="s">
        <v>329</v>
      </c>
      <c r="F120" t="s">
        <v>113</v>
      </c>
      <c r="G120" t="s">
        <v>114</v>
      </c>
      <c r="H120">
        <v>0.11119999999999999</v>
      </c>
      <c r="I120">
        <v>170</v>
      </c>
      <c r="J120">
        <v>300</v>
      </c>
      <c r="K120">
        <v>10</v>
      </c>
      <c r="L120">
        <v>86400</v>
      </c>
      <c r="M120" s="6" t="s">
        <v>59</v>
      </c>
      <c r="N120" s="6" t="s">
        <v>59</v>
      </c>
      <c r="O120" s="6" t="s">
        <v>59</v>
      </c>
      <c r="P120">
        <v>0</v>
      </c>
      <c r="Q120">
        <v>0</v>
      </c>
      <c r="R120">
        <v>0</v>
      </c>
    </row>
    <row r="121" spans="1:18" x14ac:dyDescent="0.25">
      <c r="A121">
        <v>119</v>
      </c>
      <c r="B121" t="s">
        <v>339</v>
      </c>
      <c r="C121">
        <v>9019</v>
      </c>
      <c r="D121" t="s">
        <v>340</v>
      </c>
      <c r="E121" t="s">
        <v>341</v>
      </c>
      <c r="F121" t="s">
        <v>113</v>
      </c>
      <c r="G121" t="s">
        <v>114</v>
      </c>
      <c r="H121">
        <v>0.11119999999999999</v>
      </c>
      <c r="I121">
        <v>170</v>
      </c>
      <c r="J121">
        <v>290</v>
      </c>
      <c r="K121">
        <v>10</v>
      </c>
      <c r="L121">
        <v>86400</v>
      </c>
      <c r="M121" s="6" t="s">
        <v>59</v>
      </c>
      <c r="N121" s="6" t="s">
        <v>59</v>
      </c>
      <c r="O121" s="6" t="s">
        <v>59</v>
      </c>
      <c r="P121">
        <v>0</v>
      </c>
      <c r="Q121">
        <v>0</v>
      </c>
      <c r="R121">
        <v>0</v>
      </c>
    </row>
    <row r="122" spans="1:18" x14ac:dyDescent="0.25">
      <c r="A122">
        <v>120</v>
      </c>
      <c r="B122" t="s">
        <v>330</v>
      </c>
      <c r="C122">
        <v>9016</v>
      </c>
      <c r="D122" t="s">
        <v>331</v>
      </c>
      <c r="E122" t="s">
        <v>332</v>
      </c>
      <c r="F122" t="s">
        <v>113</v>
      </c>
      <c r="G122" t="s">
        <v>114</v>
      </c>
      <c r="H122">
        <v>0.11119999999999999</v>
      </c>
      <c r="I122">
        <v>1</v>
      </c>
      <c r="J122">
        <v>125</v>
      </c>
      <c r="K122">
        <v>3</v>
      </c>
      <c r="L122">
        <v>7200</v>
      </c>
      <c r="M122" s="6" t="s">
        <v>59</v>
      </c>
      <c r="N122" s="6" t="s">
        <v>59</v>
      </c>
      <c r="O122" s="6" t="s">
        <v>59</v>
      </c>
      <c r="P122">
        <v>0</v>
      </c>
      <c r="Q122">
        <v>0</v>
      </c>
      <c r="R122">
        <v>0</v>
      </c>
    </row>
    <row r="123" spans="1:18" x14ac:dyDescent="0.25">
      <c r="A123">
        <v>121</v>
      </c>
      <c r="B123" t="s">
        <v>333</v>
      </c>
      <c r="C123">
        <v>9017</v>
      </c>
      <c r="D123" t="s">
        <v>334</v>
      </c>
      <c r="E123" t="s">
        <v>335</v>
      </c>
      <c r="F123" t="s">
        <v>140</v>
      </c>
      <c r="G123" t="s">
        <v>141</v>
      </c>
      <c r="H123">
        <v>0.11119999999999999</v>
      </c>
      <c r="I123">
        <v>170</v>
      </c>
      <c r="J123">
        <v>-1</v>
      </c>
      <c r="K123">
        <v>-1</v>
      </c>
      <c r="L123">
        <v>-1</v>
      </c>
      <c r="M123" s="6" t="s">
        <v>59</v>
      </c>
      <c r="N123" s="6" t="s">
        <v>59</v>
      </c>
      <c r="O123" s="6" t="s">
        <v>59</v>
      </c>
      <c r="P123">
        <v>0</v>
      </c>
      <c r="Q123">
        <v>0</v>
      </c>
      <c r="R123">
        <v>0</v>
      </c>
    </row>
    <row r="124" spans="1:18" x14ac:dyDescent="0.25">
      <c r="A124">
        <v>122</v>
      </c>
      <c r="B124" t="s">
        <v>336</v>
      </c>
      <c r="C124">
        <v>9018</v>
      </c>
      <c r="D124" t="s">
        <v>337</v>
      </c>
      <c r="E124" t="s">
        <v>338</v>
      </c>
      <c r="F124" t="s">
        <v>140</v>
      </c>
      <c r="G124" t="s">
        <v>141</v>
      </c>
      <c r="H124">
        <v>0.11119999999999999</v>
      </c>
      <c r="I124">
        <v>170</v>
      </c>
      <c r="J124">
        <v>315</v>
      </c>
      <c r="K124">
        <v>10</v>
      </c>
      <c r="L124">
        <v>86400</v>
      </c>
      <c r="M124" s="6" t="s">
        <v>59</v>
      </c>
      <c r="N124" s="6" t="s">
        <v>59</v>
      </c>
      <c r="O124" s="6" t="s">
        <v>59</v>
      </c>
      <c r="P124">
        <v>0</v>
      </c>
      <c r="Q124">
        <v>0</v>
      </c>
      <c r="R124">
        <v>0</v>
      </c>
    </row>
    <row r="125" spans="1:18" x14ac:dyDescent="0.25">
      <c r="A125">
        <v>123</v>
      </c>
      <c r="B125" t="s">
        <v>192</v>
      </c>
      <c r="C125">
        <v>25</v>
      </c>
      <c r="D125" t="s">
        <v>193</v>
      </c>
      <c r="E125" t="s">
        <v>194</v>
      </c>
      <c r="F125" t="s">
        <v>195</v>
      </c>
      <c r="G125" t="s">
        <v>196</v>
      </c>
      <c r="H125">
        <v>1E-3</v>
      </c>
      <c r="I125">
        <v>999</v>
      </c>
      <c r="J125">
        <v>120</v>
      </c>
      <c r="K125">
        <v>1</v>
      </c>
      <c r="L125">
        <v>120</v>
      </c>
      <c r="M125" s="6" t="s">
        <v>59</v>
      </c>
      <c r="N125" s="6" t="s">
        <v>59</v>
      </c>
      <c r="O125" s="6" t="s">
        <v>59</v>
      </c>
      <c r="P125">
        <v>0</v>
      </c>
      <c r="Q125">
        <v>0</v>
      </c>
      <c r="R125">
        <v>0</v>
      </c>
    </row>
    <row r="126" spans="1:18" x14ac:dyDescent="0.25">
      <c r="A126">
        <v>124</v>
      </c>
      <c r="B126" t="s">
        <v>251</v>
      </c>
      <c r="C126">
        <v>46</v>
      </c>
      <c r="D126" t="s">
        <v>252</v>
      </c>
      <c r="E126" t="s">
        <v>253</v>
      </c>
      <c r="F126" t="s">
        <v>184</v>
      </c>
      <c r="G126" t="s">
        <v>185</v>
      </c>
      <c r="H126">
        <v>0.2</v>
      </c>
      <c r="I126">
        <v>30</v>
      </c>
      <c r="J126">
        <v>7</v>
      </c>
      <c r="K126">
        <v>1</v>
      </c>
      <c r="L126">
        <v>300</v>
      </c>
      <c r="M126" s="6" t="s">
        <v>59</v>
      </c>
      <c r="N126" s="6" t="s">
        <v>59</v>
      </c>
      <c r="O126" s="6" t="s">
        <v>59</v>
      </c>
      <c r="P126">
        <v>0</v>
      </c>
      <c r="Q126">
        <v>0</v>
      </c>
      <c r="R126">
        <v>0</v>
      </c>
    </row>
    <row r="127" spans="1:18" x14ac:dyDescent="0.25">
      <c r="A127">
        <v>125</v>
      </c>
      <c r="B127" t="s">
        <v>206</v>
      </c>
      <c r="C127">
        <v>29</v>
      </c>
      <c r="D127" t="s">
        <v>207</v>
      </c>
      <c r="E127" t="s">
        <v>208</v>
      </c>
      <c r="F127" t="s">
        <v>184</v>
      </c>
      <c r="G127" t="s">
        <v>185</v>
      </c>
      <c r="H127">
        <v>1E-3</v>
      </c>
      <c r="I127">
        <v>999</v>
      </c>
      <c r="J127">
        <v>5</v>
      </c>
      <c r="K127">
        <v>1</v>
      </c>
      <c r="L127">
        <v>120</v>
      </c>
      <c r="M127" s="6" t="s">
        <v>59</v>
      </c>
      <c r="N127" s="6" t="s">
        <v>59</v>
      </c>
      <c r="O127" s="6" t="s">
        <v>59</v>
      </c>
      <c r="P127">
        <v>0</v>
      </c>
      <c r="Q127">
        <v>0</v>
      </c>
      <c r="R127">
        <v>0</v>
      </c>
    </row>
    <row r="128" spans="1:18" x14ac:dyDescent="0.25">
      <c r="A128">
        <v>126</v>
      </c>
      <c r="B128" t="s">
        <v>181</v>
      </c>
      <c r="C128">
        <v>22</v>
      </c>
      <c r="D128" t="s">
        <v>182</v>
      </c>
      <c r="E128" t="s">
        <v>183</v>
      </c>
      <c r="F128" t="s">
        <v>184</v>
      </c>
      <c r="G128" t="s">
        <v>185</v>
      </c>
      <c r="H128">
        <v>2.0840000000000001E-2</v>
      </c>
      <c r="I128">
        <v>150</v>
      </c>
      <c r="J128">
        <v>84</v>
      </c>
      <c r="K128">
        <v>4</v>
      </c>
      <c r="L128">
        <v>900</v>
      </c>
      <c r="M128" s="6" t="s">
        <v>59</v>
      </c>
      <c r="N128" s="6" t="s">
        <v>59</v>
      </c>
      <c r="O128" s="6" t="s">
        <v>59</v>
      </c>
      <c r="P128">
        <v>0</v>
      </c>
      <c r="Q128">
        <v>0</v>
      </c>
      <c r="R128">
        <v>0</v>
      </c>
    </row>
    <row r="129" spans="1:18" x14ac:dyDescent="0.25">
      <c r="A129">
        <v>127</v>
      </c>
      <c r="B129" t="s">
        <v>348</v>
      </c>
      <c r="C129">
        <v>9101</v>
      </c>
      <c r="D129" t="s">
        <v>349</v>
      </c>
      <c r="E129" t="s">
        <v>350</v>
      </c>
      <c r="F129" t="s">
        <v>113</v>
      </c>
      <c r="G129" t="s">
        <v>114</v>
      </c>
      <c r="H129">
        <v>0.11119999999999999</v>
      </c>
      <c r="I129">
        <v>170</v>
      </c>
      <c r="J129">
        <v>50</v>
      </c>
      <c r="K129">
        <v>1</v>
      </c>
      <c r="L129">
        <v>1800</v>
      </c>
      <c r="M129" s="6" t="s">
        <v>59</v>
      </c>
      <c r="N129" s="6" t="s">
        <v>59</v>
      </c>
      <c r="O129" s="6" t="s">
        <v>59</v>
      </c>
      <c r="P129">
        <v>0</v>
      </c>
      <c r="Q129">
        <v>0</v>
      </c>
      <c r="R129">
        <v>0</v>
      </c>
    </row>
    <row r="130" spans="1:18" x14ac:dyDescent="0.25">
      <c r="A130">
        <v>128</v>
      </c>
      <c r="B130" t="s">
        <v>471</v>
      </c>
      <c r="C130">
        <v>10008</v>
      </c>
      <c r="D130" t="s">
        <v>472</v>
      </c>
      <c r="E130" t="s">
        <v>473</v>
      </c>
      <c r="F130" t="s">
        <v>140</v>
      </c>
      <c r="G130" t="s">
        <v>141</v>
      </c>
      <c r="H130">
        <v>0.14285999999999999</v>
      </c>
      <c r="I130">
        <v>999</v>
      </c>
      <c r="J130">
        <v>-1</v>
      </c>
      <c r="K130">
        <v>-1</v>
      </c>
      <c r="L130">
        <v>-1</v>
      </c>
      <c r="M130" s="6" t="s">
        <v>59</v>
      </c>
      <c r="N130" s="6" t="s">
        <v>59</v>
      </c>
      <c r="O130" s="6" t="s">
        <v>59</v>
      </c>
      <c r="P130">
        <v>0</v>
      </c>
      <c r="Q130">
        <v>0</v>
      </c>
      <c r="R130">
        <v>0</v>
      </c>
    </row>
    <row r="131" spans="1:18" x14ac:dyDescent="0.25">
      <c r="A131">
        <v>129</v>
      </c>
      <c r="B131" t="s">
        <v>426</v>
      </c>
      <c r="C131">
        <v>9127</v>
      </c>
      <c r="D131" t="s">
        <v>427</v>
      </c>
      <c r="E131" t="s">
        <v>428</v>
      </c>
      <c r="F131" t="s">
        <v>113</v>
      </c>
      <c r="G131" t="s">
        <v>114</v>
      </c>
      <c r="H131">
        <v>0.11119999999999999</v>
      </c>
      <c r="I131">
        <v>170</v>
      </c>
      <c r="J131">
        <v>450</v>
      </c>
      <c r="K131">
        <v>15</v>
      </c>
      <c r="L131">
        <v>86400</v>
      </c>
      <c r="M131" s="6" t="s">
        <v>59</v>
      </c>
      <c r="N131" s="6" t="s">
        <v>59</v>
      </c>
      <c r="O131" s="6" t="s">
        <v>59</v>
      </c>
      <c r="P131">
        <v>0</v>
      </c>
      <c r="Q131">
        <v>0</v>
      </c>
      <c r="R131">
        <v>0</v>
      </c>
    </row>
    <row r="132" spans="1:18" x14ac:dyDescent="0.25">
      <c r="A132">
        <v>130</v>
      </c>
      <c r="B132" t="s">
        <v>259</v>
      </c>
      <c r="C132">
        <v>92</v>
      </c>
      <c r="D132" t="s">
        <v>260</v>
      </c>
      <c r="E132" t="s">
        <v>261</v>
      </c>
      <c r="F132" t="s">
        <v>92</v>
      </c>
      <c r="G132" t="s">
        <v>93</v>
      </c>
      <c r="H132">
        <v>0.35</v>
      </c>
      <c r="I132">
        <v>15</v>
      </c>
      <c r="J132">
        <v>11</v>
      </c>
      <c r="K132">
        <v>1</v>
      </c>
      <c r="L132">
        <v>60</v>
      </c>
      <c r="M132" s="6" t="s">
        <v>59</v>
      </c>
      <c r="N132" s="6" t="s">
        <v>59</v>
      </c>
      <c r="O132" s="6" t="s">
        <v>59</v>
      </c>
      <c r="P132">
        <v>0</v>
      </c>
      <c r="Q132">
        <v>0</v>
      </c>
      <c r="R132">
        <v>0</v>
      </c>
    </row>
    <row r="133" spans="1:18" x14ac:dyDescent="0.25">
      <c r="A133">
        <v>131</v>
      </c>
      <c r="B133" t="s">
        <v>144</v>
      </c>
      <c r="C133">
        <v>10</v>
      </c>
      <c r="D133" t="s">
        <v>145</v>
      </c>
      <c r="E133" t="s">
        <v>146</v>
      </c>
      <c r="F133" t="s">
        <v>140</v>
      </c>
      <c r="G133" t="s">
        <v>141</v>
      </c>
      <c r="H133">
        <v>0.5</v>
      </c>
      <c r="I133">
        <v>13</v>
      </c>
      <c r="J133">
        <v>-1</v>
      </c>
      <c r="K133">
        <v>-1</v>
      </c>
      <c r="L133">
        <v>-1</v>
      </c>
      <c r="M133" s="6" t="s">
        <v>59</v>
      </c>
      <c r="N133" s="6" t="s">
        <v>59</v>
      </c>
      <c r="O133" s="6" t="s">
        <v>59</v>
      </c>
      <c r="P133">
        <v>0</v>
      </c>
      <c r="Q133">
        <v>0</v>
      </c>
      <c r="R133">
        <v>0</v>
      </c>
    </row>
    <row r="134" spans="1:18" x14ac:dyDescent="0.25">
      <c r="A134">
        <v>132</v>
      </c>
      <c r="B134" t="s">
        <v>223</v>
      </c>
      <c r="C134">
        <v>35</v>
      </c>
      <c r="D134" t="s">
        <v>224</v>
      </c>
      <c r="E134" t="s">
        <v>225</v>
      </c>
      <c r="F134" t="s">
        <v>92</v>
      </c>
      <c r="G134" t="s">
        <v>93</v>
      </c>
      <c r="H134">
        <v>0.25</v>
      </c>
      <c r="I134">
        <v>-1</v>
      </c>
      <c r="J134">
        <v>-1</v>
      </c>
      <c r="K134">
        <v>-1</v>
      </c>
      <c r="L134">
        <v>-1</v>
      </c>
      <c r="M134" s="6" t="s">
        <v>59</v>
      </c>
      <c r="N134" s="6" t="s">
        <v>59</v>
      </c>
      <c r="O134" s="6" t="s">
        <v>59</v>
      </c>
      <c r="P134">
        <v>0</v>
      </c>
      <c r="Q134">
        <v>0</v>
      </c>
      <c r="R134">
        <v>0</v>
      </c>
    </row>
    <row r="135" spans="1:18" x14ac:dyDescent="0.25">
      <c r="A135">
        <v>133</v>
      </c>
      <c r="B135" t="s">
        <v>242</v>
      </c>
      <c r="C135">
        <v>43</v>
      </c>
      <c r="D135" t="s">
        <v>243</v>
      </c>
      <c r="E135" t="s">
        <v>244</v>
      </c>
      <c r="F135" t="s">
        <v>184</v>
      </c>
      <c r="G135" t="s">
        <v>185</v>
      </c>
      <c r="H135">
        <v>1E-3</v>
      </c>
      <c r="I135">
        <v>-1</v>
      </c>
      <c r="J135">
        <v>-1</v>
      </c>
      <c r="K135">
        <v>-1</v>
      </c>
      <c r="L135">
        <v>-1</v>
      </c>
      <c r="M135" s="6" t="s">
        <v>59</v>
      </c>
      <c r="N135" s="6" t="s">
        <v>59</v>
      </c>
      <c r="O135" s="6" t="s">
        <v>59</v>
      </c>
      <c r="P135">
        <v>0</v>
      </c>
      <c r="Q135">
        <v>0</v>
      </c>
      <c r="R135">
        <v>0</v>
      </c>
    </row>
    <row r="136" spans="1:18" x14ac:dyDescent="0.25">
      <c r="A136">
        <v>134</v>
      </c>
      <c r="B136" t="s">
        <v>438</v>
      </c>
      <c r="C136">
        <v>9203</v>
      </c>
      <c r="D136" t="s">
        <v>439</v>
      </c>
      <c r="E136" t="s">
        <v>440</v>
      </c>
      <c r="F136" t="s">
        <v>113</v>
      </c>
      <c r="G136" t="s">
        <v>114</v>
      </c>
      <c r="H136">
        <v>0.11119999999999999</v>
      </c>
      <c r="I136">
        <v>170</v>
      </c>
      <c r="J136">
        <v>140</v>
      </c>
      <c r="K136">
        <v>2</v>
      </c>
      <c r="L136">
        <v>14400</v>
      </c>
      <c r="M136" s="6" t="s">
        <v>59</v>
      </c>
      <c r="N136" s="6" t="s">
        <v>59</v>
      </c>
      <c r="O136" s="6" t="s">
        <v>59</v>
      </c>
      <c r="P136">
        <v>0</v>
      </c>
      <c r="Q136">
        <v>0</v>
      </c>
      <c r="R136">
        <v>0</v>
      </c>
    </row>
    <row r="137" spans="1:18" x14ac:dyDescent="0.25">
      <c r="A137">
        <v>135</v>
      </c>
      <c r="B137" t="s">
        <v>240</v>
      </c>
      <c r="C137">
        <v>42</v>
      </c>
      <c r="D137" t="s">
        <v>241</v>
      </c>
      <c r="E137" t="s">
        <v>222</v>
      </c>
      <c r="F137" t="s">
        <v>167</v>
      </c>
      <c r="G137" t="s">
        <v>168</v>
      </c>
      <c r="H137">
        <v>1E-3</v>
      </c>
      <c r="I137">
        <v>999</v>
      </c>
      <c r="J137">
        <v>-1</v>
      </c>
      <c r="K137">
        <v>-1</v>
      </c>
      <c r="L137">
        <v>120</v>
      </c>
      <c r="M137" s="6" t="s">
        <v>59</v>
      </c>
      <c r="N137" s="6" t="s">
        <v>59</v>
      </c>
      <c r="O137" s="6" t="s">
        <v>59</v>
      </c>
      <c r="P137">
        <v>0</v>
      </c>
      <c r="Q137">
        <v>0</v>
      </c>
      <c r="R137">
        <v>0</v>
      </c>
    </row>
    <row r="138" spans="1:18" x14ac:dyDescent="0.25">
      <c r="A138">
        <v>136</v>
      </c>
      <c r="B138" t="s">
        <v>279</v>
      </c>
      <c r="C138">
        <v>2000</v>
      </c>
      <c r="D138" t="s">
        <v>280</v>
      </c>
      <c r="E138" t="s">
        <v>281</v>
      </c>
      <c r="F138" t="s">
        <v>140</v>
      </c>
      <c r="G138" t="s">
        <v>141</v>
      </c>
      <c r="H138">
        <v>0.11119999999999999</v>
      </c>
      <c r="I138">
        <v>170</v>
      </c>
      <c r="J138">
        <v>-1</v>
      </c>
      <c r="K138">
        <v>-1</v>
      </c>
      <c r="L138">
        <v>-1</v>
      </c>
      <c r="M138" s="6" t="s">
        <v>59</v>
      </c>
      <c r="N138" s="6" t="s">
        <v>59</v>
      </c>
      <c r="O138" s="6" t="s">
        <v>59</v>
      </c>
      <c r="P138">
        <v>0</v>
      </c>
      <c r="Q138">
        <v>0</v>
      </c>
      <c r="R138">
        <v>0</v>
      </c>
    </row>
    <row r="139" spans="1:18" x14ac:dyDescent="0.25">
      <c r="A139">
        <v>137</v>
      </c>
      <c r="B139" t="s">
        <v>235</v>
      </c>
      <c r="C139">
        <v>40</v>
      </c>
      <c r="D139" t="s">
        <v>236</v>
      </c>
      <c r="E139" t="s">
        <v>237</v>
      </c>
      <c r="F139" t="s">
        <v>113</v>
      </c>
      <c r="G139" t="s">
        <v>114</v>
      </c>
      <c r="H139">
        <v>5.2639999999999999E-2</v>
      </c>
      <c r="I139">
        <v>59</v>
      </c>
      <c r="J139">
        <v>26</v>
      </c>
      <c r="K139">
        <v>2</v>
      </c>
      <c r="L139">
        <v>1800</v>
      </c>
      <c r="M139" s="6" t="s">
        <v>59</v>
      </c>
      <c r="N139" s="6" t="s">
        <v>59</v>
      </c>
      <c r="O139" s="6" t="s">
        <v>59</v>
      </c>
      <c r="P139">
        <v>0</v>
      </c>
      <c r="Q139">
        <v>0</v>
      </c>
      <c r="R139">
        <v>0</v>
      </c>
    </row>
    <row r="140" spans="1:18" x14ac:dyDescent="0.25">
      <c r="A140">
        <v>138</v>
      </c>
      <c r="B140" t="s">
        <v>245</v>
      </c>
      <c r="C140">
        <v>44</v>
      </c>
      <c r="D140" t="s">
        <v>246</v>
      </c>
      <c r="E140" t="s">
        <v>247</v>
      </c>
      <c r="F140" t="s">
        <v>184</v>
      </c>
      <c r="G140" t="s">
        <v>185</v>
      </c>
      <c r="H140">
        <v>1E-3</v>
      </c>
      <c r="I140">
        <v>999</v>
      </c>
      <c r="J140">
        <v>-1</v>
      </c>
      <c r="K140">
        <v>-1</v>
      </c>
      <c r="L140">
        <v>120</v>
      </c>
      <c r="M140" s="6" t="s">
        <v>59</v>
      </c>
      <c r="N140" s="6" t="s">
        <v>59</v>
      </c>
      <c r="O140" s="6" t="s">
        <v>59</v>
      </c>
      <c r="P140">
        <v>0</v>
      </c>
      <c r="Q140">
        <v>0</v>
      </c>
      <c r="R140">
        <v>0</v>
      </c>
    </row>
    <row r="141" spans="1:18" x14ac:dyDescent="0.25">
      <c r="A141">
        <v>139</v>
      </c>
      <c r="B141" t="s">
        <v>360</v>
      </c>
      <c r="C141">
        <v>9105</v>
      </c>
      <c r="D141" t="s">
        <v>361</v>
      </c>
      <c r="E141" t="s">
        <v>362</v>
      </c>
      <c r="F141" t="s">
        <v>113</v>
      </c>
      <c r="G141" t="s">
        <v>114</v>
      </c>
      <c r="H141">
        <v>0.11119999999999999</v>
      </c>
      <c r="I141">
        <v>170</v>
      </c>
      <c r="J141">
        <v>300</v>
      </c>
      <c r="K141">
        <v>12</v>
      </c>
      <c r="L141">
        <v>86400</v>
      </c>
      <c r="M141" s="6" t="s">
        <v>59</v>
      </c>
      <c r="N141" s="6" t="s">
        <v>59</v>
      </c>
      <c r="O141" s="6" t="s">
        <v>59</v>
      </c>
      <c r="P141">
        <v>0</v>
      </c>
      <c r="Q141">
        <v>0</v>
      </c>
      <c r="R141">
        <v>0</v>
      </c>
    </row>
    <row r="142" spans="1:18" x14ac:dyDescent="0.25">
      <c r="A142">
        <v>140</v>
      </c>
      <c r="B142" t="s">
        <v>535</v>
      </c>
      <c r="C142">
        <v>40000</v>
      </c>
      <c r="D142" t="s">
        <v>536</v>
      </c>
      <c r="E142" t="s">
        <v>537</v>
      </c>
      <c r="F142" t="s">
        <v>140</v>
      </c>
      <c r="G142" t="s">
        <v>538</v>
      </c>
      <c r="H142">
        <v>2.3259999999999999E-2</v>
      </c>
      <c r="I142">
        <v>999</v>
      </c>
      <c r="J142">
        <v>10</v>
      </c>
      <c r="K142">
        <v>2</v>
      </c>
      <c r="L142">
        <v>-1</v>
      </c>
      <c r="M142" s="6" t="s">
        <v>59</v>
      </c>
      <c r="N142" s="6" t="s">
        <v>59</v>
      </c>
      <c r="O142" s="6" t="s">
        <v>59</v>
      </c>
      <c r="P142">
        <v>0</v>
      </c>
      <c r="Q142">
        <v>0</v>
      </c>
      <c r="R142">
        <v>0</v>
      </c>
    </row>
    <row r="143" spans="1:18" x14ac:dyDescent="0.25">
      <c r="A143">
        <v>141</v>
      </c>
      <c r="B143" t="s">
        <v>539</v>
      </c>
      <c r="C143">
        <v>40001</v>
      </c>
      <c r="D143" t="s">
        <v>540</v>
      </c>
      <c r="E143" t="s">
        <v>541</v>
      </c>
      <c r="F143" t="s">
        <v>140</v>
      </c>
      <c r="G143" t="s">
        <v>538</v>
      </c>
      <c r="H143">
        <v>4.5100000000000001E-3</v>
      </c>
      <c r="I143">
        <v>999</v>
      </c>
      <c r="J143">
        <v>236</v>
      </c>
      <c r="K143">
        <v>6</v>
      </c>
      <c r="L143">
        <v>2400</v>
      </c>
      <c r="M143" s="6" t="s">
        <v>59</v>
      </c>
      <c r="N143" s="6" t="s">
        <v>59</v>
      </c>
      <c r="O143" s="6" t="s">
        <v>59</v>
      </c>
      <c r="P143">
        <v>0</v>
      </c>
      <c r="Q143">
        <v>0</v>
      </c>
      <c r="R143">
        <v>0</v>
      </c>
    </row>
    <row r="144" spans="1:18" x14ac:dyDescent="0.25">
      <c r="A144">
        <v>142</v>
      </c>
      <c r="B144" t="s">
        <v>542</v>
      </c>
      <c r="C144">
        <v>40002</v>
      </c>
      <c r="D144" t="s">
        <v>543</v>
      </c>
      <c r="E144" t="s">
        <v>544</v>
      </c>
      <c r="F144" t="s">
        <v>140</v>
      </c>
      <c r="G144" t="s">
        <v>538</v>
      </c>
      <c r="H144">
        <v>2.3259999999999999E-2</v>
      </c>
      <c r="I144">
        <v>999</v>
      </c>
      <c r="J144">
        <v>113</v>
      </c>
      <c r="K144">
        <v>6</v>
      </c>
      <c r="L144">
        <v>1800</v>
      </c>
      <c r="M144" s="6" t="s">
        <v>59</v>
      </c>
      <c r="N144" s="6" t="s">
        <v>59</v>
      </c>
      <c r="O144" s="6" t="s">
        <v>59</v>
      </c>
      <c r="P144">
        <v>0</v>
      </c>
      <c r="Q144">
        <v>0</v>
      </c>
      <c r="R144">
        <v>0</v>
      </c>
    </row>
    <row r="145" spans="1:18" x14ac:dyDescent="0.25">
      <c r="A145">
        <v>143</v>
      </c>
      <c r="B145" t="s">
        <v>545</v>
      </c>
      <c r="C145">
        <v>40003</v>
      </c>
      <c r="D145" t="s">
        <v>546</v>
      </c>
      <c r="E145" t="s">
        <v>547</v>
      </c>
      <c r="F145" t="s">
        <v>140</v>
      </c>
      <c r="G145" t="s">
        <v>538</v>
      </c>
      <c r="H145">
        <v>0.16667000000000001</v>
      </c>
      <c r="I145">
        <v>999</v>
      </c>
      <c r="J145">
        <v>13</v>
      </c>
      <c r="K145">
        <v>1</v>
      </c>
      <c r="L145">
        <v>600</v>
      </c>
      <c r="M145" s="6" t="s">
        <v>59</v>
      </c>
      <c r="N145" s="6" t="s">
        <v>59</v>
      </c>
      <c r="O145" s="6" t="s">
        <v>59</v>
      </c>
      <c r="P145">
        <v>0</v>
      </c>
      <c r="Q145">
        <v>0</v>
      </c>
      <c r="R145">
        <v>0</v>
      </c>
    </row>
    <row r="146" spans="1:18" x14ac:dyDescent="0.25">
      <c r="A146">
        <v>144</v>
      </c>
      <c r="B146" t="s">
        <v>548</v>
      </c>
      <c r="C146">
        <v>40004</v>
      </c>
      <c r="D146" t="s">
        <v>549</v>
      </c>
      <c r="E146" t="s">
        <v>550</v>
      </c>
      <c r="F146" t="s">
        <v>140</v>
      </c>
      <c r="G146" t="s">
        <v>538</v>
      </c>
      <c r="H146">
        <v>9.6200000000000001E-3</v>
      </c>
      <c r="I146">
        <v>999</v>
      </c>
      <c r="J146">
        <v>41</v>
      </c>
      <c r="K146">
        <v>4</v>
      </c>
      <c r="L146">
        <v>1800</v>
      </c>
      <c r="M146" s="6" t="s">
        <v>59</v>
      </c>
      <c r="N146" s="6" t="s">
        <v>59</v>
      </c>
      <c r="O146" s="6" t="s">
        <v>59</v>
      </c>
      <c r="P146">
        <v>0</v>
      </c>
      <c r="Q146">
        <v>0</v>
      </c>
      <c r="R146">
        <v>0</v>
      </c>
    </row>
    <row r="147" spans="1:18" x14ac:dyDescent="0.25">
      <c r="A147">
        <v>145</v>
      </c>
      <c r="B147" t="s">
        <v>551</v>
      </c>
      <c r="C147">
        <v>40005</v>
      </c>
      <c r="D147" t="s">
        <v>552</v>
      </c>
      <c r="E147" t="s">
        <v>553</v>
      </c>
      <c r="F147" t="s">
        <v>140</v>
      </c>
      <c r="G147" t="s">
        <v>538</v>
      </c>
      <c r="H147">
        <v>9.2599999999999991E-3</v>
      </c>
      <c r="I147">
        <v>999</v>
      </c>
      <c r="J147">
        <v>15</v>
      </c>
      <c r="K147">
        <v>3</v>
      </c>
      <c r="L147">
        <v>1800</v>
      </c>
      <c r="M147" s="6" t="s">
        <v>59</v>
      </c>
      <c r="N147" s="6" t="s">
        <v>59</v>
      </c>
      <c r="O147" s="6" t="s">
        <v>59</v>
      </c>
      <c r="P147">
        <v>0</v>
      </c>
      <c r="Q147">
        <v>0</v>
      </c>
      <c r="R147">
        <v>0</v>
      </c>
    </row>
    <row r="148" spans="1:18" x14ac:dyDescent="0.25">
      <c r="A148">
        <v>146</v>
      </c>
      <c r="B148" t="s">
        <v>554</v>
      </c>
      <c r="C148">
        <v>40006</v>
      </c>
      <c r="D148" t="s">
        <v>555</v>
      </c>
      <c r="E148" t="s">
        <v>556</v>
      </c>
      <c r="F148" t="s">
        <v>140</v>
      </c>
      <c r="G148" t="s">
        <v>538</v>
      </c>
      <c r="H148">
        <v>0.16667000000000001</v>
      </c>
      <c r="I148">
        <v>999</v>
      </c>
      <c r="J148">
        <v>13</v>
      </c>
      <c r="K148">
        <v>1</v>
      </c>
      <c r="L148">
        <v>600</v>
      </c>
      <c r="M148" s="6" t="s">
        <v>59</v>
      </c>
      <c r="N148" s="6" t="s">
        <v>59</v>
      </c>
      <c r="O148" s="6" t="s">
        <v>59</v>
      </c>
      <c r="P148">
        <v>0</v>
      </c>
      <c r="Q148">
        <v>0</v>
      </c>
      <c r="R148">
        <v>0</v>
      </c>
    </row>
    <row r="149" spans="1:18" x14ac:dyDescent="0.25">
      <c r="A149">
        <v>147</v>
      </c>
      <c r="B149" t="s">
        <v>557</v>
      </c>
      <c r="C149">
        <v>40007</v>
      </c>
      <c r="D149" t="s">
        <v>558</v>
      </c>
      <c r="E149" t="s">
        <v>559</v>
      </c>
      <c r="F149" t="s">
        <v>140</v>
      </c>
      <c r="G149" t="s">
        <v>538</v>
      </c>
      <c r="H149">
        <v>2.8572E-2</v>
      </c>
      <c r="I149">
        <v>999</v>
      </c>
      <c r="J149">
        <v>121</v>
      </c>
      <c r="K149">
        <v>5</v>
      </c>
      <c r="L149">
        <v>1200</v>
      </c>
      <c r="M149" s="6" t="s">
        <v>59</v>
      </c>
      <c r="N149" s="6" t="s">
        <v>59</v>
      </c>
      <c r="O149" s="6" t="s">
        <v>59</v>
      </c>
      <c r="P149">
        <v>0</v>
      </c>
      <c r="Q149">
        <v>0</v>
      </c>
      <c r="R149">
        <v>0</v>
      </c>
    </row>
    <row r="150" spans="1:18" x14ac:dyDescent="0.25">
      <c r="A150">
        <v>148</v>
      </c>
      <c r="B150" t="s">
        <v>560</v>
      </c>
      <c r="C150">
        <v>40008</v>
      </c>
      <c r="D150" t="s">
        <v>561</v>
      </c>
      <c r="E150" t="s">
        <v>562</v>
      </c>
      <c r="F150" t="s">
        <v>140</v>
      </c>
      <c r="G150" t="s">
        <v>538</v>
      </c>
      <c r="H150">
        <v>2.3259999999999999E-2</v>
      </c>
      <c r="I150">
        <v>999</v>
      </c>
      <c r="J150">
        <v>143</v>
      </c>
      <c r="K150">
        <v>6</v>
      </c>
      <c r="L150">
        <v>1200</v>
      </c>
      <c r="M150" s="6" t="s">
        <v>59</v>
      </c>
      <c r="N150" s="6" t="s">
        <v>59</v>
      </c>
      <c r="O150" s="6" t="s">
        <v>59</v>
      </c>
      <c r="P150">
        <v>0</v>
      </c>
      <c r="Q150">
        <v>0</v>
      </c>
      <c r="R150">
        <v>0</v>
      </c>
    </row>
    <row r="151" spans="1:18" x14ac:dyDescent="0.25">
      <c r="A151">
        <v>149</v>
      </c>
      <c r="B151" t="s">
        <v>483</v>
      </c>
      <c r="C151">
        <v>20000</v>
      </c>
      <c r="D151" t="s">
        <v>484</v>
      </c>
      <c r="E151" t="s">
        <v>485</v>
      </c>
      <c r="F151" t="s">
        <v>140</v>
      </c>
      <c r="G151" t="s">
        <v>486</v>
      </c>
      <c r="H151">
        <v>1.12E-2</v>
      </c>
      <c r="I151">
        <v>999</v>
      </c>
      <c r="J151">
        <v>2</v>
      </c>
      <c r="K151">
        <v>1</v>
      </c>
      <c r="L151">
        <v>240</v>
      </c>
      <c r="M151" s="6" t="s">
        <v>59</v>
      </c>
      <c r="N151" s="6" t="s">
        <v>59</v>
      </c>
      <c r="O151" s="6" t="s">
        <v>59</v>
      </c>
      <c r="P151">
        <v>0</v>
      </c>
      <c r="Q151">
        <v>0</v>
      </c>
      <c r="R151">
        <v>0</v>
      </c>
    </row>
    <row r="152" spans="1:18" x14ac:dyDescent="0.25">
      <c r="A152">
        <v>150</v>
      </c>
      <c r="B152" t="s">
        <v>487</v>
      </c>
      <c r="C152">
        <v>20001</v>
      </c>
      <c r="D152" t="s">
        <v>488</v>
      </c>
      <c r="E152" t="s">
        <v>489</v>
      </c>
      <c r="F152" t="s">
        <v>140</v>
      </c>
      <c r="G152" t="s">
        <v>486</v>
      </c>
      <c r="H152">
        <v>9.6200000000000001E-3</v>
      </c>
      <c r="I152">
        <v>999</v>
      </c>
      <c r="J152">
        <v>4</v>
      </c>
      <c r="K152">
        <v>1</v>
      </c>
      <c r="L152">
        <v>480</v>
      </c>
      <c r="M152" s="6" t="s">
        <v>59</v>
      </c>
      <c r="N152" s="6" t="s">
        <v>59</v>
      </c>
      <c r="O152" s="6" t="s">
        <v>59</v>
      </c>
      <c r="P152">
        <v>0</v>
      </c>
      <c r="Q152">
        <v>0</v>
      </c>
      <c r="R152">
        <v>0</v>
      </c>
    </row>
    <row r="153" spans="1:18" x14ac:dyDescent="0.25">
      <c r="A153">
        <v>151</v>
      </c>
      <c r="B153" t="s">
        <v>490</v>
      </c>
      <c r="C153">
        <v>20002</v>
      </c>
      <c r="D153" t="s">
        <v>491</v>
      </c>
      <c r="E153" t="s">
        <v>492</v>
      </c>
      <c r="F153" t="s">
        <v>140</v>
      </c>
      <c r="G153" t="s">
        <v>486</v>
      </c>
      <c r="H153">
        <v>8.5000000000000006E-3</v>
      </c>
      <c r="I153">
        <v>999</v>
      </c>
      <c r="J153">
        <v>8</v>
      </c>
      <c r="K153">
        <v>2</v>
      </c>
      <c r="L153">
        <v>900</v>
      </c>
      <c r="M153" s="6" t="s">
        <v>59</v>
      </c>
      <c r="N153" s="6" t="s">
        <v>59</v>
      </c>
      <c r="O153" s="6" t="s">
        <v>59</v>
      </c>
      <c r="P153">
        <v>0</v>
      </c>
      <c r="Q153">
        <v>0</v>
      </c>
      <c r="R153">
        <v>0</v>
      </c>
    </row>
    <row r="154" spans="1:18" x14ac:dyDescent="0.25">
      <c r="A154">
        <v>152</v>
      </c>
      <c r="B154" t="s">
        <v>493</v>
      </c>
      <c r="C154">
        <v>20003</v>
      </c>
      <c r="D154" t="s">
        <v>494</v>
      </c>
      <c r="E154" t="s">
        <v>495</v>
      </c>
      <c r="F154" t="s">
        <v>140</v>
      </c>
      <c r="G154" t="s">
        <v>486</v>
      </c>
      <c r="H154">
        <v>1.89E-2</v>
      </c>
      <c r="I154">
        <v>999</v>
      </c>
      <c r="J154">
        <v>1</v>
      </c>
      <c r="K154">
        <v>1</v>
      </c>
      <c r="L154">
        <v>300</v>
      </c>
      <c r="M154" s="6" t="s">
        <v>59</v>
      </c>
      <c r="N154" s="6" t="s">
        <v>59</v>
      </c>
      <c r="O154" s="6" t="s">
        <v>59</v>
      </c>
      <c r="P154">
        <v>0</v>
      </c>
      <c r="Q154">
        <v>0</v>
      </c>
      <c r="R154">
        <v>0</v>
      </c>
    </row>
    <row r="155" spans="1:18" x14ac:dyDescent="0.25">
      <c r="A155">
        <v>153</v>
      </c>
      <c r="B155" t="s">
        <v>496</v>
      </c>
      <c r="C155">
        <v>20004</v>
      </c>
      <c r="D155" t="s">
        <v>497</v>
      </c>
      <c r="E155" t="s">
        <v>498</v>
      </c>
      <c r="F155" t="s">
        <v>140</v>
      </c>
      <c r="G155" t="s">
        <v>486</v>
      </c>
      <c r="H155">
        <v>7.3600000000000002E-3</v>
      </c>
      <c r="I155">
        <v>999</v>
      </c>
      <c r="J155">
        <v>15</v>
      </c>
      <c r="K155">
        <v>3</v>
      </c>
      <c r="L155">
        <v>1800</v>
      </c>
      <c r="M155" s="6" t="s">
        <v>59</v>
      </c>
      <c r="N155" s="6" t="s">
        <v>59</v>
      </c>
      <c r="O155" s="6" t="s">
        <v>59</v>
      </c>
      <c r="P155">
        <v>0</v>
      </c>
      <c r="Q155">
        <v>0</v>
      </c>
      <c r="R155">
        <v>0</v>
      </c>
    </row>
    <row r="156" spans="1:18" x14ac:dyDescent="0.25">
      <c r="A156">
        <v>154</v>
      </c>
      <c r="B156" t="s">
        <v>563</v>
      </c>
      <c r="C156">
        <v>50000</v>
      </c>
      <c r="D156" t="s">
        <v>564</v>
      </c>
      <c r="E156" t="s">
        <v>565</v>
      </c>
      <c r="F156" t="s">
        <v>140</v>
      </c>
      <c r="G156" t="s">
        <v>486</v>
      </c>
      <c r="H156">
        <v>5.5900000000000004E-3</v>
      </c>
      <c r="I156">
        <v>999</v>
      </c>
      <c r="J156">
        <v>266</v>
      </c>
      <c r="K156">
        <v>10</v>
      </c>
      <c r="L156">
        <v>86400</v>
      </c>
      <c r="M156" s="6" t="s">
        <v>59</v>
      </c>
      <c r="N156" s="6" t="s">
        <v>59</v>
      </c>
      <c r="O156" s="6" t="s">
        <v>59</v>
      </c>
      <c r="P156">
        <v>0</v>
      </c>
      <c r="Q156">
        <v>0</v>
      </c>
      <c r="R156">
        <v>0</v>
      </c>
    </row>
    <row r="157" spans="1:18" x14ac:dyDescent="0.25">
      <c r="A157">
        <v>155</v>
      </c>
      <c r="B157" t="s">
        <v>566</v>
      </c>
      <c r="C157">
        <v>50001</v>
      </c>
      <c r="D157" t="s">
        <v>567</v>
      </c>
      <c r="E157" t="s">
        <v>568</v>
      </c>
      <c r="F157" t="s">
        <v>140</v>
      </c>
      <c r="G157" t="s">
        <v>486</v>
      </c>
      <c r="H157">
        <v>9.0910000000000001E-3</v>
      </c>
      <c r="I157">
        <v>999</v>
      </c>
      <c r="J157">
        <v>250</v>
      </c>
      <c r="K157">
        <v>6</v>
      </c>
      <c r="L157">
        <v>43200</v>
      </c>
      <c r="M157" s="6" t="s">
        <v>59</v>
      </c>
      <c r="N157" s="6" t="s">
        <v>59</v>
      </c>
      <c r="O157" s="6" t="s">
        <v>59</v>
      </c>
      <c r="P157">
        <v>0</v>
      </c>
      <c r="Q157">
        <v>0</v>
      </c>
      <c r="R157">
        <v>0</v>
      </c>
    </row>
    <row r="158" spans="1:18" x14ac:dyDescent="0.25">
      <c r="A158">
        <v>156</v>
      </c>
      <c r="B158" t="s">
        <v>569</v>
      </c>
      <c r="C158">
        <v>50002</v>
      </c>
      <c r="D158" t="s">
        <v>570</v>
      </c>
      <c r="E158" t="s">
        <v>571</v>
      </c>
      <c r="F158" t="s">
        <v>140</v>
      </c>
      <c r="G158" t="s">
        <v>486</v>
      </c>
      <c r="H158">
        <v>4.2399999999999998E-3</v>
      </c>
      <c r="I158">
        <v>999</v>
      </c>
      <c r="J158">
        <v>252</v>
      </c>
      <c r="K158">
        <v>10</v>
      </c>
      <c r="L158">
        <v>43200</v>
      </c>
      <c r="M158" s="6" t="s">
        <v>59</v>
      </c>
      <c r="N158" s="6" t="s">
        <v>59</v>
      </c>
      <c r="O158" s="6" t="s">
        <v>59</v>
      </c>
      <c r="P158">
        <v>0</v>
      </c>
      <c r="Q158">
        <v>0</v>
      </c>
      <c r="R158">
        <v>0</v>
      </c>
    </row>
    <row r="159" spans="1:18" x14ac:dyDescent="0.25">
      <c r="A159">
        <v>157</v>
      </c>
      <c r="B159" t="s">
        <v>572</v>
      </c>
      <c r="C159">
        <v>50003</v>
      </c>
      <c r="D159" t="s">
        <v>573</v>
      </c>
      <c r="E159" t="s">
        <v>574</v>
      </c>
      <c r="F159" t="s">
        <v>140</v>
      </c>
      <c r="G159" t="s">
        <v>486</v>
      </c>
      <c r="H159">
        <v>1.1235999999999999E-2</v>
      </c>
      <c r="I159">
        <v>999</v>
      </c>
      <c r="J159">
        <v>125</v>
      </c>
      <c r="K159">
        <v>6</v>
      </c>
      <c r="L159">
        <v>3600</v>
      </c>
      <c r="M159" s="6" t="s">
        <v>59</v>
      </c>
      <c r="N159" s="6" t="s">
        <v>59</v>
      </c>
      <c r="O159" s="6" t="s">
        <v>59</v>
      </c>
      <c r="P159">
        <v>0</v>
      </c>
      <c r="Q159">
        <v>0</v>
      </c>
      <c r="R159">
        <v>0</v>
      </c>
    </row>
    <row r="160" spans="1:18" x14ac:dyDescent="0.25">
      <c r="A160">
        <v>158</v>
      </c>
      <c r="B160" t="s">
        <v>575</v>
      </c>
      <c r="C160">
        <v>50004</v>
      </c>
      <c r="D160" t="s">
        <v>576</v>
      </c>
      <c r="E160" t="s">
        <v>577</v>
      </c>
      <c r="F160" t="s">
        <v>140</v>
      </c>
      <c r="G160" t="s">
        <v>486</v>
      </c>
      <c r="H160">
        <v>1.8870000000000001E-2</v>
      </c>
      <c r="I160">
        <v>999</v>
      </c>
      <c r="J160">
        <v>28</v>
      </c>
      <c r="K160">
        <v>4</v>
      </c>
      <c r="L160">
        <v>600</v>
      </c>
      <c r="M160" s="6" t="s">
        <v>59</v>
      </c>
      <c r="N160" s="6" t="s">
        <v>59</v>
      </c>
      <c r="O160" s="6" t="s">
        <v>59</v>
      </c>
      <c r="P160">
        <v>0</v>
      </c>
      <c r="Q160">
        <v>0</v>
      </c>
      <c r="R160">
        <v>0</v>
      </c>
    </row>
    <row r="161" spans="1:18" x14ac:dyDescent="0.25">
      <c r="A161">
        <v>159</v>
      </c>
      <c r="B161" t="s">
        <v>578</v>
      </c>
      <c r="C161">
        <v>50005</v>
      </c>
      <c r="D161" t="s">
        <v>579</v>
      </c>
      <c r="E161" t="s">
        <v>580</v>
      </c>
      <c r="F161" t="s">
        <v>140</v>
      </c>
      <c r="G161" t="s">
        <v>486</v>
      </c>
      <c r="H161">
        <v>1.2821000000000001E-2</v>
      </c>
      <c r="I161">
        <v>999</v>
      </c>
      <c r="J161">
        <v>193</v>
      </c>
      <c r="K161">
        <v>6</v>
      </c>
      <c r="L161">
        <v>1800</v>
      </c>
      <c r="M161" s="6" t="s">
        <v>59</v>
      </c>
      <c r="N161" s="6" t="s">
        <v>59</v>
      </c>
      <c r="O161" s="6" t="s">
        <v>59</v>
      </c>
      <c r="P161">
        <v>0</v>
      </c>
      <c r="Q161">
        <v>0</v>
      </c>
      <c r="R161">
        <v>0</v>
      </c>
    </row>
    <row r="162" spans="1:18" x14ac:dyDescent="0.25">
      <c r="A162">
        <v>160</v>
      </c>
      <c r="B162" t="s">
        <v>581</v>
      </c>
      <c r="C162">
        <v>50006</v>
      </c>
      <c r="D162" t="s">
        <v>582</v>
      </c>
      <c r="E162" t="s">
        <v>583</v>
      </c>
      <c r="F162" t="s">
        <v>140</v>
      </c>
      <c r="G162" t="s">
        <v>486</v>
      </c>
      <c r="H162">
        <v>6.1349999999999998E-3</v>
      </c>
      <c r="I162">
        <v>999</v>
      </c>
      <c r="J162">
        <v>152</v>
      </c>
      <c r="K162">
        <v>6</v>
      </c>
      <c r="L162">
        <v>21600</v>
      </c>
      <c r="M162" s="6" t="s">
        <v>59</v>
      </c>
      <c r="N162" s="6" t="s">
        <v>59</v>
      </c>
      <c r="O162" s="6" t="s">
        <v>59</v>
      </c>
      <c r="P162">
        <v>0</v>
      </c>
      <c r="Q162">
        <v>0</v>
      </c>
      <c r="R162">
        <v>0</v>
      </c>
    </row>
    <row r="163" spans="1:18" x14ac:dyDescent="0.25">
      <c r="A163">
        <v>161</v>
      </c>
      <c r="B163" t="s">
        <v>584</v>
      </c>
      <c r="C163">
        <v>50007</v>
      </c>
      <c r="D163" t="s">
        <v>585</v>
      </c>
      <c r="E163" t="s">
        <v>586</v>
      </c>
      <c r="F163" t="s">
        <v>140</v>
      </c>
      <c r="G163" t="s">
        <v>486</v>
      </c>
      <c r="H163">
        <v>9.9100000000000004E-3</v>
      </c>
      <c r="I163">
        <v>999</v>
      </c>
      <c r="J163">
        <v>250</v>
      </c>
      <c r="K163">
        <v>6</v>
      </c>
      <c r="L163">
        <v>3600</v>
      </c>
      <c r="M163" s="6" t="s">
        <v>59</v>
      </c>
      <c r="N163" s="6" t="s">
        <v>59</v>
      </c>
      <c r="O163" s="6" t="s">
        <v>59</v>
      </c>
      <c r="P163">
        <v>0</v>
      </c>
      <c r="Q163">
        <v>0</v>
      </c>
      <c r="R163">
        <v>0</v>
      </c>
    </row>
    <row r="164" spans="1:18" x14ac:dyDescent="0.25">
      <c r="A164">
        <v>162</v>
      </c>
      <c r="B164" t="s">
        <v>499</v>
      </c>
      <c r="C164">
        <v>30000</v>
      </c>
      <c r="D164" t="s">
        <v>500</v>
      </c>
      <c r="E164" t="s">
        <v>501</v>
      </c>
      <c r="F164" t="s">
        <v>140</v>
      </c>
      <c r="G164" t="s">
        <v>486</v>
      </c>
      <c r="H164">
        <v>9.6200000000000001E-3</v>
      </c>
      <c r="I164">
        <v>999</v>
      </c>
      <c r="J164">
        <v>200</v>
      </c>
      <c r="K164">
        <v>8</v>
      </c>
      <c r="L164">
        <v>64800</v>
      </c>
      <c r="M164" s="6" t="s">
        <v>59</v>
      </c>
      <c r="N164" s="6" t="s">
        <v>59</v>
      </c>
      <c r="O164" s="6" t="s">
        <v>59</v>
      </c>
      <c r="P164">
        <v>0</v>
      </c>
      <c r="Q164">
        <v>0</v>
      </c>
      <c r="R164">
        <v>0</v>
      </c>
    </row>
    <row r="165" spans="1:18" x14ac:dyDescent="0.25">
      <c r="A165">
        <v>163</v>
      </c>
      <c r="B165" t="s">
        <v>502</v>
      </c>
      <c r="C165">
        <v>30001</v>
      </c>
      <c r="D165" t="s">
        <v>503</v>
      </c>
      <c r="E165" t="s">
        <v>504</v>
      </c>
      <c r="F165" t="s">
        <v>140</v>
      </c>
      <c r="G165" t="s">
        <v>486</v>
      </c>
      <c r="H165">
        <v>1.6400000000000001E-2</v>
      </c>
      <c r="I165">
        <v>999</v>
      </c>
      <c r="J165">
        <v>150</v>
      </c>
      <c r="K165">
        <v>6</v>
      </c>
      <c r="L165">
        <v>36000</v>
      </c>
      <c r="M165" s="6" t="s">
        <v>59</v>
      </c>
      <c r="N165" s="6" t="s">
        <v>59</v>
      </c>
      <c r="O165" s="6" t="s">
        <v>59</v>
      </c>
      <c r="P165">
        <v>0</v>
      </c>
      <c r="Q165">
        <v>0</v>
      </c>
      <c r="R165">
        <v>0</v>
      </c>
    </row>
    <row r="166" spans="1:18" x14ac:dyDescent="0.25">
      <c r="A166">
        <v>164</v>
      </c>
      <c r="B166" t="s">
        <v>505</v>
      </c>
      <c r="C166">
        <v>30002</v>
      </c>
      <c r="D166" t="s">
        <v>506</v>
      </c>
      <c r="E166" t="s">
        <v>507</v>
      </c>
      <c r="F166" t="s">
        <v>140</v>
      </c>
      <c r="G166" t="s">
        <v>486</v>
      </c>
      <c r="H166">
        <v>1.2699999999999999E-2</v>
      </c>
      <c r="I166">
        <v>999</v>
      </c>
      <c r="J166">
        <v>60</v>
      </c>
      <c r="K166">
        <v>5</v>
      </c>
      <c r="L166">
        <v>7200</v>
      </c>
      <c r="M166" s="6" t="s">
        <v>59</v>
      </c>
      <c r="N166" s="6" t="s">
        <v>59</v>
      </c>
      <c r="O166" s="6" t="s">
        <v>59</v>
      </c>
      <c r="P166">
        <v>0</v>
      </c>
      <c r="Q166">
        <v>0</v>
      </c>
      <c r="R166">
        <v>0</v>
      </c>
    </row>
    <row r="167" spans="1:18" x14ac:dyDescent="0.25">
      <c r="A167">
        <v>165</v>
      </c>
      <c r="B167" t="s">
        <v>508</v>
      </c>
      <c r="C167">
        <v>30003</v>
      </c>
      <c r="D167" t="s">
        <v>509</v>
      </c>
      <c r="E167" t="s">
        <v>510</v>
      </c>
      <c r="F167" t="s">
        <v>140</v>
      </c>
      <c r="G167" t="s">
        <v>486</v>
      </c>
      <c r="H167">
        <v>3.9899999999999996E-3</v>
      </c>
      <c r="I167">
        <v>999</v>
      </c>
      <c r="J167">
        <v>38</v>
      </c>
      <c r="K167">
        <v>5</v>
      </c>
      <c r="L167">
        <v>36000</v>
      </c>
      <c r="M167" s="6" t="s">
        <v>59</v>
      </c>
      <c r="N167" s="6" t="s">
        <v>59</v>
      </c>
      <c r="O167" s="6" t="s">
        <v>59</v>
      </c>
      <c r="P167">
        <v>0</v>
      </c>
      <c r="Q167">
        <v>0</v>
      </c>
      <c r="R167">
        <v>0</v>
      </c>
    </row>
    <row r="168" spans="1:18" x14ac:dyDescent="0.25">
      <c r="A168">
        <v>166</v>
      </c>
      <c r="B168" t="s">
        <v>511</v>
      </c>
      <c r="C168">
        <v>30004</v>
      </c>
      <c r="D168" t="s">
        <v>512</v>
      </c>
      <c r="E168" t="s">
        <v>513</v>
      </c>
      <c r="F168" t="s">
        <v>140</v>
      </c>
      <c r="G168" t="s">
        <v>486</v>
      </c>
      <c r="H168">
        <v>1.0380000000000001E-3</v>
      </c>
      <c r="I168">
        <v>999</v>
      </c>
      <c r="J168">
        <v>117</v>
      </c>
      <c r="K168">
        <v>8</v>
      </c>
      <c r="L168">
        <v>64800</v>
      </c>
      <c r="M168" s="6" t="s">
        <v>59</v>
      </c>
      <c r="N168" s="6" t="s">
        <v>59</v>
      </c>
      <c r="O168" s="6" t="s">
        <v>59</v>
      </c>
      <c r="P168">
        <v>0</v>
      </c>
      <c r="Q168">
        <v>0</v>
      </c>
      <c r="R168">
        <v>0</v>
      </c>
    </row>
    <row r="169" spans="1:18" x14ac:dyDescent="0.25">
      <c r="A169">
        <v>167</v>
      </c>
      <c r="B169" t="s">
        <v>514</v>
      </c>
      <c r="C169">
        <v>30005</v>
      </c>
      <c r="D169" t="s">
        <v>515</v>
      </c>
      <c r="E169" t="s">
        <v>516</v>
      </c>
      <c r="F169" t="s">
        <v>140</v>
      </c>
      <c r="G169" t="s">
        <v>486</v>
      </c>
      <c r="H169">
        <v>1.3699999999999999E-3</v>
      </c>
      <c r="I169">
        <v>999</v>
      </c>
      <c r="J169">
        <v>51</v>
      </c>
      <c r="K169">
        <v>5</v>
      </c>
      <c r="L169">
        <v>64800</v>
      </c>
      <c r="M169" s="6" t="s">
        <v>59</v>
      </c>
      <c r="N169" s="6" t="s">
        <v>59</v>
      </c>
      <c r="O169" s="6" t="s">
        <v>59</v>
      </c>
      <c r="P169">
        <v>0</v>
      </c>
      <c r="Q169">
        <v>0</v>
      </c>
      <c r="R169">
        <v>0</v>
      </c>
    </row>
    <row r="170" spans="1:18" x14ac:dyDescent="0.25">
      <c r="A170">
        <v>168</v>
      </c>
      <c r="B170" t="s">
        <v>517</v>
      </c>
      <c r="C170">
        <v>30006</v>
      </c>
      <c r="D170" t="s">
        <v>518</v>
      </c>
      <c r="E170" t="s">
        <v>519</v>
      </c>
      <c r="F170" t="s">
        <v>140</v>
      </c>
      <c r="G170" t="s">
        <v>486</v>
      </c>
      <c r="H170">
        <v>2.1419999999999998E-3</v>
      </c>
      <c r="I170">
        <v>999</v>
      </c>
      <c r="J170">
        <v>320</v>
      </c>
      <c r="K170">
        <v>10</v>
      </c>
      <c r="L170">
        <v>86400</v>
      </c>
      <c r="M170" s="6" t="s">
        <v>59</v>
      </c>
      <c r="N170" s="6" t="s">
        <v>59</v>
      </c>
      <c r="O170" s="6" t="s">
        <v>59</v>
      </c>
      <c r="P170">
        <v>0</v>
      </c>
      <c r="Q170">
        <v>0</v>
      </c>
      <c r="R170">
        <v>0</v>
      </c>
    </row>
    <row r="171" spans="1:18" x14ac:dyDescent="0.25">
      <c r="A171">
        <v>169</v>
      </c>
      <c r="B171" t="s">
        <v>520</v>
      </c>
      <c r="C171">
        <v>30007</v>
      </c>
      <c r="D171" t="s">
        <v>521</v>
      </c>
      <c r="E171" t="s">
        <v>522</v>
      </c>
      <c r="F171" t="s">
        <v>140</v>
      </c>
      <c r="G171" t="s">
        <v>486</v>
      </c>
      <c r="H171">
        <v>7.5799999999999999E-3</v>
      </c>
      <c r="I171">
        <v>999</v>
      </c>
      <c r="J171">
        <v>17</v>
      </c>
      <c r="K171">
        <v>4</v>
      </c>
      <c r="L171">
        <v>5400</v>
      </c>
      <c r="M171" s="6" t="s">
        <v>59</v>
      </c>
      <c r="N171" s="6" t="s">
        <v>59</v>
      </c>
      <c r="O171" s="6" t="s">
        <v>59</v>
      </c>
      <c r="P171">
        <v>0</v>
      </c>
      <c r="Q171">
        <v>0</v>
      </c>
      <c r="R171">
        <v>0</v>
      </c>
    </row>
    <row r="172" spans="1:18" x14ac:dyDescent="0.25">
      <c r="A172">
        <v>170</v>
      </c>
      <c r="B172" t="s">
        <v>523</v>
      </c>
      <c r="C172">
        <v>30008</v>
      </c>
      <c r="D172" t="s">
        <v>524</v>
      </c>
      <c r="E172" t="s">
        <v>525</v>
      </c>
      <c r="F172" t="s">
        <v>140</v>
      </c>
      <c r="G172" t="s">
        <v>486</v>
      </c>
      <c r="H172">
        <v>2.3400000000000001E-3</v>
      </c>
      <c r="I172">
        <v>999</v>
      </c>
      <c r="J172">
        <v>13</v>
      </c>
      <c r="K172">
        <v>3</v>
      </c>
      <c r="L172">
        <v>21600</v>
      </c>
      <c r="M172" s="6" t="s">
        <v>59</v>
      </c>
      <c r="N172" s="6" t="s">
        <v>59</v>
      </c>
      <c r="O172" s="6" t="s">
        <v>59</v>
      </c>
      <c r="P172">
        <v>0</v>
      </c>
      <c r="Q172">
        <v>0</v>
      </c>
      <c r="R172">
        <v>0</v>
      </c>
    </row>
    <row r="173" spans="1:18" x14ac:dyDescent="0.25">
      <c r="A173">
        <v>171</v>
      </c>
      <c r="B173" t="s">
        <v>526</v>
      </c>
      <c r="C173">
        <v>30009</v>
      </c>
      <c r="D173" t="s">
        <v>527</v>
      </c>
      <c r="E173" t="s">
        <v>528</v>
      </c>
      <c r="F173" t="s">
        <v>140</v>
      </c>
      <c r="G173" t="s">
        <v>486</v>
      </c>
      <c r="H173">
        <v>4.2199999999999998E-3</v>
      </c>
      <c r="I173">
        <v>999</v>
      </c>
      <c r="J173">
        <v>93</v>
      </c>
      <c r="K173">
        <v>6</v>
      </c>
      <c r="L173">
        <v>64800</v>
      </c>
      <c r="M173" s="6" t="s">
        <v>59</v>
      </c>
      <c r="N173" s="6" t="s">
        <v>59</v>
      </c>
      <c r="O173" s="6" t="s">
        <v>59</v>
      </c>
      <c r="P173">
        <v>0</v>
      </c>
      <c r="Q173">
        <v>0</v>
      </c>
      <c r="R173">
        <v>0</v>
      </c>
    </row>
    <row r="174" spans="1:18" x14ac:dyDescent="0.25">
      <c r="A174">
        <v>172</v>
      </c>
      <c r="B174" t="s">
        <v>529</v>
      </c>
      <c r="C174">
        <v>30010</v>
      </c>
      <c r="D174" t="s">
        <v>530</v>
      </c>
      <c r="E174" t="s">
        <v>531</v>
      </c>
      <c r="F174" t="s">
        <v>140</v>
      </c>
      <c r="G174" t="s">
        <v>486</v>
      </c>
      <c r="H174">
        <v>2.3259999999999999E-2</v>
      </c>
      <c r="I174">
        <v>999</v>
      </c>
      <c r="J174">
        <v>90</v>
      </c>
      <c r="K174">
        <v>5</v>
      </c>
      <c r="L174">
        <v>3600</v>
      </c>
      <c r="M174" s="6" t="s">
        <v>59</v>
      </c>
      <c r="N174" s="6" t="s">
        <v>59</v>
      </c>
      <c r="O174" s="6" t="s">
        <v>59</v>
      </c>
      <c r="P174">
        <v>0</v>
      </c>
      <c r="Q174">
        <v>0</v>
      </c>
      <c r="R174">
        <v>0</v>
      </c>
    </row>
    <row r="175" spans="1:18" x14ac:dyDescent="0.25">
      <c r="A175">
        <v>173</v>
      </c>
      <c r="B175" t="s">
        <v>532</v>
      </c>
      <c r="C175">
        <v>30011</v>
      </c>
      <c r="D175" t="s">
        <v>533</v>
      </c>
      <c r="E175" t="s">
        <v>534</v>
      </c>
      <c r="F175" t="s">
        <v>140</v>
      </c>
      <c r="G175" t="s">
        <v>486</v>
      </c>
      <c r="H175">
        <v>2.5000000000000001E-2</v>
      </c>
      <c r="I175">
        <v>999</v>
      </c>
      <c r="J175">
        <v>5</v>
      </c>
      <c r="K175">
        <v>1</v>
      </c>
      <c r="L175">
        <v>1800</v>
      </c>
      <c r="M175" s="6" t="s">
        <v>59</v>
      </c>
      <c r="N175" s="6" t="s">
        <v>59</v>
      </c>
      <c r="O175" s="6" t="s">
        <v>59</v>
      </c>
      <c r="P175">
        <v>0</v>
      </c>
      <c r="Q175">
        <v>0</v>
      </c>
      <c r="R175">
        <v>0</v>
      </c>
    </row>
    <row r="176" spans="1:18" x14ac:dyDescent="0.25">
      <c r="A176">
        <v>174</v>
      </c>
      <c r="B176" t="s">
        <v>628</v>
      </c>
      <c r="C176">
        <v>60016</v>
      </c>
      <c r="D176" t="s">
        <v>629</v>
      </c>
      <c r="E176" t="s">
        <v>630</v>
      </c>
      <c r="F176" t="s">
        <v>140</v>
      </c>
      <c r="G176" t="s">
        <v>624</v>
      </c>
      <c r="H176">
        <v>8.3400000000000002E-3</v>
      </c>
      <c r="I176">
        <v>999</v>
      </c>
      <c r="J176">
        <v>333</v>
      </c>
      <c r="K176">
        <v>6</v>
      </c>
      <c r="L176">
        <v>7200</v>
      </c>
      <c r="M176" s="6" t="s">
        <v>59</v>
      </c>
      <c r="N176" s="6" t="s">
        <v>59</v>
      </c>
      <c r="O176" s="6" t="s">
        <v>59</v>
      </c>
      <c r="P176">
        <v>0</v>
      </c>
      <c r="Q176">
        <v>0</v>
      </c>
      <c r="R176">
        <v>0</v>
      </c>
    </row>
    <row r="177" spans="1:18" x14ac:dyDescent="0.25">
      <c r="A177">
        <v>175</v>
      </c>
      <c r="B177" t="s">
        <v>634</v>
      </c>
      <c r="C177">
        <v>60018</v>
      </c>
      <c r="D177" t="s">
        <v>635</v>
      </c>
      <c r="E177" t="s">
        <v>636</v>
      </c>
      <c r="F177" t="s">
        <v>140</v>
      </c>
      <c r="G177" t="s">
        <v>624</v>
      </c>
      <c r="H177">
        <v>7.5199999999999998E-3</v>
      </c>
      <c r="I177">
        <v>999</v>
      </c>
      <c r="J177">
        <v>520</v>
      </c>
      <c r="K177">
        <v>10</v>
      </c>
      <c r="L177">
        <v>7200</v>
      </c>
      <c r="M177" s="6" t="s">
        <v>59</v>
      </c>
      <c r="N177" s="6" t="s">
        <v>59</v>
      </c>
      <c r="O177" s="6" t="s">
        <v>59</v>
      </c>
      <c r="P177">
        <v>0</v>
      </c>
      <c r="Q177">
        <v>0</v>
      </c>
      <c r="R177">
        <v>0</v>
      </c>
    </row>
    <row r="178" spans="1:18" x14ac:dyDescent="0.25">
      <c r="A178">
        <v>176</v>
      </c>
      <c r="B178" t="s">
        <v>631</v>
      </c>
      <c r="C178">
        <v>60017</v>
      </c>
      <c r="D178" t="s">
        <v>632</v>
      </c>
      <c r="E178" t="s">
        <v>633</v>
      </c>
      <c r="F178" t="s">
        <v>140</v>
      </c>
      <c r="G178" t="s">
        <v>624</v>
      </c>
      <c r="H178">
        <v>7.9399999999999991E-3</v>
      </c>
      <c r="I178">
        <v>999</v>
      </c>
      <c r="J178">
        <v>460</v>
      </c>
      <c r="K178">
        <v>10</v>
      </c>
      <c r="L178">
        <v>7200</v>
      </c>
      <c r="M178" s="6" t="s">
        <v>59</v>
      </c>
      <c r="N178" s="6" t="s">
        <v>59</v>
      </c>
      <c r="O178" s="6" t="s">
        <v>59</v>
      </c>
      <c r="P178">
        <v>0</v>
      </c>
      <c r="Q178">
        <v>0</v>
      </c>
      <c r="R178">
        <v>0</v>
      </c>
    </row>
    <row r="179" spans="1:18" x14ac:dyDescent="0.25">
      <c r="A179">
        <v>177</v>
      </c>
      <c r="B179" t="s">
        <v>625</v>
      </c>
      <c r="C179">
        <v>60015</v>
      </c>
      <c r="D179" t="s">
        <v>626</v>
      </c>
      <c r="E179" t="s">
        <v>627</v>
      </c>
      <c r="F179" t="s">
        <v>140</v>
      </c>
      <c r="G179" t="s">
        <v>624</v>
      </c>
      <c r="H179">
        <v>2.0840000000000001E-2</v>
      </c>
      <c r="I179">
        <v>999</v>
      </c>
      <c r="J179">
        <v>143</v>
      </c>
      <c r="K179">
        <v>6</v>
      </c>
      <c r="L179">
        <v>7200</v>
      </c>
      <c r="M179" s="6" t="s">
        <v>59</v>
      </c>
      <c r="N179" s="6" t="s">
        <v>59</v>
      </c>
      <c r="O179" s="6" t="s">
        <v>59</v>
      </c>
      <c r="P179">
        <v>0</v>
      </c>
      <c r="Q179">
        <v>0</v>
      </c>
      <c r="R179">
        <v>0</v>
      </c>
    </row>
    <row r="180" spans="1:18" x14ac:dyDescent="0.25">
      <c r="A180">
        <v>178</v>
      </c>
      <c r="B180" t="s">
        <v>621</v>
      </c>
      <c r="C180">
        <v>60014</v>
      </c>
      <c r="D180" t="s">
        <v>622</v>
      </c>
      <c r="E180" t="s">
        <v>623</v>
      </c>
      <c r="F180" t="s">
        <v>140</v>
      </c>
      <c r="G180" t="s">
        <v>624</v>
      </c>
      <c r="H180">
        <v>1.9609999999999999E-2</v>
      </c>
      <c r="I180">
        <v>999</v>
      </c>
      <c r="J180">
        <v>155</v>
      </c>
      <c r="K180">
        <v>5</v>
      </c>
      <c r="L180">
        <v>7200</v>
      </c>
      <c r="M180" s="6" t="s">
        <v>59</v>
      </c>
      <c r="N180" s="6" t="s">
        <v>59</v>
      </c>
      <c r="O180" s="6" t="s">
        <v>59</v>
      </c>
      <c r="P180">
        <v>0</v>
      </c>
      <c r="Q180">
        <v>0</v>
      </c>
      <c r="R180">
        <v>0</v>
      </c>
    </row>
    <row r="181" spans="1:18" x14ac:dyDescent="0.25">
      <c r="A181">
        <v>179</v>
      </c>
      <c r="B181" t="s">
        <v>602</v>
      </c>
      <c r="C181">
        <v>60005</v>
      </c>
      <c r="D181" t="s">
        <v>603</v>
      </c>
      <c r="E181" t="s">
        <v>604</v>
      </c>
      <c r="F181" t="s">
        <v>140</v>
      </c>
      <c r="G181" t="s">
        <v>141</v>
      </c>
      <c r="H181">
        <v>1E-3</v>
      </c>
      <c r="I181">
        <v>999</v>
      </c>
      <c r="J181">
        <v>-1</v>
      </c>
      <c r="K181">
        <v>-1</v>
      </c>
      <c r="L181">
        <v>-1</v>
      </c>
      <c r="M181" s="6" t="s">
        <v>59</v>
      </c>
      <c r="N181" s="6" t="s">
        <v>59</v>
      </c>
      <c r="O181" s="6" t="s">
        <v>59</v>
      </c>
      <c r="P181">
        <v>0</v>
      </c>
      <c r="Q181">
        <v>0</v>
      </c>
      <c r="R181">
        <v>0</v>
      </c>
    </row>
    <row r="182" spans="1:18" x14ac:dyDescent="0.25">
      <c r="A182">
        <v>180</v>
      </c>
      <c r="B182" t="s">
        <v>605</v>
      </c>
      <c r="C182">
        <v>60006</v>
      </c>
      <c r="D182" t="s">
        <v>606</v>
      </c>
      <c r="E182" t="s">
        <v>604</v>
      </c>
      <c r="F182" t="s">
        <v>140</v>
      </c>
      <c r="G182" t="s">
        <v>141</v>
      </c>
      <c r="H182">
        <v>1E-3</v>
      </c>
      <c r="I182">
        <v>999</v>
      </c>
      <c r="J182">
        <v>-1</v>
      </c>
      <c r="K182">
        <v>-1</v>
      </c>
      <c r="L182">
        <v>-1</v>
      </c>
      <c r="M182" s="6" t="s">
        <v>59</v>
      </c>
      <c r="N182" s="6" t="s">
        <v>59</v>
      </c>
      <c r="O182" s="6" t="s">
        <v>59</v>
      </c>
      <c r="P182">
        <v>0</v>
      </c>
      <c r="Q182">
        <v>0</v>
      </c>
      <c r="R182">
        <v>0</v>
      </c>
    </row>
    <row r="183" spans="1:18" x14ac:dyDescent="0.25">
      <c r="A183">
        <v>181</v>
      </c>
      <c r="B183" t="s">
        <v>607</v>
      </c>
      <c r="C183">
        <v>60007</v>
      </c>
      <c r="D183" t="s">
        <v>608</v>
      </c>
      <c r="E183" t="s">
        <v>604</v>
      </c>
      <c r="F183" t="s">
        <v>140</v>
      </c>
      <c r="G183" t="s">
        <v>141</v>
      </c>
      <c r="H183">
        <v>1E-3</v>
      </c>
      <c r="I183">
        <v>999</v>
      </c>
      <c r="J183">
        <v>-1</v>
      </c>
      <c r="K183">
        <v>-1</v>
      </c>
      <c r="L183">
        <v>-1</v>
      </c>
      <c r="M183" s="6" t="s">
        <v>59</v>
      </c>
      <c r="N183" s="6" t="s">
        <v>59</v>
      </c>
      <c r="O183" s="6" t="s">
        <v>59</v>
      </c>
      <c r="P183">
        <v>0</v>
      </c>
      <c r="Q183">
        <v>0</v>
      </c>
      <c r="R183">
        <v>0</v>
      </c>
    </row>
    <row r="184" spans="1:18" x14ac:dyDescent="0.25">
      <c r="A184">
        <v>182</v>
      </c>
      <c r="B184" t="s">
        <v>609</v>
      </c>
      <c r="C184">
        <v>60008</v>
      </c>
      <c r="D184" t="s">
        <v>610</v>
      </c>
      <c r="E184" t="s">
        <v>604</v>
      </c>
      <c r="F184" t="s">
        <v>140</v>
      </c>
      <c r="G184" t="s">
        <v>141</v>
      </c>
      <c r="H184">
        <v>1E-3</v>
      </c>
      <c r="I184">
        <v>999</v>
      </c>
      <c r="J184">
        <v>-1</v>
      </c>
      <c r="K184">
        <v>-1</v>
      </c>
      <c r="L184">
        <v>-1</v>
      </c>
      <c r="M184" s="6" t="s">
        <v>59</v>
      </c>
      <c r="N184" s="6" t="s">
        <v>59</v>
      </c>
      <c r="O184" s="6" t="s">
        <v>59</v>
      </c>
      <c r="P184">
        <v>0</v>
      </c>
      <c r="Q184">
        <v>0</v>
      </c>
      <c r="R184">
        <v>0</v>
      </c>
    </row>
    <row r="185" spans="1:18" x14ac:dyDescent="0.25">
      <c r="A185">
        <v>183</v>
      </c>
      <c r="B185" t="s">
        <v>611</v>
      </c>
      <c r="C185">
        <v>60009</v>
      </c>
      <c r="D185" t="s">
        <v>612</v>
      </c>
      <c r="E185" t="s">
        <v>604</v>
      </c>
      <c r="F185" t="s">
        <v>140</v>
      </c>
      <c r="G185" t="s">
        <v>141</v>
      </c>
      <c r="H185">
        <v>1E-3</v>
      </c>
      <c r="I185">
        <v>999</v>
      </c>
      <c r="J185">
        <v>-1</v>
      </c>
      <c r="K185">
        <v>-1</v>
      </c>
      <c r="L185">
        <v>-1</v>
      </c>
      <c r="M185" s="6" t="s">
        <v>59</v>
      </c>
      <c r="N185" s="6" t="s">
        <v>59</v>
      </c>
      <c r="O185" s="6" t="s">
        <v>59</v>
      </c>
      <c r="P185">
        <v>0</v>
      </c>
      <c r="Q185">
        <v>0</v>
      </c>
      <c r="R185">
        <v>0</v>
      </c>
    </row>
    <row r="186" spans="1:18" x14ac:dyDescent="0.25">
      <c r="A186">
        <v>184</v>
      </c>
      <c r="B186" t="s">
        <v>613</v>
      </c>
      <c r="C186">
        <v>60010</v>
      </c>
      <c r="D186" t="s">
        <v>614</v>
      </c>
      <c r="E186" t="s">
        <v>604</v>
      </c>
      <c r="F186" t="s">
        <v>140</v>
      </c>
      <c r="G186" t="s">
        <v>141</v>
      </c>
      <c r="H186">
        <v>1E-3</v>
      </c>
      <c r="I186">
        <v>999</v>
      </c>
      <c r="J186">
        <v>-1</v>
      </c>
      <c r="K186">
        <v>-1</v>
      </c>
      <c r="L186">
        <v>-1</v>
      </c>
      <c r="M186" s="6" t="s">
        <v>59</v>
      </c>
      <c r="N186" s="6" t="s">
        <v>59</v>
      </c>
      <c r="O186" s="6" t="s">
        <v>59</v>
      </c>
      <c r="P186">
        <v>0</v>
      </c>
      <c r="Q186">
        <v>0</v>
      </c>
      <c r="R186">
        <v>0</v>
      </c>
    </row>
    <row r="187" spans="1:18" x14ac:dyDescent="0.25">
      <c r="A187">
        <v>185</v>
      </c>
      <c r="B187" t="s">
        <v>615</v>
      </c>
      <c r="C187">
        <v>60011</v>
      </c>
      <c r="D187" t="s">
        <v>616</v>
      </c>
      <c r="E187" t="s">
        <v>604</v>
      </c>
      <c r="F187" t="s">
        <v>140</v>
      </c>
      <c r="G187" t="s">
        <v>141</v>
      </c>
      <c r="H187">
        <v>1E-3</v>
      </c>
      <c r="I187">
        <v>999</v>
      </c>
      <c r="J187">
        <v>-1</v>
      </c>
      <c r="K187">
        <v>-1</v>
      </c>
      <c r="L187">
        <v>-1</v>
      </c>
      <c r="M187" s="6" t="s">
        <v>59</v>
      </c>
      <c r="N187" s="6" t="s">
        <v>59</v>
      </c>
      <c r="O187" s="6" t="s">
        <v>59</v>
      </c>
      <c r="P187">
        <v>0</v>
      </c>
      <c r="Q187">
        <v>0</v>
      </c>
      <c r="R187">
        <v>0</v>
      </c>
    </row>
    <row r="188" spans="1:18" x14ac:dyDescent="0.25">
      <c r="A188">
        <v>186</v>
      </c>
      <c r="B188" t="s">
        <v>617</v>
      </c>
      <c r="C188">
        <v>60012</v>
      </c>
      <c r="D188" t="s">
        <v>618</v>
      </c>
      <c r="E188" t="s">
        <v>604</v>
      </c>
      <c r="F188" t="s">
        <v>140</v>
      </c>
      <c r="G188" t="s">
        <v>141</v>
      </c>
      <c r="H188">
        <v>1E-3</v>
      </c>
      <c r="I188">
        <v>999</v>
      </c>
      <c r="J188">
        <v>-1</v>
      </c>
      <c r="K188">
        <v>-1</v>
      </c>
      <c r="L188">
        <v>-1</v>
      </c>
      <c r="M188" s="6" t="s">
        <v>59</v>
      </c>
      <c r="N188" s="6" t="s">
        <v>59</v>
      </c>
      <c r="O188" s="6" t="s">
        <v>59</v>
      </c>
      <c r="P188">
        <v>0</v>
      </c>
      <c r="Q188">
        <v>0</v>
      </c>
      <c r="R188">
        <v>0</v>
      </c>
    </row>
    <row r="189" spans="1:18" x14ac:dyDescent="0.25">
      <c r="A189">
        <v>187</v>
      </c>
      <c r="B189" t="s">
        <v>619</v>
      </c>
      <c r="C189">
        <v>60013</v>
      </c>
      <c r="D189" t="s">
        <v>620</v>
      </c>
      <c r="E189" t="s">
        <v>604</v>
      </c>
      <c r="F189" t="s">
        <v>140</v>
      </c>
      <c r="G189" t="s">
        <v>141</v>
      </c>
      <c r="H189">
        <v>1E-3</v>
      </c>
      <c r="I189">
        <v>999</v>
      </c>
      <c r="J189">
        <v>-1</v>
      </c>
      <c r="K189">
        <v>-1</v>
      </c>
      <c r="L189">
        <v>-1</v>
      </c>
      <c r="M189" s="6" t="s">
        <v>59</v>
      </c>
      <c r="N189" s="6" t="s">
        <v>59</v>
      </c>
      <c r="O189" s="6" t="s">
        <v>59</v>
      </c>
      <c r="P189">
        <v>0</v>
      </c>
      <c r="Q189">
        <v>0</v>
      </c>
      <c r="R189">
        <v>0</v>
      </c>
    </row>
    <row r="190" spans="1:18" x14ac:dyDescent="0.25">
      <c r="A190">
        <v>188</v>
      </c>
      <c r="B190" t="s">
        <v>587</v>
      </c>
      <c r="C190">
        <v>60000</v>
      </c>
      <c r="D190" t="s">
        <v>588</v>
      </c>
      <c r="E190" t="s">
        <v>589</v>
      </c>
      <c r="F190" t="s">
        <v>140</v>
      </c>
      <c r="G190" t="s">
        <v>141</v>
      </c>
      <c r="H190">
        <v>4.7620000000000003E-2</v>
      </c>
      <c r="I190">
        <v>999</v>
      </c>
      <c r="J190">
        <v>-1</v>
      </c>
      <c r="K190">
        <v>-1</v>
      </c>
      <c r="L190">
        <v>-1</v>
      </c>
      <c r="M190" s="6" t="s">
        <v>59</v>
      </c>
      <c r="N190" s="6" t="s">
        <v>59</v>
      </c>
      <c r="O190" s="6" t="s">
        <v>59</v>
      </c>
      <c r="P190">
        <v>0</v>
      </c>
      <c r="Q190">
        <v>0</v>
      </c>
      <c r="R190">
        <v>0</v>
      </c>
    </row>
    <row r="191" spans="1:18" x14ac:dyDescent="0.25">
      <c r="A191">
        <v>189</v>
      </c>
      <c r="B191" t="s">
        <v>590</v>
      </c>
      <c r="C191">
        <v>60001</v>
      </c>
      <c r="D191" t="s">
        <v>591</v>
      </c>
      <c r="E191" t="s">
        <v>592</v>
      </c>
      <c r="F191" t="s">
        <v>140</v>
      </c>
      <c r="G191" t="s">
        <v>141</v>
      </c>
      <c r="H191">
        <v>7.1429999999999993E-2</v>
      </c>
      <c r="I191">
        <v>999</v>
      </c>
      <c r="J191">
        <v>-1</v>
      </c>
      <c r="K191">
        <v>-1</v>
      </c>
      <c r="L191">
        <v>-1</v>
      </c>
      <c r="M191" s="6" t="s">
        <v>59</v>
      </c>
      <c r="N191" s="6" t="s">
        <v>59</v>
      </c>
      <c r="O191" s="6" t="s">
        <v>59</v>
      </c>
      <c r="P191">
        <v>0</v>
      </c>
      <c r="Q191">
        <v>0</v>
      </c>
      <c r="R191">
        <v>0</v>
      </c>
    </row>
    <row r="192" spans="1:18" x14ac:dyDescent="0.25">
      <c r="A192">
        <v>190</v>
      </c>
      <c r="B192" t="s">
        <v>593</v>
      </c>
      <c r="C192">
        <v>60002</v>
      </c>
      <c r="D192" t="s">
        <v>594</v>
      </c>
      <c r="E192" t="s">
        <v>595</v>
      </c>
      <c r="F192" t="s">
        <v>140</v>
      </c>
      <c r="G192" t="s">
        <v>141</v>
      </c>
      <c r="H192">
        <v>0.125</v>
      </c>
      <c r="I192">
        <v>999</v>
      </c>
      <c r="J192">
        <v>-1</v>
      </c>
      <c r="K192">
        <v>-1</v>
      </c>
      <c r="L192">
        <v>-1</v>
      </c>
      <c r="M192" s="6" t="s">
        <v>59</v>
      </c>
      <c r="N192" s="6" t="s">
        <v>59</v>
      </c>
      <c r="O192" s="6" t="s">
        <v>59</v>
      </c>
      <c r="P192">
        <v>0</v>
      </c>
      <c r="Q192">
        <v>0</v>
      </c>
      <c r="R192">
        <v>0</v>
      </c>
    </row>
    <row r="193" spans="1:18" x14ac:dyDescent="0.25">
      <c r="A193">
        <v>191</v>
      </c>
      <c r="B193" t="s">
        <v>596</v>
      </c>
      <c r="C193">
        <v>60003</v>
      </c>
      <c r="D193" t="s">
        <v>597</v>
      </c>
      <c r="E193" t="s">
        <v>598</v>
      </c>
      <c r="F193" t="s">
        <v>140</v>
      </c>
      <c r="G193" t="s">
        <v>141</v>
      </c>
      <c r="H193">
        <v>2.8580000000000001E-2</v>
      </c>
      <c r="I193">
        <v>999</v>
      </c>
      <c r="J193">
        <v>-1</v>
      </c>
      <c r="K193">
        <v>-1</v>
      </c>
      <c r="L193">
        <v>-1</v>
      </c>
      <c r="M193" s="6" t="s">
        <v>59</v>
      </c>
      <c r="N193" s="6" t="s">
        <v>59</v>
      </c>
      <c r="O193" s="6" t="s">
        <v>59</v>
      </c>
      <c r="P193">
        <v>0</v>
      </c>
      <c r="Q193">
        <v>0</v>
      </c>
      <c r="R193">
        <v>0</v>
      </c>
    </row>
    <row r="194" spans="1:18" x14ac:dyDescent="0.25">
      <c r="A194">
        <v>192</v>
      </c>
      <c r="B194" t="s">
        <v>599</v>
      </c>
      <c r="C194">
        <v>60004</v>
      </c>
      <c r="D194" t="s">
        <v>600</v>
      </c>
      <c r="E194" t="s">
        <v>601</v>
      </c>
      <c r="F194" t="s">
        <v>140</v>
      </c>
      <c r="G194" t="s">
        <v>141</v>
      </c>
      <c r="H194">
        <v>3.449E-2</v>
      </c>
      <c r="I194">
        <v>999</v>
      </c>
      <c r="J194">
        <v>-1</v>
      </c>
      <c r="K194">
        <v>-1</v>
      </c>
      <c r="L194">
        <v>-1</v>
      </c>
      <c r="M194" s="6" t="s">
        <v>59</v>
      </c>
      <c r="N194" s="6" t="s">
        <v>59</v>
      </c>
      <c r="O194" s="6" t="s">
        <v>59</v>
      </c>
      <c r="P194">
        <v>0</v>
      </c>
      <c r="Q194">
        <v>0</v>
      </c>
      <c r="R194">
        <v>0</v>
      </c>
    </row>
    <row r="195" spans="1:18" x14ac:dyDescent="0.25">
      <c r="A195">
        <v>193</v>
      </c>
      <c r="B195" t="s">
        <v>637</v>
      </c>
      <c r="C195">
        <v>70000</v>
      </c>
      <c r="D195" t="s">
        <v>638</v>
      </c>
      <c r="E195" t="s">
        <v>639</v>
      </c>
      <c r="F195" t="s">
        <v>140</v>
      </c>
      <c r="G195" t="s">
        <v>640</v>
      </c>
      <c r="H195">
        <v>1.6670000000000001E-2</v>
      </c>
      <c r="I195">
        <v>999</v>
      </c>
      <c r="J195">
        <v>180</v>
      </c>
      <c r="K195">
        <v>5</v>
      </c>
      <c r="L195">
        <v>3600</v>
      </c>
      <c r="M195" s="6" t="s">
        <v>59</v>
      </c>
      <c r="N195" s="6" t="s">
        <v>59</v>
      </c>
      <c r="O195" s="6" t="s">
        <v>59</v>
      </c>
      <c r="P195">
        <v>0</v>
      </c>
      <c r="Q195">
        <v>0</v>
      </c>
      <c r="R195">
        <v>0</v>
      </c>
    </row>
    <row r="196" spans="1:18" x14ac:dyDescent="0.25">
      <c r="A196">
        <v>194</v>
      </c>
      <c r="B196" t="s">
        <v>641</v>
      </c>
      <c r="C196">
        <v>70001</v>
      </c>
      <c r="D196" t="s">
        <v>642</v>
      </c>
      <c r="E196" t="s">
        <v>643</v>
      </c>
      <c r="F196" t="s">
        <v>140</v>
      </c>
      <c r="G196" t="s">
        <v>640</v>
      </c>
      <c r="H196">
        <v>1.9231000000000002E-2</v>
      </c>
      <c r="I196">
        <v>999</v>
      </c>
      <c r="J196">
        <v>155</v>
      </c>
      <c r="K196">
        <v>5</v>
      </c>
      <c r="L196">
        <v>7200</v>
      </c>
      <c r="M196" s="6" t="s">
        <v>59</v>
      </c>
      <c r="N196" s="6" t="s">
        <v>59</v>
      </c>
      <c r="O196" s="6" t="s">
        <v>59</v>
      </c>
      <c r="P196">
        <v>0</v>
      </c>
      <c r="Q196">
        <v>0</v>
      </c>
      <c r="R196">
        <v>0</v>
      </c>
    </row>
    <row r="197" spans="1:18" x14ac:dyDescent="0.25">
      <c r="A197">
        <v>195</v>
      </c>
      <c r="B197" t="s">
        <v>644</v>
      </c>
      <c r="C197">
        <v>70002</v>
      </c>
      <c r="D197" t="s">
        <v>645</v>
      </c>
      <c r="E197" t="s">
        <v>646</v>
      </c>
      <c r="F197" t="s">
        <v>140</v>
      </c>
      <c r="G197" t="s">
        <v>640</v>
      </c>
      <c r="H197">
        <v>9.1750000000000009E-3</v>
      </c>
      <c r="I197">
        <v>999</v>
      </c>
      <c r="J197">
        <v>325</v>
      </c>
      <c r="K197">
        <v>6</v>
      </c>
      <c r="L197">
        <v>7200</v>
      </c>
      <c r="M197" s="6" t="s">
        <v>59</v>
      </c>
      <c r="N197" s="6" t="s">
        <v>59</v>
      </c>
      <c r="O197" s="6" t="s">
        <v>59</v>
      </c>
      <c r="P197">
        <v>0</v>
      </c>
      <c r="Q197">
        <v>0</v>
      </c>
      <c r="R197">
        <v>0</v>
      </c>
    </row>
    <row r="198" spans="1:18" x14ac:dyDescent="0.25">
      <c r="A198">
        <v>196</v>
      </c>
      <c r="B198" t="s">
        <v>647</v>
      </c>
      <c r="C198">
        <v>70003</v>
      </c>
      <c r="D198" t="s">
        <v>648</v>
      </c>
      <c r="E198" t="s">
        <v>649</v>
      </c>
      <c r="F198" t="s">
        <v>140</v>
      </c>
      <c r="G198" t="s">
        <v>640</v>
      </c>
      <c r="H198">
        <v>1E-3</v>
      </c>
      <c r="I198">
        <v>999</v>
      </c>
      <c r="J198">
        <v>5</v>
      </c>
      <c r="K198">
        <v>1</v>
      </c>
      <c r="L198">
        <v>21600</v>
      </c>
      <c r="M198" s="6" t="s">
        <v>59</v>
      </c>
      <c r="N198" s="6" t="s">
        <v>59</v>
      </c>
      <c r="O198" s="6" t="s">
        <v>59</v>
      </c>
      <c r="P198">
        <v>0</v>
      </c>
      <c r="Q198">
        <v>0</v>
      </c>
      <c r="R198">
        <v>0</v>
      </c>
    </row>
    <row r="199" spans="1:18" x14ac:dyDescent="0.25">
      <c r="A199">
        <v>197</v>
      </c>
      <c r="B199" t="s">
        <v>650</v>
      </c>
      <c r="C199">
        <v>70004</v>
      </c>
      <c r="D199" t="s">
        <v>651</v>
      </c>
      <c r="E199" t="s">
        <v>649</v>
      </c>
      <c r="F199" t="s">
        <v>140</v>
      </c>
      <c r="G199" t="s">
        <v>640</v>
      </c>
      <c r="H199">
        <v>1E-3</v>
      </c>
      <c r="I199">
        <v>999</v>
      </c>
      <c r="J199">
        <v>5</v>
      </c>
      <c r="K199">
        <v>1</v>
      </c>
      <c r="L199">
        <v>120</v>
      </c>
      <c r="M199" s="6" t="s">
        <v>59</v>
      </c>
      <c r="N199" s="6" t="s">
        <v>59</v>
      </c>
      <c r="O199" s="6" t="s">
        <v>59</v>
      </c>
      <c r="P199">
        <v>0</v>
      </c>
      <c r="Q199">
        <v>0</v>
      </c>
      <c r="R199">
        <v>0</v>
      </c>
    </row>
    <row r="200" spans="1:18" x14ac:dyDescent="0.25">
      <c r="A200">
        <v>198</v>
      </c>
      <c r="B200" t="s">
        <v>652</v>
      </c>
      <c r="C200">
        <v>70005</v>
      </c>
      <c r="D200" t="s">
        <v>653</v>
      </c>
      <c r="E200" t="s">
        <v>654</v>
      </c>
      <c r="F200" t="s">
        <v>140</v>
      </c>
      <c r="G200" t="s">
        <v>640</v>
      </c>
      <c r="H200">
        <v>1.2659999999999999E-2</v>
      </c>
      <c r="I200">
        <v>999</v>
      </c>
      <c r="J200">
        <v>222</v>
      </c>
      <c r="K200">
        <v>6</v>
      </c>
      <c r="L200">
        <v>3600</v>
      </c>
      <c r="M200" s="6" t="s">
        <v>59</v>
      </c>
      <c r="N200" s="6" t="s">
        <v>59</v>
      </c>
      <c r="O200" s="6" t="s">
        <v>59</v>
      </c>
      <c r="P200">
        <v>0</v>
      </c>
      <c r="Q200">
        <v>0</v>
      </c>
      <c r="R200">
        <v>0</v>
      </c>
    </row>
    <row r="201" spans="1:18" x14ac:dyDescent="0.25">
      <c r="A201">
        <v>199</v>
      </c>
      <c r="B201" t="s">
        <v>655</v>
      </c>
      <c r="C201">
        <v>70006</v>
      </c>
      <c r="D201" t="s">
        <v>656</v>
      </c>
      <c r="E201" t="s">
        <v>657</v>
      </c>
      <c r="F201" t="s">
        <v>140</v>
      </c>
      <c r="G201" t="s">
        <v>640</v>
      </c>
      <c r="H201">
        <v>2.3259999999999999E-2</v>
      </c>
      <c r="I201">
        <v>999</v>
      </c>
      <c r="J201">
        <v>130</v>
      </c>
      <c r="K201">
        <v>5</v>
      </c>
      <c r="L201">
        <v>2700</v>
      </c>
      <c r="M201" s="6" t="s">
        <v>59</v>
      </c>
      <c r="N201" s="6" t="s">
        <v>59</v>
      </c>
      <c r="O201" s="6" t="s">
        <v>59</v>
      </c>
      <c r="P201">
        <v>0</v>
      </c>
      <c r="Q201">
        <v>0</v>
      </c>
      <c r="R201">
        <v>0</v>
      </c>
    </row>
    <row r="202" spans="1:18" x14ac:dyDescent="0.25">
      <c r="A202">
        <v>200</v>
      </c>
      <c r="B202" t="s">
        <v>658</v>
      </c>
      <c r="C202">
        <v>70007</v>
      </c>
      <c r="D202" t="s">
        <v>659</v>
      </c>
      <c r="E202" t="s">
        <v>660</v>
      </c>
      <c r="F202" t="s">
        <v>140</v>
      </c>
      <c r="G202" t="s">
        <v>640</v>
      </c>
      <c r="H202">
        <v>1.4710000000000001E-2</v>
      </c>
      <c r="I202">
        <v>999</v>
      </c>
      <c r="J202">
        <v>355</v>
      </c>
      <c r="K202">
        <v>10</v>
      </c>
      <c r="L202">
        <v>86400</v>
      </c>
      <c r="M202" s="6" t="s">
        <v>59</v>
      </c>
      <c r="N202" s="6" t="s">
        <v>59</v>
      </c>
      <c r="O202" s="6" t="s">
        <v>59</v>
      </c>
      <c r="P202">
        <v>0</v>
      </c>
      <c r="Q202">
        <v>0</v>
      </c>
      <c r="R202">
        <v>0</v>
      </c>
    </row>
    <row r="203" spans="1:18" x14ac:dyDescent="0.25">
      <c r="A203">
        <v>201</v>
      </c>
      <c r="B203" t="s">
        <v>661</v>
      </c>
      <c r="C203">
        <v>70008</v>
      </c>
      <c r="D203" t="s">
        <v>662</v>
      </c>
      <c r="E203" t="s">
        <v>663</v>
      </c>
      <c r="F203" t="s">
        <v>140</v>
      </c>
      <c r="G203" t="s">
        <v>640</v>
      </c>
      <c r="H203">
        <v>7.3530000000000002E-3</v>
      </c>
      <c r="I203">
        <v>999</v>
      </c>
      <c r="J203">
        <v>420</v>
      </c>
      <c r="K203">
        <v>6</v>
      </c>
      <c r="L203">
        <v>21600</v>
      </c>
      <c r="M203" s="6" t="s">
        <v>59</v>
      </c>
      <c r="N203" s="6" t="s">
        <v>59</v>
      </c>
      <c r="O203" s="6" t="s">
        <v>59</v>
      </c>
      <c r="P203">
        <v>0</v>
      </c>
      <c r="Q203">
        <v>0</v>
      </c>
      <c r="R203">
        <v>0</v>
      </c>
    </row>
    <row r="204" spans="1:18" x14ac:dyDescent="0.25">
      <c r="A204">
        <v>202</v>
      </c>
      <c r="B204" t="s">
        <v>664</v>
      </c>
      <c r="C204">
        <v>70009</v>
      </c>
      <c r="D204" t="s">
        <v>665</v>
      </c>
      <c r="E204" t="s">
        <v>666</v>
      </c>
      <c r="F204" t="s">
        <v>140</v>
      </c>
      <c r="G204" t="s">
        <v>640</v>
      </c>
      <c r="H204">
        <v>6.0980000000000001E-3</v>
      </c>
      <c r="I204">
        <v>999</v>
      </c>
      <c r="J204">
        <v>560</v>
      </c>
      <c r="K204">
        <v>8</v>
      </c>
      <c r="L204">
        <v>43200</v>
      </c>
      <c r="M204" s="6" t="s">
        <v>59</v>
      </c>
      <c r="N204" s="6" t="s">
        <v>59</v>
      </c>
      <c r="O204" s="6" t="s">
        <v>59</v>
      </c>
      <c r="P204">
        <v>0</v>
      </c>
      <c r="Q204">
        <v>0</v>
      </c>
      <c r="R204">
        <v>0</v>
      </c>
    </row>
    <row r="205" spans="1:18" x14ac:dyDescent="0.25">
      <c r="A205">
        <v>203</v>
      </c>
      <c r="B205" t="s">
        <v>667</v>
      </c>
      <c r="C205">
        <v>70010</v>
      </c>
      <c r="D205" t="s">
        <v>668</v>
      </c>
      <c r="E205" t="s">
        <v>669</v>
      </c>
      <c r="F205" t="s">
        <v>140</v>
      </c>
      <c r="G205" t="s">
        <v>640</v>
      </c>
      <c r="H205">
        <v>8.0649999999999993E-3</v>
      </c>
      <c r="I205">
        <v>999</v>
      </c>
      <c r="J205">
        <v>385</v>
      </c>
      <c r="K205">
        <v>8</v>
      </c>
      <c r="L205">
        <v>43200</v>
      </c>
      <c r="M205" s="6" t="s">
        <v>59</v>
      </c>
      <c r="N205" s="6" t="s">
        <v>59</v>
      </c>
      <c r="O205" s="6" t="s">
        <v>59</v>
      </c>
      <c r="P205">
        <v>0</v>
      </c>
      <c r="Q205">
        <v>0</v>
      </c>
      <c r="R205">
        <v>0</v>
      </c>
    </row>
    <row r="206" spans="1:18" x14ac:dyDescent="0.25">
      <c r="A206">
        <v>204</v>
      </c>
      <c r="B206" t="s">
        <v>670</v>
      </c>
      <c r="C206">
        <v>70011</v>
      </c>
      <c r="D206" t="s">
        <v>671</v>
      </c>
      <c r="E206" t="s">
        <v>672</v>
      </c>
      <c r="F206" t="s">
        <v>140</v>
      </c>
      <c r="G206" t="s">
        <v>640</v>
      </c>
      <c r="H206">
        <v>6.411E-3</v>
      </c>
      <c r="I206">
        <v>999</v>
      </c>
      <c r="J206">
        <v>595</v>
      </c>
      <c r="K206">
        <v>10</v>
      </c>
      <c r="L206">
        <v>86400</v>
      </c>
      <c r="M206" s="6" t="s">
        <v>59</v>
      </c>
      <c r="N206" s="6" t="s">
        <v>59</v>
      </c>
      <c r="O206" s="6" t="s">
        <v>59</v>
      </c>
      <c r="P206">
        <v>0</v>
      </c>
      <c r="Q206">
        <v>0</v>
      </c>
      <c r="R206">
        <v>0</v>
      </c>
    </row>
    <row r="207" spans="1:18" x14ac:dyDescent="0.25">
      <c r="A207">
        <v>205</v>
      </c>
      <c r="B207" t="s">
        <v>218</v>
      </c>
      <c r="C207">
        <v>33</v>
      </c>
      <c r="D207" t="s">
        <v>219</v>
      </c>
      <c r="E207" s="6" t="s">
        <v>59</v>
      </c>
      <c r="F207" s="6" t="s">
        <v>59</v>
      </c>
      <c r="G207" s="6" t="s">
        <v>59</v>
      </c>
      <c r="H207">
        <v>-1</v>
      </c>
      <c r="I207">
        <v>-1</v>
      </c>
      <c r="J207">
        <v>-1</v>
      </c>
      <c r="K207">
        <v>-1</v>
      </c>
      <c r="L207">
        <v>-1</v>
      </c>
      <c r="M207" s="6" t="s">
        <v>59</v>
      </c>
      <c r="N207" s="6">
        <v>1000</v>
      </c>
      <c r="O207" s="6" t="s">
        <v>59</v>
      </c>
      <c r="P207">
        <v>0</v>
      </c>
      <c r="Q207">
        <v>0</v>
      </c>
      <c r="R207">
        <v>0</v>
      </c>
    </row>
    <row r="208" spans="1:18" x14ac:dyDescent="0.25">
      <c r="A208">
        <v>206</v>
      </c>
      <c r="B208" t="s">
        <v>142</v>
      </c>
      <c r="C208">
        <v>9</v>
      </c>
      <c r="D208" t="s">
        <v>143</v>
      </c>
      <c r="E208" s="6" t="s">
        <v>59</v>
      </c>
      <c r="F208" s="6" t="s">
        <v>59</v>
      </c>
      <c r="G208" s="6" t="s">
        <v>59</v>
      </c>
      <c r="H208">
        <v>4</v>
      </c>
      <c r="I208">
        <v>-1</v>
      </c>
      <c r="J208">
        <v>-1</v>
      </c>
      <c r="K208">
        <v>-1</v>
      </c>
      <c r="L208">
        <v>-1</v>
      </c>
      <c r="M208" s="6" t="s">
        <v>59</v>
      </c>
      <c r="N208" s="6" t="s">
        <v>59</v>
      </c>
      <c r="O208" s="6" t="s">
        <v>59</v>
      </c>
      <c r="P208">
        <v>0</v>
      </c>
      <c r="Q208">
        <v>0</v>
      </c>
      <c r="R208">
        <v>0</v>
      </c>
    </row>
    <row r="209" spans="1:18" x14ac:dyDescent="0.25">
      <c r="A209">
        <v>207</v>
      </c>
      <c r="B209" t="s">
        <v>135</v>
      </c>
      <c r="C209">
        <v>7</v>
      </c>
      <c r="D209" t="s">
        <v>136</v>
      </c>
      <c r="E209" s="6" t="s">
        <v>59</v>
      </c>
      <c r="F209" s="6" t="s">
        <v>59</v>
      </c>
      <c r="G209" s="6" t="s">
        <v>59</v>
      </c>
      <c r="H209">
        <v>2</v>
      </c>
      <c r="I209">
        <v>-1</v>
      </c>
      <c r="J209">
        <v>-1</v>
      </c>
      <c r="K209">
        <v>-1</v>
      </c>
      <c r="L209">
        <v>-1</v>
      </c>
      <c r="M209" s="6" t="s">
        <v>59</v>
      </c>
      <c r="N209" s="6" t="s">
        <v>59</v>
      </c>
      <c r="O209" s="6" t="s">
        <v>59</v>
      </c>
      <c r="P209">
        <v>0</v>
      </c>
      <c r="Q209">
        <v>0</v>
      </c>
      <c r="R209">
        <v>0</v>
      </c>
    </row>
    <row r="210" spans="1:18" x14ac:dyDescent="0.25">
      <c r="A210">
        <v>208</v>
      </c>
      <c r="B210" t="s">
        <v>147</v>
      </c>
      <c r="C210">
        <v>11</v>
      </c>
      <c r="D210" t="s">
        <v>148</v>
      </c>
      <c r="E210" s="6" t="s">
        <v>59</v>
      </c>
      <c r="F210" s="6" t="s">
        <v>59</v>
      </c>
      <c r="G210" s="6" t="s">
        <v>59</v>
      </c>
      <c r="H210">
        <v>1E-3</v>
      </c>
      <c r="I210">
        <v>-1</v>
      </c>
      <c r="J210">
        <v>-1</v>
      </c>
      <c r="K210">
        <v>-1</v>
      </c>
      <c r="L210">
        <v>-1</v>
      </c>
      <c r="M210" s="6" t="s">
        <v>59</v>
      </c>
      <c r="N210" s="6" t="s">
        <v>59</v>
      </c>
      <c r="O210" s="6" t="s">
        <v>59</v>
      </c>
      <c r="P210">
        <v>0</v>
      </c>
      <c r="Q210">
        <v>0</v>
      </c>
      <c r="R210">
        <v>0</v>
      </c>
    </row>
  </sheetData>
  <conditionalFormatting sqref="A1:R210">
    <cfRule type="cellIs" dxfId="36" priority="1" stopIfTrue="1" operator="equal">
      <formula>-9999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" sqref="C12"/>
    </sheetView>
  </sheetViews>
  <sheetFormatPr defaultColWidth="21.7109375" defaultRowHeight="15" x14ac:dyDescent="0.25"/>
  <cols>
    <col min="1" max="1" width="3" bestFit="1" customWidth="1"/>
    <col min="2" max="2" width="6.42578125" bestFit="1" customWidth="1"/>
    <col min="3" max="3" width="7" bestFit="1" customWidth="1"/>
    <col min="4" max="4" width="9.28515625" customWidth="1"/>
    <col min="5" max="5" width="8.7109375" customWidth="1"/>
    <col min="6" max="8" width="9.28515625" customWidth="1"/>
    <col min="9" max="9" width="29.85546875" bestFit="1" customWidth="1"/>
    <col min="10" max="10" width="45.7109375" bestFit="1" customWidth="1"/>
    <col min="11" max="11" width="20.140625" bestFit="1" customWidth="1"/>
    <col min="12" max="12" width="21.7109375" customWidth="1"/>
  </cols>
  <sheetData>
    <row r="1" spans="1:11" s="1" customFormat="1" ht="45" x14ac:dyDescent="0.25">
      <c r="A1" s="1" t="s">
        <v>2142</v>
      </c>
      <c r="B1" s="1" t="s">
        <v>2609</v>
      </c>
      <c r="C1" s="1" t="s">
        <v>2610</v>
      </c>
      <c r="D1" s="1" t="s">
        <v>2540</v>
      </c>
      <c r="E1" s="1" t="s">
        <v>2539</v>
      </c>
      <c r="F1" s="1" t="s">
        <v>2606</v>
      </c>
      <c r="G1" s="1" t="s">
        <v>2607</v>
      </c>
      <c r="H1" s="1" t="s">
        <v>2608</v>
      </c>
      <c r="I1" s="1" t="s">
        <v>2611</v>
      </c>
      <c r="J1" s="1" t="s">
        <v>724</v>
      </c>
      <c r="K1" s="1" t="s">
        <v>2545</v>
      </c>
    </row>
    <row r="3" spans="1:11" x14ac:dyDescent="0.25">
      <c r="A3">
        <v>1</v>
      </c>
      <c r="B3">
        <v>1</v>
      </c>
      <c r="C3">
        <v>0</v>
      </c>
      <c r="D3">
        <v>-1</v>
      </c>
      <c r="E3">
        <v>-1</v>
      </c>
      <c r="F3" t="s">
        <v>59</v>
      </c>
      <c r="G3">
        <v>-1</v>
      </c>
      <c r="H3">
        <v>-1</v>
      </c>
      <c r="I3" t="s">
        <v>59</v>
      </c>
      <c r="J3" t="s">
        <v>59</v>
      </c>
      <c r="K3" t="s">
        <v>59</v>
      </c>
    </row>
    <row r="4" spans="1:11" x14ac:dyDescent="0.25">
      <c r="A4">
        <v>2</v>
      </c>
      <c r="B4" s="2">
        <v>2</v>
      </c>
      <c r="C4" s="2">
        <v>150</v>
      </c>
      <c r="D4" s="2">
        <v>10</v>
      </c>
      <c r="E4" s="2">
        <v>115</v>
      </c>
      <c r="F4" t="s">
        <v>59</v>
      </c>
      <c r="G4">
        <v>-1</v>
      </c>
      <c r="H4">
        <v>-1</v>
      </c>
      <c r="I4" t="s">
        <v>2546</v>
      </c>
      <c r="J4" t="s">
        <v>2547</v>
      </c>
      <c r="K4" t="s">
        <v>2548</v>
      </c>
    </row>
    <row r="5" spans="1:11" x14ac:dyDescent="0.25">
      <c r="A5">
        <v>3</v>
      </c>
      <c r="B5" s="2">
        <v>3</v>
      </c>
      <c r="C5" s="2">
        <v>325</v>
      </c>
      <c r="D5" s="2">
        <v>10</v>
      </c>
      <c r="E5" s="2">
        <v>200</v>
      </c>
      <c r="F5" t="s">
        <v>59</v>
      </c>
      <c r="G5">
        <v>-1</v>
      </c>
      <c r="H5">
        <v>-1</v>
      </c>
      <c r="I5" t="s">
        <v>2549</v>
      </c>
      <c r="J5" t="s">
        <v>2550</v>
      </c>
      <c r="K5" t="s">
        <v>2548</v>
      </c>
    </row>
    <row r="6" spans="1:11" x14ac:dyDescent="0.25">
      <c r="A6">
        <v>4</v>
      </c>
      <c r="B6" s="2">
        <v>4</v>
      </c>
      <c r="C6" s="2">
        <v>475</v>
      </c>
      <c r="D6" s="2">
        <v>10</v>
      </c>
      <c r="E6" s="2">
        <v>250</v>
      </c>
      <c r="F6" t="s">
        <v>59</v>
      </c>
      <c r="G6">
        <v>-1</v>
      </c>
      <c r="H6">
        <v>-1</v>
      </c>
      <c r="I6" t="s">
        <v>2551</v>
      </c>
      <c r="J6" t="s">
        <v>2552</v>
      </c>
      <c r="K6" t="s">
        <v>2548</v>
      </c>
    </row>
    <row r="7" spans="1:11" x14ac:dyDescent="0.25">
      <c r="A7">
        <v>5</v>
      </c>
      <c r="B7" s="2">
        <v>5</v>
      </c>
      <c r="C7" s="2">
        <v>800</v>
      </c>
      <c r="D7" s="2">
        <v>5</v>
      </c>
      <c r="E7" s="2">
        <v>250</v>
      </c>
      <c r="F7" t="s">
        <v>59</v>
      </c>
      <c r="G7">
        <v>-1</v>
      </c>
      <c r="H7">
        <v>-1</v>
      </c>
      <c r="I7" t="s">
        <v>2553</v>
      </c>
      <c r="J7" t="s">
        <v>2554</v>
      </c>
      <c r="K7" t="s">
        <v>2548</v>
      </c>
    </row>
    <row r="8" spans="1:11" x14ac:dyDescent="0.25">
      <c r="A8">
        <v>6</v>
      </c>
      <c r="B8" s="2">
        <v>6</v>
      </c>
      <c r="C8" s="2">
        <v>1150</v>
      </c>
      <c r="D8" s="2">
        <v>5</v>
      </c>
      <c r="E8" s="2">
        <v>250</v>
      </c>
      <c r="F8" t="s">
        <v>59</v>
      </c>
      <c r="G8">
        <v>-1</v>
      </c>
      <c r="H8">
        <v>-1</v>
      </c>
      <c r="I8" t="s">
        <v>2555</v>
      </c>
      <c r="J8" t="s">
        <v>2547</v>
      </c>
      <c r="K8" t="s">
        <v>2548</v>
      </c>
    </row>
    <row r="9" spans="1:11" x14ac:dyDescent="0.25">
      <c r="A9">
        <v>7</v>
      </c>
      <c r="B9" s="2">
        <v>7</v>
      </c>
      <c r="C9" s="2">
        <v>1500</v>
      </c>
      <c r="D9" s="2">
        <v>5</v>
      </c>
      <c r="E9" s="2">
        <v>250</v>
      </c>
      <c r="F9" t="s">
        <v>59</v>
      </c>
      <c r="G9">
        <v>-1</v>
      </c>
      <c r="H9">
        <v>-1</v>
      </c>
      <c r="I9" t="s">
        <v>2556</v>
      </c>
      <c r="J9" t="s">
        <v>2557</v>
      </c>
      <c r="K9" t="s">
        <v>2548</v>
      </c>
    </row>
    <row r="10" spans="1:11" x14ac:dyDescent="0.25">
      <c r="A10">
        <v>8</v>
      </c>
      <c r="B10" s="2">
        <v>8</v>
      </c>
      <c r="C10" s="2">
        <v>1875</v>
      </c>
      <c r="D10" s="2">
        <v>5</v>
      </c>
      <c r="E10" s="2">
        <v>250</v>
      </c>
      <c r="F10" t="s">
        <v>59</v>
      </c>
      <c r="G10">
        <v>-1</v>
      </c>
      <c r="H10">
        <v>-1</v>
      </c>
      <c r="I10" t="s">
        <v>2558</v>
      </c>
      <c r="J10" t="s">
        <v>2559</v>
      </c>
      <c r="K10" t="s">
        <v>2548</v>
      </c>
    </row>
    <row r="11" spans="1:11" x14ac:dyDescent="0.25">
      <c r="A11">
        <v>9</v>
      </c>
      <c r="B11" s="2">
        <v>9</v>
      </c>
      <c r="C11" s="2">
        <v>2325</v>
      </c>
      <c r="D11" s="2">
        <v>5</v>
      </c>
      <c r="E11" s="2">
        <v>250</v>
      </c>
      <c r="F11" t="s">
        <v>59</v>
      </c>
      <c r="G11">
        <v>-1</v>
      </c>
      <c r="H11">
        <v>-1</v>
      </c>
      <c r="I11" t="s">
        <v>2560</v>
      </c>
      <c r="J11" t="s">
        <v>2561</v>
      </c>
      <c r="K11" t="s">
        <v>2548</v>
      </c>
    </row>
    <row r="12" spans="1:11" x14ac:dyDescent="0.25">
      <c r="A12">
        <v>10</v>
      </c>
      <c r="B12" s="2">
        <v>10</v>
      </c>
      <c r="C12" s="2">
        <v>2925</v>
      </c>
      <c r="D12" s="2">
        <v>5</v>
      </c>
      <c r="E12" s="2">
        <v>250</v>
      </c>
      <c r="F12" t="s">
        <v>59</v>
      </c>
      <c r="G12">
        <v>-1</v>
      </c>
      <c r="H12">
        <v>-1</v>
      </c>
      <c r="I12" t="s">
        <v>2562</v>
      </c>
      <c r="J12" t="s">
        <v>2563</v>
      </c>
      <c r="K12" t="s">
        <v>2548</v>
      </c>
    </row>
    <row r="13" spans="1:11" x14ac:dyDescent="0.25">
      <c r="A13">
        <v>11</v>
      </c>
      <c r="B13" s="2">
        <v>11</v>
      </c>
      <c r="C13" s="2">
        <v>3775</v>
      </c>
      <c r="D13" s="2">
        <v>5</v>
      </c>
      <c r="E13" s="2">
        <v>500</v>
      </c>
      <c r="F13" t="s">
        <v>59</v>
      </c>
      <c r="G13">
        <v>-1</v>
      </c>
      <c r="H13">
        <v>-1</v>
      </c>
      <c r="I13" t="s">
        <v>2564</v>
      </c>
      <c r="J13" t="s">
        <v>2547</v>
      </c>
      <c r="K13" t="s">
        <v>2548</v>
      </c>
    </row>
    <row r="14" spans="1:11" x14ac:dyDescent="0.25">
      <c r="A14">
        <v>12</v>
      </c>
      <c r="B14" s="2">
        <v>12</v>
      </c>
      <c r="C14" s="2">
        <v>5125</v>
      </c>
      <c r="D14" s="2">
        <v>5</v>
      </c>
      <c r="E14" s="2">
        <v>500</v>
      </c>
      <c r="F14" t="s">
        <v>59</v>
      </c>
      <c r="G14">
        <v>-1</v>
      </c>
      <c r="H14">
        <v>-1</v>
      </c>
      <c r="I14" t="s">
        <v>2565</v>
      </c>
      <c r="J14" t="s">
        <v>2566</v>
      </c>
      <c r="K14" t="s">
        <v>2548</v>
      </c>
    </row>
    <row r="15" spans="1:11" x14ac:dyDescent="0.25">
      <c r="A15">
        <v>13</v>
      </c>
      <c r="B15" s="2">
        <v>13</v>
      </c>
      <c r="C15" s="2">
        <v>7225</v>
      </c>
      <c r="D15" s="2">
        <v>5</v>
      </c>
      <c r="E15" s="2">
        <v>500</v>
      </c>
      <c r="F15" t="s">
        <v>1</v>
      </c>
      <c r="G15" s="2">
        <v>60002</v>
      </c>
      <c r="H15" s="2">
        <v>1</v>
      </c>
      <c r="I15" t="s">
        <v>2567</v>
      </c>
      <c r="J15" t="s">
        <v>2568</v>
      </c>
      <c r="K15" t="s">
        <v>2548</v>
      </c>
    </row>
    <row r="16" spans="1:11" x14ac:dyDescent="0.25">
      <c r="A16">
        <v>14</v>
      </c>
      <c r="B16" s="2">
        <v>14</v>
      </c>
      <c r="C16" s="2">
        <v>10325</v>
      </c>
      <c r="D16" s="2">
        <v>5</v>
      </c>
      <c r="E16" s="2">
        <v>500</v>
      </c>
      <c r="F16" t="s">
        <v>59</v>
      </c>
      <c r="G16">
        <v>-1</v>
      </c>
      <c r="H16">
        <v>-1</v>
      </c>
      <c r="I16" t="s">
        <v>2569</v>
      </c>
      <c r="J16" t="s">
        <v>2570</v>
      </c>
      <c r="K16" t="s">
        <v>2548</v>
      </c>
    </row>
    <row r="17" spans="1:11" x14ac:dyDescent="0.25">
      <c r="A17">
        <v>15</v>
      </c>
      <c r="B17" s="2">
        <v>15</v>
      </c>
      <c r="C17" s="2">
        <v>14425</v>
      </c>
      <c r="D17" s="2">
        <v>5</v>
      </c>
      <c r="E17" s="2">
        <v>500</v>
      </c>
      <c r="F17" t="s">
        <v>59</v>
      </c>
      <c r="G17">
        <v>-1</v>
      </c>
      <c r="H17">
        <v>-1</v>
      </c>
      <c r="I17" t="s">
        <v>2571</v>
      </c>
      <c r="J17" t="s">
        <v>2572</v>
      </c>
      <c r="K17" t="s">
        <v>2548</v>
      </c>
    </row>
    <row r="18" spans="1:11" x14ac:dyDescent="0.25">
      <c r="A18">
        <v>16</v>
      </c>
      <c r="B18" s="2">
        <v>16</v>
      </c>
      <c r="C18" s="2">
        <v>19525</v>
      </c>
      <c r="D18" s="2">
        <v>5</v>
      </c>
      <c r="E18" s="2">
        <v>1000</v>
      </c>
      <c r="F18" t="s">
        <v>59</v>
      </c>
      <c r="G18">
        <v>-1</v>
      </c>
      <c r="H18">
        <v>-1</v>
      </c>
      <c r="I18" t="s">
        <v>2573</v>
      </c>
      <c r="J18" t="s">
        <v>2574</v>
      </c>
      <c r="K18" t="s">
        <v>2548</v>
      </c>
    </row>
    <row r="19" spans="1:11" x14ac:dyDescent="0.25">
      <c r="A19">
        <v>17</v>
      </c>
      <c r="B19" s="2">
        <v>17</v>
      </c>
      <c r="C19" s="2">
        <v>25625</v>
      </c>
      <c r="D19" s="2">
        <v>5</v>
      </c>
      <c r="E19" s="2">
        <v>1000</v>
      </c>
      <c r="F19" t="s">
        <v>59</v>
      </c>
      <c r="G19">
        <v>-1</v>
      </c>
      <c r="H19">
        <v>-1</v>
      </c>
      <c r="I19" t="s">
        <v>2575</v>
      </c>
      <c r="J19" t="s">
        <v>2576</v>
      </c>
      <c r="K19" t="s">
        <v>2548</v>
      </c>
    </row>
    <row r="20" spans="1:11" x14ac:dyDescent="0.25">
      <c r="A20">
        <v>18</v>
      </c>
      <c r="B20" s="2">
        <v>18</v>
      </c>
      <c r="C20" s="2">
        <v>33725</v>
      </c>
      <c r="D20" s="2">
        <v>5</v>
      </c>
      <c r="E20" s="2">
        <v>1000</v>
      </c>
      <c r="F20" t="s">
        <v>59</v>
      </c>
      <c r="G20">
        <v>-1</v>
      </c>
      <c r="H20">
        <v>-1</v>
      </c>
      <c r="I20" t="s">
        <v>2577</v>
      </c>
      <c r="J20" t="s">
        <v>2578</v>
      </c>
      <c r="K20" t="s">
        <v>2548</v>
      </c>
    </row>
    <row r="21" spans="1:11" x14ac:dyDescent="0.25">
      <c r="A21">
        <v>19</v>
      </c>
      <c r="B21" s="2">
        <v>19</v>
      </c>
      <c r="C21" s="2">
        <v>43825</v>
      </c>
      <c r="D21" s="2">
        <v>5</v>
      </c>
      <c r="E21" s="2">
        <v>1000</v>
      </c>
      <c r="F21" t="s">
        <v>59</v>
      </c>
      <c r="G21">
        <v>-1</v>
      </c>
      <c r="H21">
        <v>-1</v>
      </c>
      <c r="I21" t="s">
        <v>2579</v>
      </c>
      <c r="J21" t="s">
        <v>2580</v>
      </c>
      <c r="K21" t="s">
        <v>2548</v>
      </c>
    </row>
    <row r="22" spans="1:11" x14ac:dyDescent="0.25">
      <c r="A22">
        <v>20</v>
      </c>
      <c r="B22" s="2">
        <v>20</v>
      </c>
      <c r="C22" s="2">
        <v>55925</v>
      </c>
      <c r="D22" s="2">
        <v>5</v>
      </c>
      <c r="E22" s="2">
        <v>1000</v>
      </c>
      <c r="F22" t="s">
        <v>59</v>
      </c>
      <c r="G22">
        <v>-1</v>
      </c>
      <c r="H22">
        <v>-1</v>
      </c>
      <c r="I22" t="s">
        <v>2581</v>
      </c>
      <c r="J22" t="s">
        <v>2582</v>
      </c>
      <c r="K22" t="s">
        <v>2548</v>
      </c>
    </row>
    <row r="23" spans="1:11" x14ac:dyDescent="0.25">
      <c r="A23">
        <v>21</v>
      </c>
      <c r="B23" s="2">
        <v>21</v>
      </c>
      <c r="C23" s="2">
        <v>70025</v>
      </c>
      <c r="D23" s="2">
        <v>5</v>
      </c>
      <c r="E23" s="2">
        <v>2500</v>
      </c>
      <c r="F23" t="s">
        <v>59</v>
      </c>
      <c r="G23">
        <v>-1</v>
      </c>
      <c r="H23">
        <v>-1</v>
      </c>
      <c r="I23" t="s">
        <v>2583</v>
      </c>
      <c r="J23" t="s">
        <v>2547</v>
      </c>
      <c r="K23" t="s">
        <v>2548</v>
      </c>
    </row>
    <row r="24" spans="1:11" x14ac:dyDescent="0.25">
      <c r="A24">
        <v>22</v>
      </c>
      <c r="B24" s="2">
        <v>22</v>
      </c>
      <c r="C24" s="2">
        <v>87125</v>
      </c>
      <c r="D24" s="2">
        <v>5</v>
      </c>
      <c r="E24" s="2">
        <v>2500</v>
      </c>
      <c r="F24" t="s">
        <v>59</v>
      </c>
      <c r="G24">
        <v>-1</v>
      </c>
      <c r="H24">
        <v>-1</v>
      </c>
      <c r="I24" t="s">
        <v>2584</v>
      </c>
      <c r="J24" t="s">
        <v>2585</v>
      </c>
      <c r="K24" t="s">
        <v>2548</v>
      </c>
    </row>
    <row r="25" spans="1:11" x14ac:dyDescent="0.25">
      <c r="A25">
        <v>23</v>
      </c>
      <c r="B25" s="2">
        <v>23</v>
      </c>
      <c r="C25" s="2">
        <v>107225</v>
      </c>
      <c r="D25" s="2">
        <v>5</v>
      </c>
      <c r="E25" s="2">
        <v>2500</v>
      </c>
      <c r="F25" t="s">
        <v>59</v>
      </c>
      <c r="G25">
        <v>-1</v>
      </c>
      <c r="H25">
        <v>-1</v>
      </c>
      <c r="I25" t="s">
        <v>2586</v>
      </c>
      <c r="J25" t="s">
        <v>2587</v>
      </c>
      <c r="K25" t="s">
        <v>2548</v>
      </c>
    </row>
    <row r="26" spans="1:11" x14ac:dyDescent="0.25">
      <c r="A26">
        <v>24</v>
      </c>
      <c r="B26" s="2">
        <v>24</v>
      </c>
      <c r="C26" s="2">
        <v>130325</v>
      </c>
      <c r="D26" s="2">
        <v>5</v>
      </c>
      <c r="E26" s="2">
        <v>2500</v>
      </c>
      <c r="F26" t="s">
        <v>59</v>
      </c>
      <c r="G26">
        <v>-1</v>
      </c>
      <c r="H26">
        <v>-1</v>
      </c>
      <c r="I26" t="s">
        <v>2588</v>
      </c>
      <c r="J26" t="s">
        <v>2547</v>
      </c>
      <c r="K26" t="s">
        <v>2548</v>
      </c>
    </row>
    <row r="27" spans="1:11" x14ac:dyDescent="0.25">
      <c r="A27">
        <v>25</v>
      </c>
      <c r="B27" s="2">
        <v>25</v>
      </c>
      <c r="C27" s="2">
        <v>157245</v>
      </c>
      <c r="D27" s="2">
        <v>5</v>
      </c>
      <c r="E27" s="2">
        <v>2500</v>
      </c>
      <c r="F27" t="s">
        <v>59</v>
      </c>
      <c r="G27">
        <v>-1</v>
      </c>
      <c r="H27">
        <v>-1</v>
      </c>
      <c r="I27" t="s">
        <v>2589</v>
      </c>
      <c r="J27" t="s">
        <v>2590</v>
      </c>
      <c r="K27" t="s">
        <v>2548</v>
      </c>
    </row>
    <row r="28" spans="1:11" x14ac:dyDescent="0.25">
      <c r="A28">
        <v>26</v>
      </c>
      <c r="B28" s="2">
        <v>26</v>
      </c>
      <c r="C28" s="2">
        <v>188525</v>
      </c>
      <c r="D28" s="2">
        <v>5</v>
      </c>
      <c r="E28" s="2">
        <v>5000</v>
      </c>
      <c r="F28" t="s">
        <v>59</v>
      </c>
      <c r="G28">
        <v>-1</v>
      </c>
      <c r="H28">
        <v>-1</v>
      </c>
      <c r="I28" t="s">
        <v>2591</v>
      </c>
      <c r="J28" t="s">
        <v>2592</v>
      </c>
      <c r="K28" t="s">
        <v>2548</v>
      </c>
    </row>
    <row r="29" spans="1:11" x14ac:dyDescent="0.25">
      <c r="A29">
        <v>27</v>
      </c>
      <c r="B29" s="2">
        <v>27</v>
      </c>
      <c r="C29" s="2">
        <v>224625</v>
      </c>
      <c r="D29" s="2">
        <v>5</v>
      </c>
      <c r="E29" s="2">
        <v>5000</v>
      </c>
      <c r="F29" t="s">
        <v>59</v>
      </c>
      <c r="G29">
        <v>-1</v>
      </c>
      <c r="H29">
        <v>-1</v>
      </c>
      <c r="I29" t="s">
        <v>2593</v>
      </c>
      <c r="J29" t="s">
        <v>2594</v>
      </c>
      <c r="K29" t="s">
        <v>2548</v>
      </c>
    </row>
    <row r="30" spans="1:11" x14ac:dyDescent="0.25">
      <c r="A30">
        <v>28</v>
      </c>
      <c r="B30" s="2">
        <v>28</v>
      </c>
      <c r="C30" s="2">
        <v>266725</v>
      </c>
      <c r="D30" s="2">
        <v>5</v>
      </c>
      <c r="E30" s="2">
        <v>5000</v>
      </c>
      <c r="F30" t="s">
        <v>59</v>
      </c>
      <c r="G30">
        <v>-1</v>
      </c>
      <c r="H30">
        <v>-1</v>
      </c>
      <c r="I30" t="s">
        <v>2595</v>
      </c>
      <c r="J30" t="s">
        <v>2596</v>
      </c>
      <c r="K30" t="s">
        <v>2548</v>
      </c>
    </row>
    <row r="31" spans="1:11" x14ac:dyDescent="0.25">
      <c r="A31">
        <v>29</v>
      </c>
      <c r="B31" s="2">
        <v>29</v>
      </c>
      <c r="C31" s="2">
        <v>315825</v>
      </c>
      <c r="D31" s="2">
        <v>5</v>
      </c>
      <c r="E31" s="2">
        <v>5000</v>
      </c>
      <c r="F31" t="s">
        <v>59</v>
      </c>
      <c r="G31">
        <v>-1</v>
      </c>
      <c r="H31">
        <v>-1</v>
      </c>
      <c r="I31" t="s">
        <v>2597</v>
      </c>
      <c r="J31" t="s">
        <v>2547</v>
      </c>
      <c r="K31" t="s">
        <v>2548</v>
      </c>
    </row>
    <row r="32" spans="1:11" x14ac:dyDescent="0.25">
      <c r="A32">
        <v>30</v>
      </c>
      <c r="B32" s="2">
        <v>30</v>
      </c>
      <c r="C32" s="2">
        <v>372925</v>
      </c>
      <c r="D32" s="2">
        <v>5</v>
      </c>
      <c r="E32" s="2">
        <v>5000</v>
      </c>
      <c r="F32" t="s">
        <v>59</v>
      </c>
      <c r="G32">
        <v>-1</v>
      </c>
      <c r="H32">
        <v>-1</v>
      </c>
      <c r="I32" t="s">
        <v>2598</v>
      </c>
      <c r="J32" t="s">
        <v>2599</v>
      </c>
      <c r="K32" t="s">
        <v>2548</v>
      </c>
    </row>
    <row r="33" spans="1:11" x14ac:dyDescent="0.25">
      <c r="A33">
        <v>31</v>
      </c>
      <c r="B33" s="2">
        <v>31</v>
      </c>
      <c r="C33" s="2">
        <v>439025</v>
      </c>
      <c r="D33" s="2">
        <v>5</v>
      </c>
      <c r="E33" s="2">
        <v>5000</v>
      </c>
      <c r="F33" t="s">
        <v>59</v>
      </c>
      <c r="G33">
        <v>-1</v>
      </c>
      <c r="H33">
        <v>-1</v>
      </c>
      <c r="I33" t="s">
        <v>2600</v>
      </c>
      <c r="J33" t="s">
        <v>2601</v>
      </c>
      <c r="K33" t="s">
        <v>2548</v>
      </c>
    </row>
    <row r="34" spans="1:11" x14ac:dyDescent="0.25">
      <c r="A34">
        <v>32</v>
      </c>
      <c r="B34" s="2">
        <v>32</v>
      </c>
      <c r="C34">
        <v>515125</v>
      </c>
      <c r="D34" s="2">
        <v>5</v>
      </c>
      <c r="E34" s="2">
        <v>5000</v>
      </c>
      <c r="F34" t="s">
        <v>59</v>
      </c>
      <c r="G34">
        <v>-1</v>
      </c>
      <c r="H34">
        <v>-1</v>
      </c>
      <c r="I34" t="s">
        <v>2600</v>
      </c>
      <c r="J34" t="s">
        <v>2602</v>
      </c>
      <c r="K34" t="s">
        <v>2548</v>
      </c>
    </row>
    <row r="35" spans="1:11" x14ac:dyDescent="0.25">
      <c r="A35">
        <v>33</v>
      </c>
      <c r="B35" s="2">
        <v>33</v>
      </c>
      <c r="C35">
        <v>602225</v>
      </c>
      <c r="D35" s="2">
        <v>5</v>
      </c>
      <c r="E35" s="2">
        <v>5000</v>
      </c>
      <c r="F35" t="s">
        <v>59</v>
      </c>
      <c r="G35">
        <v>-1</v>
      </c>
      <c r="H35">
        <v>-1</v>
      </c>
      <c r="I35" t="s">
        <v>2600</v>
      </c>
      <c r="J35" t="s">
        <v>2603</v>
      </c>
      <c r="K35" t="s">
        <v>2548</v>
      </c>
    </row>
    <row r="36" spans="1:11" x14ac:dyDescent="0.25">
      <c r="A36">
        <v>34</v>
      </c>
      <c r="B36" s="2">
        <v>34</v>
      </c>
      <c r="C36">
        <v>701325</v>
      </c>
      <c r="D36" s="2">
        <v>5</v>
      </c>
      <c r="E36" s="2">
        <v>5000</v>
      </c>
      <c r="F36" t="s">
        <v>59</v>
      </c>
      <c r="G36">
        <v>-1</v>
      </c>
      <c r="H36">
        <v>-1</v>
      </c>
      <c r="I36" t="s">
        <v>2600</v>
      </c>
      <c r="J36" t="s">
        <v>2604</v>
      </c>
      <c r="K36" t="s">
        <v>2548</v>
      </c>
    </row>
    <row r="37" spans="1:11" x14ac:dyDescent="0.25">
      <c r="A37">
        <v>35</v>
      </c>
      <c r="B37" s="2">
        <v>35</v>
      </c>
      <c r="C37">
        <v>813425</v>
      </c>
      <c r="D37" s="2">
        <v>5</v>
      </c>
      <c r="E37" s="2">
        <v>5000</v>
      </c>
      <c r="F37" t="s">
        <v>59</v>
      </c>
      <c r="G37">
        <v>-1</v>
      </c>
      <c r="H37">
        <v>-1</v>
      </c>
      <c r="I37" t="s">
        <v>2600</v>
      </c>
      <c r="J37" t="s">
        <v>2605</v>
      </c>
      <c r="K37" t="s">
        <v>2548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15" sqref="E15"/>
    </sheetView>
  </sheetViews>
  <sheetFormatPr defaultRowHeight="15" x14ac:dyDescent="0.25"/>
  <cols>
    <col min="1" max="1" width="4" bestFit="1" customWidth="1"/>
    <col min="3" max="3" width="5.28515625" bestFit="1" customWidth="1"/>
    <col min="4" max="4" width="37.7109375" bestFit="1" customWidth="1"/>
    <col min="5" max="5" width="36.42578125" bestFit="1" customWidth="1"/>
    <col min="6" max="7" width="8.28515625" bestFit="1" customWidth="1"/>
    <col min="8" max="8" width="11.7109375" bestFit="1" customWidth="1"/>
    <col min="9" max="9" width="5.42578125" bestFit="1" customWidth="1"/>
  </cols>
  <sheetData>
    <row r="1" spans="1:9" s="1" customFormat="1" ht="30" x14ac:dyDescent="0.25">
      <c r="A1" s="1" t="s">
        <v>2142</v>
      </c>
      <c r="B1" s="1" t="s">
        <v>63</v>
      </c>
      <c r="C1" s="1" t="s">
        <v>66</v>
      </c>
      <c r="D1" s="1" t="s">
        <v>2329</v>
      </c>
      <c r="E1" s="1" t="s">
        <v>2628</v>
      </c>
      <c r="F1" s="1" t="s">
        <v>2629</v>
      </c>
      <c r="G1" s="1" t="s">
        <v>2630</v>
      </c>
      <c r="H1" s="1" t="s">
        <v>2631</v>
      </c>
      <c r="I1" s="1" t="s">
        <v>2632</v>
      </c>
    </row>
    <row r="3" spans="1:9" x14ac:dyDescent="0.25">
      <c r="A3">
        <v>1</v>
      </c>
      <c r="B3" t="s">
        <v>2627</v>
      </c>
      <c r="C3" s="2">
        <v>3005</v>
      </c>
      <c r="D3" t="s">
        <v>2612</v>
      </c>
      <c r="E3" t="s">
        <v>2613</v>
      </c>
      <c r="F3" s="2">
        <v>-1</v>
      </c>
      <c r="G3" s="2">
        <v>-1</v>
      </c>
      <c r="H3" s="2">
        <v>-1</v>
      </c>
      <c r="I3">
        <v>0</v>
      </c>
    </row>
    <row r="4" spans="1:9" x14ac:dyDescent="0.25">
      <c r="A4">
        <v>2</v>
      </c>
      <c r="B4" t="s">
        <v>1578</v>
      </c>
      <c r="C4" s="2">
        <v>4005</v>
      </c>
      <c r="D4" t="s">
        <v>2614</v>
      </c>
      <c r="E4" t="s">
        <v>59</v>
      </c>
      <c r="F4" s="2">
        <v>865</v>
      </c>
      <c r="G4" s="2">
        <v>623</v>
      </c>
      <c r="H4" s="2">
        <v>-1</v>
      </c>
      <c r="I4">
        <v>0</v>
      </c>
    </row>
    <row r="5" spans="1:9" x14ac:dyDescent="0.25">
      <c r="A5">
        <v>3</v>
      </c>
      <c r="B5" t="s">
        <v>1578</v>
      </c>
      <c r="C5" s="2">
        <v>4005</v>
      </c>
      <c r="D5" t="s">
        <v>2615</v>
      </c>
      <c r="E5" t="s">
        <v>59</v>
      </c>
      <c r="F5" s="2">
        <v>1073</v>
      </c>
      <c r="G5" s="2">
        <v>649</v>
      </c>
      <c r="H5" s="2">
        <v>-1</v>
      </c>
      <c r="I5">
        <v>0</v>
      </c>
    </row>
    <row r="6" spans="1:9" x14ac:dyDescent="0.25">
      <c r="A6">
        <v>4</v>
      </c>
      <c r="B6" t="s">
        <v>1578</v>
      </c>
      <c r="C6" s="2">
        <v>4005</v>
      </c>
      <c r="D6" t="s">
        <v>2616</v>
      </c>
      <c r="E6" t="s">
        <v>59</v>
      </c>
      <c r="F6" s="2">
        <v>863</v>
      </c>
      <c r="G6" s="2">
        <v>614</v>
      </c>
      <c r="H6" s="2">
        <v>-1</v>
      </c>
      <c r="I6">
        <v>0</v>
      </c>
    </row>
    <row r="7" spans="1:9" x14ac:dyDescent="0.25">
      <c r="A7">
        <v>5</v>
      </c>
      <c r="B7" t="s">
        <v>1578</v>
      </c>
      <c r="C7" s="2">
        <v>4005</v>
      </c>
      <c r="D7" t="s">
        <v>2617</v>
      </c>
      <c r="E7" t="s">
        <v>59</v>
      </c>
      <c r="F7" s="2">
        <v>851</v>
      </c>
      <c r="G7" s="2">
        <v>752</v>
      </c>
      <c r="H7" s="2">
        <v>-1</v>
      </c>
      <c r="I7">
        <v>0</v>
      </c>
    </row>
    <row r="8" spans="1:9" x14ac:dyDescent="0.25">
      <c r="A8">
        <v>6</v>
      </c>
      <c r="B8" t="s">
        <v>1578</v>
      </c>
      <c r="C8" s="2">
        <v>4005</v>
      </c>
      <c r="D8" t="s">
        <v>2618</v>
      </c>
      <c r="E8" t="s">
        <v>59</v>
      </c>
      <c r="F8" s="2">
        <v>1038</v>
      </c>
      <c r="G8" s="2">
        <v>600</v>
      </c>
      <c r="H8" s="2">
        <v>-1</v>
      </c>
      <c r="I8">
        <v>0</v>
      </c>
    </row>
    <row r="9" spans="1:9" x14ac:dyDescent="0.25">
      <c r="A9">
        <v>7</v>
      </c>
      <c r="B9" t="s">
        <v>1578</v>
      </c>
      <c r="C9" s="2">
        <v>4005</v>
      </c>
      <c r="D9" t="s">
        <v>2619</v>
      </c>
      <c r="E9" t="s">
        <v>59</v>
      </c>
      <c r="F9" s="2">
        <v>878</v>
      </c>
      <c r="G9" s="2">
        <v>600</v>
      </c>
      <c r="H9" s="2">
        <v>-1</v>
      </c>
      <c r="I9">
        <v>0</v>
      </c>
    </row>
    <row r="10" spans="1:9" x14ac:dyDescent="0.25">
      <c r="A10">
        <v>8</v>
      </c>
      <c r="B10" t="s">
        <v>1578</v>
      </c>
      <c r="C10" s="2">
        <v>4008</v>
      </c>
      <c r="D10" t="s">
        <v>2620</v>
      </c>
      <c r="E10" t="s">
        <v>59</v>
      </c>
      <c r="F10" s="2">
        <v>857</v>
      </c>
      <c r="G10" s="2">
        <v>749</v>
      </c>
      <c r="H10" s="2">
        <v>-1</v>
      </c>
      <c r="I10">
        <v>0</v>
      </c>
    </row>
    <row r="11" spans="1:9" x14ac:dyDescent="0.25">
      <c r="A11">
        <v>9</v>
      </c>
      <c r="B11" t="s">
        <v>1578</v>
      </c>
      <c r="C11" s="2">
        <v>4008</v>
      </c>
      <c r="D11" t="s">
        <v>2621</v>
      </c>
      <c r="E11" t="s">
        <v>59</v>
      </c>
      <c r="F11" s="2">
        <v>865</v>
      </c>
      <c r="G11" s="2">
        <v>764</v>
      </c>
      <c r="H11" s="2">
        <v>-1</v>
      </c>
      <c r="I11">
        <v>0</v>
      </c>
    </row>
    <row r="12" spans="1:9" x14ac:dyDescent="0.25">
      <c r="A12">
        <v>10</v>
      </c>
      <c r="B12" t="s">
        <v>1578</v>
      </c>
      <c r="C12" s="2">
        <v>4008</v>
      </c>
      <c r="D12" t="s">
        <v>2622</v>
      </c>
      <c r="E12" t="s">
        <v>59</v>
      </c>
      <c r="F12" s="2">
        <v>1050</v>
      </c>
      <c r="G12" s="2">
        <v>648</v>
      </c>
      <c r="H12" s="2">
        <v>-1</v>
      </c>
      <c r="I12">
        <v>0</v>
      </c>
    </row>
    <row r="13" spans="1:9" x14ac:dyDescent="0.25">
      <c r="A13">
        <v>11</v>
      </c>
      <c r="B13" t="s">
        <v>2305</v>
      </c>
      <c r="C13" s="2">
        <v>1029</v>
      </c>
      <c r="D13" t="s">
        <v>2623</v>
      </c>
      <c r="E13" t="s">
        <v>59</v>
      </c>
      <c r="F13" s="2">
        <v>1040</v>
      </c>
      <c r="G13" s="2">
        <v>800</v>
      </c>
      <c r="H13" s="2">
        <v>33</v>
      </c>
      <c r="I13">
        <v>0</v>
      </c>
    </row>
    <row r="14" spans="1:9" x14ac:dyDescent="0.25">
      <c r="A14">
        <v>12</v>
      </c>
      <c r="B14" t="s">
        <v>2305</v>
      </c>
      <c r="C14" s="2">
        <v>1018</v>
      </c>
      <c r="D14" t="s">
        <v>2613</v>
      </c>
      <c r="E14" t="s">
        <v>59</v>
      </c>
      <c r="F14" s="2">
        <v>960</v>
      </c>
      <c r="G14" s="2">
        <v>620</v>
      </c>
      <c r="H14" s="2">
        <v>33</v>
      </c>
      <c r="I14">
        <v>0</v>
      </c>
    </row>
    <row r="15" spans="1:9" x14ac:dyDescent="0.25">
      <c r="A15">
        <v>13</v>
      </c>
      <c r="B15" t="s">
        <v>2305</v>
      </c>
      <c r="C15" s="2">
        <v>1102</v>
      </c>
      <c r="D15" t="s">
        <v>1463</v>
      </c>
      <c r="E15" t="s">
        <v>59</v>
      </c>
      <c r="F15" s="2">
        <v>940</v>
      </c>
      <c r="G15" s="2">
        <v>740</v>
      </c>
      <c r="H15" s="2">
        <v>33</v>
      </c>
      <c r="I15">
        <v>0</v>
      </c>
    </row>
    <row r="16" spans="1:9" x14ac:dyDescent="0.25">
      <c r="A16">
        <v>14</v>
      </c>
      <c r="B16" t="s">
        <v>2305</v>
      </c>
      <c r="C16" s="2">
        <v>1027</v>
      </c>
      <c r="D16" t="s">
        <v>2624</v>
      </c>
      <c r="E16" t="s">
        <v>59</v>
      </c>
      <c r="F16" s="2">
        <v>920</v>
      </c>
      <c r="G16" s="2">
        <v>740</v>
      </c>
      <c r="H16" s="2">
        <v>97</v>
      </c>
      <c r="I16">
        <v>0</v>
      </c>
    </row>
    <row r="17" spans="1:9" x14ac:dyDescent="0.25">
      <c r="A17">
        <v>15</v>
      </c>
      <c r="B17" t="s">
        <v>2305</v>
      </c>
      <c r="C17" s="2">
        <v>1027</v>
      </c>
      <c r="D17" t="s">
        <v>2625</v>
      </c>
      <c r="E17" t="s">
        <v>59</v>
      </c>
      <c r="F17" s="2">
        <v>920</v>
      </c>
      <c r="G17" s="2">
        <v>760</v>
      </c>
      <c r="H17" s="2">
        <v>97</v>
      </c>
      <c r="I17">
        <v>0</v>
      </c>
    </row>
    <row r="18" spans="1:9" x14ac:dyDescent="0.25">
      <c r="A18">
        <v>16</v>
      </c>
      <c r="B18" t="s">
        <v>2305</v>
      </c>
      <c r="C18" s="2">
        <v>1027</v>
      </c>
      <c r="D18" t="s">
        <v>2626</v>
      </c>
      <c r="E18" t="s">
        <v>59</v>
      </c>
      <c r="F18" s="2">
        <v>900</v>
      </c>
      <c r="G18" s="2">
        <v>760</v>
      </c>
      <c r="H18" s="2">
        <v>97</v>
      </c>
      <c r="I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8"/>
  <sheetViews>
    <sheetView workbookViewId="0">
      <selection activeCell="G42" sqref="G42"/>
    </sheetView>
  </sheetViews>
  <sheetFormatPr defaultColWidth="21.7109375" defaultRowHeight="15" x14ac:dyDescent="0.25"/>
  <cols>
    <col min="1" max="1" width="3" bestFit="1" customWidth="1"/>
    <col min="2" max="2" width="5.28515625" bestFit="1" customWidth="1"/>
    <col min="3" max="3" width="25.140625" customWidth="1"/>
    <col min="4" max="4" width="9.7109375" customWidth="1"/>
    <col min="5" max="5" width="11.28515625" customWidth="1"/>
    <col min="6" max="6" width="14" bestFit="1" customWidth="1"/>
    <col min="7" max="7" width="21.7109375" customWidth="1"/>
  </cols>
  <sheetData>
    <row r="1" spans="1:6" s="1" customFormat="1" ht="30" x14ac:dyDescent="0.25">
      <c r="A1" s="1" t="s">
        <v>2142</v>
      </c>
      <c r="B1" s="1" t="s">
        <v>66</v>
      </c>
      <c r="C1" s="1" t="s">
        <v>2328</v>
      </c>
      <c r="D1" s="1" t="s">
        <v>2633</v>
      </c>
      <c r="E1" s="1" t="s">
        <v>2634</v>
      </c>
      <c r="F1" s="1" t="s">
        <v>2635</v>
      </c>
    </row>
    <row r="3" spans="1:6" x14ac:dyDescent="0.25">
      <c r="A3">
        <v>1</v>
      </c>
      <c r="B3" s="2">
        <v>4</v>
      </c>
      <c r="C3" s="2" t="str">
        <f>VLOOKUP(B3,[1]resources!$A$1:$D$209,3,FALSE)</f>
        <v>!!RESOURCE_LEVEL</v>
      </c>
      <c r="D3" s="2">
        <v>1</v>
      </c>
      <c r="E3" s="2">
        <v>0</v>
      </c>
      <c r="F3" s="2">
        <v>0</v>
      </c>
    </row>
    <row r="4" spans="1:6" x14ac:dyDescent="0.25">
      <c r="A4">
        <v>2</v>
      </c>
      <c r="B4" s="2">
        <v>3</v>
      </c>
      <c r="C4" s="2" t="str">
        <f>VLOOKUP(B4,[1]resources!$A$1:$D$209,3,FALSE)</f>
        <v>!!RESOURCE_MONEY</v>
      </c>
      <c r="D4" s="2">
        <v>100</v>
      </c>
      <c r="E4" s="2">
        <v>0</v>
      </c>
      <c r="F4" s="2">
        <v>0</v>
      </c>
    </row>
    <row r="5" spans="1:6" x14ac:dyDescent="0.25">
      <c r="A5">
        <v>3</v>
      </c>
      <c r="B5" s="2">
        <v>2</v>
      </c>
      <c r="C5" s="2" t="str">
        <f>VLOOKUP(B5,[1]resources!$A$1:$D$209,3,FALSE)</f>
        <v>!!RESOURCE_JJ</v>
      </c>
      <c r="D5" s="2">
        <v>10</v>
      </c>
      <c r="E5" s="2">
        <v>0</v>
      </c>
      <c r="F5" s="2">
        <v>0</v>
      </c>
    </row>
    <row r="6" spans="1:6" x14ac:dyDescent="0.25">
      <c r="A6">
        <v>4</v>
      </c>
      <c r="B6" s="2">
        <v>6</v>
      </c>
      <c r="C6" s="2" t="str">
        <f>VLOOKUP(B6,[1]resources!$A$1:$D$209,3,FALSE)</f>
        <v>!!FOOD_BUN</v>
      </c>
      <c r="D6" s="2">
        <v>7</v>
      </c>
      <c r="E6" s="2">
        <v>0</v>
      </c>
      <c r="F6" s="2">
        <v>0</v>
      </c>
    </row>
    <row r="7" spans="1:6" x14ac:dyDescent="0.25">
      <c r="A7">
        <v>5</v>
      </c>
      <c r="B7" s="2">
        <v>10</v>
      </c>
      <c r="C7" s="2" t="str">
        <f>VLOOKUP(B7,[1]resources!$A$1:$D$209,3,FALSE)</f>
        <v>!!FOOD_TOMATO</v>
      </c>
      <c r="D7" s="2">
        <v>3</v>
      </c>
      <c r="E7" s="2">
        <v>0</v>
      </c>
      <c r="F7" s="2">
        <v>0</v>
      </c>
    </row>
    <row r="8" spans="1:6" x14ac:dyDescent="0.25">
      <c r="A8">
        <v>6</v>
      </c>
      <c r="B8" s="2">
        <v>8</v>
      </c>
      <c r="C8" s="2" t="str">
        <f>VLOOKUP(B8,[1]resources!$A$1:$D$209,3,FALSE)</f>
        <v>!!FOOD_LETTUCE</v>
      </c>
      <c r="D8" s="2">
        <v>1</v>
      </c>
      <c r="E8" s="2">
        <v>0</v>
      </c>
      <c r="F8" s="2">
        <v>0</v>
      </c>
    </row>
    <row r="9" spans="1:6" x14ac:dyDescent="0.25">
      <c r="A9">
        <v>7</v>
      </c>
      <c r="B9" s="2">
        <v>12</v>
      </c>
      <c r="C9" s="2" t="str">
        <f>VLOOKUP(B9,[1]resources!$A$1:$D$209,3,FALSE)</f>
        <v>!!FOOD_ONION</v>
      </c>
      <c r="D9" s="2">
        <v>1</v>
      </c>
      <c r="E9" s="2">
        <v>0</v>
      </c>
      <c r="F9" s="2">
        <v>0</v>
      </c>
    </row>
    <row r="10" spans="1:6" x14ac:dyDescent="0.25">
      <c r="A10">
        <v>8</v>
      </c>
      <c r="B10" s="2">
        <v>1</v>
      </c>
      <c r="C10" s="2" t="str">
        <f>VLOOKUP(B10,[1]resources!$A$1:$D$209,3,FALSE)</f>
        <v>!!FOOD_KRABBYPATTY</v>
      </c>
      <c r="D10" s="2">
        <v>0</v>
      </c>
      <c r="E10" s="2">
        <v>0</v>
      </c>
      <c r="F10" s="2">
        <v>0</v>
      </c>
    </row>
    <row r="11" spans="1:6" x14ac:dyDescent="0.25">
      <c r="A11">
        <v>9</v>
      </c>
      <c r="B11" s="2">
        <v>5</v>
      </c>
      <c r="C11" s="2" t="str">
        <f>VLOOKUP(B11,[1]resources!$A$1:$D$209,3,FALSE)</f>
        <v>!!RESOURCE_XP</v>
      </c>
      <c r="D11" s="2">
        <v>0</v>
      </c>
      <c r="E11" s="2">
        <v>0</v>
      </c>
      <c r="F11" s="2">
        <v>0</v>
      </c>
    </row>
    <row r="12" spans="1:6" x14ac:dyDescent="0.25">
      <c r="A12">
        <v>10</v>
      </c>
      <c r="B12" s="2">
        <v>7</v>
      </c>
      <c r="C12" s="2" t="str">
        <f>VLOOKUP(B12,[1]resources!$A$1:$D$209,3,FALSE)</f>
        <v>Meat</v>
      </c>
      <c r="D12" s="2">
        <v>0</v>
      </c>
      <c r="E12" s="2">
        <v>0</v>
      </c>
      <c r="F12" s="2">
        <v>0</v>
      </c>
    </row>
    <row r="13" spans="1:6" x14ac:dyDescent="0.25">
      <c r="A13">
        <v>11</v>
      </c>
      <c r="B13" s="2">
        <v>9</v>
      </c>
      <c r="C13" s="2" t="str">
        <f>VLOOKUP(B13,[1]resources!$A$1:$D$209,3,FALSE)</f>
        <v>Cheese</v>
      </c>
      <c r="D13" s="2">
        <v>0</v>
      </c>
      <c r="E13" s="2">
        <v>0</v>
      </c>
      <c r="F13" s="2">
        <v>0</v>
      </c>
    </row>
    <row r="14" spans="1:6" x14ac:dyDescent="0.25">
      <c r="A14">
        <v>12</v>
      </c>
      <c r="B14" s="2">
        <v>11</v>
      </c>
      <c r="C14" s="2" t="str">
        <f>VLOOKUP(B14,[1]resources!$A$1:$D$209,3,FALSE)</f>
        <v>Sauce</v>
      </c>
      <c r="D14" s="2">
        <v>0</v>
      </c>
      <c r="E14" s="2">
        <v>0</v>
      </c>
      <c r="F14" s="2">
        <v>0</v>
      </c>
    </row>
    <row r="15" spans="1:6" x14ac:dyDescent="0.25">
      <c r="A15">
        <v>13</v>
      </c>
      <c r="B15" s="2">
        <v>13</v>
      </c>
      <c r="C15" s="2" t="str">
        <f>VLOOKUP(B15,[1]resources!$A$1:$D$209,3,FALSE)</f>
        <v>!!FOOD_POTATO</v>
      </c>
      <c r="D15" s="2">
        <v>0</v>
      </c>
      <c r="E15" s="2">
        <v>0</v>
      </c>
      <c r="F15" s="2">
        <v>0</v>
      </c>
    </row>
    <row r="16" spans="1:6" x14ac:dyDescent="0.25">
      <c r="A16">
        <v>14</v>
      </c>
      <c r="B16" s="2">
        <v>14</v>
      </c>
      <c r="C16" s="2" t="str">
        <f>VLOOKUP(B16,[1]resources!$A$1:$D$209,3,FALSE)</f>
        <v>!!FOOD_KELP</v>
      </c>
      <c r="D16" s="2">
        <v>0</v>
      </c>
      <c r="E16" s="2">
        <v>0</v>
      </c>
      <c r="F16" s="2">
        <v>0</v>
      </c>
    </row>
    <row r="17" spans="1:6" x14ac:dyDescent="0.25">
      <c r="A17">
        <v>15</v>
      </c>
      <c r="B17" s="2">
        <v>15</v>
      </c>
      <c r="C17" s="2" t="str">
        <f>VLOOKUP(B17,[1]resources!$A$1:$D$209,3,FALSE)</f>
        <v>!!FOOD_CRYJOHNNY</v>
      </c>
      <c r="D17" s="2">
        <v>0</v>
      </c>
      <c r="E17" s="2">
        <v>0</v>
      </c>
      <c r="F17" s="2">
        <v>0</v>
      </c>
    </row>
    <row r="18" spans="1:6" x14ac:dyDescent="0.25">
      <c r="A18">
        <v>16</v>
      </c>
      <c r="B18" s="2">
        <v>16</v>
      </c>
      <c r="C18" s="2" t="str">
        <f>VLOOKUP(B18,[1]resources!$A$1:$D$209,3,FALSE)</f>
        <v>!!FOOD_DUTCHDOUBLE</v>
      </c>
      <c r="D18" s="2">
        <v>0</v>
      </c>
      <c r="E18" s="2">
        <v>0</v>
      </c>
      <c r="F18" s="2">
        <v>0</v>
      </c>
    </row>
    <row r="19" spans="1:6" x14ac:dyDescent="0.25">
      <c r="A19">
        <v>17</v>
      </c>
      <c r="B19" s="2">
        <v>17</v>
      </c>
      <c r="C19" s="2" t="str">
        <f>VLOOKUP(B19,[1]resources!$A$1:$D$209,3,FALSE)</f>
        <v>!!FOOD_6NUGGETS</v>
      </c>
      <c r="D19" s="2">
        <v>0</v>
      </c>
      <c r="E19" s="2">
        <v>0</v>
      </c>
      <c r="F19" s="2">
        <v>0</v>
      </c>
    </row>
    <row r="20" spans="1:6" x14ac:dyDescent="0.25">
      <c r="A20">
        <v>18</v>
      </c>
      <c r="B20" s="2">
        <v>18</v>
      </c>
      <c r="C20" s="2" t="str">
        <f>VLOOKUP(B20,[1]resources!$A$1:$D$209,3,FALSE)</f>
        <v>!!FOOD_KELPFRIES</v>
      </c>
      <c r="D20" s="2">
        <v>0</v>
      </c>
      <c r="E20" s="2">
        <v>0</v>
      </c>
      <c r="F20" s="2">
        <v>0</v>
      </c>
    </row>
    <row r="21" spans="1:6" x14ac:dyDescent="0.25">
      <c r="A21">
        <v>19</v>
      </c>
      <c r="B21" s="2">
        <v>19</v>
      </c>
      <c r="C21" s="2" t="str">
        <f>VLOOKUP(B21,[1]resources!$A$1:$D$209,3,FALSE)</f>
        <v>!!FOOD_KELPCAKE</v>
      </c>
      <c r="D21" s="2">
        <v>0</v>
      </c>
      <c r="E21" s="2">
        <v>0</v>
      </c>
      <c r="F21" s="2">
        <v>0</v>
      </c>
    </row>
    <row r="22" spans="1:6" x14ac:dyDescent="0.25">
      <c r="A22">
        <v>20</v>
      </c>
      <c r="B22" s="2">
        <v>20</v>
      </c>
      <c r="C22" s="2" t="str">
        <f>VLOOKUP(B22,[1]resources!$A$1:$D$209,3,FALSE)</f>
        <v>!!FOOD_KELPRINGS</v>
      </c>
      <c r="D22" s="2">
        <v>0</v>
      </c>
      <c r="E22" s="2">
        <v>0</v>
      </c>
      <c r="F22" s="2">
        <v>0</v>
      </c>
    </row>
    <row r="23" spans="1:6" x14ac:dyDescent="0.25">
      <c r="A23">
        <v>21</v>
      </c>
      <c r="B23" s="2">
        <v>21</v>
      </c>
      <c r="C23" s="2" t="str">
        <f>VLOOKUP(B23,[1]resources!$A$1:$D$209,3,FALSE)</f>
        <v>!!FOOD_KELPDOG</v>
      </c>
      <c r="D23" s="2">
        <v>0</v>
      </c>
      <c r="E23" s="2">
        <v>0</v>
      </c>
      <c r="F23" s="2">
        <v>0</v>
      </c>
    </row>
    <row r="24" spans="1:6" x14ac:dyDescent="0.25">
      <c r="A24">
        <v>22</v>
      </c>
      <c r="B24" s="2">
        <v>22</v>
      </c>
      <c r="C24" s="2" t="str">
        <f>VLOOKUP(B24,[1]resources!$A$1:$D$209,3,FALSE)</f>
        <v>!!FOOD_SEAWEEDSALAD</v>
      </c>
      <c r="D24" s="2">
        <v>0</v>
      </c>
      <c r="E24" s="2">
        <v>0</v>
      </c>
      <c r="F24" s="2">
        <v>0</v>
      </c>
    </row>
    <row r="25" spans="1:6" x14ac:dyDescent="0.25">
      <c r="A25">
        <v>23</v>
      </c>
      <c r="B25" s="2">
        <v>23</v>
      </c>
      <c r="C25" s="2" t="str">
        <f>VLOOKUP(B25,[1]resources!$A$1:$D$209,3,FALSE)</f>
        <v>!!FOOD_KELPKLT</v>
      </c>
      <c r="D25" s="2">
        <v>0</v>
      </c>
      <c r="E25" s="2">
        <v>0</v>
      </c>
      <c r="F25" s="2">
        <v>0</v>
      </c>
    </row>
    <row r="26" spans="1:6" x14ac:dyDescent="0.25">
      <c r="A26">
        <v>24</v>
      </c>
      <c r="B26" s="2">
        <v>24</v>
      </c>
      <c r="C26" s="2" t="str">
        <f>VLOOKUP(B26,[1]resources!$A$1:$D$209,3,FALSE)</f>
        <v>!!FOOD_KELPJERKY</v>
      </c>
      <c r="D26" s="2">
        <v>0</v>
      </c>
      <c r="E26" s="2">
        <v>0</v>
      </c>
      <c r="F26" s="2">
        <v>0</v>
      </c>
    </row>
    <row r="27" spans="1:6" x14ac:dyDescent="0.25">
      <c r="A27">
        <v>25</v>
      </c>
      <c r="B27" s="2">
        <v>25</v>
      </c>
      <c r="C27" s="2" t="str">
        <f>VLOOKUP(B27,[1]resources!$A$1:$D$209,3,FALSE)</f>
        <v>!!FOOD_SAILORS</v>
      </c>
      <c r="D27" s="2">
        <v>0</v>
      </c>
      <c r="E27" s="2">
        <v>0</v>
      </c>
      <c r="F27" s="2">
        <v>0</v>
      </c>
    </row>
    <row r="28" spans="1:6" x14ac:dyDescent="0.25">
      <c r="A28">
        <v>26</v>
      </c>
      <c r="B28" s="2">
        <v>26</v>
      </c>
      <c r="C28" s="2" t="str">
        <f>VLOOKUP(B28,[1]resources!$A$1:$D$209,3,FALSE)</f>
        <v>!!FOOD_GNOCCHI</v>
      </c>
      <c r="D28" s="2">
        <v>0</v>
      </c>
      <c r="E28" s="2">
        <v>0</v>
      </c>
      <c r="F28" s="2">
        <v>0</v>
      </c>
    </row>
    <row r="29" spans="1:6" x14ac:dyDescent="0.25">
      <c r="A29">
        <v>27</v>
      </c>
      <c r="B29" s="2">
        <v>27</v>
      </c>
      <c r="C29" s="2" t="str">
        <f>VLOOKUP(B29,[1]resources!$A$1:$D$209,3,FALSE)</f>
        <v>!!FOOD_BRUSCHETTA</v>
      </c>
      <c r="D29" s="2">
        <v>0</v>
      </c>
      <c r="E29" s="2">
        <v>0</v>
      </c>
      <c r="F29" s="2">
        <v>0</v>
      </c>
    </row>
    <row r="30" spans="1:6" x14ac:dyDescent="0.25">
      <c r="A30">
        <v>28</v>
      </c>
      <c r="B30" s="2">
        <v>28</v>
      </c>
      <c r="C30" s="2" t="str">
        <f>VLOOKUP(B30,[1]resources!$A$1:$D$209,3,FALSE)</f>
        <v>!!FOOD_BISQUE</v>
      </c>
      <c r="D30" s="2">
        <v>0</v>
      </c>
      <c r="E30" s="2">
        <v>0</v>
      </c>
      <c r="F30" s="2">
        <v>0</v>
      </c>
    </row>
    <row r="31" spans="1:6" x14ac:dyDescent="0.25">
      <c r="A31">
        <v>29</v>
      </c>
      <c r="B31" s="2">
        <v>29</v>
      </c>
      <c r="C31" s="2" t="str">
        <f>VLOOKUP(B31,[1]resources!$A$1:$D$209,3,FALSE)</f>
        <v>!!FOOD_SALSATACO</v>
      </c>
      <c r="D31" s="2">
        <v>0</v>
      </c>
      <c r="E31" s="2">
        <v>0</v>
      </c>
      <c r="F31" s="2">
        <v>0</v>
      </c>
    </row>
    <row r="32" spans="1:6" x14ac:dyDescent="0.25">
      <c r="A32">
        <v>30</v>
      </c>
      <c r="B32" s="2">
        <v>30</v>
      </c>
      <c r="C32" s="2" t="str">
        <f>VLOOKUP(B32,[1]resources!$A$1:$D$209,3,FALSE)</f>
        <v>!!FOOD_HUSHPUPPY</v>
      </c>
      <c r="D32" s="2">
        <v>0</v>
      </c>
      <c r="E32" s="2">
        <v>0</v>
      </c>
      <c r="F32" s="2">
        <v>0</v>
      </c>
    </row>
    <row r="33" spans="1:6" x14ac:dyDescent="0.25">
      <c r="A33">
        <v>31</v>
      </c>
      <c r="B33" s="2">
        <v>31</v>
      </c>
      <c r="C33" s="2" t="str">
        <f>VLOOKUP(B33,[1]resources!$A$1:$D$209,3,FALSE)</f>
        <v>!!FOOD_CAESAR_SALAD</v>
      </c>
      <c r="D33" s="2">
        <v>0</v>
      </c>
      <c r="E33" s="2">
        <v>0</v>
      </c>
      <c r="F33" s="2">
        <v>0</v>
      </c>
    </row>
    <row r="34" spans="1:6" x14ac:dyDescent="0.25">
      <c r="A34">
        <v>32</v>
      </c>
      <c r="B34" s="2">
        <v>32</v>
      </c>
      <c r="C34" s="2" t="str">
        <f>VLOOKUP(B34,[1]resources!$A$1:$D$209,3,FALSE)</f>
        <v>!!FOOD_JELLYPATTY</v>
      </c>
      <c r="D34" s="2">
        <v>0</v>
      </c>
      <c r="E34" s="2">
        <v>0</v>
      </c>
      <c r="F34" s="2">
        <v>0</v>
      </c>
    </row>
    <row r="35" spans="1:6" x14ac:dyDescent="0.25">
      <c r="A35">
        <v>33</v>
      </c>
      <c r="B35" s="2">
        <v>46</v>
      </c>
      <c r="C35" s="2" t="str">
        <f>VLOOKUP(B35,[1]resources!$A$1:$D$209,3,FALSE)</f>
        <v>!!FOOD_SALAD</v>
      </c>
      <c r="D35" s="2">
        <v>0</v>
      </c>
      <c r="E35" s="2">
        <v>0</v>
      </c>
      <c r="F35" s="2">
        <v>0</v>
      </c>
    </row>
    <row r="36" spans="1:6" x14ac:dyDescent="0.25">
      <c r="A36">
        <v>34</v>
      </c>
      <c r="B36" s="2">
        <v>90</v>
      </c>
      <c r="C36" s="2" t="str">
        <f>VLOOKUP(B36,[1]resources!$A$1:$D$209,3,FALSE)</f>
        <v>!!FOOD_PATTY</v>
      </c>
      <c r="D36" s="2">
        <v>0</v>
      </c>
      <c r="E36" s="2">
        <v>0</v>
      </c>
      <c r="F36" s="2">
        <v>0</v>
      </c>
    </row>
    <row r="37" spans="1:6" x14ac:dyDescent="0.25">
      <c r="A37">
        <v>35</v>
      </c>
      <c r="B37" s="2">
        <v>94</v>
      </c>
      <c r="C37" s="2" t="str">
        <f>VLOOKUP(B37,[1]resources!$A$1:$D$209,3,FALSE)</f>
        <v>!!FOOD_KETCHUP</v>
      </c>
      <c r="D37" s="2">
        <v>0</v>
      </c>
      <c r="E37" s="2">
        <v>0</v>
      </c>
      <c r="F37" s="2">
        <v>0</v>
      </c>
    </row>
    <row r="38" spans="1:6" x14ac:dyDescent="0.25">
      <c r="A38">
        <v>36</v>
      </c>
      <c r="B38" s="2">
        <v>33</v>
      </c>
      <c r="C38" s="2" t="str">
        <f>VLOOKUP(B38,[1]resources!$A$1:$D$209,3,FALSE)</f>
        <v>AB Tests</v>
      </c>
      <c r="D38" s="2">
        <v>100</v>
      </c>
      <c r="E38" s="2">
        <v>0</v>
      </c>
      <c r="F38" s="2">
        <v>0</v>
      </c>
    </row>
  </sheetData>
  <sortState ref="A3:G38">
    <sortCondition descending="1" ref="D3:D3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1"/>
  <sheetViews>
    <sheetView workbookViewId="0">
      <selection activeCell="E5" sqref="E5"/>
    </sheetView>
  </sheetViews>
  <sheetFormatPr defaultRowHeight="15" x14ac:dyDescent="0.25"/>
  <cols>
    <col min="1" max="1" width="4" bestFit="1" customWidth="1"/>
    <col min="2" max="2" width="9" bestFit="1" customWidth="1"/>
    <col min="3" max="3" width="6" bestFit="1" customWidth="1"/>
  </cols>
  <sheetData>
    <row r="1" spans="1:3" x14ac:dyDescent="0.25">
      <c r="A1" t="s">
        <v>2142</v>
      </c>
      <c r="B1" t="s">
        <v>2636</v>
      </c>
      <c r="C1" t="s">
        <v>2637</v>
      </c>
    </row>
    <row r="2" spans="1:3" x14ac:dyDescent="0.25">
      <c r="A2">
        <v>1</v>
      </c>
      <c r="B2" s="2">
        <v>42</v>
      </c>
      <c r="C2" s="2">
        <v>33</v>
      </c>
    </row>
    <row r="3" spans="1:3" x14ac:dyDescent="0.25">
      <c r="A3">
        <v>2</v>
      </c>
      <c r="B3" s="2">
        <v>42</v>
      </c>
      <c r="C3" s="2">
        <v>34</v>
      </c>
    </row>
    <row r="4" spans="1:3" x14ac:dyDescent="0.25">
      <c r="A4">
        <v>3</v>
      </c>
      <c r="B4" s="2">
        <v>42</v>
      </c>
      <c r="C4" s="2">
        <v>35</v>
      </c>
    </row>
    <row r="5" spans="1:3" x14ac:dyDescent="0.25">
      <c r="A5">
        <v>4</v>
      </c>
      <c r="B5" s="2">
        <v>42</v>
      </c>
      <c r="C5" s="2">
        <v>36</v>
      </c>
    </row>
    <row r="6" spans="1:3" x14ac:dyDescent="0.25">
      <c r="A6">
        <v>5</v>
      </c>
      <c r="B6" s="2">
        <v>43</v>
      </c>
      <c r="C6" s="2">
        <v>36</v>
      </c>
    </row>
    <row r="7" spans="1:3" x14ac:dyDescent="0.25">
      <c r="A7">
        <v>6</v>
      </c>
      <c r="B7" s="2">
        <v>44</v>
      </c>
      <c r="C7" s="2">
        <v>36</v>
      </c>
    </row>
    <row r="8" spans="1:3" x14ac:dyDescent="0.25">
      <c r="A8">
        <v>7</v>
      </c>
      <c r="B8" s="2">
        <v>44</v>
      </c>
      <c r="C8" s="2">
        <v>37</v>
      </c>
    </row>
    <row r="9" spans="1:3" x14ac:dyDescent="0.25">
      <c r="A9">
        <v>8</v>
      </c>
      <c r="B9" s="2">
        <v>44</v>
      </c>
      <c r="C9" s="2">
        <v>38</v>
      </c>
    </row>
    <row r="10" spans="1:3" x14ac:dyDescent="0.25">
      <c r="A10">
        <v>9</v>
      </c>
      <c r="B10" s="2">
        <v>44</v>
      </c>
      <c r="C10" s="2">
        <v>39</v>
      </c>
    </row>
    <row r="11" spans="1:3" x14ac:dyDescent="0.25">
      <c r="A11">
        <v>10</v>
      </c>
      <c r="B11" s="2">
        <v>45</v>
      </c>
      <c r="C11" s="2">
        <v>36</v>
      </c>
    </row>
    <row r="12" spans="1:3" x14ac:dyDescent="0.25">
      <c r="A12">
        <v>11</v>
      </c>
      <c r="B12" s="2">
        <v>45</v>
      </c>
      <c r="C12" s="2">
        <v>39</v>
      </c>
    </row>
    <row r="13" spans="1:3" x14ac:dyDescent="0.25">
      <c r="A13">
        <v>12</v>
      </c>
      <c r="B13" s="2">
        <v>46</v>
      </c>
      <c r="C13" s="2">
        <v>36</v>
      </c>
    </row>
    <row r="14" spans="1:3" x14ac:dyDescent="0.25">
      <c r="A14">
        <v>13</v>
      </c>
      <c r="B14" s="2">
        <v>46</v>
      </c>
      <c r="C14" s="2">
        <v>39</v>
      </c>
    </row>
    <row r="15" spans="1:3" x14ac:dyDescent="0.25">
      <c r="A15">
        <v>14</v>
      </c>
      <c r="B15" s="2">
        <v>47</v>
      </c>
      <c r="C15" s="2">
        <v>30</v>
      </c>
    </row>
    <row r="16" spans="1:3" x14ac:dyDescent="0.25">
      <c r="A16">
        <v>15</v>
      </c>
      <c r="B16" s="2">
        <v>47</v>
      </c>
      <c r="C16" s="2">
        <v>31</v>
      </c>
    </row>
    <row r="17" spans="1:3" x14ac:dyDescent="0.25">
      <c r="A17">
        <v>16</v>
      </c>
      <c r="B17" s="2">
        <v>47</v>
      </c>
      <c r="C17" s="2">
        <v>32</v>
      </c>
    </row>
    <row r="18" spans="1:3" x14ac:dyDescent="0.25">
      <c r="A18">
        <v>17</v>
      </c>
      <c r="B18" s="2">
        <v>47</v>
      </c>
      <c r="C18" s="2">
        <v>33</v>
      </c>
    </row>
    <row r="19" spans="1:3" x14ac:dyDescent="0.25">
      <c r="A19">
        <v>18</v>
      </c>
      <c r="B19" s="2">
        <v>47</v>
      </c>
      <c r="C19" s="2">
        <v>34</v>
      </c>
    </row>
    <row r="20" spans="1:3" x14ac:dyDescent="0.25">
      <c r="A20">
        <v>19</v>
      </c>
      <c r="B20" s="2">
        <v>47</v>
      </c>
      <c r="C20" s="2">
        <v>35</v>
      </c>
    </row>
    <row r="21" spans="1:3" x14ac:dyDescent="0.25">
      <c r="A21">
        <v>20</v>
      </c>
      <c r="B21" s="2">
        <v>47</v>
      </c>
      <c r="C21" s="2">
        <v>36</v>
      </c>
    </row>
    <row r="22" spans="1:3" x14ac:dyDescent="0.25">
      <c r="A22">
        <v>21</v>
      </c>
      <c r="B22" s="2">
        <v>47</v>
      </c>
      <c r="C22" s="2">
        <v>39</v>
      </c>
    </row>
    <row r="23" spans="1:3" x14ac:dyDescent="0.25">
      <c r="A23">
        <v>22</v>
      </c>
      <c r="B23" s="2">
        <v>48</v>
      </c>
      <c r="C23" s="2">
        <v>33</v>
      </c>
    </row>
    <row r="24" spans="1:3" x14ac:dyDescent="0.25">
      <c r="A24">
        <v>23</v>
      </c>
      <c r="B24" s="2">
        <v>48</v>
      </c>
      <c r="C24" s="2">
        <v>36</v>
      </c>
    </row>
    <row r="25" spans="1:3" x14ac:dyDescent="0.25">
      <c r="A25">
        <v>24</v>
      </c>
      <c r="B25" s="2">
        <v>49</v>
      </c>
      <c r="C25" s="2">
        <v>36</v>
      </c>
    </row>
    <row r="26" spans="1:3" x14ac:dyDescent="0.25">
      <c r="A26">
        <v>25</v>
      </c>
      <c r="B26" s="2">
        <v>50</v>
      </c>
      <c r="C26" s="2">
        <v>36</v>
      </c>
    </row>
    <row r="27" spans="1:3" x14ac:dyDescent="0.25">
      <c r="A27">
        <v>26</v>
      </c>
      <c r="B27" s="2">
        <v>50</v>
      </c>
      <c r="C27" s="2">
        <v>37</v>
      </c>
    </row>
    <row r="28" spans="1:3" x14ac:dyDescent="0.25">
      <c r="A28">
        <v>27</v>
      </c>
      <c r="B28" s="2">
        <v>50</v>
      </c>
      <c r="C28" s="2">
        <v>38</v>
      </c>
    </row>
    <row r="29" spans="1:3" x14ac:dyDescent="0.25">
      <c r="A29">
        <v>28</v>
      </c>
      <c r="B29" s="2">
        <v>50</v>
      </c>
      <c r="C29" s="2">
        <v>39</v>
      </c>
    </row>
    <row r="30" spans="1:3" x14ac:dyDescent="0.25">
      <c r="A30">
        <v>29</v>
      </c>
      <c r="B30" s="2">
        <v>50</v>
      </c>
      <c r="C30" s="2">
        <v>40</v>
      </c>
    </row>
    <row r="31" spans="1:3" x14ac:dyDescent="0.25">
      <c r="A31">
        <v>30</v>
      </c>
      <c r="B31" s="2">
        <v>50</v>
      </c>
      <c r="C31" s="2">
        <v>41</v>
      </c>
    </row>
    <row r="32" spans="1:3" x14ac:dyDescent="0.25">
      <c r="A32">
        <v>31</v>
      </c>
      <c r="B32" s="2">
        <v>51</v>
      </c>
      <c r="C32" s="2">
        <v>31</v>
      </c>
    </row>
    <row r="33" spans="1:3" x14ac:dyDescent="0.25">
      <c r="A33">
        <v>32</v>
      </c>
      <c r="B33" s="2">
        <v>51</v>
      </c>
      <c r="C33" s="2">
        <v>32</v>
      </c>
    </row>
    <row r="34" spans="1:3" x14ac:dyDescent="0.25">
      <c r="A34">
        <v>33</v>
      </c>
      <c r="B34" s="2">
        <v>51</v>
      </c>
      <c r="C34" s="2">
        <v>33</v>
      </c>
    </row>
    <row r="35" spans="1:3" x14ac:dyDescent="0.25">
      <c r="A35">
        <v>34</v>
      </c>
      <c r="B35" s="2">
        <v>51</v>
      </c>
      <c r="C35" s="2">
        <v>34</v>
      </c>
    </row>
    <row r="36" spans="1:3" x14ac:dyDescent="0.25">
      <c r="A36">
        <v>35</v>
      </c>
      <c r="B36" s="2">
        <v>51</v>
      </c>
      <c r="C36" s="2">
        <v>35</v>
      </c>
    </row>
    <row r="37" spans="1:3" x14ac:dyDescent="0.25">
      <c r="A37">
        <v>36</v>
      </c>
      <c r="B37" s="2">
        <v>51</v>
      </c>
      <c r="C37" s="2">
        <v>36</v>
      </c>
    </row>
    <row r="38" spans="1:3" x14ac:dyDescent="0.25">
      <c r="A38">
        <v>37</v>
      </c>
      <c r="B38" s="2">
        <v>51</v>
      </c>
      <c r="C38" s="2">
        <v>40</v>
      </c>
    </row>
    <row r="39" spans="1:3" x14ac:dyDescent="0.25">
      <c r="A39">
        <v>38</v>
      </c>
      <c r="B39" s="2">
        <v>51</v>
      </c>
      <c r="C39" s="2">
        <v>41</v>
      </c>
    </row>
    <row r="40" spans="1:3" x14ac:dyDescent="0.25">
      <c r="A40">
        <v>39</v>
      </c>
      <c r="B40" s="2">
        <v>52</v>
      </c>
      <c r="C40" s="2">
        <v>36</v>
      </c>
    </row>
    <row r="41" spans="1:3" x14ac:dyDescent="0.25">
      <c r="A41">
        <v>40</v>
      </c>
      <c r="B41" s="2">
        <v>53</v>
      </c>
      <c r="C41" s="2">
        <v>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activeCell="D4" sqref="D4"/>
    </sheetView>
  </sheetViews>
  <sheetFormatPr defaultRowHeight="15" x14ac:dyDescent="0.25"/>
  <cols>
    <col min="2" max="2" width="11" bestFit="1" customWidth="1"/>
    <col min="4" max="4" width="32.28515625" bestFit="1" customWidth="1"/>
  </cols>
  <sheetData>
    <row r="1" spans="1:4" x14ac:dyDescent="0.25">
      <c r="A1" t="s">
        <v>2142</v>
      </c>
      <c r="B1" t="s">
        <v>63</v>
      </c>
      <c r="C1" t="s">
        <v>66</v>
      </c>
      <c r="D1" t="s">
        <v>723</v>
      </c>
    </row>
    <row r="3" spans="1:4" x14ac:dyDescent="0.25">
      <c r="A3">
        <v>1</v>
      </c>
      <c r="B3" t="s">
        <v>2638</v>
      </c>
      <c r="C3">
        <v>1</v>
      </c>
      <c r="D3" t="s">
        <v>59</v>
      </c>
    </row>
    <row r="4" spans="1:4" x14ac:dyDescent="0.25">
      <c r="A4">
        <v>2</v>
      </c>
      <c r="B4" t="s">
        <v>2324</v>
      </c>
      <c r="C4">
        <v>1</v>
      </c>
      <c r="D4" t="s">
        <v>59</v>
      </c>
    </row>
    <row r="5" spans="1:4" x14ac:dyDescent="0.25">
      <c r="A5">
        <v>3</v>
      </c>
      <c r="B5" t="s">
        <v>2639</v>
      </c>
      <c r="C5">
        <v>0</v>
      </c>
      <c r="D5" t="s">
        <v>59</v>
      </c>
    </row>
    <row r="6" spans="1:4" x14ac:dyDescent="0.25">
      <c r="A6">
        <v>4</v>
      </c>
      <c r="B6" t="s">
        <v>1</v>
      </c>
      <c r="C6" s="2">
        <v>1</v>
      </c>
      <c r="D6" t="str">
        <f>VLOOKUP(C6,[1]recipe!$A$1:$D$170,3,FALSE)</f>
        <v>!!FOOD_KRABBYPATTY</v>
      </c>
    </row>
    <row r="7" spans="1:4" x14ac:dyDescent="0.25">
      <c r="A7">
        <v>5</v>
      </c>
      <c r="B7" t="s">
        <v>1</v>
      </c>
      <c r="C7" s="2">
        <v>46</v>
      </c>
      <c r="D7" t="str">
        <f>VLOOKUP(C7,[1]recipe!$A$1:$D$170,3,FALSE)</f>
        <v>!!FOOD_SALAD</v>
      </c>
    </row>
    <row r="8" spans="1:4" x14ac:dyDescent="0.25">
      <c r="A8">
        <v>6</v>
      </c>
      <c r="B8" t="s">
        <v>1</v>
      </c>
      <c r="C8" s="2">
        <v>90</v>
      </c>
      <c r="D8" t="str">
        <f>VLOOKUP(C8,[1]recipe!$A$1:$D$170,3,FALSE)</f>
        <v>!!FOOD_PATTY</v>
      </c>
    </row>
    <row r="9" spans="1:4" x14ac:dyDescent="0.25">
      <c r="A9">
        <v>7</v>
      </c>
      <c r="B9" t="s">
        <v>1</v>
      </c>
      <c r="C9" s="2">
        <v>94</v>
      </c>
      <c r="D9" t="str">
        <f>VLOOKUP(C9,[1]recipe!$A$1:$D$170,3,FALSE)</f>
        <v>!!FOOD_KETCHUP</v>
      </c>
    </row>
    <row r="10" spans="1:4" x14ac:dyDescent="0.25">
      <c r="A10">
        <v>8</v>
      </c>
      <c r="B10" t="s">
        <v>1</v>
      </c>
      <c r="C10" s="2">
        <v>1000</v>
      </c>
      <c r="D10" t="str">
        <f>VLOOKUP(C10,[1]recipe!$A$1:$D$170,3,FALSE)</f>
        <v>!!FOOD_LETTUCE</v>
      </c>
    </row>
    <row r="11" spans="1:4" x14ac:dyDescent="0.25">
      <c r="A11">
        <v>9</v>
      </c>
      <c r="B11" t="s">
        <v>1</v>
      </c>
      <c r="C11" s="2">
        <v>1001</v>
      </c>
      <c r="D11" t="str">
        <f>VLOOKUP(C11,[1]recipe!$A$1:$D$170,3,FALSE)</f>
        <v>!!FOOD_ONION</v>
      </c>
    </row>
    <row r="12" spans="1:4" x14ac:dyDescent="0.25">
      <c r="A12">
        <v>10</v>
      </c>
      <c r="B12" t="s">
        <v>1</v>
      </c>
      <c r="C12" s="2">
        <v>1003</v>
      </c>
      <c r="D12" t="str">
        <f>VLOOKUP(C12,[1]recipe!$A$1:$D$170,3,FALSE)</f>
        <v>!!FOOD_TOMATO</v>
      </c>
    </row>
    <row r="13" spans="1:4" x14ac:dyDescent="0.25">
      <c r="A13">
        <v>11</v>
      </c>
      <c r="B13" t="s">
        <v>1</v>
      </c>
      <c r="C13" s="2">
        <v>1005</v>
      </c>
      <c r="D13" t="str">
        <f>VLOOKUP(C13,[1]recipe!$A$1:$D$170,3,FALSE)</f>
        <v>!!FOOD_BUN</v>
      </c>
    </row>
    <row r="14" spans="1:4" x14ac:dyDescent="0.25">
      <c r="A14">
        <v>12</v>
      </c>
      <c r="B14" t="s">
        <v>1</v>
      </c>
      <c r="C14" s="2">
        <v>9002</v>
      </c>
      <c r="D14" t="str">
        <f>VLOOKUP(C14,[1]recipe!$A$1:$D$170,3,FALSE)</f>
        <v>!!INGREDIENT_BBQ_SAUCE</v>
      </c>
    </row>
    <row r="15" spans="1:4" x14ac:dyDescent="0.25">
      <c r="A15">
        <v>13</v>
      </c>
      <c r="B15" t="s">
        <v>1</v>
      </c>
      <c r="C15" s="2">
        <v>9003</v>
      </c>
      <c r="D15" t="str">
        <f>VLOOKUP(C15,[1]recipe!$A$1:$D$170,3,FALSE)</f>
        <v>!!INGREDIENT_DISTILLED_VINEGAR</v>
      </c>
    </row>
    <row r="16" spans="1:4" x14ac:dyDescent="0.25">
      <c r="A16">
        <v>14</v>
      </c>
      <c r="B16" t="s">
        <v>1</v>
      </c>
      <c r="C16" s="2">
        <v>9004</v>
      </c>
      <c r="D16" t="str">
        <f>VLOOKUP(C16,[1]recipe!$A$1:$D$170,3,FALSE)</f>
        <v>!!INGREDIENT_DRIFTWOOD</v>
      </c>
    </row>
    <row r="17" spans="1:4" x14ac:dyDescent="0.25">
      <c r="A17">
        <v>15</v>
      </c>
      <c r="B17" t="s">
        <v>1</v>
      </c>
      <c r="C17" s="2">
        <v>9005</v>
      </c>
      <c r="D17" t="str">
        <f>VLOOKUP(C17,[1]recipe!$A$1:$D$170,3,FALSE)</f>
        <v>!!INGREDIENT_MUSTARD_SEED</v>
      </c>
    </row>
    <row r="18" spans="1:4" x14ac:dyDescent="0.25">
      <c r="A18">
        <v>16</v>
      </c>
      <c r="B18" t="s">
        <v>1</v>
      </c>
      <c r="C18" s="2">
        <v>9006</v>
      </c>
      <c r="D18" t="str">
        <f>VLOOKUP(C18,[1]recipe!$A$1:$D$170,3,FALSE)</f>
        <v>!!INGREDIENT_NATURAL_FLAVORS</v>
      </c>
    </row>
    <row r="19" spans="1:4" x14ac:dyDescent="0.25">
      <c r="A19">
        <v>17</v>
      </c>
      <c r="B19" t="s">
        <v>1</v>
      </c>
      <c r="C19" s="2">
        <v>9007</v>
      </c>
      <c r="D19" t="str">
        <f>VLOOKUP(C19,[1]recipe!$A$1:$D$170,3,FALSE)</f>
        <v>!!INGREDIENT_PAPRIKA</v>
      </c>
    </row>
    <row r="20" spans="1:4" x14ac:dyDescent="0.25">
      <c r="A20">
        <v>18</v>
      </c>
      <c r="B20" t="s">
        <v>1</v>
      </c>
      <c r="C20" s="2">
        <v>9008</v>
      </c>
      <c r="D20" t="str">
        <f>VLOOKUP(C20,[1]recipe!$A$1:$D$170,3,FALSE)</f>
        <v>!!INGREDIENT_SALT</v>
      </c>
    </row>
    <row r="21" spans="1:4" x14ac:dyDescent="0.25">
      <c r="A21">
        <v>19</v>
      </c>
      <c r="B21" t="s">
        <v>1</v>
      </c>
      <c r="C21" s="2">
        <v>9009</v>
      </c>
      <c r="D21" t="str">
        <f>VLOOKUP(C21,[1]recipe!$A$1:$D$170,3,FALSE)</f>
        <v>!!INGREDIENT_SHELLAC</v>
      </c>
    </row>
    <row r="22" spans="1:4" x14ac:dyDescent="0.25">
      <c r="A22">
        <v>20</v>
      </c>
      <c r="B22" t="s">
        <v>1</v>
      </c>
      <c r="C22" s="2">
        <v>9010</v>
      </c>
      <c r="D22" t="str">
        <f>VLOOKUP(C22,[1]recipe!$A$1:$D$170,3,FALSE)</f>
        <v>!!INGREDIENT_SPACKLE</v>
      </c>
    </row>
    <row r="23" spans="1:4" x14ac:dyDescent="0.25">
      <c r="A23">
        <v>21</v>
      </c>
      <c r="B23" t="s">
        <v>1</v>
      </c>
      <c r="C23" s="2">
        <v>9011</v>
      </c>
      <c r="D23" t="str">
        <f>VLOOKUP(C23,[1]recipe!$A$1:$D$170,3,FALSE)</f>
        <v>!!INGREDIENT_TUMERIC</v>
      </c>
    </row>
    <row r="24" spans="1:4" x14ac:dyDescent="0.25">
      <c r="A24">
        <v>22</v>
      </c>
      <c r="B24" t="s">
        <v>1</v>
      </c>
      <c r="C24" s="2">
        <v>9107</v>
      </c>
      <c r="D24" t="str">
        <f>VLOOKUP(C24,[1]recipe!$A$1:$D$170,3,FALSE)</f>
        <v>!!INGREDIENT_SUGAR</v>
      </c>
    </row>
    <row r="25" spans="1:4" x14ac:dyDescent="0.25">
      <c r="A25">
        <v>23</v>
      </c>
      <c r="B25" t="s">
        <v>1</v>
      </c>
      <c r="C25" s="2">
        <v>9116</v>
      </c>
      <c r="D25" t="str">
        <f>VLOOKUP(C25,[1]recipe!$A$1:$D$170,3,FALSE)</f>
        <v>!!INGREDIENT_PEPPERMINT</v>
      </c>
    </row>
    <row r="26" spans="1:4" x14ac:dyDescent="0.25">
      <c r="A26">
        <v>24</v>
      </c>
      <c r="B26" t="s">
        <v>1</v>
      </c>
      <c r="C26" s="2">
        <v>9108</v>
      </c>
      <c r="D26" t="str">
        <f>VLOOKUP(C26,[1]recipe!$A$1:$D$170,3,FALSE)</f>
        <v>!!INGREDIENT_CINNAMON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B10" sqref="B10"/>
    </sheetView>
  </sheetViews>
  <sheetFormatPr defaultRowHeight="15" x14ac:dyDescent="0.25"/>
  <cols>
    <col min="1" max="1" width="4.140625" customWidth="1"/>
    <col min="2" max="2" width="30.7109375" bestFit="1" customWidth="1"/>
    <col min="3" max="3" width="20.140625" bestFit="1" customWidth="1"/>
    <col min="4" max="4" width="13.140625" bestFit="1" customWidth="1"/>
    <col min="5" max="5" width="15.42578125" bestFit="1" customWidth="1"/>
    <col min="6" max="6" width="11.28515625" customWidth="1"/>
  </cols>
  <sheetData>
    <row r="1" spans="1:6" s="1" customFormat="1" ht="45" x14ac:dyDescent="0.25">
      <c r="A1" s="1" t="s">
        <v>2142</v>
      </c>
      <c r="B1" s="1" t="s">
        <v>2643</v>
      </c>
      <c r="C1" s="1" t="s">
        <v>2644</v>
      </c>
      <c r="D1" s="1" t="s">
        <v>2645</v>
      </c>
      <c r="E1" s="1" t="s">
        <v>2646</v>
      </c>
      <c r="F1" s="1" t="s">
        <v>2647</v>
      </c>
    </row>
    <row r="2" spans="1:6" x14ac:dyDescent="0.25">
      <c r="A2">
        <v>0</v>
      </c>
      <c r="B2" t="s">
        <v>2640</v>
      </c>
      <c r="C2" t="s">
        <v>2641</v>
      </c>
      <c r="D2" s="2">
        <v>1</v>
      </c>
      <c r="E2" t="s">
        <v>2642</v>
      </c>
      <c r="F2" t="s">
        <v>1248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90"/>
  <sheetViews>
    <sheetView zoomScaleNormal="100" workbookViewId="0">
      <pane xSplit="2" ySplit="1" topLeftCell="C158" activePane="bottomRight" state="frozen"/>
      <selection pane="topRight" activeCell="D1" sqref="D1"/>
      <selection pane="bottomLeft" activeCell="A2" sqref="A2"/>
      <selection pane="bottomRight" activeCell="AQ1" sqref="AQ1:CK1048576"/>
    </sheetView>
  </sheetViews>
  <sheetFormatPr defaultColWidth="31" defaultRowHeight="15" x14ac:dyDescent="0.25"/>
  <cols>
    <col min="1" max="1" width="4" style="3" bestFit="1" customWidth="1"/>
    <col min="2" max="2" width="27.42578125" style="3" customWidth="1"/>
    <col min="3" max="3" width="27.7109375" style="3" bestFit="1" customWidth="1"/>
    <col min="4" max="4" width="18.28515625" style="3" bestFit="1" customWidth="1"/>
    <col min="5" max="5" width="6" style="3" bestFit="1" customWidth="1"/>
    <col min="6" max="6" width="9" style="3" bestFit="1" customWidth="1"/>
    <col min="7" max="7" width="9.42578125" style="3" bestFit="1" customWidth="1"/>
    <col min="8" max="8" width="29.28515625" style="3" bestFit="1" customWidth="1"/>
    <col min="9" max="10" width="9.5703125" style="3" bestFit="1" customWidth="1"/>
    <col min="11" max="22" width="9.5703125" style="3" customWidth="1"/>
    <col min="23" max="23" width="6.42578125" style="3" bestFit="1" customWidth="1"/>
    <col min="24" max="24" width="24.7109375" style="3" bestFit="1" customWidth="1"/>
    <col min="25" max="25" width="23.7109375" style="3" bestFit="1" customWidth="1"/>
    <col min="26" max="26" width="10.7109375" style="3" bestFit="1" customWidth="1"/>
    <col min="27" max="27" width="27.7109375" style="3" bestFit="1" customWidth="1"/>
    <col min="28" max="28" width="7.5703125" style="3" bestFit="1" customWidth="1"/>
    <col min="29" max="30" width="12.7109375" style="3" bestFit="1" customWidth="1"/>
    <col min="31" max="31" width="17.28515625" style="3" bestFit="1" customWidth="1"/>
    <col min="32" max="33" width="15" style="3" bestFit="1" customWidth="1"/>
    <col min="34" max="34" width="17.28515625" style="3" bestFit="1" customWidth="1"/>
    <col min="35" max="35" width="18.5703125" style="3" bestFit="1" customWidth="1"/>
    <col min="36" max="36" width="10.42578125" style="3" customWidth="1"/>
    <col min="37" max="42" width="5.7109375" style="3" customWidth="1"/>
    <col min="43" max="16384" width="31" style="3"/>
  </cols>
  <sheetData>
    <row r="1" spans="1:42" s="1" customFormat="1" ht="75" x14ac:dyDescent="0.25">
      <c r="A1" s="1" t="s">
        <v>3</v>
      </c>
      <c r="B1" s="1" t="s">
        <v>723</v>
      </c>
      <c r="C1" s="1" t="s">
        <v>64</v>
      </c>
      <c r="D1" s="1" t="s">
        <v>65</v>
      </c>
      <c r="E1" s="1" t="s">
        <v>66</v>
      </c>
      <c r="F1" s="1" t="s">
        <v>920</v>
      </c>
      <c r="G1" s="1" t="s">
        <v>67</v>
      </c>
      <c r="H1" s="1" t="s">
        <v>901</v>
      </c>
      <c r="I1" s="1" t="s">
        <v>902</v>
      </c>
      <c r="J1" s="1" t="s">
        <v>903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  <c r="AD1" s="1" t="s">
        <v>87</v>
      </c>
      <c r="AE1" s="1" t="s">
        <v>88</v>
      </c>
      <c r="AF1" s="1" t="s">
        <v>992</v>
      </c>
      <c r="AG1" s="1" t="s">
        <v>1132</v>
      </c>
      <c r="AH1" s="1" t="s">
        <v>900</v>
      </c>
      <c r="AI1" s="1" t="s">
        <v>899</v>
      </c>
      <c r="AJ1" s="1" t="s">
        <v>991</v>
      </c>
      <c r="AK1" s="1" t="s">
        <v>988</v>
      </c>
      <c r="AL1" s="1" t="s">
        <v>989</v>
      </c>
      <c r="AM1" s="1" t="s">
        <v>990</v>
      </c>
      <c r="AN1" s="1" t="s">
        <v>993</v>
      </c>
      <c r="AO1" s="1" t="s">
        <v>994</v>
      </c>
      <c r="AP1" s="1" t="s">
        <v>995</v>
      </c>
    </row>
    <row r="2" spans="1:42" s="1" customFormat="1" x14ac:dyDescent="0.25"/>
    <row r="3" spans="1:42" s="1" customFormat="1" x14ac:dyDescent="0.25">
      <c r="A3" s="3">
        <v>1</v>
      </c>
      <c r="B3" s="3" t="str">
        <f>VLOOKUP(E3,[1]recipe!$A$2:$D$500,3,FALSE)</f>
        <v>!!FOOD_KRABBYPATTY</v>
      </c>
      <c r="C3" s="3" t="s">
        <v>839</v>
      </c>
      <c r="D3" s="3" t="s">
        <v>56</v>
      </c>
      <c r="E3" s="3">
        <v>1</v>
      </c>
      <c r="F3" s="3">
        <v>1</v>
      </c>
      <c r="G3" s="3">
        <v>1018</v>
      </c>
      <c r="H3" s="3" t="str">
        <f>VLOOKUP(G3,[1]building!$A$2:$D$351,3,FALSE)</f>
        <v>!!BLDG_NAME_KK</v>
      </c>
      <c r="I3" s="3">
        <v>2</v>
      </c>
      <c r="J3" s="3">
        <v>1</v>
      </c>
      <c r="K3" s="3">
        <v>6</v>
      </c>
      <c r="L3" s="3">
        <v>8</v>
      </c>
      <c r="M3" s="3">
        <v>12</v>
      </c>
      <c r="N3" s="3">
        <v>10</v>
      </c>
      <c r="O3" s="3">
        <v>90</v>
      </c>
      <c r="P3" s="3">
        <v>94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120</v>
      </c>
      <c r="X3" s="3" t="s">
        <v>840</v>
      </c>
      <c r="Y3" s="3" t="s">
        <v>841</v>
      </c>
      <c r="Z3" s="3">
        <v>1</v>
      </c>
      <c r="AA3" s="3" t="s">
        <v>839</v>
      </c>
      <c r="AB3" s="3">
        <v>10</v>
      </c>
      <c r="AC3" s="3" t="s">
        <v>59</v>
      </c>
      <c r="AD3" s="3" t="s">
        <v>59</v>
      </c>
      <c r="AE3" s="3" t="s">
        <v>59</v>
      </c>
      <c r="AF3" s="3">
        <v>0</v>
      </c>
      <c r="AG3" s="3" t="s">
        <v>842</v>
      </c>
      <c r="AH3" s="3" t="s">
        <v>843</v>
      </c>
      <c r="AI3" s="3" t="s">
        <v>843</v>
      </c>
      <c r="AJ3" s="3">
        <v>0</v>
      </c>
      <c r="AK3" s="3">
        <v>-1</v>
      </c>
      <c r="AL3" s="3">
        <v>-1</v>
      </c>
      <c r="AM3" s="3">
        <v>-1</v>
      </c>
      <c r="AN3" s="3">
        <v>-1</v>
      </c>
      <c r="AO3" s="3">
        <v>-1</v>
      </c>
      <c r="AP3" s="3">
        <v>-1</v>
      </c>
    </row>
    <row r="4" spans="1:42" x14ac:dyDescent="0.25">
      <c r="A4" s="3">
        <v>2</v>
      </c>
      <c r="B4" s="3" t="str">
        <f>VLOOKUP(E4,[1]recipe!$A$2:$D$500,3,FALSE)</f>
        <v>!!FOOD_CRYJOHNNY</v>
      </c>
      <c r="C4" s="3" t="s">
        <v>778</v>
      </c>
      <c r="D4" s="3" t="s">
        <v>56</v>
      </c>
      <c r="E4" s="3">
        <v>15</v>
      </c>
      <c r="F4" s="3">
        <v>15</v>
      </c>
      <c r="G4" s="3">
        <v>1018</v>
      </c>
      <c r="H4" s="3" t="str">
        <f>VLOOKUP(G4,[1]building!$A$2:$D$351,3,FALSE)</f>
        <v>!!BLDG_NAME_KK</v>
      </c>
      <c r="I4" s="3">
        <v>3</v>
      </c>
      <c r="J4" s="3">
        <v>1</v>
      </c>
      <c r="K4" s="3">
        <v>6</v>
      </c>
      <c r="L4" s="3">
        <v>8</v>
      </c>
      <c r="M4" s="3">
        <v>10</v>
      </c>
      <c r="N4" s="3">
        <v>12</v>
      </c>
      <c r="O4" s="3">
        <v>90</v>
      </c>
      <c r="P4" s="3">
        <v>94</v>
      </c>
      <c r="Q4" s="3">
        <v>1</v>
      </c>
      <c r="R4" s="3">
        <v>1</v>
      </c>
      <c r="S4" s="3">
        <v>1</v>
      </c>
      <c r="T4" s="3">
        <v>3</v>
      </c>
      <c r="U4" s="3">
        <v>1</v>
      </c>
      <c r="V4" s="3">
        <v>1</v>
      </c>
      <c r="W4" s="3">
        <v>240</v>
      </c>
      <c r="X4" s="3" t="s">
        <v>779</v>
      </c>
      <c r="Y4" s="3" t="s">
        <v>780</v>
      </c>
      <c r="Z4" s="3">
        <v>1</v>
      </c>
      <c r="AA4" s="3" t="s">
        <v>778</v>
      </c>
      <c r="AB4" s="3">
        <v>10</v>
      </c>
      <c r="AC4" s="3" t="s">
        <v>59</v>
      </c>
      <c r="AD4" s="3" t="s">
        <v>59</v>
      </c>
      <c r="AE4" s="3" t="s">
        <v>59</v>
      </c>
      <c r="AF4" s="3">
        <v>0</v>
      </c>
      <c r="AG4" s="3" t="s">
        <v>59</v>
      </c>
      <c r="AH4" s="3" t="s">
        <v>59</v>
      </c>
      <c r="AI4" s="3" t="s">
        <v>59</v>
      </c>
      <c r="AJ4" s="3">
        <v>0</v>
      </c>
      <c r="AK4" s="3">
        <v>-1</v>
      </c>
      <c r="AL4" s="3">
        <v>-1</v>
      </c>
      <c r="AM4" s="3">
        <v>-1</v>
      </c>
      <c r="AN4" s="3">
        <v>-1</v>
      </c>
      <c r="AO4" s="3">
        <v>-1</v>
      </c>
      <c r="AP4" s="3">
        <v>-1</v>
      </c>
    </row>
    <row r="5" spans="1:42" x14ac:dyDescent="0.25">
      <c r="A5" s="3">
        <v>3</v>
      </c>
      <c r="B5" s="3" t="str">
        <f>VLOOKUP(E5,[1]recipe!$A$2:$D$500,3,FALSE)</f>
        <v>!!FOOD_DUTCHDOUBLE</v>
      </c>
      <c r="C5" s="3" t="s">
        <v>782</v>
      </c>
      <c r="D5" s="3" t="s">
        <v>56</v>
      </c>
      <c r="E5" s="3">
        <v>16</v>
      </c>
      <c r="F5" s="3">
        <v>16</v>
      </c>
      <c r="G5" s="3">
        <v>1018</v>
      </c>
      <c r="H5" s="3" t="str">
        <f>VLOOKUP(G5,[1]building!$A$2:$D$351,3,FALSE)</f>
        <v>!!BLDG_NAME_KK</v>
      </c>
      <c r="I5" s="3">
        <v>4</v>
      </c>
      <c r="J5" s="3">
        <v>1</v>
      </c>
      <c r="K5" s="3">
        <v>8</v>
      </c>
      <c r="L5" s="3">
        <v>10</v>
      </c>
      <c r="M5" s="3">
        <v>14</v>
      </c>
      <c r="N5" s="3">
        <v>94</v>
      </c>
      <c r="O5" s="3">
        <v>90</v>
      </c>
      <c r="P5" s="3">
        <v>6</v>
      </c>
      <c r="Q5" s="3">
        <v>2</v>
      </c>
      <c r="R5" s="3">
        <v>2</v>
      </c>
      <c r="S5" s="3">
        <v>2</v>
      </c>
      <c r="T5" s="3">
        <v>2</v>
      </c>
      <c r="U5" s="3">
        <v>2</v>
      </c>
      <c r="V5" s="3">
        <v>1</v>
      </c>
      <c r="W5" s="3">
        <v>600</v>
      </c>
      <c r="X5" s="3" t="s">
        <v>779</v>
      </c>
      <c r="Y5" s="3" t="s">
        <v>780</v>
      </c>
      <c r="Z5" s="3">
        <v>1</v>
      </c>
      <c r="AA5" s="3" t="s">
        <v>782</v>
      </c>
      <c r="AB5" s="3">
        <v>10</v>
      </c>
      <c r="AC5" s="3" t="s">
        <v>59</v>
      </c>
      <c r="AD5" s="3" t="s">
        <v>59</v>
      </c>
      <c r="AE5" s="3" t="s">
        <v>59</v>
      </c>
      <c r="AF5" s="3">
        <v>0</v>
      </c>
      <c r="AG5" s="3" t="s">
        <v>59</v>
      </c>
      <c r="AH5" s="3" t="s">
        <v>59</v>
      </c>
      <c r="AI5" s="3" t="s">
        <v>59</v>
      </c>
      <c r="AJ5" s="3">
        <v>0</v>
      </c>
      <c r="AK5" s="3">
        <v>-1</v>
      </c>
      <c r="AL5" s="3">
        <v>-1</v>
      </c>
      <c r="AM5" s="3">
        <v>-1</v>
      </c>
      <c r="AN5" s="3">
        <v>-1</v>
      </c>
      <c r="AO5" s="3">
        <v>-1</v>
      </c>
      <c r="AP5" s="3">
        <v>-1</v>
      </c>
    </row>
    <row r="6" spans="1:42" x14ac:dyDescent="0.25">
      <c r="A6" s="3">
        <v>4</v>
      </c>
      <c r="B6" s="3" t="str">
        <f>VLOOKUP(E6,[1]recipe!$A$2:$D$500,3,FALSE)</f>
        <v>!!FOOD_KELPFRIES</v>
      </c>
      <c r="C6" s="3" t="s">
        <v>837</v>
      </c>
      <c r="D6" s="3" t="s">
        <v>56</v>
      </c>
      <c r="E6" s="3">
        <v>18</v>
      </c>
      <c r="F6" s="3">
        <v>18</v>
      </c>
      <c r="G6" s="3">
        <v>1018</v>
      </c>
      <c r="H6" s="3" t="str">
        <f>VLOOKUP(G6,[1]building!$A$2:$D$351,3,FALSE)</f>
        <v>!!BLDG_NAME_KK</v>
      </c>
      <c r="I6" s="3">
        <v>6</v>
      </c>
      <c r="J6" s="3">
        <v>1</v>
      </c>
      <c r="K6" s="3">
        <v>13</v>
      </c>
      <c r="L6" s="3">
        <v>14</v>
      </c>
      <c r="M6" s="3">
        <v>-1</v>
      </c>
      <c r="N6" s="3">
        <v>-1</v>
      </c>
      <c r="O6" s="3">
        <v>-1</v>
      </c>
      <c r="P6" s="3">
        <v>-1</v>
      </c>
      <c r="Q6" s="3">
        <v>5</v>
      </c>
      <c r="R6" s="3">
        <v>3</v>
      </c>
      <c r="S6" s="3">
        <v>-1</v>
      </c>
      <c r="T6" s="3">
        <v>-1</v>
      </c>
      <c r="U6" s="3">
        <v>-1</v>
      </c>
      <c r="V6" s="3">
        <v>-1</v>
      </c>
      <c r="W6" s="3">
        <v>3600</v>
      </c>
      <c r="X6" s="3" t="s">
        <v>834</v>
      </c>
      <c r="Y6" s="3" t="s">
        <v>835</v>
      </c>
      <c r="Z6" s="3">
        <v>1</v>
      </c>
      <c r="AA6" s="3" t="s">
        <v>837</v>
      </c>
      <c r="AB6" s="3">
        <v>10</v>
      </c>
      <c r="AC6" s="3" t="s">
        <v>59</v>
      </c>
      <c r="AD6" s="3" t="s">
        <v>59</v>
      </c>
      <c r="AE6" s="3" t="s">
        <v>59</v>
      </c>
      <c r="AF6" s="3">
        <v>0</v>
      </c>
      <c r="AG6" s="3" t="s">
        <v>59</v>
      </c>
      <c r="AH6" s="3" t="s">
        <v>59</v>
      </c>
      <c r="AI6" s="3" t="s">
        <v>59</v>
      </c>
      <c r="AJ6" s="3">
        <v>0</v>
      </c>
      <c r="AK6" s="3">
        <v>-1</v>
      </c>
      <c r="AL6" s="3">
        <v>-1</v>
      </c>
      <c r="AM6" s="3">
        <v>-1</v>
      </c>
      <c r="AN6" s="3">
        <v>-1</v>
      </c>
      <c r="AO6" s="3">
        <v>-1</v>
      </c>
      <c r="AP6" s="3">
        <v>-1</v>
      </c>
    </row>
    <row r="7" spans="1:42" x14ac:dyDescent="0.25">
      <c r="A7" s="3">
        <v>5</v>
      </c>
      <c r="B7" s="3" t="str">
        <f>VLOOKUP(E7,[1]recipe!$A$2:$D$500,3,FALSE)</f>
        <v>!!FOOD_KELPCAKE</v>
      </c>
      <c r="C7" s="3" t="s">
        <v>833</v>
      </c>
      <c r="D7" s="3" t="s">
        <v>56</v>
      </c>
      <c r="E7" s="3">
        <v>19</v>
      </c>
      <c r="F7" s="3">
        <v>19</v>
      </c>
      <c r="G7" s="3">
        <v>1018</v>
      </c>
      <c r="H7" s="3" t="str">
        <f>VLOOKUP(G7,[1]building!$A$2:$D$351,3,FALSE)</f>
        <v>!!BLDG_NAME_KK</v>
      </c>
      <c r="I7" s="3">
        <v>10</v>
      </c>
      <c r="J7" s="3">
        <v>1</v>
      </c>
      <c r="K7" s="3">
        <v>12</v>
      </c>
      <c r="L7" s="3">
        <v>14</v>
      </c>
      <c r="M7" s="3">
        <v>13</v>
      </c>
      <c r="N7" s="3">
        <v>-1</v>
      </c>
      <c r="O7" s="3">
        <v>-1</v>
      </c>
      <c r="P7" s="3">
        <v>-1</v>
      </c>
      <c r="Q7" s="3">
        <v>5</v>
      </c>
      <c r="R7" s="3">
        <v>12</v>
      </c>
      <c r="S7" s="3">
        <v>3</v>
      </c>
      <c r="T7" s="3">
        <v>-1</v>
      </c>
      <c r="U7" s="3">
        <v>-1</v>
      </c>
      <c r="V7" s="3">
        <v>-1</v>
      </c>
      <c r="W7" s="3">
        <v>43200</v>
      </c>
      <c r="X7" s="3" t="s">
        <v>834</v>
      </c>
      <c r="Y7" s="3" t="s">
        <v>835</v>
      </c>
      <c r="Z7" s="3">
        <v>1</v>
      </c>
      <c r="AA7" s="3" t="s">
        <v>833</v>
      </c>
      <c r="AB7" s="3">
        <v>10</v>
      </c>
      <c r="AC7" s="3" t="s">
        <v>59</v>
      </c>
      <c r="AD7" s="3" t="s">
        <v>59</v>
      </c>
      <c r="AE7" s="3" t="s">
        <v>59</v>
      </c>
      <c r="AF7" s="3">
        <v>0</v>
      </c>
      <c r="AG7" s="3" t="s">
        <v>59</v>
      </c>
      <c r="AH7" s="3" t="s">
        <v>59</v>
      </c>
      <c r="AI7" s="3" t="s">
        <v>59</v>
      </c>
      <c r="AJ7" s="3">
        <v>0</v>
      </c>
      <c r="AK7" s="3">
        <v>-1</v>
      </c>
      <c r="AL7" s="3">
        <v>-1</v>
      </c>
      <c r="AM7" s="3">
        <v>-1</v>
      </c>
      <c r="AN7" s="3">
        <v>-1</v>
      </c>
      <c r="AO7" s="3">
        <v>-1</v>
      </c>
      <c r="AP7" s="3">
        <v>-1</v>
      </c>
    </row>
    <row r="8" spans="1:42" x14ac:dyDescent="0.25">
      <c r="A8" s="3">
        <v>6</v>
      </c>
      <c r="B8" s="3" t="str">
        <f>VLOOKUP(E8,[1]recipe!$A$2:$D$500,3,FALSE)</f>
        <v>!!FOOD_KELPDOG</v>
      </c>
      <c r="C8" s="3" t="s">
        <v>836</v>
      </c>
      <c r="D8" s="3" t="s">
        <v>56</v>
      </c>
      <c r="E8" s="3">
        <v>21</v>
      </c>
      <c r="F8" s="3">
        <v>21</v>
      </c>
      <c r="G8" s="3">
        <v>1018</v>
      </c>
      <c r="H8" s="3" t="str">
        <f>VLOOKUP(G8,[1]building!$A$2:$D$351,3,FALSE)</f>
        <v>!!BLDG_NAME_KK</v>
      </c>
      <c r="I8" s="3">
        <v>6</v>
      </c>
      <c r="J8" s="3">
        <v>1</v>
      </c>
      <c r="K8" s="3">
        <v>1008</v>
      </c>
      <c r="L8" s="3">
        <v>12</v>
      </c>
      <c r="M8" s="3">
        <v>14</v>
      </c>
      <c r="N8" s="3">
        <v>-1</v>
      </c>
      <c r="O8" s="3">
        <v>-1</v>
      </c>
      <c r="P8" s="3">
        <v>-1</v>
      </c>
      <c r="Q8" s="3">
        <v>1</v>
      </c>
      <c r="R8" s="3">
        <v>2</v>
      </c>
      <c r="S8" s="3">
        <v>4</v>
      </c>
      <c r="T8" s="3">
        <v>-1</v>
      </c>
      <c r="U8" s="3">
        <v>-1</v>
      </c>
      <c r="V8" s="3">
        <v>-1</v>
      </c>
      <c r="W8" s="3">
        <v>14400</v>
      </c>
      <c r="X8" s="3" t="s">
        <v>779</v>
      </c>
      <c r="Y8" s="3" t="s">
        <v>780</v>
      </c>
      <c r="Z8" s="3">
        <v>1</v>
      </c>
      <c r="AA8" s="3" t="s">
        <v>836</v>
      </c>
      <c r="AB8" s="3">
        <v>10</v>
      </c>
      <c r="AC8" s="3" t="s">
        <v>59</v>
      </c>
      <c r="AD8" s="3" t="s">
        <v>59</v>
      </c>
      <c r="AE8" s="3" t="s">
        <v>59</v>
      </c>
      <c r="AF8" s="3">
        <v>0</v>
      </c>
      <c r="AG8" s="3" t="s">
        <v>59</v>
      </c>
      <c r="AH8" s="3" t="s">
        <v>59</v>
      </c>
      <c r="AI8" s="3" t="s">
        <v>59</v>
      </c>
      <c r="AJ8" s="3">
        <v>0</v>
      </c>
      <c r="AK8" s="3">
        <v>-1</v>
      </c>
      <c r="AL8" s="3">
        <v>-1</v>
      </c>
      <c r="AM8" s="3">
        <v>-1</v>
      </c>
      <c r="AN8" s="3">
        <v>-1</v>
      </c>
      <c r="AO8" s="3">
        <v>-1</v>
      </c>
      <c r="AP8" s="3">
        <v>-1</v>
      </c>
    </row>
    <row r="9" spans="1:42" x14ac:dyDescent="0.25">
      <c r="A9" s="3">
        <v>7</v>
      </c>
      <c r="B9" s="3" t="str">
        <f>VLOOKUP(E9,[1]recipe!$A$2:$D$500,3,FALSE)</f>
        <v>!!FOOD_SEAWEEDSALAD</v>
      </c>
      <c r="C9" s="3" t="s">
        <v>871</v>
      </c>
      <c r="D9" s="3" t="s">
        <v>56</v>
      </c>
      <c r="E9" s="3">
        <v>22</v>
      </c>
      <c r="F9" s="3">
        <v>22</v>
      </c>
      <c r="G9" s="3">
        <v>1018</v>
      </c>
      <c r="H9" s="3" t="str">
        <f>VLOOKUP(G9,[1]building!$A$2:$D$351,3,FALSE)</f>
        <v>!!BLDG_NAME_KK</v>
      </c>
      <c r="I9" s="3">
        <v>4</v>
      </c>
      <c r="J9" s="3">
        <v>1</v>
      </c>
      <c r="K9" s="3">
        <v>8</v>
      </c>
      <c r="L9" s="3">
        <v>10</v>
      </c>
      <c r="M9" s="3">
        <v>12</v>
      </c>
      <c r="N9" s="3">
        <v>14</v>
      </c>
      <c r="O9" s="3">
        <v>-1</v>
      </c>
      <c r="P9" s="3">
        <v>-1</v>
      </c>
      <c r="Q9" s="3">
        <v>3</v>
      </c>
      <c r="R9" s="3">
        <v>1</v>
      </c>
      <c r="S9" s="3">
        <v>1</v>
      </c>
      <c r="T9" s="3">
        <v>3</v>
      </c>
      <c r="U9" s="3">
        <v>-1</v>
      </c>
      <c r="V9" s="3">
        <v>-1</v>
      </c>
      <c r="W9" s="3">
        <v>300</v>
      </c>
      <c r="X9" s="3" t="s">
        <v>869</v>
      </c>
      <c r="Y9" s="3" t="s">
        <v>790</v>
      </c>
      <c r="Z9" s="3">
        <v>1</v>
      </c>
      <c r="AA9" s="3" t="s">
        <v>871</v>
      </c>
      <c r="AB9" s="3">
        <v>10</v>
      </c>
      <c r="AC9" s="3" t="s">
        <v>59</v>
      </c>
      <c r="AD9" s="3" t="s">
        <v>59</v>
      </c>
      <c r="AE9" s="3" t="s">
        <v>59</v>
      </c>
      <c r="AF9" s="3">
        <v>0</v>
      </c>
      <c r="AG9" s="3" t="s">
        <v>59</v>
      </c>
      <c r="AH9" s="3" t="s">
        <v>59</v>
      </c>
      <c r="AI9" s="3" t="s">
        <v>59</v>
      </c>
      <c r="AJ9" s="3">
        <v>0</v>
      </c>
      <c r="AK9" s="3">
        <v>-1</v>
      </c>
      <c r="AL9" s="3">
        <v>-1</v>
      </c>
      <c r="AM9" s="3">
        <v>-1</v>
      </c>
      <c r="AN9" s="3">
        <v>-1</v>
      </c>
      <c r="AO9" s="3">
        <v>-1</v>
      </c>
      <c r="AP9" s="3">
        <v>-1</v>
      </c>
    </row>
    <row r="10" spans="1:42" x14ac:dyDescent="0.25">
      <c r="A10" s="3">
        <v>8</v>
      </c>
      <c r="B10" s="3" t="str">
        <f>VLOOKUP(E10,[1]recipe!$A$2:$D$500,3,FALSE)</f>
        <v>!!FOOD_KELPKLT</v>
      </c>
      <c r="C10" s="3" t="s">
        <v>838</v>
      </c>
      <c r="D10" s="3" t="s">
        <v>56</v>
      </c>
      <c r="E10" s="3">
        <v>23</v>
      </c>
      <c r="F10" s="3">
        <v>23</v>
      </c>
      <c r="G10" s="3">
        <v>1018</v>
      </c>
      <c r="H10" s="3" t="str">
        <f>VLOOKUP(G10,[1]building!$A$2:$D$351,3,FALSE)</f>
        <v>!!BLDG_NAME_KK</v>
      </c>
      <c r="I10" s="3">
        <v>6</v>
      </c>
      <c r="J10" s="3">
        <v>1</v>
      </c>
      <c r="K10" s="3">
        <v>92</v>
      </c>
      <c r="L10" s="3">
        <v>8</v>
      </c>
      <c r="M10" s="3">
        <v>10</v>
      </c>
      <c r="N10" s="3">
        <v>14</v>
      </c>
      <c r="O10" s="3">
        <v>-1</v>
      </c>
      <c r="P10" s="3">
        <v>-1</v>
      </c>
      <c r="Q10" s="3">
        <v>2</v>
      </c>
      <c r="R10" s="3">
        <v>2</v>
      </c>
      <c r="S10" s="3">
        <v>2</v>
      </c>
      <c r="T10" s="3">
        <v>4</v>
      </c>
      <c r="U10" s="3">
        <v>-1</v>
      </c>
      <c r="V10" s="3">
        <v>-1</v>
      </c>
      <c r="W10" s="3">
        <v>21600</v>
      </c>
      <c r="X10" s="3" t="s">
        <v>779</v>
      </c>
      <c r="Y10" s="3" t="s">
        <v>780</v>
      </c>
      <c r="Z10" s="3">
        <v>1</v>
      </c>
      <c r="AA10" s="3" t="s">
        <v>838</v>
      </c>
      <c r="AB10" s="3">
        <v>10</v>
      </c>
      <c r="AC10" s="3" t="s">
        <v>59</v>
      </c>
      <c r="AD10" s="3" t="s">
        <v>59</v>
      </c>
      <c r="AE10" s="3" t="s">
        <v>59</v>
      </c>
      <c r="AF10" s="3">
        <v>0</v>
      </c>
      <c r="AG10" s="3" t="s">
        <v>59</v>
      </c>
      <c r="AH10" s="3" t="s">
        <v>59</v>
      </c>
      <c r="AI10" s="3" t="s">
        <v>59</v>
      </c>
      <c r="AJ10" s="3">
        <v>0</v>
      </c>
      <c r="AK10" s="3">
        <v>-1</v>
      </c>
      <c r="AL10" s="3">
        <v>-1</v>
      </c>
      <c r="AM10" s="3">
        <v>-1</v>
      </c>
      <c r="AN10" s="3">
        <v>-1</v>
      </c>
      <c r="AO10" s="3">
        <v>-1</v>
      </c>
      <c r="AP10" s="3">
        <v>-1</v>
      </c>
    </row>
    <row r="11" spans="1:42" x14ac:dyDescent="0.25">
      <c r="A11" s="3">
        <v>9</v>
      </c>
      <c r="B11" s="3" t="str">
        <f>VLOOKUP(E11,[1]recipe!$A$2:$D$500,3,FALSE)</f>
        <v>!!FOOD_BRUSCHETTA</v>
      </c>
      <c r="C11" s="3" t="s">
        <v>770</v>
      </c>
      <c r="D11" s="3" t="s">
        <v>56</v>
      </c>
      <c r="E11" s="3">
        <v>27</v>
      </c>
      <c r="F11" s="3">
        <v>27</v>
      </c>
      <c r="G11" s="3">
        <v>1018</v>
      </c>
      <c r="H11" s="3" t="str">
        <f>VLOOKUP(G11,[1]building!$A$2:$D$351,3,FALSE)</f>
        <v>!!BLDG_NAME_KK</v>
      </c>
      <c r="I11" s="3">
        <v>4</v>
      </c>
      <c r="J11" s="3">
        <v>1</v>
      </c>
      <c r="K11" s="3">
        <v>10</v>
      </c>
      <c r="L11" s="3">
        <v>92</v>
      </c>
      <c r="M11" s="3">
        <v>-1</v>
      </c>
      <c r="N11" s="3">
        <v>-1</v>
      </c>
      <c r="O11" s="3">
        <v>-1</v>
      </c>
      <c r="P11" s="3">
        <v>-1</v>
      </c>
      <c r="Q11" s="3">
        <v>6</v>
      </c>
      <c r="R11" s="3">
        <v>1</v>
      </c>
      <c r="S11" s="3">
        <v>-1</v>
      </c>
      <c r="T11" s="3">
        <v>-1</v>
      </c>
      <c r="U11" s="3">
        <v>-1</v>
      </c>
      <c r="V11" s="3">
        <v>-1</v>
      </c>
      <c r="W11" s="3">
        <v>900</v>
      </c>
      <c r="X11" s="3" t="s">
        <v>52</v>
      </c>
      <c r="Y11" s="3" t="s">
        <v>53</v>
      </c>
      <c r="Z11" s="3">
        <v>1</v>
      </c>
      <c r="AA11" s="3" t="s">
        <v>770</v>
      </c>
      <c r="AB11" s="3">
        <v>10</v>
      </c>
      <c r="AC11" s="3" t="s">
        <v>59</v>
      </c>
      <c r="AD11" s="3" t="s">
        <v>59</v>
      </c>
      <c r="AE11" s="3" t="s">
        <v>59</v>
      </c>
      <c r="AF11" s="3">
        <v>0</v>
      </c>
      <c r="AG11" s="3" t="s">
        <v>59</v>
      </c>
      <c r="AH11" s="3" t="s">
        <v>59</v>
      </c>
      <c r="AI11" s="3" t="s">
        <v>59</v>
      </c>
      <c r="AJ11" s="3">
        <v>0</v>
      </c>
      <c r="AK11" s="3">
        <v>-1</v>
      </c>
      <c r="AL11" s="3">
        <v>-1</v>
      </c>
      <c r="AM11" s="3">
        <v>-1</v>
      </c>
      <c r="AN11" s="3">
        <v>-1</v>
      </c>
      <c r="AO11" s="3">
        <v>-1</v>
      </c>
      <c r="AP11" s="3">
        <v>-1</v>
      </c>
    </row>
    <row r="12" spans="1:42" x14ac:dyDescent="0.25">
      <c r="A12" s="3">
        <v>10</v>
      </c>
      <c r="B12" s="3" t="str">
        <f>VLOOKUP(E12,[1]recipe!$A$2:$D$500,3,FALSE)</f>
        <v>!!FOOD_BISQUE</v>
      </c>
      <c r="C12" s="3" t="s">
        <v>895</v>
      </c>
      <c r="D12" s="3" t="s">
        <v>56</v>
      </c>
      <c r="E12" s="3">
        <v>28</v>
      </c>
      <c r="F12" s="3">
        <v>28</v>
      </c>
      <c r="G12" s="3">
        <v>1018</v>
      </c>
      <c r="H12" s="3" t="str">
        <f>VLOOKUP(G12,[1]building!$A$2:$D$351,3,FALSE)</f>
        <v>!!BLDG_NAME_KK</v>
      </c>
      <c r="I12" s="3">
        <v>10</v>
      </c>
      <c r="J12" s="3">
        <v>1</v>
      </c>
      <c r="K12" s="3">
        <v>10</v>
      </c>
      <c r="L12" s="3">
        <v>12</v>
      </c>
      <c r="M12" s="3">
        <v>-1</v>
      </c>
      <c r="N12" s="3">
        <v>-1</v>
      </c>
      <c r="O12" s="3">
        <v>-1</v>
      </c>
      <c r="P12" s="3">
        <v>-1</v>
      </c>
      <c r="Q12" s="3">
        <v>30</v>
      </c>
      <c r="R12" s="3">
        <v>8</v>
      </c>
      <c r="S12" s="3">
        <v>-1</v>
      </c>
      <c r="T12" s="3">
        <v>-1</v>
      </c>
      <c r="U12" s="3">
        <v>-1</v>
      </c>
      <c r="V12" s="3">
        <v>-1</v>
      </c>
      <c r="W12" s="3">
        <v>86400</v>
      </c>
      <c r="X12" s="3" t="s">
        <v>896</v>
      </c>
      <c r="Y12" s="3" t="s">
        <v>897</v>
      </c>
      <c r="Z12" s="3">
        <v>1</v>
      </c>
      <c r="AA12" s="3" t="s">
        <v>895</v>
      </c>
      <c r="AB12" s="3">
        <v>10</v>
      </c>
      <c r="AC12" s="3" t="s">
        <v>59</v>
      </c>
      <c r="AD12" s="3" t="s">
        <v>59</v>
      </c>
      <c r="AE12" s="3" t="s">
        <v>59</v>
      </c>
      <c r="AF12" s="3">
        <v>0</v>
      </c>
      <c r="AG12" s="3" t="s">
        <v>59</v>
      </c>
      <c r="AH12" s="3" t="s">
        <v>59</v>
      </c>
      <c r="AI12" s="3" t="s">
        <v>59</v>
      </c>
      <c r="AJ12" s="3">
        <v>0</v>
      </c>
      <c r="AK12" s="3">
        <v>-1</v>
      </c>
      <c r="AL12" s="3">
        <v>-1</v>
      </c>
      <c r="AM12" s="3">
        <v>-1</v>
      </c>
      <c r="AN12" s="3">
        <v>-1</v>
      </c>
      <c r="AO12" s="3">
        <v>-1</v>
      </c>
      <c r="AP12" s="3">
        <v>-1</v>
      </c>
    </row>
    <row r="13" spans="1:42" x14ac:dyDescent="0.25">
      <c r="A13" s="3">
        <v>11</v>
      </c>
      <c r="B13" s="3" t="str">
        <f>VLOOKUP(E13,[1]recipe!$A$2:$D$500,3,FALSE)</f>
        <v>!!FOOD_CAESAR_SALAD</v>
      </c>
      <c r="C13" s="3" t="s">
        <v>870</v>
      </c>
      <c r="D13" s="3" t="s">
        <v>56</v>
      </c>
      <c r="E13" s="3">
        <v>31</v>
      </c>
      <c r="F13" s="3">
        <v>31</v>
      </c>
      <c r="G13" s="3">
        <v>1018</v>
      </c>
      <c r="H13" s="3" t="str">
        <f>VLOOKUP(G13,[1]building!$A$2:$D$351,3,FALSE)</f>
        <v>!!BLDG_NAME_KK</v>
      </c>
      <c r="I13" s="3">
        <v>3</v>
      </c>
      <c r="J13" s="3">
        <v>1</v>
      </c>
      <c r="K13" s="3">
        <v>8</v>
      </c>
      <c r="L13" s="3">
        <v>93</v>
      </c>
      <c r="M13" s="3">
        <v>-1</v>
      </c>
      <c r="N13" s="3">
        <v>-1</v>
      </c>
      <c r="O13" s="3">
        <v>-1</v>
      </c>
      <c r="P13" s="3">
        <v>-1</v>
      </c>
      <c r="Q13" s="3">
        <v>12</v>
      </c>
      <c r="R13" s="3">
        <v>12</v>
      </c>
      <c r="S13" s="3">
        <v>-1</v>
      </c>
      <c r="T13" s="3">
        <v>-1</v>
      </c>
      <c r="U13" s="3">
        <v>-1</v>
      </c>
      <c r="V13" s="3">
        <v>-1</v>
      </c>
      <c r="W13" s="3">
        <v>900</v>
      </c>
      <c r="X13" s="3" t="s">
        <v>869</v>
      </c>
      <c r="Y13" s="3" t="s">
        <v>790</v>
      </c>
      <c r="Z13" s="3">
        <v>1</v>
      </c>
      <c r="AA13" s="3" t="s">
        <v>870</v>
      </c>
      <c r="AB13" s="3">
        <v>10</v>
      </c>
      <c r="AC13" s="3" t="s">
        <v>59</v>
      </c>
      <c r="AD13" s="3" t="s">
        <v>59</v>
      </c>
      <c r="AE13" s="3" t="s">
        <v>59</v>
      </c>
      <c r="AF13" s="3">
        <v>1</v>
      </c>
      <c r="AG13" s="3" t="s">
        <v>59</v>
      </c>
      <c r="AH13" s="3" t="s">
        <v>59</v>
      </c>
      <c r="AI13" s="3" t="s">
        <v>59</v>
      </c>
      <c r="AJ13" s="3">
        <v>0</v>
      </c>
      <c r="AK13" s="3">
        <v>-1</v>
      </c>
      <c r="AL13" s="3">
        <v>-1</v>
      </c>
      <c r="AM13" s="3">
        <v>-1</v>
      </c>
      <c r="AN13" s="3">
        <v>-1</v>
      </c>
      <c r="AO13" s="3">
        <v>-1</v>
      </c>
      <c r="AP13" s="3">
        <v>-1</v>
      </c>
    </row>
    <row r="14" spans="1:42" x14ac:dyDescent="0.25">
      <c r="A14" s="3">
        <v>12</v>
      </c>
      <c r="B14" s="3" t="str">
        <f>VLOOKUP(E14,[1]recipe!$A$2:$D$500,3,FALSE)</f>
        <v>!!FOOD_JELLYPATTY</v>
      </c>
      <c r="C14" s="3" t="s">
        <v>823</v>
      </c>
      <c r="D14" s="3" t="s">
        <v>56</v>
      </c>
      <c r="E14" s="3">
        <v>32</v>
      </c>
      <c r="F14" s="3">
        <v>32</v>
      </c>
      <c r="G14" s="3">
        <v>1018</v>
      </c>
      <c r="H14" s="3" t="str">
        <f>VLOOKUP(G14,[1]building!$A$2:$D$351,3,FALSE)</f>
        <v>!!BLDG_NAME_KK</v>
      </c>
      <c r="I14" s="3">
        <v>10</v>
      </c>
      <c r="J14" s="3">
        <v>1</v>
      </c>
      <c r="K14" s="3">
        <v>1</v>
      </c>
      <c r="L14" s="3">
        <v>2</v>
      </c>
      <c r="M14" s="3">
        <v>-1</v>
      </c>
      <c r="N14" s="3">
        <v>-1</v>
      </c>
      <c r="O14" s="3">
        <v>-1</v>
      </c>
      <c r="P14" s="3">
        <v>-1</v>
      </c>
      <c r="Q14" s="3">
        <v>1</v>
      </c>
      <c r="R14" s="3">
        <v>1</v>
      </c>
      <c r="S14" s="3">
        <v>-1</v>
      </c>
      <c r="T14" s="3">
        <v>-1</v>
      </c>
      <c r="U14" s="3">
        <v>-1</v>
      </c>
      <c r="V14" s="3">
        <v>-1</v>
      </c>
      <c r="W14" s="3">
        <v>30</v>
      </c>
      <c r="X14" s="3" t="s">
        <v>779</v>
      </c>
      <c r="Y14" s="3" t="s">
        <v>780</v>
      </c>
      <c r="Z14" s="3">
        <v>1</v>
      </c>
      <c r="AA14" s="3" t="s">
        <v>823</v>
      </c>
      <c r="AB14" s="3">
        <v>10</v>
      </c>
      <c r="AC14" s="3" t="s">
        <v>59</v>
      </c>
      <c r="AD14" s="3" t="s">
        <v>59</v>
      </c>
      <c r="AE14" s="3" t="s">
        <v>59</v>
      </c>
      <c r="AF14" s="3">
        <v>0</v>
      </c>
      <c r="AG14" s="3" t="s">
        <v>59</v>
      </c>
      <c r="AH14" s="3" t="s">
        <v>59</v>
      </c>
      <c r="AI14" s="3" t="s">
        <v>59</v>
      </c>
      <c r="AJ14" s="3">
        <v>0</v>
      </c>
      <c r="AK14" s="3">
        <v>-1</v>
      </c>
      <c r="AL14" s="3">
        <v>-1</v>
      </c>
      <c r="AM14" s="3">
        <v>-1</v>
      </c>
      <c r="AN14" s="3">
        <v>-1</v>
      </c>
      <c r="AO14" s="3">
        <v>-1</v>
      </c>
      <c r="AP14" s="3">
        <v>-1</v>
      </c>
    </row>
    <row r="15" spans="1:42" x14ac:dyDescent="0.25">
      <c r="A15" s="3">
        <v>13</v>
      </c>
      <c r="B15" s="3" t="str">
        <f>VLOOKUP(E15,[1]recipe!$A$2:$D$500,3,FALSE)</f>
        <v>!!FOOD_VEGGIEPATTY</v>
      </c>
      <c r="C15" s="3" t="s">
        <v>898</v>
      </c>
      <c r="D15" s="3" t="s">
        <v>56</v>
      </c>
      <c r="E15" s="3">
        <v>40</v>
      </c>
      <c r="F15" s="3">
        <v>40</v>
      </c>
      <c r="G15" s="3">
        <v>1018</v>
      </c>
      <c r="H15" s="3" t="str">
        <f>VLOOKUP(G15,[1]building!$A$2:$D$351,3,FALSE)</f>
        <v>!!BLDG_NAME_KK</v>
      </c>
      <c r="I15" s="3">
        <v>2</v>
      </c>
      <c r="J15" s="3">
        <v>1</v>
      </c>
      <c r="K15" s="3">
        <v>8</v>
      </c>
      <c r="L15" s="3">
        <v>10</v>
      </c>
      <c r="M15" s="3">
        <v>6</v>
      </c>
      <c r="N15" s="3">
        <v>94</v>
      </c>
      <c r="O15" s="3">
        <v>-1</v>
      </c>
      <c r="P15" s="3">
        <v>-1</v>
      </c>
      <c r="Q15" s="3">
        <v>2</v>
      </c>
      <c r="R15" s="3">
        <v>2</v>
      </c>
      <c r="S15" s="3">
        <v>1</v>
      </c>
      <c r="T15" s="3">
        <v>1</v>
      </c>
      <c r="U15" s="3">
        <v>-1</v>
      </c>
      <c r="V15" s="3">
        <v>-1</v>
      </c>
      <c r="W15" s="3">
        <v>90</v>
      </c>
      <c r="X15" s="3" t="s">
        <v>869</v>
      </c>
      <c r="Y15" s="3" t="s">
        <v>790</v>
      </c>
      <c r="Z15" s="3">
        <v>1</v>
      </c>
      <c r="AA15" s="3" t="s">
        <v>898</v>
      </c>
      <c r="AB15" s="3">
        <v>10</v>
      </c>
      <c r="AC15" s="3" t="s">
        <v>59</v>
      </c>
      <c r="AD15" s="3" t="s">
        <v>59</v>
      </c>
      <c r="AE15" s="3" t="s">
        <v>59</v>
      </c>
      <c r="AF15" s="3">
        <v>0</v>
      </c>
      <c r="AG15" s="3" t="s">
        <v>59</v>
      </c>
      <c r="AH15" s="3" t="s">
        <v>59</v>
      </c>
      <c r="AI15" s="3" t="s">
        <v>59</v>
      </c>
      <c r="AJ15" s="3">
        <v>0</v>
      </c>
      <c r="AK15" s="3">
        <v>-1</v>
      </c>
      <c r="AL15" s="3">
        <v>-1</v>
      </c>
      <c r="AM15" s="3">
        <v>-1</v>
      </c>
      <c r="AN15" s="3">
        <v>-1</v>
      </c>
      <c r="AO15" s="3">
        <v>-1</v>
      </c>
      <c r="AP15" s="3">
        <v>-1</v>
      </c>
    </row>
    <row r="16" spans="1:42" x14ac:dyDescent="0.25">
      <c r="A16" s="3">
        <v>14</v>
      </c>
      <c r="B16" s="3" t="str">
        <f>VLOOKUP(E16,[1]recipe!$A$2:$D$500,3,FALSE)</f>
        <v>!!FOOD_SALAD</v>
      </c>
      <c r="C16" s="3" t="s">
        <v>868</v>
      </c>
      <c r="D16" s="3" t="s">
        <v>56</v>
      </c>
      <c r="E16" s="3">
        <v>46</v>
      </c>
      <c r="F16" s="3">
        <v>46</v>
      </c>
      <c r="G16" s="3">
        <v>1018</v>
      </c>
      <c r="H16" s="3" t="str">
        <f>VLOOKUP(G16,[1]building!$A$2:$D$351,3,FALSE)</f>
        <v>!!BLDG_NAME_KK</v>
      </c>
      <c r="I16" s="3">
        <v>1</v>
      </c>
      <c r="J16" s="3">
        <v>1</v>
      </c>
      <c r="K16" s="3">
        <v>8</v>
      </c>
      <c r="L16" s="3">
        <v>10</v>
      </c>
      <c r="M16" s="3">
        <v>-1</v>
      </c>
      <c r="N16" s="3">
        <v>-1</v>
      </c>
      <c r="O16" s="3">
        <v>-1</v>
      </c>
      <c r="P16" s="3">
        <v>-1</v>
      </c>
      <c r="Q16" s="3">
        <v>1</v>
      </c>
      <c r="R16" s="3">
        <v>1</v>
      </c>
      <c r="S16" s="3">
        <v>-1</v>
      </c>
      <c r="T16" s="3">
        <v>-1</v>
      </c>
      <c r="U16" s="3">
        <v>-1</v>
      </c>
      <c r="V16" s="3">
        <v>-1</v>
      </c>
      <c r="W16" s="3">
        <v>45</v>
      </c>
      <c r="X16" s="3" t="s">
        <v>869</v>
      </c>
      <c r="Y16" s="3" t="s">
        <v>790</v>
      </c>
      <c r="Z16" s="3">
        <v>1</v>
      </c>
      <c r="AA16" s="3" t="s">
        <v>868</v>
      </c>
      <c r="AB16" s="3">
        <v>10</v>
      </c>
      <c r="AC16" s="3" t="s">
        <v>59</v>
      </c>
      <c r="AD16" s="3" t="s">
        <v>59</v>
      </c>
      <c r="AE16" s="3" t="s">
        <v>59</v>
      </c>
      <c r="AF16" s="3">
        <v>0</v>
      </c>
      <c r="AG16" s="3" t="s">
        <v>59</v>
      </c>
      <c r="AH16" s="3" t="s">
        <v>59</v>
      </c>
      <c r="AI16" s="3" t="s">
        <v>59</v>
      </c>
      <c r="AJ16" s="3">
        <v>0</v>
      </c>
      <c r="AK16" s="3">
        <v>-1</v>
      </c>
      <c r="AL16" s="3">
        <v>-1</v>
      </c>
      <c r="AM16" s="3">
        <v>-1</v>
      </c>
      <c r="AN16" s="3">
        <v>-1</v>
      </c>
      <c r="AO16" s="3">
        <v>-1</v>
      </c>
      <c r="AP16" s="3">
        <v>-1</v>
      </c>
    </row>
    <row r="17" spans="1:42" x14ac:dyDescent="0.25">
      <c r="A17" s="3">
        <v>15</v>
      </c>
      <c r="B17" s="3" t="str">
        <f>VLOOKUP(E17,[1]recipe!$A$2:$D$500,3,FALSE)</f>
        <v>!!FOOD_PATTY</v>
      </c>
      <c r="C17" s="3" t="s">
        <v>853</v>
      </c>
      <c r="D17" s="3" t="s">
        <v>56</v>
      </c>
      <c r="E17" s="3">
        <v>90</v>
      </c>
      <c r="F17" s="3">
        <v>90</v>
      </c>
      <c r="G17" s="3">
        <v>1018</v>
      </c>
      <c r="H17" s="3" t="str">
        <f>VLOOKUP(G17,[1]building!$A$2:$D$351,3,FALSE)</f>
        <v>!!BLDG_NAME_KK</v>
      </c>
      <c r="I17" s="3">
        <v>1</v>
      </c>
      <c r="J17" s="3">
        <v>1</v>
      </c>
      <c r="K17" s="3">
        <v>3</v>
      </c>
      <c r="L17" s="3">
        <v>-1</v>
      </c>
      <c r="M17" s="3">
        <v>-1</v>
      </c>
      <c r="N17" s="3">
        <v>-1</v>
      </c>
      <c r="O17" s="3">
        <v>-1</v>
      </c>
      <c r="P17" s="3">
        <v>-1</v>
      </c>
      <c r="Q17" s="3">
        <v>5</v>
      </c>
      <c r="R17" s="3">
        <v>-1</v>
      </c>
      <c r="S17" s="3">
        <v>-1</v>
      </c>
      <c r="T17" s="3">
        <v>-1</v>
      </c>
      <c r="U17" s="3">
        <v>-1</v>
      </c>
      <c r="V17" s="3">
        <v>-1</v>
      </c>
      <c r="W17" s="3">
        <v>30</v>
      </c>
      <c r="X17" s="3" t="s">
        <v>840</v>
      </c>
      <c r="Y17" s="3" t="s">
        <v>780</v>
      </c>
      <c r="Z17" s="3">
        <v>1</v>
      </c>
      <c r="AA17" s="3" t="s">
        <v>853</v>
      </c>
      <c r="AB17" s="3">
        <v>10</v>
      </c>
      <c r="AC17" s="3" t="s">
        <v>59</v>
      </c>
      <c r="AD17" s="3" t="s">
        <v>59</v>
      </c>
      <c r="AE17" s="3" t="s">
        <v>59</v>
      </c>
      <c r="AF17" s="3">
        <v>0</v>
      </c>
      <c r="AG17" s="3" t="s">
        <v>842</v>
      </c>
      <c r="AH17" s="3" t="s">
        <v>843</v>
      </c>
      <c r="AI17" s="3" t="s">
        <v>843</v>
      </c>
      <c r="AJ17" s="3">
        <v>0</v>
      </c>
      <c r="AK17" s="3">
        <v>-1</v>
      </c>
      <c r="AL17" s="3">
        <v>-1</v>
      </c>
      <c r="AM17" s="3">
        <v>-1</v>
      </c>
      <c r="AN17" s="3">
        <v>-1</v>
      </c>
      <c r="AO17" s="3">
        <v>-1</v>
      </c>
      <c r="AP17" s="3">
        <v>-1</v>
      </c>
    </row>
    <row r="18" spans="1:42" x14ac:dyDescent="0.25">
      <c r="A18" s="3">
        <v>16</v>
      </c>
      <c r="B18" s="3" t="str">
        <f>VLOOKUP(E18,[1]recipe!$A$2:$D$500,3,FALSE)</f>
        <v>!!FOOD_KETCHUP</v>
      </c>
      <c r="C18" s="3" t="s">
        <v>55</v>
      </c>
      <c r="D18" s="3" t="s">
        <v>56</v>
      </c>
      <c r="E18" s="3">
        <v>94</v>
      </c>
      <c r="F18" s="3">
        <v>94</v>
      </c>
      <c r="G18" s="3">
        <v>1018</v>
      </c>
      <c r="H18" s="3" t="str">
        <f>VLOOKUP(G18,[1]building!$A$2:$D$351,3,FALSE)</f>
        <v>!!BLDG_NAME_KK</v>
      </c>
      <c r="I18" s="3">
        <v>1</v>
      </c>
      <c r="J18" s="3">
        <v>1</v>
      </c>
      <c r="K18" s="3">
        <v>10</v>
      </c>
      <c r="L18" s="3">
        <v>-1</v>
      </c>
      <c r="M18" s="3">
        <v>-1</v>
      </c>
      <c r="N18" s="3">
        <v>-1</v>
      </c>
      <c r="O18" s="3">
        <v>-1</v>
      </c>
      <c r="P18" s="3">
        <v>-1</v>
      </c>
      <c r="Q18" s="3">
        <v>2</v>
      </c>
      <c r="R18" s="3">
        <v>-1</v>
      </c>
      <c r="S18" s="3">
        <v>-1</v>
      </c>
      <c r="T18" s="3">
        <v>-1</v>
      </c>
      <c r="U18" s="3">
        <v>-1</v>
      </c>
      <c r="V18" s="3">
        <v>-1</v>
      </c>
      <c r="W18" s="3">
        <v>4</v>
      </c>
      <c r="X18" s="3" t="s">
        <v>57</v>
      </c>
      <c r="Y18" s="3" t="s">
        <v>58</v>
      </c>
      <c r="Z18" s="3">
        <v>1</v>
      </c>
      <c r="AA18" s="3" t="s">
        <v>55</v>
      </c>
      <c r="AB18" s="3">
        <v>10</v>
      </c>
      <c r="AC18" s="3" t="s">
        <v>60</v>
      </c>
      <c r="AD18" s="3" t="s">
        <v>61</v>
      </c>
      <c r="AE18" s="3" t="s">
        <v>62</v>
      </c>
      <c r="AF18" s="3">
        <v>0</v>
      </c>
      <c r="AG18" s="3" t="s">
        <v>59</v>
      </c>
      <c r="AH18" s="3" t="s">
        <v>59</v>
      </c>
      <c r="AI18" s="3" t="s">
        <v>59</v>
      </c>
      <c r="AJ18" s="3">
        <v>0</v>
      </c>
      <c r="AK18" s="3">
        <v>-1</v>
      </c>
      <c r="AL18" s="3">
        <v>-1</v>
      </c>
      <c r="AM18" s="3">
        <v>-1</v>
      </c>
      <c r="AN18" s="3">
        <v>-1</v>
      </c>
      <c r="AO18" s="3">
        <v>-1</v>
      </c>
      <c r="AP18" s="3">
        <v>-1</v>
      </c>
    </row>
    <row r="19" spans="1:42" x14ac:dyDescent="0.25">
      <c r="A19" s="3">
        <v>17</v>
      </c>
      <c r="B19" s="3" t="str">
        <f>VLOOKUP(E19,[1]recipe!$A$2:$D$500,3,FALSE)</f>
        <v>!!FOOD_CUBEDKETCHUPKABOBS</v>
      </c>
      <c r="C19" s="3" t="s">
        <v>781</v>
      </c>
      <c r="D19" s="3" t="s">
        <v>56</v>
      </c>
      <c r="E19" s="3">
        <v>95</v>
      </c>
      <c r="F19" s="3">
        <v>95</v>
      </c>
      <c r="G19" s="3">
        <v>1018</v>
      </c>
      <c r="H19" s="3" t="str">
        <f>VLOOKUP(G19,[1]building!$A$2:$D$351,3,FALSE)</f>
        <v>!!BLDG_NAME_KK</v>
      </c>
      <c r="I19" s="3">
        <v>5</v>
      </c>
      <c r="J19" s="3">
        <v>1</v>
      </c>
      <c r="K19" s="3">
        <v>94</v>
      </c>
      <c r="L19" s="3">
        <v>-1</v>
      </c>
      <c r="M19" s="3">
        <v>-1</v>
      </c>
      <c r="N19" s="3">
        <v>-1</v>
      </c>
      <c r="O19" s="3">
        <v>-1</v>
      </c>
      <c r="P19" s="3">
        <v>-1</v>
      </c>
      <c r="Q19" s="3">
        <v>4</v>
      </c>
      <c r="R19" s="3">
        <v>-1</v>
      </c>
      <c r="S19" s="3">
        <v>-1</v>
      </c>
      <c r="T19" s="3">
        <v>-1</v>
      </c>
      <c r="U19" s="3">
        <v>-1</v>
      </c>
      <c r="V19" s="3">
        <v>-1</v>
      </c>
      <c r="W19" s="3">
        <v>1800</v>
      </c>
      <c r="X19" s="3" t="s">
        <v>57</v>
      </c>
      <c r="Y19" s="3" t="s">
        <v>58</v>
      </c>
      <c r="Z19" s="3">
        <v>1</v>
      </c>
      <c r="AA19" s="3" t="s">
        <v>781</v>
      </c>
      <c r="AB19" s="3">
        <v>10</v>
      </c>
      <c r="AC19" s="3" t="s">
        <v>60</v>
      </c>
      <c r="AD19" s="3" t="s">
        <v>61</v>
      </c>
      <c r="AE19" s="3" t="s">
        <v>62</v>
      </c>
      <c r="AF19" s="3">
        <v>0</v>
      </c>
      <c r="AG19" s="3" t="s">
        <v>59</v>
      </c>
      <c r="AH19" s="3" t="s">
        <v>59</v>
      </c>
      <c r="AI19" s="3" t="s">
        <v>59</v>
      </c>
      <c r="AJ19" s="3">
        <v>0</v>
      </c>
      <c r="AK19" s="3">
        <v>-1</v>
      </c>
      <c r="AL19" s="3">
        <v>-1</v>
      </c>
      <c r="AM19" s="3">
        <v>-1</v>
      </c>
      <c r="AN19" s="3">
        <v>-1</v>
      </c>
      <c r="AO19" s="3">
        <v>-1</v>
      </c>
      <c r="AP19" s="3">
        <v>-1</v>
      </c>
    </row>
    <row r="20" spans="1:42" x14ac:dyDescent="0.25">
      <c r="A20" s="3">
        <v>18</v>
      </c>
      <c r="B20" s="3" t="str">
        <f>VLOOKUP(E20,[1]recipe!$A$2:$D$500,3,FALSE)</f>
        <v>!!FOOD_PICODEGALLO</v>
      </c>
      <c r="C20" s="3" t="s">
        <v>866</v>
      </c>
      <c r="D20" s="3" t="s">
        <v>56</v>
      </c>
      <c r="E20" s="3">
        <v>97</v>
      </c>
      <c r="F20" s="3">
        <v>97</v>
      </c>
      <c r="G20" s="3">
        <v>1018</v>
      </c>
      <c r="H20" s="3" t="str">
        <f>VLOOKUP(G20,[1]building!$A$2:$D$351,3,FALSE)</f>
        <v>!!BLDG_NAME_KK</v>
      </c>
      <c r="I20" s="3">
        <v>3</v>
      </c>
      <c r="J20" s="3">
        <v>1</v>
      </c>
      <c r="K20" s="3">
        <v>10</v>
      </c>
      <c r="L20" s="3">
        <v>8</v>
      </c>
      <c r="M20" s="3">
        <v>12</v>
      </c>
      <c r="N20" s="3">
        <v>-1</v>
      </c>
      <c r="O20" s="3">
        <v>-1</v>
      </c>
      <c r="P20" s="3">
        <v>-1</v>
      </c>
      <c r="Q20" s="3">
        <v>5</v>
      </c>
      <c r="R20" s="3">
        <v>2</v>
      </c>
      <c r="S20" s="3">
        <v>5</v>
      </c>
      <c r="T20" s="3">
        <v>-1</v>
      </c>
      <c r="U20" s="3">
        <v>-1</v>
      </c>
      <c r="V20" s="3">
        <v>-1</v>
      </c>
      <c r="W20" s="3">
        <v>300</v>
      </c>
      <c r="X20" s="3" t="s">
        <v>57</v>
      </c>
      <c r="Y20" s="3" t="s">
        <v>58</v>
      </c>
      <c r="Z20" s="3">
        <v>1</v>
      </c>
      <c r="AA20" s="3" t="s">
        <v>866</v>
      </c>
      <c r="AB20" s="3">
        <v>10</v>
      </c>
      <c r="AC20" s="3" t="s">
        <v>60</v>
      </c>
      <c r="AD20" s="3" t="s">
        <v>61</v>
      </c>
      <c r="AE20" s="3" t="s">
        <v>62</v>
      </c>
      <c r="AF20" s="3">
        <v>0</v>
      </c>
      <c r="AG20" s="3" t="s">
        <v>59</v>
      </c>
      <c r="AH20" s="3" t="s">
        <v>59</v>
      </c>
      <c r="AI20" s="3" t="s">
        <v>59</v>
      </c>
      <c r="AJ20" s="3">
        <v>0</v>
      </c>
      <c r="AK20" s="3">
        <v>-1</v>
      </c>
      <c r="AL20" s="3">
        <v>-1</v>
      </c>
      <c r="AM20" s="3">
        <v>-1</v>
      </c>
      <c r="AN20" s="3">
        <v>-1</v>
      </c>
      <c r="AO20" s="3">
        <v>-1</v>
      </c>
      <c r="AP20" s="3">
        <v>-1</v>
      </c>
    </row>
    <row r="21" spans="1:42" x14ac:dyDescent="0.25">
      <c r="A21" s="3">
        <v>19</v>
      </c>
      <c r="B21" s="3" t="str">
        <f>VLOOKUP(E21,[1]recipe!$A$2:$D$500,3,FALSE)</f>
        <v>!!FOOD_PIPSQUEAKPATTY</v>
      </c>
      <c r="C21" t="s">
        <v>987</v>
      </c>
      <c r="D21" t="s">
        <v>56</v>
      </c>
      <c r="E21" s="2">
        <v>99</v>
      </c>
      <c r="F21" s="2">
        <v>99</v>
      </c>
      <c r="G21" s="2">
        <v>1018</v>
      </c>
      <c r="H21" s="3" t="str">
        <f>VLOOKUP(G21,[1]building!$A$2:$D$351,3,FALSE)</f>
        <v>!!BLDG_NAME_KK</v>
      </c>
      <c r="I21" s="2">
        <v>1</v>
      </c>
      <c r="J21" s="2">
        <v>2</v>
      </c>
      <c r="K21" s="3">
        <v>6</v>
      </c>
      <c r="L21" s="3">
        <v>8</v>
      </c>
      <c r="M21" s="3">
        <v>90</v>
      </c>
      <c r="N21" s="3">
        <v>-1</v>
      </c>
      <c r="O21" s="3">
        <v>-1</v>
      </c>
      <c r="P21" s="3">
        <v>-1</v>
      </c>
      <c r="Q21" s="3">
        <v>1</v>
      </c>
      <c r="R21" s="3">
        <v>1</v>
      </c>
      <c r="S21" s="3">
        <v>1</v>
      </c>
      <c r="T21" s="3">
        <v>-1</v>
      </c>
      <c r="U21" s="3">
        <v>-1</v>
      </c>
      <c r="V21" s="3">
        <v>-1</v>
      </c>
      <c r="W21">
        <v>120</v>
      </c>
      <c r="X21" t="s">
        <v>779</v>
      </c>
      <c r="Y21" t="s">
        <v>780</v>
      </c>
      <c r="Z21">
        <v>1</v>
      </c>
      <c r="AA21" t="s">
        <v>987</v>
      </c>
      <c r="AB21">
        <v>10</v>
      </c>
      <c r="AC21" s="3" t="s">
        <v>59</v>
      </c>
      <c r="AD21" s="3" t="s">
        <v>59</v>
      </c>
      <c r="AE21" s="3" t="s">
        <v>59</v>
      </c>
      <c r="AF21" s="3">
        <v>0</v>
      </c>
      <c r="AG21" t="s">
        <v>842</v>
      </c>
      <c r="AH21" t="s">
        <v>843</v>
      </c>
      <c r="AI21" t="s">
        <v>843</v>
      </c>
      <c r="AJ21" s="3">
        <v>0</v>
      </c>
      <c r="AK21" s="3">
        <v>-1</v>
      </c>
      <c r="AL21" s="3">
        <v>-1</v>
      </c>
      <c r="AM21" s="3">
        <v>-1</v>
      </c>
      <c r="AN21" s="3">
        <v>-1</v>
      </c>
      <c r="AO21" s="3">
        <v>-1</v>
      </c>
      <c r="AP21" s="3">
        <v>-1</v>
      </c>
    </row>
    <row r="22" spans="1:42" x14ac:dyDescent="0.25">
      <c r="A22" s="3">
        <v>20</v>
      </c>
      <c r="B22" s="3" t="str">
        <f>VLOOKUP(E22,[1]recipe!$A$2:$D$500,3,FALSE)</f>
        <v>!!FOOD_MUSTARD</v>
      </c>
      <c r="C22" t="s">
        <v>996</v>
      </c>
      <c r="D22" t="s">
        <v>51</v>
      </c>
      <c r="E22" s="2">
        <v>9020</v>
      </c>
      <c r="F22" s="2">
        <v>9020</v>
      </c>
      <c r="G22" s="2">
        <v>1018</v>
      </c>
      <c r="H22" s="3" t="str">
        <f>VLOOKUP(G22,[1]building!$A$2:$D$351,3,FALSE)</f>
        <v>!!BLDG_NAME_KK</v>
      </c>
      <c r="I22" s="2">
        <v>5</v>
      </c>
      <c r="J22" s="2">
        <v>1</v>
      </c>
      <c r="K22">
        <v>9003</v>
      </c>
      <c r="L22">
        <v>9005</v>
      </c>
      <c r="M22">
        <v>9008</v>
      </c>
      <c r="N22">
        <v>9011</v>
      </c>
      <c r="O22">
        <v>9007</v>
      </c>
      <c r="P22">
        <v>9006</v>
      </c>
      <c r="Q22" s="2">
        <v>1</v>
      </c>
      <c r="R22" s="2">
        <v>1</v>
      </c>
      <c r="S22" s="2">
        <v>1</v>
      </c>
      <c r="T22" s="2">
        <v>1</v>
      </c>
      <c r="U22" s="2">
        <v>1</v>
      </c>
      <c r="V22" s="2">
        <v>1</v>
      </c>
      <c r="W22" s="2">
        <v>3600</v>
      </c>
      <c r="X22" t="s">
        <v>57</v>
      </c>
      <c r="Y22" t="s">
        <v>58</v>
      </c>
      <c r="Z22" s="2">
        <v>1</v>
      </c>
      <c r="AA22" t="s">
        <v>996</v>
      </c>
      <c r="AB22" s="2">
        <v>10</v>
      </c>
      <c r="AC22" s="3" t="s">
        <v>59</v>
      </c>
      <c r="AD22" s="3" t="s">
        <v>59</v>
      </c>
      <c r="AE22" s="3" t="s">
        <v>59</v>
      </c>
      <c r="AF22">
        <v>0</v>
      </c>
      <c r="AG22" s="3" t="s">
        <v>59</v>
      </c>
      <c r="AH22" s="3" t="s">
        <v>59</v>
      </c>
      <c r="AI22" s="3" t="s">
        <v>59</v>
      </c>
      <c r="AJ22">
        <v>1</v>
      </c>
      <c r="AK22" s="3">
        <v>-1</v>
      </c>
      <c r="AL22" s="3">
        <v>-1</v>
      </c>
      <c r="AM22" s="3">
        <v>-1</v>
      </c>
      <c r="AN22" s="3">
        <v>-1</v>
      </c>
      <c r="AO22" s="3">
        <v>-1</v>
      </c>
      <c r="AP22" s="3">
        <v>-1</v>
      </c>
    </row>
    <row r="23" spans="1:42" x14ac:dyDescent="0.25">
      <c r="A23" s="3">
        <v>21</v>
      </c>
      <c r="B23" s="3" t="str">
        <f>VLOOKUP(E23,[1]recipe!$A$2:$D$500,3,FALSE)</f>
        <v>!!FOOD_ROASTED_CHESTNUT</v>
      </c>
      <c r="C23" t="s">
        <v>352</v>
      </c>
      <c r="D23" t="s">
        <v>56</v>
      </c>
      <c r="E23" s="2">
        <v>9102</v>
      </c>
      <c r="F23" s="2">
        <v>9102</v>
      </c>
      <c r="G23" s="2">
        <v>1018</v>
      </c>
      <c r="H23" s="3" t="str">
        <f>VLOOKUP(G23,[1]building!$A$2:$D$351,3,FALSE)</f>
        <v>!!BLDG_NAME_KK</v>
      </c>
      <c r="I23" s="2">
        <v>1</v>
      </c>
      <c r="J23" s="2">
        <v>1</v>
      </c>
      <c r="K23" s="3">
        <v>10010</v>
      </c>
      <c r="L23" s="3">
        <v>-1</v>
      </c>
      <c r="M23" s="3">
        <v>-1</v>
      </c>
      <c r="N23" s="3">
        <v>-1</v>
      </c>
      <c r="O23" s="3">
        <v>-1</v>
      </c>
      <c r="P23" s="3">
        <v>-1</v>
      </c>
      <c r="Q23" s="2">
        <v>3</v>
      </c>
      <c r="R23" s="3">
        <v>-1</v>
      </c>
      <c r="S23" s="3">
        <v>-1</v>
      </c>
      <c r="T23" s="3">
        <v>-1</v>
      </c>
      <c r="U23" s="3">
        <v>-1</v>
      </c>
      <c r="V23" s="3">
        <v>-1</v>
      </c>
      <c r="W23" s="2">
        <v>3600</v>
      </c>
      <c r="X23" t="s">
        <v>57</v>
      </c>
      <c r="Y23" t="s">
        <v>790</v>
      </c>
      <c r="Z23" s="2">
        <v>1</v>
      </c>
      <c r="AA23" t="s">
        <v>352</v>
      </c>
      <c r="AB23" s="2">
        <v>10</v>
      </c>
      <c r="AC23" s="3" t="s">
        <v>59</v>
      </c>
      <c r="AD23" s="3" t="s">
        <v>59</v>
      </c>
      <c r="AE23" s="3" t="s">
        <v>59</v>
      </c>
      <c r="AF23">
        <v>0</v>
      </c>
      <c r="AG23" s="3" t="s">
        <v>59</v>
      </c>
      <c r="AH23" s="3" t="s">
        <v>59</v>
      </c>
      <c r="AI23" s="3" t="s">
        <v>59</v>
      </c>
      <c r="AJ23">
        <v>1</v>
      </c>
      <c r="AK23" s="3">
        <v>-1</v>
      </c>
      <c r="AL23" s="3">
        <v>-1</v>
      </c>
      <c r="AM23" s="3">
        <v>-1</v>
      </c>
      <c r="AN23" s="3">
        <v>-1</v>
      </c>
      <c r="AO23" s="3">
        <v>-1</v>
      </c>
      <c r="AP23" s="3">
        <v>-1</v>
      </c>
    </row>
    <row r="24" spans="1:42" x14ac:dyDescent="0.25">
      <c r="A24" s="3">
        <v>22</v>
      </c>
      <c r="B24" s="3" t="str">
        <f>VLOOKUP(E24,[1]recipe!$A$2:$D$500,3,FALSE)</f>
        <v>!!FOOD_GINGERBREAD_ELF</v>
      </c>
      <c r="C24" t="s">
        <v>409</v>
      </c>
      <c r="D24" t="s">
        <v>51</v>
      </c>
      <c r="E24" s="2">
        <v>9121</v>
      </c>
      <c r="F24" s="2">
        <v>9121</v>
      </c>
      <c r="G24" s="2">
        <v>1018</v>
      </c>
      <c r="H24" s="3" t="str">
        <f>VLOOKUP(G24,[1]building!$A$2:$D$351,3,FALSE)</f>
        <v>!!BLDG_NAME_KK</v>
      </c>
      <c r="I24" s="2">
        <v>6</v>
      </c>
      <c r="J24" s="2">
        <v>1</v>
      </c>
      <c r="K24" s="3">
        <v>9106</v>
      </c>
      <c r="L24" s="3">
        <v>9107</v>
      </c>
      <c r="M24" s="3">
        <v>9117</v>
      </c>
      <c r="N24" s="3">
        <v>9111</v>
      </c>
      <c r="O24" s="3">
        <v>9108</v>
      </c>
      <c r="P24" s="3">
        <v>9112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2">
        <v>21600</v>
      </c>
      <c r="X24" t="s">
        <v>52</v>
      </c>
      <c r="Y24" t="s">
        <v>53</v>
      </c>
      <c r="Z24" s="2">
        <v>1</v>
      </c>
      <c r="AA24" t="s">
        <v>409</v>
      </c>
      <c r="AB24" s="2">
        <v>10</v>
      </c>
      <c r="AC24" s="3" t="s">
        <v>59</v>
      </c>
      <c r="AD24" s="3" t="s">
        <v>59</v>
      </c>
      <c r="AE24" s="3" t="s">
        <v>59</v>
      </c>
      <c r="AF24">
        <v>1</v>
      </c>
      <c r="AG24" s="3" t="s">
        <v>59</v>
      </c>
      <c r="AH24" s="3" t="s">
        <v>59</v>
      </c>
      <c r="AI24" s="3" t="s">
        <v>59</v>
      </c>
      <c r="AJ24">
        <v>1</v>
      </c>
      <c r="AK24" s="3">
        <v>-1</v>
      </c>
      <c r="AL24" s="3">
        <v>-1</v>
      </c>
      <c r="AM24" s="3">
        <v>-1</v>
      </c>
      <c r="AN24" s="3">
        <v>-1</v>
      </c>
      <c r="AO24" s="3">
        <v>-1</v>
      </c>
      <c r="AP24" s="3">
        <v>-1</v>
      </c>
    </row>
    <row r="25" spans="1:42" x14ac:dyDescent="0.25">
      <c r="A25" s="3">
        <v>23</v>
      </c>
      <c r="B25" s="3" t="str">
        <f>VLOOKUP(E25,[1]recipe!$A$2:$D$500,3,FALSE)</f>
        <v>!!FOOD_POPCORN</v>
      </c>
      <c r="C25" t="s">
        <v>436</v>
      </c>
      <c r="D25" t="s">
        <v>56</v>
      </c>
      <c r="E25" s="2">
        <v>9202</v>
      </c>
      <c r="F25" s="2">
        <v>9202</v>
      </c>
      <c r="G25" s="2">
        <v>1018</v>
      </c>
      <c r="H25" s="3" t="str">
        <f>VLOOKUP(G25,[1]building!$A$2:$D$351,3,FALSE)</f>
        <v>!!BLDG_NAME_KK</v>
      </c>
      <c r="I25" s="2">
        <v>1</v>
      </c>
      <c r="J25" s="2">
        <v>1</v>
      </c>
      <c r="K25" s="3">
        <v>9200</v>
      </c>
      <c r="L25" s="3">
        <v>9008</v>
      </c>
      <c r="M25" s="3">
        <v>-1</v>
      </c>
      <c r="N25" s="3">
        <v>-1</v>
      </c>
      <c r="O25" s="3">
        <v>-1</v>
      </c>
      <c r="P25" s="3">
        <v>-1</v>
      </c>
      <c r="Q25" s="3">
        <v>1</v>
      </c>
      <c r="R25" s="3">
        <v>2</v>
      </c>
      <c r="S25" s="3">
        <v>-1</v>
      </c>
      <c r="T25" s="3">
        <v>-1</v>
      </c>
      <c r="U25" s="3">
        <v>-1</v>
      </c>
      <c r="V25" s="3">
        <v>-1</v>
      </c>
      <c r="W25">
        <v>300</v>
      </c>
      <c r="X25" t="s">
        <v>52</v>
      </c>
      <c r="Y25" t="s">
        <v>53</v>
      </c>
      <c r="Z25">
        <v>1</v>
      </c>
      <c r="AA25" t="s">
        <v>436</v>
      </c>
      <c r="AB25">
        <v>10</v>
      </c>
      <c r="AC25" s="3" t="s">
        <v>59</v>
      </c>
      <c r="AD25" s="3" t="s">
        <v>59</v>
      </c>
      <c r="AE25" s="3" t="s">
        <v>59</v>
      </c>
      <c r="AF25">
        <v>1</v>
      </c>
      <c r="AG25" s="3" t="s">
        <v>59</v>
      </c>
      <c r="AH25" s="3" t="s">
        <v>59</v>
      </c>
      <c r="AI25" s="3" t="s">
        <v>59</v>
      </c>
      <c r="AJ25">
        <v>1</v>
      </c>
      <c r="AK25" s="3">
        <v>-1</v>
      </c>
      <c r="AL25" s="3">
        <v>-1</v>
      </c>
      <c r="AM25" s="3">
        <v>-1</v>
      </c>
      <c r="AN25" s="3">
        <v>-1</v>
      </c>
      <c r="AO25" s="3">
        <v>-1</v>
      </c>
      <c r="AP25" s="3">
        <v>-1</v>
      </c>
    </row>
    <row r="26" spans="1:42" x14ac:dyDescent="0.25">
      <c r="A26" s="3">
        <v>24</v>
      </c>
      <c r="B26" s="3" t="str">
        <f>VLOOKUP(E26,[1]recipe!$A$2:$D$500,3,FALSE)</f>
        <v>!!INGREDIENT_BBQ_SAUCE</v>
      </c>
      <c r="C26" s="3" t="s">
        <v>804</v>
      </c>
      <c r="D26" s="3" t="s">
        <v>51</v>
      </c>
      <c r="E26" s="3">
        <v>9002</v>
      </c>
      <c r="F26" s="3">
        <v>9002</v>
      </c>
      <c r="G26" s="3">
        <v>1021</v>
      </c>
      <c r="H26" s="3" t="str">
        <f>VLOOKUP(G26,[1]building!$A$2:$D$351,3,FALSE)</f>
        <v>!!BLDG_NAME_BARGN</v>
      </c>
      <c r="I26" s="3">
        <v>1</v>
      </c>
      <c r="J26" s="3">
        <v>1</v>
      </c>
      <c r="K26" s="3">
        <v>3</v>
      </c>
      <c r="L26" s="3">
        <v>-1</v>
      </c>
      <c r="M26" s="3">
        <v>-1</v>
      </c>
      <c r="N26" s="3">
        <v>-1</v>
      </c>
      <c r="O26" s="3">
        <v>-1</v>
      </c>
      <c r="P26" s="3">
        <v>-1</v>
      </c>
      <c r="Q26" s="3">
        <v>10</v>
      </c>
      <c r="R26" s="3">
        <v>-1</v>
      </c>
      <c r="S26" s="3">
        <v>-1</v>
      </c>
      <c r="T26" s="3">
        <v>-1</v>
      </c>
      <c r="U26" s="3">
        <v>-1</v>
      </c>
      <c r="V26" s="3">
        <v>-1</v>
      </c>
      <c r="W26" s="3">
        <v>30</v>
      </c>
      <c r="X26" s="3" t="s">
        <v>52</v>
      </c>
      <c r="Y26" s="3" t="s">
        <v>53</v>
      </c>
      <c r="Z26" s="3">
        <v>1</v>
      </c>
      <c r="AA26" s="3" t="s">
        <v>804</v>
      </c>
      <c r="AB26" s="3">
        <v>10</v>
      </c>
      <c r="AC26" s="3" t="s">
        <v>59</v>
      </c>
      <c r="AD26" s="3" t="s">
        <v>59</v>
      </c>
      <c r="AE26" s="3" t="s">
        <v>59</v>
      </c>
      <c r="AF26" s="3">
        <v>0</v>
      </c>
      <c r="AG26" s="3" t="s">
        <v>59</v>
      </c>
      <c r="AH26" s="3" t="s">
        <v>59</v>
      </c>
      <c r="AI26" s="3" t="s">
        <v>59</v>
      </c>
      <c r="AJ26" s="3">
        <v>0</v>
      </c>
      <c r="AK26" s="3">
        <v>-1</v>
      </c>
      <c r="AL26" s="3">
        <v>-1</v>
      </c>
      <c r="AM26" s="3">
        <v>-1</v>
      </c>
      <c r="AN26" s="3">
        <v>-1</v>
      </c>
      <c r="AO26" s="3">
        <v>-1</v>
      </c>
      <c r="AP26" s="3">
        <v>-1</v>
      </c>
    </row>
    <row r="27" spans="1:42" x14ac:dyDescent="0.25">
      <c r="A27" s="3">
        <v>25</v>
      </c>
      <c r="B27" s="3" t="str">
        <f>VLOOKUP(E27,[1]recipe!$A$2:$D$500,3,FALSE)</f>
        <v>!!INGREDIENT_DISTILLED_VINEGAR</v>
      </c>
      <c r="C27" s="3" t="s">
        <v>804</v>
      </c>
      <c r="D27" s="3" t="s">
        <v>51</v>
      </c>
      <c r="E27" s="3">
        <v>9003</v>
      </c>
      <c r="F27" s="3">
        <v>9003</v>
      </c>
      <c r="G27" s="3">
        <v>1021</v>
      </c>
      <c r="H27" s="3" t="str">
        <f>VLOOKUP(G27,[1]building!$A$2:$D$351,3,FALSE)</f>
        <v>!!BLDG_NAME_BARGN</v>
      </c>
      <c r="I27" s="3">
        <v>1</v>
      </c>
      <c r="J27" s="3">
        <v>1</v>
      </c>
      <c r="K27" s="3">
        <v>3</v>
      </c>
      <c r="L27" s="3">
        <v>-1</v>
      </c>
      <c r="M27" s="3">
        <v>-1</v>
      </c>
      <c r="N27" s="3">
        <v>-1</v>
      </c>
      <c r="O27" s="3">
        <v>-1</v>
      </c>
      <c r="P27" s="3">
        <v>-1</v>
      </c>
      <c r="Q27" s="3">
        <v>10</v>
      </c>
      <c r="R27" s="3">
        <v>-1</v>
      </c>
      <c r="S27" s="3">
        <v>-1</v>
      </c>
      <c r="T27" s="3">
        <v>-1</v>
      </c>
      <c r="U27" s="3">
        <v>-1</v>
      </c>
      <c r="V27" s="3">
        <v>-1</v>
      </c>
      <c r="W27" s="3">
        <v>30</v>
      </c>
      <c r="X27" s="3" t="s">
        <v>52</v>
      </c>
      <c r="Y27" s="3" t="s">
        <v>53</v>
      </c>
      <c r="Z27" s="3">
        <v>1</v>
      </c>
      <c r="AA27" s="3" t="s">
        <v>804</v>
      </c>
      <c r="AB27" s="3">
        <v>10</v>
      </c>
      <c r="AC27" s="3" t="s">
        <v>59</v>
      </c>
      <c r="AD27" s="3" t="s">
        <v>59</v>
      </c>
      <c r="AE27" s="3" t="s">
        <v>59</v>
      </c>
      <c r="AF27" s="3">
        <v>0</v>
      </c>
      <c r="AG27" s="3" t="s">
        <v>59</v>
      </c>
      <c r="AH27" s="3" t="s">
        <v>59</v>
      </c>
      <c r="AI27" s="3" t="s">
        <v>59</v>
      </c>
      <c r="AJ27" s="3">
        <v>0</v>
      </c>
      <c r="AK27" s="3">
        <v>-1</v>
      </c>
      <c r="AL27" s="3">
        <v>-1</v>
      </c>
      <c r="AM27" s="3">
        <v>-1</v>
      </c>
      <c r="AN27" s="3">
        <v>-1</v>
      </c>
      <c r="AO27" s="3">
        <v>-1</v>
      </c>
      <c r="AP27" s="3">
        <v>-1</v>
      </c>
    </row>
    <row r="28" spans="1:42" x14ac:dyDescent="0.25">
      <c r="A28" s="3">
        <v>26</v>
      </c>
      <c r="B28" s="3" t="str">
        <f>VLOOKUP(E28,[1]recipe!$A$2:$D$500,3,FALSE)</f>
        <v>!!INGREDIENT_DRIFTWOOD</v>
      </c>
      <c r="C28" s="3" t="s">
        <v>804</v>
      </c>
      <c r="D28" s="3" t="s">
        <v>51</v>
      </c>
      <c r="E28" s="3">
        <v>9004</v>
      </c>
      <c r="F28" s="3">
        <v>9004</v>
      </c>
      <c r="G28" s="3">
        <v>1021</v>
      </c>
      <c r="H28" s="3" t="str">
        <f>VLOOKUP(G28,[1]building!$A$2:$D$351,3,FALSE)</f>
        <v>!!BLDG_NAME_BARGN</v>
      </c>
      <c r="I28" s="3">
        <v>1</v>
      </c>
      <c r="J28" s="3">
        <v>1</v>
      </c>
      <c r="K28" s="3">
        <v>3</v>
      </c>
      <c r="L28" s="3">
        <v>-1</v>
      </c>
      <c r="M28" s="3">
        <v>-1</v>
      </c>
      <c r="N28" s="3">
        <v>-1</v>
      </c>
      <c r="O28" s="3">
        <v>-1</v>
      </c>
      <c r="P28" s="3">
        <v>-1</v>
      </c>
      <c r="Q28" s="3">
        <v>10</v>
      </c>
      <c r="R28" s="3">
        <v>-1</v>
      </c>
      <c r="S28" s="3">
        <v>-1</v>
      </c>
      <c r="T28" s="3">
        <v>-1</v>
      </c>
      <c r="U28" s="3">
        <v>-1</v>
      </c>
      <c r="V28" s="3">
        <v>-1</v>
      </c>
      <c r="W28" s="3">
        <v>30</v>
      </c>
      <c r="X28" s="3" t="s">
        <v>52</v>
      </c>
      <c r="Y28" s="3" t="s">
        <v>53</v>
      </c>
      <c r="Z28" s="3">
        <v>1</v>
      </c>
      <c r="AA28" s="3" t="s">
        <v>804</v>
      </c>
      <c r="AB28" s="3">
        <v>10</v>
      </c>
      <c r="AC28" s="3" t="s">
        <v>59</v>
      </c>
      <c r="AD28" s="3" t="s">
        <v>59</v>
      </c>
      <c r="AE28" s="3" t="s">
        <v>59</v>
      </c>
      <c r="AF28" s="3">
        <v>0</v>
      </c>
      <c r="AG28" s="3" t="s">
        <v>59</v>
      </c>
      <c r="AH28" s="3" t="s">
        <v>59</v>
      </c>
      <c r="AI28" s="3" t="s">
        <v>59</v>
      </c>
      <c r="AJ28" s="3">
        <v>0</v>
      </c>
      <c r="AK28" s="3">
        <v>-1</v>
      </c>
      <c r="AL28" s="3">
        <v>-1</v>
      </c>
      <c r="AM28" s="3">
        <v>-1</v>
      </c>
      <c r="AN28" s="3">
        <v>-1</v>
      </c>
      <c r="AO28" s="3">
        <v>-1</v>
      </c>
      <c r="AP28" s="3">
        <v>-1</v>
      </c>
    </row>
    <row r="29" spans="1:42" x14ac:dyDescent="0.25">
      <c r="A29" s="3">
        <v>27</v>
      </c>
      <c r="B29" s="3" t="str">
        <f>VLOOKUP(E29,[1]recipe!$A$2:$D$500,3,FALSE)</f>
        <v>!!INGREDIENT_MUSTARD_SEED</v>
      </c>
      <c r="C29" t="s">
        <v>304</v>
      </c>
      <c r="D29" t="s">
        <v>51</v>
      </c>
      <c r="E29" s="2">
        <v>9005</v>
      </c>
      <c r="F29" s="2">
        <v>9005</v>
      </c>
      <c r="G29" s="2">
        <v>1021</v>
      </c>
      <c r="H29" s="3" t="str">
        <f>VLOOKUP(G29,[1]building!$A$2:$D$351,3,FALSE)</f>
        <v>!!BLDG_NAME_BARGN</v>
      </c>
      <c r="I29" s="2">
        <v>1</v>
      </c>
      <c r="J29" s="2">
        <v>1</v>
      </c>
      <c r="K29" s="3">
        <v>3</v>
      </c>
      <c r="L29" s="3">
        <v>-1</v>
      </c>
      <c r="M29" s="3">
        <v>-1</v>
      </c>
      <c r="N29" s="3">
        <v>-1</v>
      </c>
      <c r="O29" s="3">
        <v>-1</v>
      </c>
      <c r="P29" s="3">
        <v>-1</v>
      </c>
      <c r="Q29" s="3">
        <v>10</v>
      </c>
      <c r="R29" s="3">
        <v>-1</v>
      </c>
      <c r="S29" s="3">
        <v>-1</v>
      </c>
      <c r="T29" s="3">
        <v>-1</v>
      </c>
      <c r="U29" s="3">
        <v>-1</v>
      </c>
      <c r="V29" s="3">
        <v>-1</v>
      </c>
      <c r="W29">
        <v>0</v>
      </c>
      <c r="X29" t="s">
        <v>52</v>
      </c>
      <c r="Y29" t="s">
        <v>53</v>
      </c>
      <c r="Z29">
        <v>1</v>
      </c>
      <c r="AA29" t="s">
        <v>804</v>
      </c>
      <c r="AB29">
        <v>10</v>
      </c>
      <c r="AC29" s="3" t="s">
        <v>59</v>
      </c>
      <c r="AD29" s="3" t="s">
        <v>59</v>
      </c>
      <c r="AE29" s="3" t="s">
        <v>59</v>
      </c>
      <c r="AF29" s="3">
        <v>0</v>
      </c>
      <c r="AG29" s="3" t="s">
        <v>59</v>
      </c>
      <c r="AH29" s="3" t="s">
        <v>59</v>
      </c>
      <c r="AI29" s="3" t="s">
        <v>59</v>
      </c>
      <c r="AJ29">
        <v>1</v>
      </c>
      <c r="AK29" s="3">
        <v>-1</v>
      </c>
      <c r="AL29" s="3">
        <v>-1</v>
      </c>
      <c r="AM29" s="3">
        <v>-1</v>
      </c>
      <c r="AN29" s="3">
        <v>-1</v>
      </c>
      <c r="AO29" s="3">
        <v>-1</v>
      </c>
      <c r="AP29" s="3">
        <v>-1</v>
      </c>
    </row>
    <row r="30" spans="1:42" x14ac:dyDescent="0.25">
      <c r="A30" s="3">
        <v>28</v>
      </c>
      <c r="B30" s="3" t="str">
        <f>VLOOKUP(E30,[1]recipe!$A$2:$D$500,3,FALSE)</f>
        <v>!!INGREDIENT_NATURAL_FLAVORS</v>
      </c>
      <c r="C30" s="3" t="s">
        <v>804</v>
      </c>
      <c r="D30" s="3" t="s">
        <v>51</v>
      </c>
      <c r="E30" s="3">
        <v>9006</v>
      </c>
      <c r="F30" s="3">
        <v>9006</v>
      </c>
      <c r="G30" s="3">
        <v>1021</v>
      </c>
      <c r="H30" s="3" t="str">
        <f>VLOOKUP(G30,[1]building!$A$2:$D$351,3,FALSE)</f>
        <v>!!BLDG_NAME_BARGN</v>
      </c>
      <c r="I30" s="3">
        <v>1</v>
      </c>
      <c r="J30" s="3">
        <v>1</v>
      </c>
      <c r="K30" s="3">
        <v>3</v>
      </c>
      <c r="L30" s="3">
        <v>-1</v>
      </c>
      <c r="M30" s="3">
        <v>-1</v>
      </c>
      <c r="N30" s="3">
        <v>-1</v>
      </c>
      <c r="O30" s="3">
        <v>-1</v>
      </c>
      <c r="P30" s="3">
        <v>-1</v>
      </c>
      <c r="Q30" s="3">
        <v>10</v>
      </c>
      <c r="R30" s="3">
        <v>-1</v>
      </c>
      <c r="S30" s="3">
        <v>-1</v>
      </c>
      <c r="T30" s="3">
        <v>-1</v>
      </c>
      <c r="U30" s="3">
        <v>-1</v>
      </c>
      <c r="V30" s="3">
        <v>-1</v>
      </c>
      <c r="W30" s="3">
        <v>30</v>
      </c>
      <c r="X30" s="3" t="s">
        <v>52</v>
      </c>
      <c r="Y30" s="3" t="s">
        <v>53</v>
      </c>
      <c r="Z30" s="3">
        <v>1</v>
      </c>
      <c r="AA30" s="3" t="s">
        <v>804</v>
      </c>
      <c r="AB30" s="3">
        <v>10</v>
      </c>
      <c r="AC30" s="3" t="s">
        <v>59</v>
      </c>
      <c r="AD30" s="3" t="s">
        <v>59</v>
      </c>
      <c r="AE30" s="3" t="s">
        <v>59</v>
      </c>
      <c r="AF30" s="3">
        <v>0</v>
      </c>
      <c r="AG30" s="3" t="s">
        <v>59</v>
      </c>
      <c r="AH30" s="3" t="s">
        <v>59</v>
      </c>
      <c r="AI30" s="3" t="s">
        <v>59</v>
      </c>
      <c r="AJ30" s="3">
        <v>0</v>
      </c>
      <c r="AK30" s="3">
        <v>-1</v>
      </c>
      <c r="AL30" s="3">
        <v>-1</v>
      </c>
      <c r="AM30" s="3">
        <v>-1</v>
      </c>
      <c r="AN30" s="3">
        <v>-1</v>
      </c>
      <c r="AO30" s="3">
        <v>-1</v>
      </c>
      <c r="AP30" s="3">
        <v>-1</v>
      </c>
    </row>
    <row r="31" spans="1:42" x14ac:dyDescent="0.25">
      <c r="A31" s="3">
        <v>29</v>
      </c>
      <c r="B31" s="3" t="str">
        <f>VLOOKUP(E31,[1]recipe!$A$2:$D$500,3,FALSE)</f>
        <v>!!INGREDIENT_PAPRIKA</v>
      </c>
      <c r="C31" s="3" t="s">
        <v>804</v>
      </c>
      <c r="D31" s="3" t="s">
        <v>51</v>
      </c>
      <c r="E31" s="3">
        <v>9007</v>
      </c>
      <c r="F31" s="3">
        <v>9007</v>
      </c>
      <c r="G31" s="3">
        <v>1021</v>
      </c>
      <c r="H31" s="3" t="str">
        <f>VLOOKUP(G31,[1]building!$A$2:$D$351,3,FALSE)</f>
        <v>!!BLDG_NAME_BARGN</v>
      </c>
      <c r="I31" s="3">
        <v>1</v>
      </c>
      <c r="J31" s="3">
        <v>1</v>
      </c>
      <c r="K31" s="3">
        <v>3</v>
      </c>
      <c r="L31" s="3">
        <v>-1</v>
      </c>
      <c r="M31" s="3">
        <v>-1</v>
      </c>
      <c r="N31" s="3">
        <v>-1</v>
      </c>
      <c r="O31" s="3">
        <v>-1</v>
      </c>
      <c r="P31" s="3">
        <v>-1</v>
      </c>
      <c r="Q31" s="3">
        <v>10</v>
      </c>
      <c r="R31" s="3">
        <v>-1</v>
      </c>
      <c r="S31" s="3">
        <v>-1</v>
      </c>
      <c r="T31" s="3">
        <v>-1</v>
      </c>
      <c r="U31" s="3">
        <v>-1</v>
      </c>
      <c r="V31" s="3">
        <v>-1</v>
      </c>
      <c r="W31" s="3">
        <v>30</v>
      </c>
      <c r="X31" s="3" t="s">
        <v>52</v>
      </c>
      <c r="Y31" s="3" t="s">
        <v>53</v>
      </c>
      <c r="Z31" s="3">
        <v>1</v>
      </c>
      <c r="AA31" s="3" t="s">
        <v>804</v>
      </c>
      <c r="AB31" s="3">
        <v>10</v>
      </c>
      <c r="AC31" s="3" t="s">
        <v>59</v>
      </c>
      <c r="AD31" s="3" t="s">
        <v>59</v>
      </c>
      <c r="AE31" s="3" t="s">
        <v>59</v>
      </c>
      <c r="AF31" s="3">
        <v>0</v>
      </c>
      <c r="AG31" s="3" t="s">
        <v>59</v>
      </c>
      <c r="AH31" s="3" t="s">
        <v>59</v>
      </c>
      <c r="AI31" s="3" t="s">
        <v>59</v>
      </c>
      <c r="AJ31" s="3">
        <v>0</v>
      </c>
      <c r="AK31" s="3">
        <v>-1</v>
      </c>
      <c r="AL31" s="3">
        <v>-1</v>
      </c>
      <c r="AM31" s="3">
        <v>-1</v>
      </c>
      <c r="AN31" s="3">
        <v>-1</v>
      </c>
      <c r="AO31" s="3">
        <v>-1</v>
      </c>
      <c r="AP31" s="3">
        <v>-1</v>
      </c>
    </row>
    <row r="32" spans="1:42" x14ac:dyDescent="0.25">
      <c r="A32" s="3">
        <v>30</v>
      </c>
      <c r="B32" s="3" t="str">
        <f>VLOOKUP(E32,[1]recipe!$A$2:$D$500,3,FALSE)</f>
        <v>!!INGREDIENT_SALT</v>
      </c>
      <c r="C32" s="3" t="s">
        <v>804</v>
      </c>
      <c r="D32" s="3" t="s">
        <v>51</v>
      </c>
      <c r="E32" s="3">
        <v>9008</v>
      </c>
      <c r="F32" s="3">
        <v>9008</v>
      </c>
      <c r="G32" s="3">
        <v>1021</v>
      </c>
      <c r="H32" s="3" t="str">
        <f>VLOOKUP(G32,[1]building!$A$2:$D$351,3,FALSE)</f>
        <v>!!BLDG_NAME_BARGN</v>
      </c>
      <c r="I32" s="3">
        <v>1</v>
      </c>
      <c r="J32" s="3">
        <v>1</v>
      </c>
      <c r="K32" s="3">
        <v>3</v>
      </c>
      <c r="L32" s="3">
        <v>-1</v>
      </c>
      <c r="M32" s="3">
        <v>-1</v>
      </c>
      <c r="N32" s="3">
        <v>-1</v>
      </c>
      <c r="O32" s="3">
        <v>-1</v>
      </c>
      <c r="P32" s="3">
        <v>-1</v>
      </c>
      <c r="Q32" s="3">
        <v>10</v>
      </c>
      <c r="R32" s="3">
        <v>-1</v>
      </c>
      <c r="S32" s="3">
        <v>-1</v>
      </c>
      <c r="T32" s="3">
        <v>-1</v>
      </c>
      <c r="U32" s="3">
        <v>-1</v>
      </c>
      <c r="V32" s="3">
        <v>-1</v>
      </c>
      <c r="W32" s="3">
        <v>30</v>
      </c>
      <c r="X32" s="3" t="s">
        <v>52</v>
      </c>
      <c r="Y32" s="3" t="s">
        <v>53</v>
      </c>
      <c r="Z32" s="3">
        <v>1</v>
      </c>
      <c r="AA32" s="3" t="s">
        <v>804</v>
      </c>
      <c r="AB32" s="3">
        <v>10</v>
      </c>
      <c r="AC32" s="3" t="s">
        <v>59</v>
      </c>
      <c r="AD32" s="3" t="s">
        <v>59</v>
      </c>
      <c r="AE32" s="3" t="s">
        <v>59</v>
      </c>
      <c r="AF32" s="3">
        <v>0</v>
      </c>
      <c r="AG32" s="3" t="s">
        <v>59</v>
      </c>
      <c r="AH32" s="3" t="s">
        <v>59</v>
      </c>
      <c r="AI32" s="3" t="s">
        <v>59</v>
      </c>
      <c r="AJ32" s="3">
        <v>0</v>
      </c>
      <c r="AK32" s="3">
        <v>-1</v>
      </c>
      <c r="AL32" s="3">
        <v>-1</v>
      </c>
      <c r="AM32" s="3">
        <v>-1</v>
      </c>
      <c r="AN32" s="3">
        <v>-1</v>
      </c>
      <c r="AO32" s="3">
        <v>-1</v>
      </c>
      <c r="AP32" s="3">
        <v>-1</v>
      </c>
    </row>
    <row r="33" spans="1:42" x14ac:dyDescent="0.25">
      <c r="A33" s="3">
        <v>31</v>
      </c>
      <c r="B33" s="3" t="str">
        <f>VLOOKUP(E33,[1]recipe!$A$2:$D$500,3,FALSE)</f>
        <v>!!INGREDIENT_SHELLAC</v>
      </c>
      <c r="C33" s="3" t="s">
        <v>804</v>
      </c>
      <c r="D33" s="3" t="s">
        <v>51</v>
      </c>
      <c r="E33" s="3">
        <v>9009</v>
      </c>
      <c r="F33" s="3">
        <v>9009</v>
      </c>
      <c r="G33" s="3">
        <v>1021</v>
      </c>
      <c r="H33" s="3" t="str">
        <f>VLOOKUP(G33,[1]building!$A$2:$D$351,3,FALSE)</f>
        <v>!!BLDG_NAME_BARGN</v>
      </c>
      <c r="I33" s="3">
        <v>1</v>
      </c>
      <c r="J33" s="3">
        <v>1</v>
      </c>
      <c r="K33" s="3">
        <v>3</v>
      </c>
      <c r="L33" s="3">
        <v>-1</v>
      </c>
      <c r="M33" s="3">
        <v>-1</v>
      </c>
      <c r="N33" s="3">
        <v>-1</v>
      </c>
      <c r="O33" s="3">
        <v>-1</v>
      </c>
      <c r="P33" s="3">
        <v>-1</v>
      </c>
      <c r="Q33" s="3">
        <v>10</v>
      </c>
      <c r="R33" s="3">
        <v>-1</v>
      </c>
      <c r="S33" s="3">
        <v>-1</v>
      </c>
      <c r="T33" s="3">
        <v>-1</v>
      </c>
      <c r="U33" s="3">
        <v>-1</v>
      </c>
      <c r="V33" s="3">
        <v>-1</v>
      </c>
      <c r="W33" s="3">
        <v>30</v>
      </c>
      <c r="X33" s="3" t="s">
        <v>52</v>
      </c>
      <c r="Y33" s="3" t="s">
        <v>53</v>
      </c>
      <c r="Z33" s="3">
        <v>1</v>
      </c>
      <c r="AA33" s="3" t="s">
        <v>804</v>
      </c>
      <c r="AB33" s="3">
        <v>10</v>
      </c>
      <c r="AC33" s="3" t="s">
        <v>59</v>
      </c>
      <c r="AD33" s="3" t="s">
        <v>59</v>
      </c>
      <c r="AE33" s="3" t="s">
        <v>59</v>
      </c>
      <c r="AF33" s="3">
        <v>0</v>
      </c>
      <c r="AG33" s="3" t="s">
        <v>59</v>
      </c>
      <c r="AH33" s="3" t="s">
        <v>59</v>
      </c>
      <c r="AI33" s="3" t="s">
        <v>59</v>
      </c>
      <c r="AJ33" s="3">
        <v>0</v>
      </c>
      <c r="AK33" s="3">
        <v>-1</v>
      </c>
      <c r="AL33" s="3">
        <v>-1</v>
      </c>
      <c r="AM33" s="3">
        <v>-1</v>
      </c>
      <c r="AN33" s="3">
        <v>-1</v>
      </c>
      <c r="AO33" s="3">
        <v>-1</v>
      </c>
      <c r="AP33" s="3">
        <v>-1</v>
      </c>
    </row>
    <row r="34" spans="1:42" x14ac:dyDescent="0.25">
      <c r="A34" s="3">
        <v>32</v>
      </c>
      <c r="B34" s="3" t="str">
        <f>VLOOKUP(E34,[1]recipe!$A$2:$D$500,3,FALSE)</f>
        <v>!!INGREDIENT_SPACKLE</v>
      </c>
      <c r="C34" s="3" t="s">
        <v>804</v>
      </c>
      <c r="D34" s="3" t="s">
        <v>51</v>
      </c>
      <c r="E34" s="3">
        <v>9010</v>
      </c>
      <c r="F34" s="3">
        <v>9010</v>
      </c>
      <c r="G34" s="3">
        <v>1021</v>
      </c>
      <c r="H34" s="3" t="str">
        <f>VLOOKUP(G34,[1]building!$A$2:$D$351,3,FALSE)</f>
        <v>!!BLDG_NAME_BARGN</v>
      </c>
      <c r="I34" s="3">
        <v>1</v>
      </c>
      <c r="J34" s="3">
        <v>1</v>
      </c>
      <c r="K34" s="3">
        <v>3</v>
      </c>
      <c r="L34" s="3">
        <v>-1</v>
      </c>
      <c r="M34" s="3">
        <v>-1</v>
      </c>
      <c r="N34" s="3">
        <v>-1</v>
      </c>
      <c r="O34" s="3">
        <v>-1</v>
      </c>
      <c r="P34" s="3">
        <v>-1</v>
      </c>
      <c r="Q34" s="3">
        <v>10</v>
      </c>
      <c r="R34" s="3">
        <v>-1</v>
      </c>
      <c r="S34" s="3">
        <v>-1</v>
      </c>
      <c r="T34" s="3">
        <v>-1</v>
      </c>
      <c r="U34" s="3">
        <v>-1</v>
      </c>
      <c r="V34" s="3">
        <v>-1</v>
      </c>
      <c r="W34" s="3">
        <v>30</v>
      </c>
      <c r="X34" s="3" t="s">
        <v>52</v>
      </c>
      <c r="Y34" s="3" t="s">
        <v>53</v>
      </c>
      <c r="Z34" s="3">
        <v>1</v>
      </c>
      <c r="AA34" s="3" t="s">
        <v>804</v>
      </c>
      <c r="AB34" s="3">
        <v>10</v>
      </c>
      <c r="AC34" s="3" t="s">
        <v>59</v>
      </c>
      <c r="AD34" s="3" t="s">
        <v>59</v>
      </c>
      <c r="AE34" s="3" t="s">
        <v>59</v>
      </c>
      <c r="AF34" s="3">
        <v>0</v>
      </c>
      <c r="AG34" s="3" t="s">
        <v>59</v>
      </c>
      <c r="AH34" s="3" t="s">
        <v>59</v>
      </c>
      <c r="AI34" s="3" t="s">
        <v>59</v>
      </c>
      <c r="AJ34" s="3">
        <v>0</v>
      </c>
      <c r="AK34" s="3">
        <v>-1</v>
      </c>
      <c r="AL34" s="3">
        <v>-1</v>
      </c>
      <c r="AM34" s="3">
        <v>-1</v>
      </c>
      <c r="AN34" s="3">
        <v>-1</v>
      </c>
      <c r="AO34" s="3">
        <v>-1</v>
      </c>
      <c r="AP34" s="3">
        <v>-1</v>
      </c>
    </row>
    <row r="35" spans="1:42" x14ac:dyDescent="0.25">
      <c r="A35" s="3">
        <v>33</v>
      </c>
      <c r="B35" s="3" t="str">
        <f>VLOOKUP(E35,[1]recipe!$A$2:$D$500,3,FALSE)</f>
        <v>!!INGREDIENT_TUMERIC</v>
      </c>
      <c r="C35" s="3" t="s">
        <v>804</v>
      </c>
      <c r="D35" s="3" t="s">
        <v>51</v>
      </c>
      <c r="E35" s="3">
        <v>9011</v>
      </c>
      <c r="F35" s="3">
        <v>9011</v>
      </c>
      <c r="G35" s="3">
        <v>1021</v>
      </c>
      <c r="H35" s="3" t="str">
        <f>VLOOKUP(G35,[1]building!$A$2:$D$351,3,FALSE)</f>
        <v>!!BLDG_NAME_BARGN</v>
      </c>
      <c r="I35" s="3">
        <v>1</v>
      </c>
      <c r="J35" s="3">
        <v>1</v>
      </c>
      <c r="K35" s="3">
        <v>3</v>
      </c>
      <c r="L35" s="3">
        <v>-1</v>
      </c>
      <c r="M35" s="3">
        <v>-1</v>
      </c>
      <c r="N35" s="3">
        <v>-1</v>
      </c>
      <c r="O35" s="3">
        <v>-1</v>
      </c>
      <c r="P35" s="3">
        <v>-1</v>
      </c>
      <c r="Q35" s="3">
        <v>10</v>
      </c>
      <c r="R35" s="3">
        <v>-1</v>
      </c>
      <c r="S35" s="3">
        <v>-1</v>
      </c>
      <c r="T35" s="3">
        <v>-1</v>
      </c>
      <c r="U35" s="3">
        <v>-1</v>
      </c>
      <c r="V35" s="3">
        <v>-1</v>
      </c>
      <c r="W35" s="3">
        <v>30</v>
      </c>
      <c r="X35" s="3" t="s">
        <v>52</v>
      </c>
      <c r="Y35" s="3" t="s">
        <v>53</v>
      </c>
      <c r="Z35" s="3">
        <v>1</v>
      </c>
      <c r="AA35" s="3" t="s">
        <v>804</v>
      </c>
      <c r="AB35" s="3">
        <v>10</v>
      </c>
      <c r="AC35" s="3" t="s">
        <v>59</v>
      </c>
      <c r="AD35" s="3" t="s">
        <v>59</v>
      </c>
      <c r="AE35" s="3" t="s">
        <v>59</v>
      </c>
      <c r="AF35" s="3">
        <v>0</v>
      </c>
      <c r="AG35" s="3" t="s">
        <v>59</v>
      </c>
      <c r="AH35" s="3" t="s">
        <v>59</v>
      </c>
      <c r="AI35" s="3" t="s">
        <v>59</v>
      </c>
      <c r="AJ35" s="3">
        <v>0</v>
      </c>
      <c r="AK35" s="3">
        <v>-1</v>
      </c>
      <c r="AL35" s="3">
        <v>-1</v>
      </c>
      <c r="AM35" s="3">
        <v>-1</v>
      </c>
      <c r="AN35" s="3">
        <v>-1</v>
      </c>
      <c r="AO35" s="3">
        <v>-1</v>
      </c>
      <c r="AP35" s="3">
        <v>-1</v>
      </c>
    </row>
    <row r="36" spans="1:42" x14ac:dyDescent="0.25">
      <c r="A36" s="3">
        <v>34</v>
      </c>
      <c r="B36" s="3" t="e">
        <f>VLOOKUP(E36,[1]recipe!$A$2:$D$500,3,FALSE)</f>
        <v>#N/A</v>
      </c>
      <c r="C36" s="3" t="s">
        <v>804</v>
      </c>
      <c r="D36" s="3" t="s">
        <v>51</v>
      </c>
      <c r="E36" s="3">
        <v>9012</v>
      </c>
      <c r="F36" s="3">
        <v>9012</v>
      </c>
      <c r="G36" s="3">
        <v>1021</v>
      </c>
      <c r="H36" s="3" t="str">
        <f>VLOOKUP(G36,[1]building!$A$2:$D$351,3,FALSE)</f>
        <v>!!BLDG_NAME_BARGN</v>
      </c>
      <c r="I36" s="3">
        <v>1</v>
      </c>
      <c r="J36" s="3">
        <v>1</v>
      </c>
      <c r="K36" s="3">
        <v>3</v>
      </c>
      <c r="L36" s="3">
        <v>-1</v>
      </c>
      <c r="M36" s="3">
        <v>-1</v>
      </c>
      <c r="N36" s="3">
        <v>-1</v>
      </c>
      <c r="O36" s="3">
        <v>-1</v>
      </c>
      <c r="P36" s="3">
        <v>-1</v>
      </c>
      <c r="Q36" s="3">
        <v>10</v>
      </c>
      <c r="R36" s="3">
        <v>-1</v>
      </c>
      <c r="S36" s="3">
        <v>-1</v>
      </c>
      <c r="T36" s="3">
        <v>-1</v>
      </c>
      <c r="U36" s="3">
        <v>-1</v>
      </c>
      <c r="V36" s="3">
        <v>-1</v>
      </c>
      <c r="W36" s="3">
        <v>30</v>
      </c>
      <c r="X36" s="3" t="s">
        <v>52</v>
      </c>
      <c r="Y36" s="3" t="s">
        <v>53</v>
      </c>
      <c r="Z36" s="3">
        <v>1</v>
      </c>
      <c r="AA36" s="3" t="s">
        <v>804</v>
      </c>
      <c r="AB36" s="3">
        <v>10</v>
      </c>
      <c r="AC36" s="3" t="s">
        <v>59</v>
      </c>
      <c r="AD36" s="3" t="s">
        <v>59</v>
      </c>
      <c r="AE36" s="3" t="s">
        <v>59</v>
      </c>
      <c r="AF36" s="3">
        <v>0</v>
      </c>
      <c r="AG36" s="3" t="s">
        <v>59</v>
      </c>
      <c r="AH36" s="3" t="s">
        <v>59</v>
      </c>
      <c r="AI36" s="3" t="s">
        <v>59</v>
      </c>
      <c r="AJ36" s="3">
        <v>0</v>
      </c>
      <c r="AK36" s="3">
        <v>-1</v>
      </c>
      <c r="AL36" s="3">
        <v>-1</v>
      </c>
      <c r="AM36" s="3">
        <v>-1</v>
      </c>
      <c r="AN36" s="3">
        <v>-1</v>
      </c>
      <c r="AO36" s="3">
        <v>-1</v>
      </c>
      <c r="AP36" s="3">
        <v>-1</v>
      </c>
    </row>
    <row r="37" spans="1:42" x14ac:dyDescent="0.25">
      <c r="A37" s="3">
        <v>35</v>
      </c>
      <c r="B37" s="3" t="str">
        <f>VLOOKUP(E37,[1]recipe!$A$2:$D$500,3,FALSE)</f>
        <v>!!FOOD_GARLICBREAD</v>
      </c>
      <c r="C37" s="3" t="s">
        <v>801</v>
      </c>
      <c r="D37" s="3" t="s">
        <v>51</v>
      </c>
      <c r="E37" s="3">
        <v>41</v>
      </c>
      <c r="F37" s="3">
        <v>41</v>
      </c>
      <c r="G37" s="3">
        <v>1024</v>
      </c>
      <c r="H37" s="3" t="str">
        <f>VLOOKUP(G37,[1]building!$A$2:$D$351,3,FALSE)</f>
        <v>!!BLDG_NAME_BAKERY</v>
      </c>
      <c r="I37" s="3">
        <v>5</v>
      </c>
      <c r="J37" s="3">
        <v>1</v>
      </c>
      <c r="K37" s="3">
        <v>92</v>
      </c>
      <c r="L37" s="3">
        <v>2002</v>
      </c>
      <c r="M37" s="3">
        <v>-1</v>
      </c>
      <c r="N37" s="3">
        <v>-1</v>
      </c>
      <c r="O37" s="3">
        <v>-1</v>
      </c>
      <c r="P37" s="3">
        <v>-1</v>
      </c>
      <c r="Q37" s="3">
        <v>1</v>
      </c>
      <c r="R37" s="3">
        <v>1</v>
      </c>
      <c r="S37" s="3">
        <v>-1</v>
      </c>
      <c r="T37" s="3">
        <v>-1</v>
      </c>
      <c r="U37" s="3">
        <v>-1</v>
      </c>
      <c r="V37" s="3">
        <v>-1</v>
      </c>
      <c r="W37" s="3">
        <v>300</v>
      </c>
      <c r="X37" s="3" t="s">
        <v>52</v>
      </c>
      <c r="Y37" s="3" t="s">
        <v>53</v>
      </c>
      <c r="Z37" s="3">
        <v>1</v>
      </c>
      <c r="AA37" s="3" t="s">
        <v>801</v>
      </c>
      <c r="AB37" s="3">
        <v>10</v>
      </c>
      <c r="AC37" s="3" t="s">
        <v>59</v>
      </c>
      <c r="AD37" s="3" t="s">
        <v>59</v>
      </c>
      <c r="AE37" s="3" t="s">
        <v>59</v>
      </c>
      <c r="AF37" s="3">
        <v>0</v>
      </c>
      <c r="AG37" s="3" t="s">
        <v>59</v>
      </c>
      <c r="AH37" s="3" t="s">
        <v>59</v>
      </c>
      <c r="AI37" s="3" t="s">
        <v>59</v>
      </c>
      <c r="AJ37" s="3">
        <v>0</v>
      </c>
      <c r="AK37" s="3">
        <v>-1</v>
      </c>
      <c r="AL37" s="3">
        <v>-1</v>
      </c>
      <c r="AM37" s="3">
        <v>-1</v>
      </c>
      <c r="AN37" s="3">
        <v>-1</v>
      </c>
      <c r="AO37" s="3">
        <v>-1</v>
      </c>
      <c r="AP37" s="3">
        <v>-1</v>
      </c>
    </row>
    <row r="38" spans="1:42" x14ac:dyDescent="0.25">
      <c r="A38" s="3">
        <v>36</v>
      </c>
      <c r="B38" s="3" t="str">
        <f>VLOOKUP(E38,[1]recipe!$A$2:$D$500,3,FALSE)</f>
        <v>!!FOOD_TOAST</v>
      </c>
      <c r="C38" s="3" t="s">
        <v>804</v>
      </c>
      <c r="D38" s="3" t="s">
        <v>51</v>
      </c>
      <c r="E38" s="3">
        <v>92</v>
      </c>
      <c r="F38" s="3">
        <v>92</v>
      </c>
      <c r="G38" s="3">
        <v>1024</v>
      </c>
      <c r="H38" s="3" t="str">
        <f>VLOOKUP(G38,[1]building!$A$2:$D$351,3,FALSE)</f>
        <v>!!BLDG_NAME_BAKERY</v>
      </c>
      <c r="I38" s="3">
        <v>1</v>
      </c>
      <c r="J38" s="3">
        <v>1</v>
      </c>
      <c r="K38" s="3">
        <v>3</v>
      </c>
      <c r="L38" s="3">
        <v>-1</v>
      </c>
      <c r="M38" s="3">
        <v>-1</v>
      </c>
      <c r="N38" s="3">
        <v>-1</v>
      </c>
      <c r="O38" s="3">
        <v>-1</v>
      </c>
      <c r="P38" s="3">
        <v>-1</v>
      </c>
      <c r="Q38" s="3">
        <v>10</v>
      </c>
      <c r="R38" s="3">
        <v>-1</v>
      </c>
      <c r="S38" s="3">
        <v>-1</v>
      </c>
      <c r="T38" s="3">
        <v>-1</v>
      </c>
      <c r="U38" s="3">
        <v>-1</v>
      </c>
      <c r="V38" s="3">
        <v>-1</v>
      </c>
      <c r="W38" s="3">
        <v>30</v>
      </c>
      <c r="X38" s="3" t="s">
        <v>52</v>
      </c>
      <c r="Y38" s="3" t="s">
        <v>53</v>
      </c>
      <c r="Z38" s="3">
        <v>1</v>
      </c>
      <c r="AA38" s="3" t="s">
        <v>804</v>
      </c>
      <c r="AB38" s="3">
        <v>10</v>
      </c>
      <c r="AC38" s="3" t="s">
        <v>59</v>
      </c>
      <c r="AD38" s="3" t="s">
        <v>59</v>
      </c>
      <c r="AE38" s="3" t="s">
        <v>59</v>
      </c>
      <c r="AF38" s="3">
        <v>0</v>
      </c>
      <c r="AG38" s="3" t="s">
        <v>59</v>
      </c>
      <c r="AH38" s="3" t="s">
        <v>59</v>
      </c>
      <c r="AI38" s="3" t="s">
        <v>59</v>
      </c>
      <c r="AJ38" s="3">
        <v>0</v>
      </c>
      <c r="AK38" s="3">
        <v>-1</v>
      </c>
      <c r="AL38" s="3">
        <v>-1</v>
      </c>
      <c r="AM38" s="3">
        <v>-1</v>
      </c>
      <c r="AN38" s="3">
        <v>-1</v>
      </c>
      <c r="AO38" s="3">
        <v>-1</v>
      </c>
      <c r="AP38" s="3">
        <v>-1</v>
      </c>
    </row>
    <row r="39" spans="1:42" x14ac:dyDescent="0.25">
      <c r="A39" s="3">
        <v>37</v>
      </c>
      <c r="B39" s="3" t="str">
        <f>VLOOKUP(E39,[1]recipe!$A$2:$D$500,3,FALSE)</f>
        <v>!!FOOD_CROUTONS</v>
      </c>
      <c r="C39" s="3" t="s">
        <v>777</v>
      </c>
      <c r="D39" s="3" t="s">
        <v>51</v>
      </c>
      <c r="E39" s="3">
        <v>93</v>
      </c>
      <c r="F39" s="3">
        <v>93</v>
      </c>
      <c r="G39" s="3">
        <v>1024</v>
      </c>
      <c r="H39" s="3" t="str">
        <f>VLOOKUP(G39,[1]building!$A$2:$D$351,3,FALSE)</f>
        <v>!!BLDG_NAME_BAKERY</v>
      </c>
      <c r="I39" s="3">
        <v>1</v>
      </c>
      <c r="J39" s="3">
        <v>8</v>
      </c>
      <c r="K39" s="3">
        <v>92</v>
      </c>
      <c r="L39" s="3">
        <v>-1</v>
      </c>
      <c r="M39" s="3">
        <v>-1</v>
      </c>
      <c r="N39" s="3">
        <v>-1</v>
      </c>
      <c r="O39" s="3">
        <v>-1</v>
      </c>
      <c r="P39" s="3">
        <v>-1</v>
      </c>
      <c r="Q39" s="3">
        <v>1</v>
      </c>
      <c r="R39" s="3">
        <v>-1</v>
      </c>
      <c r="S39" s="3">
        <v>-1</v>
      </c>
      <c r="T39" s="3">
        <v>-1</v>
      </c>
      <c r="U39" s="3">
        <v>-1</v>
      </c>
      <c r="V39" s="3">
        <v>-1</v>
      </c>
      <c r="W39" s="3">
        <v>80</v>
      </c>
      <c r="X39" s="3" t="s">
        <v>52</v>
      </c>
      <c r="Y39" s="3" t="s">
        <v>53</v>
      </c>
      <c r="Z39" s="3">
        <v>1</v>
      </c>
      <c r="AA39" s="3" t="s">
        <v>777</v>
      </c>
      <c r="AB39" s="3">
        <v>10</v>
      </c>
      <c r="AC39" s="3" t="s">
        <v>59</v>
      </c>
      <c r="AD39" s="3" t="s">
        <v>59</v>
      </c>
      <c r="AE39" s="3" t="s">
        <v>59</v>
      </c>
      <c r="AF39" s="3">
        <v>0</v>
      </c>
      <c r="AG39" s="3" t="s">
        <v>59</v>
      </c>
      <c r="AH39" s="3" t="s">
        <v>59</v>
      </c>
      <c r="AI39" s="3" t="s">
        <v>59</v>
      </c>
      <c r="AJ39" s="3">
        <v>0</v>
      </c>
      <c r="AK39" s="3">
        <v>-1</v>
      </c>
      <c r="AL39" s="3">
        <v>-1</v>
      </c>
      <c r="AM39" s="3">
        <v>-1</v>
      </c>
      <c r="AN39" s="3">
        <v>-1</v>
      </c>
      <c r="AO39" s="3">
        <v>-1</v>
      </c>
      <c r="AP39" s="3">
        <v>-1</v>
      </c>
    </row>
    <row r="40" spans="1:42" x14ac:dyDescent="0.25">
      <c r="A40" s="3">
        <v>38</v>
      </c>
      <c r="B40" s="3" t="str">
        <f>VLOOKUP(E40,[1]recipe!$A$2:$D$500,3,FALSE)</f>
        <v>!!FOOD_JELLIEDTOAST</v>
      </c>
      <c r="C40" s="3" t="s">
        <v>822</v>
      </c>
      <c r="D40" s="3" t="s">
        <v>51</v>
      </c>
      <c r="E40" s="3">
        <v>96</v>
      </c>
      <c r="F40" s="3">
        <v>96</v>
      </c>
      <c r="G40" s="3">
        <v>1024</v>
      </c>
      <c r="H40" s="3" t="str">
        <f>VLOOKUP(G40,[1]building!$A$2:$D$351,3,FALSE)</f>
        <v>!!BLDG_NAME_BAKERY</v>
      </c>
      <c r="I40" s="3">
        <v>1</v>
      </c>
      <c r="J40" s="3">
        <v>1</v>
      </c>
      <c r="K40" s="3">
        <v>92</v>
      </c>
      <c r="L40" s="3">
        <v>2</v>
      </c>
      <c r="M40" s="3">
        <v>-1</v>
      </c>
      <c r="N40" s="3">
        <v>-1</v>
      </c>
      <c r="O40" s="3">
        <v>-1</v>
      </c>
      <c r="P40" s="3">
        <v>-1</v>
      </c>
      <c r="Q40" s="3">
        <v>1</v>
      </c>
      <c r="R40" s="3">
        <v>1</v>
      </c>
      <c r="S40" s="3">
        <v>-1</v>
      </c>
      <c r="T40" s="3">
        <v>-1</v>
      </c>
      <c r="U40" s="3">
        <v>-1</v>
      </c>
      <c r="V40" s="3">
        <v>-1</v>
      </c>
      <c r="W40" s="3">
        <v>30</v>
      </c>
      <c r="X40" s="3" t="s">
        <v>52</v>
      </c>
      <c r="Y40" s="3" t="s">
        <v>53</v>
      </c>
      <c r="Z40" s="3">
        <v>1</v>
      </c>
      <c r="AA40" s="3" t="s">
        <v>822</v>
      </c>
      <c r="AB40" s="3">
        <v>10</v>
      </c>
      <c r="AC40" s="3" t="s">
        <v>59</v>
      </c>
      <c r="AD40" s="3" t="s">
        <v>59</v>
      </c>
      <c r="AE40" s="3" t="s">
        <v>59</v>
      </c>
      <c r="AF40" s="3">
        <v>0</v>
      </c>
      <c r="AG40" s="3" t="s">
        <v>59</v>
      </c>
      <c r="AH40" s="3" t="s">
        <v>59</v>
      </c>
      <c r="AI40" s="3" t="s">
        <v>59</v>
      </c>
      <c r="AJ40" s="3">
        <v>0</v>
      </c>
      <c r="AK40" s="3">
        <v>-1</v>
      </c>
      <c r="AL40" s="3">
        <v>-1</v>
      </c>
      <c r="AM40" s="3">
        <v>-1</v>
      </c>
      <c r="AN40" s="3">
        <v>-1</v>
      </c>
      <c r="AO40" s="3">
        <v>-1</v>
      </c>
      <c r="AP40" s="3">
        <v>-1</v>
      </c>
    </row>
    <row r="41" spans="1:42" x14ac:dyDescent="0.25">
      <c r="A41" s="3">
        <v>39</v>
      </c>
      <c r="B41" s="3" t="str">
        <f>VLOOKUP(E41,[1]recipe!$A$2:$D$500,3,FALSE)</f>
        <v>!!FOOD_BUN</v>
      </c>
      <c r="C41" s="3" t="s">
        <v>771</v>
      </c>
      <c r="D41" s="3" t="s">
        <v>51</v>
      </c>
      <c r="E41" s="3">
        <v>1005</v>
      </c>
      <c r="F41" s="3">
        <v>6</v>
      </c>
      <c r="G41" s="3">
        <v>1024</v>
      </c>
      <c r="H41" s="3" t="str">
        <f>VLOOKUP(G41,[1]building!$A$2:$D$351,3,FALSE)</f>
        <v>!!BLDG_NAME_BAKERY</v>
      </c>
      <c r="I41" s="3">
        <v>1</v>
      </c>
      <c r="J41" s="3">
        <v>1</v>
      </c>
      <c r="K41" s="3">
        <v>3</v>
      </c>
      <c r="L41" s="3">
        <v>-1</v>
      </c>
      <c r="M41" s="3">
        <v>-1</v>
      </c>
      <c r="N41" s="3">
        <v>-1</v>
      </c>
      <c r="O41" s="3">
        <v>-1</v>
      </c>
      <c r="P41" s="3">
        <v>-1</v>
      </c>
      <c r="Q41" s="3">
        <v>5</v>
      </c>
      <c r="R41" s="3">
        <v>-1</v>
      </c>
      <c r="S41" s="3">
        <v>-1</v>
      </c>
      <c r="T41" s="3">
        <v>-1</v>
      </c>
      <c r="U41" s="3">
        <v>-1</v>
      </c>
      <c r="V41" s="3">
        <v>-1</v>
      </c>
      <c r="W41" s="3">
        <v>180</v>
      </c>
      <c r="X41" s="3" t="s">
        <v>52</v>
      </c>
      <c r="Y41" s="3" t="s">
        <v>53</v>
      </c>
      <c r="Z41" s="3">
        <v>1</v>
      </c>
      <c r="AA41" s="3" t="s">
        <v>771</v>
      </c>
      <c r="AB41" s="3">
        <v>10</v>
      </c>
      <c r="AC41" s="3" t="s">
        <v>59</v>
      </c>
      <c r="AD41" s="3" t="s">
        <v>59</v>
      </c>
      <c r="AE41" s="3" t="s">
        <v>59</v>
      </c>
      <c r="AF41" s="3">
        <v>0</v>
      </c>
      <c r="AG41" s="3" t="s">
        <v>59</v>
      </c>
      <c r="AH41" s="3" t="s">
        <v>59</v>
      </c>
      <c r="AI41" s="3" t="s">
        <v>59</v>
      </c>
      <c r="AJ41" s="3">
        <v>0</v>
      </c>
      <c r="AK41" s="3">
        <v>-1</v>
      </c>
      <c r="AL41" s="3">
        <v>-1</v>
      </c>
      <c r="AM41" s="3">
        <v>-1</v>
      </c>
      <c r="AN41" s="3">
        <v>-1</v>
      </c>
      <c r="AO41" s="3">
        <v>-1</v>
      </c>
      <c r="AP41" s="3">
        <v>-1</v>
      </c>
    </row>
    <row r="42" spans="1:42" x14ac:dyDescent="0.25">
      <c r="A42" s="3">
        <v>40</v>
      </c>
      <c r="B42" s="3" t="str">
        <f>VLOOKUP(E42,[1]recipe!$A$2:$D$500,3,FALSE)</f>
        <v>!!FOOD_HOTDOGROLL</v>
      </c>
      <c r="C42" s="3" t="s">
        <v>812</v>
      </c>
      <c r="D42" s="3" t="s">
        <v>51</v>
      </c>
      <c r="E42" s="3">
        <v>1008</v>
      </c>
      <c r="F42" s="3">
        <v>1008</v>
      </c>
      <c r="G42" s="3">
        <v>1024</v>
      </c>
      <c r="H42" s="3" t="str">
        <f>VLOOKUP(G42,[1]building!$A$2:$D$351,3,FALSE)</f>
        <v>!!BLDG_NAME_BAKERY</v>
      </c>
      <c r="I42" s="3">
        <v>1</v>
      </c>
      <c r="J42" s="3">
        <v>1</v>
      </c>
      <c r="K42" s="3">
        <v>3</v>
      </c>
      <c r="L42" s="3">
        <v>-1</v>
      </c>
      <c r="M42" s="3">
        <v>-1</v>
      </c>
      <c r="N42" s="3">
        <v>-1</v>
      </c>
      <c r="O42" s="3">
        <v>-1</v>
      </c>
      <c r="P42" s="3">
        <v>-1</v>
      </c>
      <c r="Q42" s="3">
        <v>6</v>
      </c>
      <c r="R42" s="3">
        <v>-1</v>
      </c>
      <c r="S42" s="3">
        <v>-1</v>
      </c>
      <c r="T42" s="3">
        <v>-1</v>
      </c>
      <c r="U42" s="3">
        <v>-1</v>
      </c>
      <c r="V42" s="3">
        <v>-1</v>
      </c>
      <c r="W42" s="3">
        <v>180</v>
      </c>
      <c r="X42" s="3" t="s">
        <v>52</v>
      </c>
      <c r="Y42" s="3" t="s">
        <v>53</v>
      </c>
      <c r="Z42" s="3">
        <v>18</v>
      </c>
      <c r="AA42" s="3" t="s">
        <v>812</v>
      </c>
      <c r="AB42" s="3">
        <v>10</v>
      </c>
      <c r="AC42" s="3" t="s">
        <v>59</v>
      </c>
      <c r="AD42" s="3" t="s">
        <v>59</v>
      </c>
      <c r="AE42" s="3" t="s">
        <v>59</v>
      </c>
      <c r="AF42" s="3">
        <v>0</v>
      </c>
      <c r="AG42" s="3" t="s">
        <v>59</v>
      </c>
      <c r="AH42" s="3" t="s">
        <v>59</v>
      </c>
      <c r="AI42" s="3" t="s">
        <v>59</v>
      </c>
      <c r="AJ42" s="3">
        <v>0</v>
      </c>
      <c r="AK42" s="3">
        <v>-1</v>
      </c>
      <c r="AL42" s="3">
        <v>-1</v>
      </c>
      <c r="AM42" s="3">
        <v>-1</v>
      </c>
      <c r="AN42" s="3">
        <v>-1</v>
      </c>
      <c r="AO42" s="3">
        <v>-1</v>
      </c>
      <c r="AP42" s="3">
        <v>-1</v>
      </c>
    </row>
    <row r="43" spans="1:42" x14ac:dyDescent="0.25">
      <c r="A43" s="3">
        <v>41</v>
      </c>
      <c r="B43" s="3" t="str">
        <f>VLOOKUP(E43,[1]recipe!$A$2:$D$500,3,FALSE)</f>
        <v>!!FOOD_RUSTYS_BARK_CHOP_SANDWICH</v>
      </c>
      <c r="C43" s="3" t="s">
        <v>802</v>
      </c>
      <c r="D43" s="3" t="s">
        <v>51</v>
      </c>
      <c r="E43" s="3">
        <v>9000</v>
      </c>
      <c r="F43" s="3">
        <v>9000</v>
      </c>
      <c r="G43" s="3">
        <v>1024</v>
      </c>
      <c r="H43" s="3" t="str">
        <f>VLOOKUP(G43,[1]building!$A$2:$D$351,3,FALSE)</f>
        <v>!!BLDG_NAME_BAKERY</v>
      </c>
      <c r="I43" s="3">
        <v>1</v>
      </c>
      <c r="J43" s="3">
        <v>1</v>
      </c>
      <c r="K43" s="3">
        <v>8</v>
      </c>
      <c r="L43" s="3">
        <v>9004</v>
      </c>
      <c r="M43" s="3">
        <v>-1</v>
      </c>
      <c r="N43" s="3">
        <v>-1</v>
      </c>
      <c r="O43" s="3">
        <v>-1</v>
      </c>
      <c r="P43" s="3">
        <v>-1</v>
      </c>
      <c r="Q43" s="3">
        <v>1</v>
      </c>
      <c r="R43" s="3">
        <v>3</v>
      </c>
      <c r="S43" s="3">
        <v>-1</v>
      </c>
      <c r="T43" s="3">
        <v>-1</v>
      </c>
      <c r="U43" s="3">
        <v>-1</v>
      </c>
      <c r="V43" s="3">
        <v>-1</v>
      </c>
      <c r="W43" s="3">
        <v>30</v>
      </c>
      <c r="X43" s="3" t="s">
        <v>52</v>
      </c>
      <c r="Y43" s="3" t="s">
        <v>53</v>
      </c>
      <c r="Z43" s="3">
        <v>1</v>
      </c>
      <c r="AA43" s="3" t="s">
        <v>802</v>
      </c>
      <c r="AB43" s="3">
        <v>10</v>
      </c>
      <c r="AC43" s="3" t="s">
        <v>59</v>
      </c>
      <c r="AD43" s="3" t="s">
        <v>59</v>
      </c>
      <c r="AE43" s="3" t="s">
        <v>59</v>
      </c>
      <c r="AF43" s="3">
        <v>0</v>
      </c>
      <c r="AG43" s="3" t="s">
        <v>59</v>
      </c>
      <c r="AH43" s="3" t="s">
        <v>59</v>
      </c>
      <c r="AI43" s="3" t="s">
        <v>59</v>
      </c>
      <c r="AJ43" s="3">
        <v>0</v>
      </c>
      <c r="AK43" s="3">
        <v>-1</v>
      </c>
      <c r="AL43" s="3">
        <v>-1</v>
      </c>
      <c r="AM43" s="3">
        <v>-1</v>
      </c>
      <c r="AN43" s="3">
        <v>-1</v>
      </c>
      <c r="AO43" s="3">
        <v>-1</v>
      </c>
      <c r="AP43" s="3">
        <v>-1</v>
      </c>
    </row>
    <row r="44" spans="1:42" x14ac:dyDescent="0.25">
      <c r="A44" s="3">
        <v>42</v>
      </c>
      <c r="B44" s="3" t="str">
        <f>VLOOKUP(E44,[1]recipe!$A$2:$D$500,3,FALSE)</f>
        <v>!!FOOD_SNICKERDOODLE</v>
      </c>
      <c r="C44" t="s">
        <v>349</v>
      </c>
      <c r="D44" t="s">
        <v>51</v>
      </c>
      <c r="E44" s="2">
        <v>9101</v>
      </c>
      <c r="F44" s="2">
        <v>9101</v>
      </c>
      <c r="G44" s="2">
        <v>1024</v>
      </c>
      <c r="H44" s="3" t="str">
        <f>VLOOKUP(G44,[1]building!$A$2:$D$351,3,FALSE)</f>
        <v>!!BLDG_NAME_BAKERY</v>
      </c>
      <c r="I44" s="2">
        <v>1</v>
      </c>
      <c r="J44" s="2">
        <v>1</v>
      </c>
      <c r="K44" s="3">
        <v>9106</v>
      </c>
      <c r="L44" s="3">
        <v>9107</v>
      </c>
      <c r="M44" s="3">
        <v>9108</v>
      </c>
      <c r="N44" s="3">
        <v>-1</v>
      </c>
      <c r="O44" s="3">
        <v>-1</v>
      </c>
      <c r="P44" s="3">
        <v>-1</v>
      </c>
      <c r="Q44" s="3">
        <v>1</v>
      </c>
      <c r="R44" s="3">
        <v>1</v>
      </c>
      <c r="S44" s="3">
        <v>1</v>
      </c>
      <c r="T44" s="3">
        <v>-1</v>
      </c>
      <c r="U44" s="3">
        <v>-1</v>
      </c>
      <c r="V44" s="3">
        <v>-1</v>
      </c>
      <c r="W44">
        <v>30</v>
      </c>
      <c r="X44" t="s">
        <v>52</v>
      </c>
      <c r="Y44" t="s">
        <v>53</v>
      </c>
      <c r="Z44">
        <v>1</v>
      </c>
      <c r="AA44" t="s">
        <v>349</v>
      </c>
      <c r="AB44">
        <v>10</v>
      </c>
      <c r="AC44" s="3" t="s">
        <v>59</v>
      </c>
      <c r="AD44" s="3" t="s">
        <v>59</v>
      </c>
      <c r="AE44" s="3" t="s">
        <v>59</v>
      </c>
      <c r="AF44" s="3">
        <v>0</v>
      </c>
      <c r="AG44" s="3" t="s">
        <v>59</v>
      </c>
      <c r="AH44" s="3" t="s">
        <v>59</v>
      </c>
      <c r="AI44" s="3" t="s">
        <v>59</v>
      </c>
      <c r="AJ44">
        <v>1</v>
      </c>
      <c r="AK44" s="3">
        <v>-1</v>
      </c>
      <c r="AL44" s="3">
        <v>-1</v>
      </c>
      <c r="AM44" s="3">
        <v>-1</v>
      </c>
      <c r="AN44" s="3">
        <v>-1</v>
      </c>
      <c r="AO44" s="3">
        <v>-1</v>
      </c>
      <c r="AP44" s="3">
        <v>-1</v>
      </c>
    </row>
    <row r="45" spans="1:42" x14ac:dyDescent="0.25">
      <c r="A45" s="3">
        <v>43</v>
      </c>
      <c r="B45" s="3" t="str">
        <f>VLOOKUP(E45,[1]recipe!$A$2:$D$500,3,FALSE)</f>
        <v>!!FOOD_BREAD_PUDDING</v>
      </c>
      <c r="C45" t="s">
        <v>358</v>
      </c>
      <c r="D45" t="s">
        <v>51</v>
      </c>
      <c r="E45" s="2">
        <v>9104</v>
      </c>
      <c r="F45" s="2">
        <v>9104</v>
      </c>
      <c r="G45" s="2">
        <v>1024</v>
      </c>
      <c r="H45" s="3" t="str">
        <f>VLOOKUP(G45,[1]building!$A$2:$D$351,3,FALSE)</f>
        <v>!!BLDG_NAME_BAKERY</v>
      </c>
      <c r="I45" s="2">
        <v>15</v>
      </c>
      <c r="J45" s="2">
        <v>1</v>
      </c>
      <c r="K45" s="3">
        <v>92</v>
      </c>
      <c r="L45" s="3">
        <v>9107</v>
      </c>
      <c r="M45" s="3">
        <v>9117</v>
      </c>
      <c r="N45" s="3">
        <v>10010</v>
      </c>
      <c r="O45" s="3">
        <v>-1</v>
      </c>
      <c r="P45" s="3">
        <v>-1</v>
      </c>
      <c r="Q45" s="3">
        <v>3</v>
      </c>
      <c r="R45" s="3">
        <v>1</v>
      </c>
      <c r="S45" s="3">
        <v>1</v>
      </c>
      <c r="T45" s="3">
        <v>1</v>
      </c>
      <c r="U45" s="3">
        <v>-1</v>
      </c>
      <c r="V45" s="3">
        <v>-1</v>
      </c>
      <c r="W45" s="2">
        <v>86400</v>
      </c>
      <c r="X45" t="s">
        <v>52</v>
      </c>
      <c r="Y45" t="s">
        <v>53</v>
      </c>
      <c r="Z45" s="2">
        <v>1</v>
      </c>
      <c r="AA45" t="s">
        <v>358</v>
      </c>
      <c r="AB45" s="2">
        <v>10</v>
      </c>
      <c r="AC45" s="3" t="s">
        <v>59</v>
      </c>
      <c r="AD45" s="3" t="s">
        <v>59</v>
      </c>
      <c r="AE45" s="3" t="s">
        <v>59</v>
      </c>
      <c r="AF45">
        <v>1</v>
      </c>
      <c r="AG45" s="3" t="s">
        <v>59</v>
      </c>
      <c r="AH45" s="3" t="s">
        <v>59</v>
      </c>
      <c r="AI45" s="3" t="s">
        <v>59</v>
      </c>
      <c r="AJ45">
        <v>1</v>
      </c>
      <c r="AK45" s="3">
        <v>-1</v>
      </c>
      <c r="AL45" s="3">
        <v>-1</v>
      </c>
      <c r="AM45" s="3">
        <v>-1</v>
      </c>
      <c r="AN45" s="3">
        <v>-1</v>
      </c>
      <c r="AO45" s="3">
        <v>-1</v>
      </c>
      <c r="AP45" s="3">
        <v>-1</v>
      </c>
    </row>
    <row r="46" spans="1:42" x14ac:dyDescent="0.25">
      <c r="A46" s="3">
        <v>44</v>
      </c>
      <c r="B46" s="3" t="str">
        <f>VLOOKUP(E46,[1]recipe!$A$2:$D$500,3,FALSE)</f>
        <v>!!FOOD_YULE_LOG_CAKE</v>
      </c>
      <c r="C46" t="s">
        <v>361</v>
      </c>
      <c r="D46" t="s">
        <v>51</v>
      </c>
      <c r="E46" s="2">
        <v>9105</v>
      </c>
      <c r="F46" s="2">
        <v>9105</v>
      </c>
      <c r="G46" s="2">
        <v>1024</v>
      </c>
      <c r="H46" s="3" t="str">
        <f>VLOOKUP(G46,[1]building!$A$2:$D$351,3,FALSE)</f>
        <v>!!BLDG_NAME_BAKERY</v>
      </c>
      <c r="I46" s="2">
        <v>12</v>
      </c>
      <c r="J46" s="2">
        <v>1</v>
      </c>
      <c r="K46" s="3">
        <v>9106</v>
      </c>
      <c r="L46" s="3">
        <v>9117</v>
      </c>
      <c r="M46" s="3">
        <v>9112</v>
      </c>
      <c r="N46" s="3">
        <v>9109</v>
      </c>
      <c r="O46" s="3">
        <v>9118</v>
      </c>
      <c r="P46" s="3">
        <v>-1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-1</v>
      </c>
      <c r="W46">
        <v>43200</v>
      </c>
      <c r="X46" t="s">
        <v>52</v>
      </c>
      <c r="Y46" t="s">
        <v>53</v>
      </c>
      <c r="Z46">
        <v>1</v>
      </c>
      <c r="AA46" t="s">
        <v>361</v>
      </c>
      <c r="AB46">
        <v>10</v>
      </c>
      <c r="AC46" s="3" t="s">
        <v>59</v>
      </c>
      <c r="AD46" s="3" t="s">
        <v>59</v>
      </c>
      <c r="AE46" s="3" t="s">
        <v>59</v>
      </c>
      <c r="AF46">
        <v>1</v>
      </c>
      <c r="AG46" s="3" t="s">
        <v>59</v>
      </c>
      <c r="AH46" s="3" t="s">
        <v>59</v>
      </c>
      <c r="AI46" s="3" t="s">
        <v>59</v>
      </c>
      <c r="AJ46">
        <v>1</v>
      </c>
      <c r="AK46" s="3">
        <v>-1</v>
      </c>
      <c r="AL46" s="3">
        <v>-1</v>
      </c>
      <c r="AM46" s="3">
        <v>-1</v>
      </c>
      <c r="AN46" s="3">
        <v>-1</v>
      </c>
      <c r="AO46" s="3">
        <v>-1</v>
      </c>
      <c r="AP46" s="3">
        <v>-1</v>
      </c>
    </row>
    <row r="47" spans="1:42" x14ac:dyDescent="0.25">
      <c r="A47" s="3">
        <v>45</v>
      </c>
      <c r="B47" s="3" t="str">
        <f>VLOOKUP(E47,[1]recipe!$A$2:$D$500,3,FALSE)</f>
        <v>!!INGREDIENT_DOUGH</v>
      </c>
      <c r="C47" t="s">
        <v>364</v>
      </c>
      <c r="D47" t="s">
        <v>51</v>
      </c>
      <c r="E47" s="2">
        <v>9106</v>
      </c>
      <c r="F47" s="2">
        <v>9106</v>
      </c>
      <c r="G47" s="2">
        <v>1024</v>
      </c>
      <c r="H47" s="3" t="str">
        <f>VLOOKUP(G47,[1]building!$A$2:$D$351,3,FALSE)</f>
        <v>!!BLDG_NAME_BAKERY</v>
      </c>
      <c r="I47" s="2">
        <v>1</v>
      </c>
      <c r="J47" s="2">
        <v>1</v>
      </c>
      <c r="K47" s="3">
        <v>3</v>
      </c>
      <c r="L47" s="3">
        <v>-1</v>
      </c>
      <c r="M47" s="3">
        <v>-1</v>
      </c>
      <c r="N47" s="3">
        <v>-1</v>
      </c>
      <c r="O47" s="3">
        <v>-1</v>
      </c>
      <c r="P47" s="3">
        <v>-1</v>
      </c>
      <c r="Q47" s="3">
        <v>10</v>
      </c>
      <c r="R47" s="3">
        <v>-1</v>
      </c>
      <c r="S47" s="3">
        <v>-1</v>
      </c>
      <c r="T47" s="3">
        <v>-1</v>
      </c>
      <c r="U47" s="3">
        <v>-1</v>
      </c>
      <c r="V47" s="3">
        <v>-1</v>
      </c>
      <c r="W47">
        <v>30</v>
      </c>
      <c r="X47" t="s">
        <v>52</v>
      </c>
      <c r="Y47" t="s">
        <v>53</v>
      </c>
      <c r="Z47">
        <v>1</v>
      </c>
      <c r="AA47" t="s">
        <v>364</v>
      </c>
      <c r="AB47">
        <v>10</v>
      </c>
      <c r="AC47" s="3" t="s">
        <v>59</v>
      </c>
      <c r="AD47" s="3" t="s">
        <v>59</v>
      </c>
      <c r="AE47" s="3" t="s">
        <v>59</v>
      </c>
      <c r="AF47">
        <v>0</v>
      </c>
      <c r="AG47" s="3" t="s">
        <v>59</v>
      </c>
      <c r="AH47" s="3" t="s">
        <v>59</v>
      </c>
      <c r="AI47" s="3" t="s">
        <v>59</v>
      </c>
      <c r="AJ47">
        <v>0</v>
      </c>
      <c r="AK47" s="3">
        <v>-1</v>
      </c>
      <c r="AL47" s="3">
        <v>-1</v>
      </c>
      <c r="AM47" s="3">
        <v>-1</v>
      </c>
      <c r="AN47" s="3">
        <v>-1</v>
      </c>
      <c r="AO47" s="3">
        <v>-1</v>
      </c>
      <c r="AP47" s="3">
        <v>-1</v>
      </c>
    </row>
    <row r="48" spans="1:42" x14ac:dyDescent="0.25">
      <c r="A48" s="3">
        <v>46</v>
      </c>
      <c r="B48" s="3" t="str">
        <f>VLOOKUP(E48,[1]recipe!$A$2:$D$500,3,FALSE)</f>
        <v>!!FOOD_CHRISTMAS_COOKIE</v>
      </c>
      <c r="C48" t="s">
        <v>403</v>
      </c>
      <c r="D48" t="s">
        <v>51</v>
      </c>
      <c r="E48" s="2">
        <v>9119</v>
      </c>
      <c r="F48" s="2">
        <v>9119</v>
      </c>
      <c r="G48" s="2">
        <v>1024</v>
      </c>
      <c r="H48" s="3" t="str">
        <f>VLOOKUP(G48,[1]building!$A$2:$D$351,3,FALSE)</f>
        <v>!!BLDG_NAME_BAKERY</v>
      </c>
      <c r="I48" s="2">
        <v>5</v>
      </c>
      <c r="J48" s="2">
        <v>1</v>
      </c>
      <c r="K48" s="3">
        <v>9106</v>
      </c>
      <c r="L48" s="3">
        <v>9107</v>
      </c>
      <c r="M48" s="3">
        <v>9117</v>
      </c>
      <c r="N48" s="3">
        <v>9109</v>
      </c>
      <c r="O48" s="3">
        <v>9112</v>
      </c>
      <c r="P48" s="3">
        <v>-1</v>
      </c>
      <c r="Q48" s="3">
        <v>1</v>
      </c>
      <c r="R48" s="3">
        <v>1</v>
      </c>
      <c r="S48" s="3">
        <v>1</v>
      </c>
      <c r="T48" s="3">
        <v>1</v>
      </c>
      <c r="U48" s="3">
        <v>1</v>
      </c>
      <c r="V48" s="3">
        <v>-1</v>
      </c>
      <c r="W48" s="2">
        <v>18000</v>
      </c>
      <c r="X48" t="s">
        <v>52</v>
      </c>
      <c r="Y48" t="s">
        <v>53</v>
      </c>
      <c r="Z48" s="2">
        <v>1</v>
      </c>
      <c r="AA48" t="s">
        <v>403</v>
      </c>
      <c r="AB48" s="2">
        <v>10</v>
      </c>
      <c r="AC48" s="3" t="s">
        <v>59</v>
      </c>
      <c r="AD48" s="3" t="s">
        <v>59</v>
      </c>
      <c r="AE48" s="3" t="s">
        <v>59</v>
      </c>
      <c r="AF48">
        <v>1</v>
      </c>
      <c r="AG48" s="3" t="s">
        <v>59</v>
      </c>
      <c r="AH48" s="3" t="s">
        <v>59</v>
      </c>
      <c r="AI48" s="3" t="s">
        <v>59</v>
      </c>
      <c r="AJ48">
        <v>1</v>
      </c>
      <c r="AK48" s="3">
        <v>-1</v>
      </c>
      <c r="AL48" s="3">
        <v>-1</v>
      </c>
      <c r="AM48" s="3">
        <v>-1</v>
      </c>
      <c r="AN48" s="3">
        <v>-1</v>
      </c>
      <c r="AO48" s="3">
        <v>-1</v>
      </c>
      <c r="AP48" s="3">
        <v>-1</v>
      </c>
    </row>
    <row r="49" spans="1:42" x14ac:dyDescent="0.25">
      <c r="A49" s="3">
        <v>47</v>
      </c>
      <c r="B49" s="3" t="str">
        <f>VLOOKUP(E49,[1]recipe!$A$2:$D$500,3,FALSE)</f>
        <v>!!FOOD_BAKED_BANANABANANABREAD</v>
      </c>
      <c r="C49" s="3" t="s">
        <v>754</v>
      </c>
      <c r="D49" s="3" t="s">
        <v>51</v>
      </c>
      <c r="E49" s="3">
        <v>80000</v>
      </c>
      <c r="F49" s="3">
        <v>80000</v>
      </c>
      <c r="G49" s="3">
        <v>1024</v>
      </c>
      <c r="H49" s="3" t="str">
        <f>VLOOKUP(G49,[1]building!$A$2:$D$351,3,FALSE)</f>
        <v>!!BLDG_NAME_BAKERY</v>
      </c>
      <c r="I49" s="3">
        <v>4</v>
      </c>
      <c r="J49" s="3">
        <v>1</v>
      </c>
      <c r="K49" s="3">
        <v>80015</v>
      </c>
      <c r="L49" s="3">
        <v>10000</v>
      </c>
      <c r="M49" s="3">
        <v>-1</v>
      </c>
      <c r="N49" s="3">
        <v>-1</v>
      </c>
      <c r="O49" s="3">
        <v>-1</v>
      </c>
      <c r="P49" s="3">
        <v>-1</v>
      </c>
      <c r="Q49" s="3">
        <v>1</v>
      </c>
      <c r="R49" s="3">
        <v>4</v>
      </c>
      <c r="S49" s="3">
        <v>-1</v>
      </c>
      <c r="T49" s="3">
        <v>-1</v>
      </c>
      <c r="U49" s="3">
        <v>-1</v>
      </c>
      <c r="V49" s="3">
        <v>-1</v>
      </c>
      <c r="W49" s="3">
        <v>300</v>
      </c>
      <c r="X49" s="3" t="s">
        <v>52</v>
      </c>
      <c r="Y49" s="3" t="s">
        <v>53</v>
      </c>
      <c r="Z49" s="3">
        <v>8</v>
      </c>
      <c r="AA49" s="3" t="s">
        <v>754</v>
      </c>
      <c r="AB49" s="3">
        <v>999</v>
      </c>
      <c r="AC49" s="3" t="s">
        <v>59</v>
      </c>
      <c r="AD49" s="3" t="s">
        <v>59</v>
      </c>
      <c r="AE49" s="3" t="s">
        <v>59</v>
      </c>
      <c r="AF49" s="3">
        <v>0</v>
      </c>
      <c r="AG49" s="3" t="s">
        <v>59</v>
      </c>
      <c r="AH49" s="3" t="s">
        <v>59</v>
      </c>
      <c r="AI49" s="3" t="s">
        <v>59</v>
      </c>
      <c r="AJ49" s="3">
        <v>0</v>
      </c>
      <c r="AK49" s="3">
        <v>-1</v>
      </c>
      <c r="AL49" s="3">
        <v>-1</v>
      </c>
      <c r="AM49" s="3">
        <v>-1</v>
      </c>
      <c r="AN49" s="3">
        <v>-1</v>
      </c>
      <c r="AO49" s="3">
        <v>-1</v>
      </c>
      <c r="AP49" s="3">
        <v>-1</v>
      </c>
    </row>
    <row r="50" spans="1:42" x14ac:dyDescent="0.25">
      <c r="A50" s="3">
        <v>48</v>
      </c>
      <c r="B50" s="3" t="str">
        <f>VLOOKUP(E50,[1]recipe!$A$2:$D$500,3,FALSE)</f>
        <v>!!FOOD_BAKED_CHERRIESGARY</v>
      </c>
      <c r="C50" s="3" t="s">
        <v>755</v>
      </c>
      <c r="D50" s="3" t="s">
        <v>51</v>
      </c>
      <c r="E50" s="3">
        <v>80001</v>
      </c>
      <c r="F50" s="3">
        <v>80001</v>
      </c>
      <c r="G50" s="3">
        <v>1024</v>
      </c>
      <c r="H50" s="3" t="str">
        <f>VLOOKUP(G50,[1]building!$A$2:$D$351,3,FALSE)</f>
        <v>!!BLDG_NAME_BAKERY</v>
      </c>
      <c r="I50" s="3">
        <v>6</v>
      </c>
      <c r="J50" s="3">
        <v>1</v>
      </c>
      <c r="K50" s="3">
        <v>80007</v>
      </c>
      <c r="L50" s="3">
        <v>10002</v>
      </c>
      <c r="M50" s="3">
        <v>10009</v>
      </c>
      <c r="N50" s="3">
        <v>10005</v>
      </c>
      <c r="O50" s="3">
        <v>-1</v>
      </c>
      <c r="P50" s="3">
        <v>-1</v>
      </c>
      <c r="Q50" s="3">
        <v>1</v>
      </c>
      <c r="R50" s="3">
        <v>4</v>
      </c>
      <c r="S50" s="3">
        <v>5</v>
      </c>
      <c r="T50" s="3">
        <v>2</v>
      </c>
      <c r="U50" s="3">
        <v>-1</v>
      </c>
      <c r="V50" s="3">
        <v>-1</v>
      </c>
      <c r="W50" s="3">
        <v>900</v>
      </c>
      <c r="X50" s="3" t="s">
        <v>52</v>
      </c>
      <c r="Y50" s="3" t="s">
        <v>53</v>
      </c>
      <c r="Z50" s="3">
        <v>10</v>
      </c>
      <c r="AA50" s="3" t="s">
        <v>755</v>
      </c>
      <c r="AB50" s="3">
        <v>999</v>
      </c>
      <c r="AC50" s="3" t="s">
        <v>59</v>
      </c>
      <c r="AD50" s="3" t="s">
        <v>59</v>
      </c>
      <c r="AE50" s="3" t="s">
        <v>59</v>
      </c>
      <c r="AF50" s="3">
        <v>0</v>
      </c>
      <c r="AG50" s="3" t="s">
        <v>59</v>
      </c>
      <c r="AH50" s="3" t="s">
        <v>59</v>
      </c>
      <c r="AI50" s="3" t="s">
        <v>59</v>
      </c>
      <c r="AJ50" s="3">
        <v>0</v>
      </c>
      <c r="AK50" s="3">
        <v>-1</v>
      </c>
      <c r="AL50" s="3">
        <v>-1</v>
      </c>
      <c r="AM50" s="3">
        <v>-1</v>
      </c>
      <c r="AN50" s="3">
        <v>-1</v>
      </c>
      <c r="AO50" s="3">
        <v>-1</v>
      </c>
      <c r="AP50" s="3">
        <v>-1</v>
      </c>
    </row>
    <row r="51" spans="1:42" x14ac:dyDescent="0.25">
      <c r="A51" s="3">
        <v>49</v>
      </c>
      <c r="B51" s="3" t="str">
        <f>VLOOKUP(E51,[1]recipe!$A$2:$D$500,3,FALSE)</f>
        <v>!!FOOD_BAKED_COCONUTCOBBLER</v>
      </c>
      <c r="C51" s="3" t="s">
        <v>756</v>
      </c>
      <c r="D51" s="3" t="s">
        <v>51</v>
      </c>
      <c r="E51" s="3">
        <v>80002</v>
      </c>
      <c r="F51" s="3">
        <v>80002</v>
      </c>
      <c r="G51" s="3">
        <v>1024</v>
      </c>
      <c r="H51" s="3" t="str">
        <f>VLOOKUP(G51,[1]building!$A$2:$D$351,3,FALSE)</f>
        <v>!!BLDG_NAME_BAKERY</v>
      </c>
      <c r="I51" s="3">
        <v>10</v>
      </c>
      <c r="J51" s="3">
        <v>1</v>
      </c>
      <c r="K51" s="3">
        <v>80003</v>
      </c>
      <c r="L51" s="3">
        <v>10006</v>
      </c>
      <c r="M51" s="3">
        <v>10003</v>
      </c>
      <c r="N51" s="3">
        <v>10007</v>
      </c>
      <c r="O51" s="3">
        <v>-1</v>
      </c>
      <c r="P51" s="3">
        <v>-1</v>
      </c>
      <c r="Q51" s="3">
        <v>3</v>
      </c>
      <c r="R51" s="3">
        <v>1</v>
      </c>
      <c r="S51" s="3">
        <v>3</v>
      </c>
      <c r="T51" s="3">
        <v>1</v>
      </c>
      <c r="U51" s="3">
        <v>-1</v>
      </c>
      <c r="V51" s="3">
        <v>-1</v>
      </c>
      <c r="W51" s="3">
        <v>86400</v>
      </c>
      <c r="X51" s="3" t="s">
        <v>52</v>
      </c>
      <c r="Y51" s="3" t="s">
        <v>53</v>
      </c>
      <c r="Z51" s="3">
        <v>10</v>
      </c>
      <c r="AA51" s="3" t="s">
        <v>756</v>
      </c>
      <c r="AB51" s="3">
        <v>999</v>
      </c>
      <c r="AC51" s="3" t="s">
        <v>59</v>
      </c>
      <c r="AD51" s="3" t="s">
        <v>59</v>
      </c>
      <c r="AE51" s="3" t="s">
        <v>59</v>
      </c>
      <c r="AF51" s="3">
        <v>0</v>
      </c>
      <c r="AG51" s="3" t="s">
        <v>59</v>
      </c>
      <c r="AH51" s="3" t="s">
        <v>59</v>
      </c>
      <c r="AI51" s="3" t="s">
        <v>59</v>
      </c>
      <c r="AJ51" s="3">
        <v>0</v>
      </c>
      <c r="AK51" s="3">
        <v>-1</v>
      </c>
      <c r="AL51" s="3">
        <v>-1</v>
      </c>
      <c r="AM51" s="3">
        <v>-1</v>
      </c>
      <c r="AN51" s="3">
        <v>-1</v>
      </c>
      <c r="AO51" s="3">
        <v>-1</v>
      </c>
      <c r="AP51" s="3">
        <v>-1</v>
      </c>
    </row>
    <row r="52" spans="1:42" x14ac:dyDescent="0.25">
      <c r="A52" s="3">
        <v>50</v>
      </c>
      <c r="B52" s="3" t="str">
        <f>VLOOKUP(E52,[1]recipe!$A$2:$D$500,3,FALSE)</f>
        <v>!!FOOD_BAKED_CORALCRUMBLE</v>
      </c>
      <c r="C52" s="3" t="s">
        <v>757</v>
      </c>
      <c r="D52" s="3" t="s">
        <v>51</v>
      </c>
      <c r="E52" s="3">
        <v>80003</v>
      </c>
      <c r="F52" s="3">
        <v>80003</v>
      </c>
      <c r="G52" s="3">
        <v>1024</v>
      </c>
      <c r="H52" s="3" t="str">
        <f>VLOOKUP(G52,[1]building!$A$2:$D$351,3,FALSE)</f>
        <v>!!BLDG_NAME_BAKERY</v>
      </c>
      <c r="I52" s="3">
        <v>1</v>
      </c>
      <c r="J52" s="3">
        <v>1</v>
      </c>
      <c r="K52" s="3">
        <v>2001</v>
      </c>
      <c r="L52" s="3">
        <v>-1</v>
      </c>
      <c r="M52" s="3">
        <v>-1</v>
      </c>
      <c r="N52" s="3">
        <v>-1</v>
      </c>
      <c r="O52" s="3">
        <v>-1</v>
      </c>
      <c r="P52" s="3">
        <v>-1</v>
      </c>
      <c r="Q52" s="3">
        <v>4</v>
      </c>
      <c r="R52" s="3">
        <v>-1</v>
      </c>
      <c r="S52" s="3">
        <v>-1</v>
      </c>
      <c r="T52" s="3">
        <v>-1</v>
      </c>
      <c r="U52" s="3">
        <v>-1</v>
      </c>
      <c r="V52" s="3">
        <v>-1</v>
      </c>
      <c r="W52" s="3">
        <v>300</v>
      </c>
      <c r="X52" s="3" t="s">
        <v>52</v>
      </c>
      <c r="Y52" s="3" t="s">
        <v>53</v>
      </c>
      <c r="Z52" s="3">
        <v>14</v>
      </c>
      <c r="AA52" s="3" t="s">
        <v>757</v>
      </c>
      <c r="AB52" s="3">
        <v>999</v>
      </c>
      <c r="AC52" s="3" t="s">
        <v>59</v>
      </c>
      <c r="AD52" s="3" t="s">
        <v>59</v>
      </c>
      <c r="AE52" s="3" t="s">
        <v>59</v>
      </c>
      <c r="AF52" s="3">
        <v>0</v>
      </c>
      <c r="AG52" s="3" t="s">
        <v>59</v>
      </c>
      <c r="AH52" s="3" t="s">
        <v>59</v>
      </c>
      <c r="AI52" s="3" t="s">
        <v>59</v>
      </c>
      <c r="AJ52" s="3">
        <v>0</v>
      </c>
      <c r="AK52" s="3">
        <v>-1</v>
      </c>
      <c r="AL52" s="3">
        <v>-1</v>
      </c>
      <c r="AM52" s="3">
        <v>-1</v>
      </c>
      <c r="AN52" s="3">
        <v>-1</v>
      </c>
      <c r="AO52" s="3">
        <v>-1</v>
      </c>
      <c r="AP52" s="3">
        <v>-1</v>
      </c>
    </row>
    <row r="53" spans="1:42" x14ac:dyDescent="0.25">
      <c r="A53" s="3">
        <v>51</v>
      </c>
      <c r="B53" s="3" t="str">
        <f>VLOOKUP(E53,[1]recipe!$A$2:$D$500,3,FALSE)</f>
        <v>!!FOOD_BAKED_DUTCHMANSDUTCHAPPLEPIE</v>
      </c>
      <c r="C53" s="3" t="s">
        <v>758</v>
      </c>
      <c r="D53" s="3" t="s">
        <v>51</v>
      </c>
      <c r="E53" s="3">
        <v>80004</v>
      </c>
      <c r="F53" s="3">
        <v>80004</v>
      </c>
      <c r="G53" s="3">
        <v>1024</v>
      </c>
      <c r="H53" s="3" t="str">
        <f>VLOOKUP(G53,[1]building!$A$2:$D$351,3,FALSE)</f>
        <v>!!BLDG_NAME_BAKERY</v>
      </c>
      <c r="I53" s="3">
        <v>5</v>
      </c>
      <c r="J53" s="3">
        <v>1</v>
      </c>
      <c r="K53" s="3">
        <v>80007</v>
      </c>
      <c r="L53" s="3">
        <v>10001</v>
      </c>
      <c r="M53" s="3">
        <v>-1</v>
      </c>
      <c r="N53" s="3">
        <v>-1</v>
      </c>
      <c r="O53" s="3">
        <v>-1</v>
      </c>
      <c r="P53" s="3">
        <v>-1</v>
      </c>
      <c r="Q53" s="3">
        <v>1</v>
      </c>
      <c r="R53" s="3">
        <v>1</v>
      </c>
      <c r="S53" s="3">
        <v>-1</v>
      </c>
      <c r="T53" s="3">
        <v>-1</v>
      </c>
      <c r="U53" s="3">
        <v>-1</v>
      </c>
      <c r="V53" s="3">
        <v>-1</v>
      </c>
      <c r="W53" s="3">
        <v>1800</v>
      </c>
      <c r="X53" s="3" t="s">
        <v>52</v>
      </c>
      <c r="Y53" s="3" t="s">
        <v>53</v>
      </c>
      <c r="Z53" s="3">
        <v>10</v>
      </c>
      <c r="AA53" s="3" t="s">
        <v>758</v>
      </c>
      <c r="AB53" s="3">
        <v>999</v>
      </c>
      <c r="AC53" s="3" t="s">
        <v>59</v>
      </c>
      <c r="AD53" s="3" t="s">
        <v>59</v>
      </c>
      <c r="AE53" s="3" t="s">
        <v>59</v>
      </c>
      <c r="AF53" s="3">
        <v>0</v>
      </c>
      <c r="AG53" s="3" t="s">
        <v>59</v>
      </c>
      <c r="AH53" s="3" t="s">
        <v>59</v>
      </c>
      <c r="AI53" s="3" t="s">
        <v>59</v>
      </c>
      <c r="AJ53" s="3">
        <v>0</v>
      </c>
      <c r="AK53" s="3">
        <v>-1</v>
      </c>
      <c r="AL53" s="3">
        <v>-1</v>
      </c>
      <c r="AM53" s="3">
        <v>-1</v>
      </c>
      <c r="AN53" s="3">
        <v>-1</v>
      </c>
      <c r="AO53" s="3">
        <v>-1</v>
      </c>
      <c r="AP53" s="3">
        <v>-1</v>
      </c>
    </row>
    <row r="54" spans="1:42" x14ac:dyDescent="0.25">
      <c r="A54" s="3">
        <v>52</v>
      </c>
      <c r="B54" s="3" t="str">
        <f>VLOOKUP(E54,[1]recipe!$A$2:$D$500,3,FALSE)</f>
        <v>!!FOOD_BAKED_EVERYVILLAINISLEMONBAR</v>
      </c>
      <c r="C54" s="3" t="s">
        <v>759</v>
      </c>
      <c r="D54" s="3" t="s">
        <v>51</v>
      </c>
      <c r="E54" s="3">
        <v>80005</v>
      </c>
      <c r="F54" s="3">
        <v>80005</v>
      </c>
      <c r="G54" s="3">
        <v>1024</v>
      </c>
      <c r="H54" s="3" t="str">
        <f>VLOOKUP(G54,[1]building!$A$2:$D$351,3,FALSE)</f>
        <v>!!BLDG_NAME_BAKERY</v>
      </c>
      <c r="I54" s="3">
        <v>5</v>
      </c>
      <c r="J54" s="3">
        <v>1</v>
      </c>
      <c r="K54" s="3">
        <v>80003</v>
      </c>
      <c r="L54" s="3">
        <v>10004</v>
      </c>
      <c r="M54" s="3">
        <v>10003</v>
      </c>
      <c r="N54" s="3">
        <v>-1</v>
      </c>
      <c r="O54" s="3">
        <v>-1</v>
      </c>
      <c r="P54" s="3">
        <v>-1</v>
      </c>
      <c r="Q54" s="3">
        <v>1</v>
      </c>
      <c r="R54" s="3">
        <v>4</v>
      </c>
      <c r="S54" s="3">
        <v>1</v>
      </c>
      <c r="T54" s="3">
        <v>-1</v>
      </c>
      <c r="U54" s="3">
        <v>-1</v>
      </c>
      <c r="V54" s="3">
        <v>-1</v>
      </c>
      <c r="W54" s="3">
        <v>1800</v>
      </c>
      <c r="X54" s="3" t="s">
        <v>52</v>
      </c>
      <c r="Y54" s="3" t="s">
        <v>53</v>
      </c>
      <c r="Z54" s="3">
        <v>10</v>
      </c>
      <c r="AA54" s="3" t="s">
        <v>759</v>
      </c>
      <c r="AB54" s="3">
        <v>999</v>
      </c>
      <c r="AC54" s="3" t="s">
        <v>59</v>
      </c>
      <c r="AD54" s="3" t="s">
        <v>59</v>
      </c>
      <c r="AE54" s="3" t="s">
        <v>59</v>
      </c>
      <c r="AF54" s="3">
        <v>0</v>
      </c>
      <c r="AG54" s="3" t="s">
        <v>59</v>
      </c>
      <c r="AH54" s="3" t="s">
        <v>59</v>
      </c>
      <c r="AI54" s="3" t="s">
        <v>59</v>
      </c>
      <c r="AJ54" s="3">
        <v>0</v>
      </c>
      <c r="AK54" s="3">
        <v>-1</v>
      </c>
      <c r="AL54" s="3">
        <v>-1</v>
      </c>
      <c r="AM54" s="3">
        <v>-1</v>
      </c>
      <c r="AN54" s="3">
        <v>-1</v>
      </c>
      <c r="AO54" s="3">
        <v>-1</v>
      </c>
      <c r="AP54" s="3">
        <v>-1</v>
      </c>
    </row>
    <row r="55" spans="1:42" x14ac:dyDescent="0.25">
      <c r="A55" s="3">
        <v>53</v>
      </c>
      <c r="B55" s="3" t="str">
        <f>VLOOKUP(E55,[1]recipe!$A$2:$D$500,3,FALSE)</f>
        <v>!!FOOD_BAKED_FERRYCHERRYCHEESECAKE</v>
      </c>
      <c r="C55" s="3" t="s">
        <v>49</v>
      </c>
      <c r="D55" s="3" t="s">
        <v>51</v>
      </c>
      <c r="E55" s="3">
        <v>80006</v>
      </c>
      <c r="F55" s="3">
        <v>80006</v>
      </c>
      <c r="G55" s="3">
        <v>1024</v>
      </c>
      <c r="H55" s="3" t="str">
        <f>VLOOKUP(G55,[1]building!$A$2:$D$351,3,FALSE)</f>
        <v>!!BLDG_NAME_BAKERY</v>
      </c>
      <c r="I55" s="3">
        <v>6</v>
      </c>
      <c r="J55" s="3">
        <v>1</v>
      </c>
      <c r="K55" s="3">
        <v>80003</v>
      </c>
      <c r="L55" s="3">
        <v>80007</v>
      </c>
      <c r="M55" s="3">
        <v>10002</v>
      </c>
      <c r="N55" s="3">
        <v>-1</v>
      </c>
      <c r="O55" s="3">
        <v>-1</v>
      </c>
      <c r="P55" s="3">
        <v>-1</v>
      </c>
      <c r="Q55" s="3">
        <v>1</v>
      </c>
      <c r="R55" s="3">
        <v>1</v>
      </c>
      <c r="S55" s="3">
        <v>6</v>
      </c>
      <c r="T55" s="3">
        <v>-1</v>
      </c>
      <c r="U55" s="3">
        <v>-1</v>
      </c>
      <c r="V55" s="3">
        <v>-1</v>
      </c>
      <c r="W55" s="3">
        <v>3600</v>
      </c>
      <c r="X55" s="3" t="s">
        <v>52</v>
      </c>
      <c r="Y55" s="3" t="s">
        <v>53</v>
      </c>
      <c r="Z55" s="3">
        <v>10</v>
      </c>
      <c r="AA55" s="3" t="s">
        <v>49</v>
      </c>
      <c r="AB55" s="3">
        <v>999</v>
      </c>
      <c r="AC55" s="3" t="s">
        <v>59</v>
      </c>
      <c r="AD55" s="3" t="s">
        <v>59</v>
      </c>
      <c r="AE55" s="3" t="s">
        <v>59</v>
      </c>
      <c r="AF55" s="3">
        <v>0</v>
      </c>
      <c r="AG55" s="3" t="s">
        <v>59</v>
      </c>
      <c r="AH55" s="3" t="s">
        <v>59</v>
      </c>
      <c r="AI55" s="3" t="s">
        <v>59</v>
      </c>
      <c r="AJ55" s="3">
        <v>0</v>
      </c>
      <c r="AK55" s="3">
        <v>-1</v>
      </c>
      <c r="AL55" s="3">
        <v>-1</v>
      </c>
      <c r="AM55" s="3">
        <v>-1</v>
      </c>
      <c r="AN55" s="3">
        <v>-1</v>
      </c>
      <c r="AO55" s="3">
        <v>-1</v>
      </c>
      <c r="AP55" s="3">
        <v>-1</v>
      </c>
    </row>
    <row r="56" spans="1:42" x14ac:dyDescent="0.25">
      <c r="A56" s="3">
        <v>54</v>
      </c>
      <c r="B56" s="3" t="str">
        <f>VLOOKUP(E56,[1]recipe!$A$2:$D$500,3,FALSE)</f>
        <v>!!FOOD_BAKED_KELPYCRUST</v>
      </c>
      <c r="C56" s="3" t="s">
        <v>760</v>
      </c>
      <c r="D56" s="3" t="s">
        <v>51</v>
      </c>
      <c r="E56" s="3">
        <v>80007</v>
      </c>
      <c r="F56" s="3">
        <v>80007</v>
      </c>
      <c r="G56" s="3">
        <v>1024</v>
      </c>
      <c r="H56" s="3" t="str">
        <f>VLOOKUP(G56,[1]building!$A$2:$D$351,3,FALSE)</f>
        <v>!!BLDG_NAME_BAKERY</v>
      </c>
      <c r="I56" s="3">
        <v>5</v>
      </c>
      <c r="J56" s="3">
        <v>1</v>
      </c>
      <c r="K56" s="3">
        <v>14</v>
      </c>
      <c r="L56" s="3">
        <v>-1</v>
      </c>
      <c r="M56" s="3">
        <v>-1</v>
      </c>
      <c r="N56" s="3">
        <v>-1</v>
      </c>
      <c r="O56" s="3">
        <v>-1</v>
      </c>
      <c r="P56" s="3">
        <v>-1</v>
      </c>
      <c r="Q56" s="3">
        <v>5</v>
      </c>
      <c r="R56" s="3">
        <v>-1</v>
      </c>
      <c r="S56" s="3">
        <v>-1</v>
      </c>
      <c r="T56" s="3">
        <v>-1</v>
      </c>
      <c r="U56" s="3">
        <v>-1</v>
      </c>
      <c r="V56" s="3">
        <v>-1</v>
      </c>
      <c r="W56" s="3">
        <v>600</v>
      </c>
      <c r="X56" s="3" t="s">
        <v>52</v>
      </c>
      <c r="Y56" s="3" t="s">
        <v>53</v>
      </c>
      <c r="Z56" s="3">
        <v>10</v>
      </c>
      <c r="AA56" s="3" t="s">
        <v>760</v>
      </c>
      <c r="AB56" s="3">
        <v>999</v>
      </c>
      <c r="AC56" s="3" t="s">
        <v>59</v>
      </c>
      <c r="AD56" s="3" t="s">
        <v>59</v>
      </c>
      <c r="AE56" s="3" t="s">
        <v>59</v>
      </c>
      <c r="AF56" s="3">
        <v>0</v>
      </c>
      <c r="AG56" s="3" t="s">
        <v>59</v>
      </c>
      <c r="AH56" s="3" t="s">
        <v>59</v>
      </c>
      <c r="AI56" s="3" t="s">
        <v>59</v>
      </c>
      <c r="AJ56" s="3">
        <v>0</v>
      </c>
      <c r="AK56" s="3">
        <v>-1</v>
      </c>
      <c r="AL56" s="3">
        <v>-1</v>
      </c>
      <c r="AM56" s="3">
        <v>-1</v>
      </c>
      <c r="AN56" s="3">
        <v>-1</v>
      </c>
      <c r="AO56" s="3">
        <v>-1</v>
      </c>
      <c r="AP56" s="3">
        <v>-1</v>
      </c>
    </row>
    <row r="57" spans="1:42" x14ac:dyDescent="0.25">
      <c r="A57" s="3">
        <v>55</v>
      </c>
      <c r="B57" s="3" t="str">
        <f>VLOOKUP(E57,[1]recipe!$A$2:$D$500,3,FALSE)</f>
        <v>!!FOOD_BAKED_LIFESABEACHPEACHCOBBLER</v>
      </c>
      <c r="C57" s="3" t="s">
        <v>761</v>
      </c>
      <c r="D57" s="3" t="s">
        <v>51</v>
      </c>
      <c r="E57" s="3">
        <v>80008</v>
      </c>
      <c r="F57" s="3">
        <v>80008</v>
      </c>
      <c r="G57" s="3">
        <v>1024</v>
      </c>
      <c r="H57" s="3" t="str">
        <f>VLOOKUP(G57,[1]building!$A$2:$D$351,3,FALSE)</f>
        <v>!!BLDG_NAME_BAKERY</v>
      </c>
      <c r="I57" s="3">
        <v>5</v>
      </c>
      <c r="J57" s="3">
        <v>1</v>
      </c>
      <c r="K57" s="3">
        <v>80003</v>
      </c>
      <c r="L57" s="3">
        <v>10007</v>
      </c>
      <c r="M57" s="3">
        <v>-1</v>
      </c>
      <c r="N57" s="3">
        <v>-1</v>
      </c>
      <c r="O57" s="3">
        <v>-1</v>
      </c>
      <c r="P57" s="3">
        <v>-1</v>
      </c>
      <c r="Q57" s="3">
        <v>4</v>
      </c>
      <c r="R57" s="3">
        <v>4</v>
      </c>
      <c r="S57" s="3">
        <v>-1</v>
      </c>
      <c r="T57" s="3">
        <v>-1</v>
      </c>
      <c r="U57" s="3">
        <v>-1</v>
      </c>
      <c r="V57" s="3">
        <v>-1</v>
      </c>
      <c r="W57" s="3">
        <v>3600</v>
      </c>
      <c r="X57" s="3" t="s">
        <v>52</v>
      </c>
      <c r="Y57" s="3" t="s">
        <v>53</v>
      </c>
      <c r="Z57" s="3">
        <v>10</v>
      </c>
      <c r="AA57" s="3" t="s">
        <v>761</v>
      </c>
      <c r="AB57" s="3">
        <v>999</v>
      </c>
      <c r="AC57" s="3" t="s">
        <v>59</v>
      </c>
      <c r="AD57" s="3" t="s">
        <v>59</v>
      </c>
      <c r="AE57" s="3" t="s">
        <v>59</v>
      </c>
      <c r="AF57" s="3">
        <v>0</v>
      </c>
      <c r="AG57" s="3" t="s">
        <v>59</v>
      </c>
      <c r="AH57" s="3" t="s">
        <v>59</v>
      </c>
      <c r="AI57" s="3" t="s">
        <v>59</v>
      </c>
      <c r="AJ57" s="3">
        <v>0</v>
      </c>
      <c r="AK57" s="3">
        <v>-1</v>
      </c>
      <c r="AL57" s="3">
        <v>-1</v>
      </c>
      <c r="AM57" s="3">
        <v>-1</v>
      </c>
      <c r="AN57" s="3">
        <v>-1</v>
      </c>
      <c r="AO57" s="3">
        <v>-1</v>
      </c>
      <c r="AP57" s="3">
        <v>-1</v>
      </c>
    </row>
    <row r="58" spans="1:42" x14ac:dyDescent="0.25">
      <c r="A58" s="3">
        <v>56</v>
      </c>
      <c r="B58" s="3" t="str">
        <f>VLOOKUP(E58,[1]recipe!$A$2:$D$500,3,FALSE)</f>
        <v>!!FOOD_BAKED_MAROONEDMACAROONS</v>
      </c>
      <c r="C58" s="3" t="s">
        <v>762</v>
      </c>
      <c r="D58" s="3" t="s">
        <v>51</v>
      </c>
      <c r="E58" s="3">
        <v>80009</v>
      </c>
      <c r="F58" s="3">
        <v>80009</v>
      </c>
      <c r="G58" s="3">
        <v>1024</v>
      </c>
      <c r="H58" s="3" t="str">
        <f>VLOOKUP(G58,[1]building!$A$2:$D$351,3,FALSE)</f>
        <v>!!BLDG_NAME_BAKERY</v>
      </c>
      <c r="I58" s="3">
        <v>6</v>
      </c>
      <c r="J58" s="3">
        <v>1</v>
      </c>
      <c r="K58" s="3">
        <v>10003</v>
      </c>
      <c r="L58" s="3">
        <v>-1</v>
      </c>
      <c r="M58" s="3">
        <v>-1</v>
      </c>
      <c r="N58" s="3">
        <v>-1</v>
      </c>
      <c r="O58" s="3">
        <v>-1</v>
      </c>
      <c r="P58" s="3">
        <v>-1</v>
      </c>
      <c r="Q58" s="3">
        <v>6</v>
      </c>
      <c r="R58" s="3">
        <v>-1</v>
      </c>
      <c r="S58" s="3">
        <v>-1</v>
      </c>
      <c r="T58" s="3">
        <v>-1</v>
      </c>
      <c r="U58" s="3">
        <v>-1</v>
      </c>
      <c r="V58" s="3">
        <v>-1</v>
      </c>
      <c r="W58" s="3">
        <v>7200</v>
      </c>
      <c r="X58" s="3" t="s">
        <v>52</v>
      </c>
      <c r="Y58" s="3" t="s">
        <v>53</v>
      </c>
      <c r="Z58" s="3">
        <v>10</v>
      </c>
      <c r="AA58" s="3" t="s">
        <v>762</v>
      </c>
      <c r="AB58" s="3">
        <v>999</v>
      </c>
      <c r="AC58" s="3" t="s">
        <v>59</v>
      </c>
      <c r="AD58" s="3" t="s">
        <v>59</v>
      </c>
      <c r="AE58" s="3" t="s">
        <v>59</v>
      </c>
      <c r="AF58" s="3">
        <v>0</v>
      </c>
      <c r="AG58" s="3" t="s">
        <v>59</v>
      </c>
      <c r="AH58" s="3" t="s">
        <v>59</v>
      </c>
      <c r="AI58" s="3" t="s">
        <v>59</v>
      </c>
      <c r="AJ58" s="3">
        <v>0</v>
      </c>
      <c r="AK58" s="3">
        <v>-1</v>
      </c>
      <c r="AL58" s="3">
        <v>-1</v>
      </c>
      <c r="AM58" s="3">
        <v>-1</v>
      </c>
      <c r="AN58" s="3">
        <v>-1</v>
      </c>
      <c r="AO58" s="3">
        <v>-1</v>
      </c>
      <c r="AP58" s="3">
        <v>-1</v>
      </c>
    </row>
    <row r="59" spans="1:42" x14ac:dyDescent="0.25">
      <c r="A59" s="3">
        <v>57</v>
      </c>
      <c r="B59" s="3" t="str">
        <f>VLOOKUP(E59,[1]recipe!$A$2:$D$500,3,FALSE)</f>
        <v>!!FOOD_BAKED_MERINGUELEMANRAY</v>
      </c>
      <c r="C59" s="3" t="s">
        <v>763</v>
      </c>
      <c r="D59" s="3" t="s">
        <v>51</v>
      </c>
      <c r="E59" s="3">
        <v>80010</v>
      </c>
      <c r="F59" s="3">
        <v>80010</v>
      </c>
      <c r="G59" s="3">
        <v>1024</v>
      </c>
      <c r="H59" s="3" t="str">
        <f>VLOOKUP(G59,[1]building!$A$2:$D$351,3,FALSE)</f>
        <v>!!BLDG_NAME_BAKERY</v>
      </c>
      <c r="I59" s="3">
        <v>8</v>
      </c>
      <c r="J59" s="3">
        <v>1</v>
      </c>
      <c r="K59" s="3">
        <v>80007</v>
      </c>
      <c r="L59" s="3">
        <v>10000</v>
      </c>
      <c r="M59" s="3">
        <v>10004</v>
      </c>
      <c r="N59" s="3">
        <v>10003</v>
      </c>
      <c r="O59" s="3">
        <v>-1</v>
      </c>
      <c r="P59" s="3">
        <v>-1</v>
      </c>
      <c r="Q59" s="3">
        <v>1</v>
      </c>
      <c r="R59" s="3">
        <v>1</v>
      </c>
      <c r="S59" s="3">
        <v>8</v>
      </c>
      <c r="T59" s="3">
        <v>4</v>
      </c>
      <c r="U59" s="3">
        <v>-1</v>
      </c>
      <c r="V59" s="3">
        <v>-1</v>
      </c>
      <c r="W59" s="3">
        <v>21600</v>
      </c>
      <c r="X59" s="3" t="s">
        <v>52</v>
      </c>
      <c r="Y59" s="3" t="s">
        <v>53</v>
      </c>
      <c r="Z59" s="3">
        <v>10</v>
      </c>
      <c r="AA59" s="3" t="s">
        <v>763</v>
      </c>
      <c r="AB59" s="3">
        <v>999</v>
      </c>
      <c r="AC59" s="3" t="s">
        <v>59</v>
      </c>
      <c r="AD59" s="3" t="s">
        <v>59</v>
      </c>
      <c r="AE59" s="3" t="s">
        <v>59</v>
      </c>
      <c r="AF59" s="3">
        <v>0</v>
      </c>
      <c r="AG59" s="3" t="s">
        <v>59</v>
      </c>
      <c r="AH59" s="3" t="s">
        <v>59</v>
      </c>
      <c r="AI59" s="3" t="s">
        <v>59</v>
      </c>
      <c r="AJ59" s="3">
        <v>0</v>
      </c>
      <c r="AK59" s="3">
        <v>-1</v>
      </c>
      <c r="AL59" s="3">
        <v>-1</v>
      </c>
      <c r="AM59" s="3">
        <v>-1</v>
      </c>
      <c r="AN59" s="3">
        <v>-1</v>
      </c>
      <c r="AO59" s="3">
        <v>-1</v>
      </c>
      <c r="AP59" s="3">
        <v>-1</v>
      </c>
    </row>
    <row r="60" spans="1:42" x14ac:dyDescent="0.25">
      <c r="A60" s="3">
        <v>58</v>
      </c>
      <c r="B60" s="3" t="str">
        <f>VLOOKUP(E60,[1]recipe!$A$2:$D$500,3,FALSE)</f>
        <v>!!FOOD_BAKED_PUFFERPASTRYTART</v>
      </c>
      <c r="C60" s="3" t="s">
        <v>764</v>
      </c>
      <c r="D60" s="3" t="s">
        <v>51</v>
      </c>
      <c r="E60" s="3">
        <v>80011</v>
      </c>
      <c r="F60" s="3">
        <v>80011</v>
      </c>
      <c r="G60" s="3">
        <v>1024</v>
      </c>
      <c r="H60" s="3" t="str">
        <f>VLOOKUP(G60,[1]building!$A$2:$D$351,3,FALSE)</f>
        <v>!!BLDG_NAME_BAKERY</v>
      </c>
      <c r="I60" s="3">
        <v>10</v>
      </c>
      <c r="J60" s="3">
        <v>1</v>
      </c>
      <c r="K60" s="3">
        <v>80007</v>
      </c>
      <c r="L60" s="3">
        <v>10004</v>
      </c>
      <c r="M60" s="3">
        <v>10009</v>
      </c>
      <c r="N60" s="3">
        <v>10005</v>
      </c>
      <c r="O60" s="3">
        <v>-1</v>
      </c>
      <c r="P60" s="3">
        <v>-1</v>
      </c>
      <c r="Q60" s="3">
        <v>1</v>
      </c>
      <c r="R60" s="3">
        <v>2</v>
      </c>
      <c r="S60" s="3">
        <v>1</v>
      </c>
      <c r="T60" s="3">
        <v>2</v>
      </c>
      <c r="U60" s="3">
        <v>-1</v>
      </c>
      <c r="V60" s="3">
        <v>-1</v>
      </c>
      <c r="W60" s="3">
        <v>43200</v>
      </c>
      <c r="X60" s="3" t="s">
        <v>52</v>
      </c>
      <c r="Y60" s="3" t="s">
        <v>53</v>
      </c>
      <c r="Z60" s="3">
        <v>10</v>
      </c>
      <c r="AA60" s="3" t="s">
        <v>764</v>
      </c>
      <c r="AB60" s="3">
        <v>999</v>
      </c>
      <c r="AC60" s="3" t="s">
        <v>59</v>
      </c>
      <c r="AD60" s="3" t="s">
        <v>59</v>
      </c>
      <c r="AE60" s="3" t="s">
        <v>59</v>
      </c>
      <c r="AF60" s="3">
        <v>0</v>
      </c>
      <c r="AG60" s="3" t="s">
        <v>59</v>
      </c>
      <c r="AH60" s="3" t="s">
        <v>59</v>
      </c>
      <c r="AI60" s="3" t="s">
        <v>59</v>
      </c>
      <c r="AJ60" s="3">
        <v>0</v>
      </c>
      <c r="AK60" s="3">
        <v>-1</v>
      </c>
      <c r="AL60" s="3">
        <v>-1</v>
      </c>
      <c r="AM60" s="3">
        <v>-1</v>
      </c>
      <c r="AN60" s="3">
        <v>-1</v>
      </c>
      <c r="AO60" s="3">
        <v>-1</v>
      </c>
      <c r="AP60" s="3">
        <v>-1</v>
      </c>
    </row>
    <row r="61" spans="1:42" x14ac:dyDescent="0.25">
      <c r="A61" s="3">
        <v>59</v>
      </c>
      <c r="B61" s="3" t="str">
        <f>VLOOKUP(E61,[1]recipe!$A$2:$D$500,3,FALSE)</f>
        <v>!!FOOD_BAKED_SANDYSTEXASTWOBERRYTART</v>
      </c>
      <c r="C61" s="3" t="s">
        <v>765</v>
      </c>
      <c r="D61" s="3" t="s">
        <v>51</v>
      </c>
      <c r="E61" s="3">
        <v>80012</v>
      </c>
      <c r="F61" s="3">
        <v>80012</v>
      </c>
      <c r="G61" s="3">
        <v>1024</v>
      </c>
      <c r="H61" s="3" t="str">
        <f>VLOOKUP(G61,[1]building!$A$2:$D$351,3,FALSE)</f>
        <v>!!BLDG_NAME_BAKERY</v>
      </c>
      <c r="I61" s="3">
        <v>8</v>
      </c>
      <c r="J61" s="3">
        <v>1</v>
      </c>
      <c r="K61" s="3">
        <v>80007</v>
      </c>
      <c r="L61" s="3">
        <v>10008</v>
      </c>
      <c r="M61" s="3">
        <v>10009</v>
      </c>
      <c r="N61" s="3">
        <v>-1</v>
      </c>
      <c r="O61" s="3">
        <v>-1</v>
      </c>
      <c r="P61" s="3">
        <v>-1</v>
      </c>
      <c r="Q61" s="3">
        <v>1</v>
      </c>
      <c r="R61" s="3">
        <v>3</v>
      </c>
      <c r="S61" s="3">
        <v>3</v>
      </c>
      <c r="T61" s="3">
        <v>-1</v>
      </c>
      <c r="U61" s="3">
        <v>-1</v>
      </c>
      <c r="V61" s="3">
        <v>-1</v>
      </c>
      <c r="W61" s="3">
        <v>21600</v>
      </c>
      <c r="X61" s="3" t="s">
        <v>52</v>
      </c>
      <c r="Y61" s="3" t="s">
        <v>53</v>
      </c>
      <c r="Z61" s="3">
        <v>10</v>
      </c>
      <c r="AA61" s="3" t="s">
        <v>765</v>
      </c>
      <c r="AB61" s="3">
        <v>999</v>
      </c>
      <c r="AC61" s="3" t="s">
        <v>59</v>
      </c>
      <c r="AD61" s="3" t="s">
        <v>59</v>
      </c>
      <c r="AE61" s="3" t="s">
        <v>59</v>
      </c>
      <c r="AF61" s="3">
        <v>0</v>
      </c>
      <c r="AG61" s="3" t="s">
        <v>59</v>
      </c>
      <c r="AH61" s="3" t="s">
        <v>59</v>
      </c>
      <c r="AI61" s="3" t="s">
        <v>59</v>
      </c>
      <c r="AJ61" s="3">
        <v>0</v>
      </c>
      <c r="AK61" s="3">
        <v>-1</v>
      </c>
      <c r="AL61" s="3">
        <v>-1</v>
      </c>
      <c r="AM61" s="3">
        <v>-1</v>
      </c>
      <c r="AN61" s="3">
        <v>-1</v>
      </c>
      <c r="AO61" s="3">
        <v>-1</v>
      </c>
      <c r="AP61" s="3">
        <v>-1</v>
      </c>
    </row>
    <row r="62" spans="1:42" x14ac:dyDescent="0.25">
      <c r="A62" s="3">
        <v>60</v>
      </c>
      <c r="B62" s="3" t="str">
        <f>VLOOKUP(E62,[1]recipe!$A$2:$D$500,3,FALSE)</f>
        <v>!!FOOD_BAKED_SEALIMEPIE</v>
      </c>
      <c r="C62" s="3" t="s">
        <v>766</v>
      </c>
      <c r="D62" s="3" t="s">
        <v>51</v>
      </c>
      <c r="E62" s="3">
        <v>80013</v>
      </c>
      <c r="F62" s="3">
        <v>80013</v>
      </c>
      <c r="G62" s="3">
        <v>1024</v>
      </c>
      <c r="H62" s="3" t="str">
        <f>VLOOKUP(G62,[1]building!$A$2:$D$351,3,FALSE)</f>
        <v>!!BLDG_NAME_BAKERY</v>
      </c>
      <c r="I62" s="3">
        <v>6</v>
      </c>
      <c r="J62" s="3">
        <v>1</v>
      </c>
      <c r="K62" s="3">
        <v>80007</v>
      </c>
      <c r="L62" s="3">
        <v>10005</v>
      </c>
      <c r="M62" s="3">
        <v>-1</v>
      </c>
      <c r="N62" s="3">
        <v>-1</v>
      </c>
      <c r="O62" s="3">
        <v>-1</v>
      </c>
      <c r="P62" s="3">
        <v>-1</v>
      </c>
      <c r="Q62" s="3">
        <v>1</v>
      </c>
      <c r="R62" s="3">
        <v>4</v>
      </c>
      <c r="S62" s="3">
        <v>-1</v>
      </c>
      <c r="T62" s="3">
        <v>-1</v>
      </c>
      <c r="U62" s="3">
        <v>-1</v>
      </c>
      <c r="V62" s="3">
        <v>-1</v>
      </c>
      <c r="W62" s="3">
        <v>7200</v>
      </c>
      <c r="X62" s="3" t="s">
        <v>52</v>
      </c>
      <c r="Y62" s="3" t="s">
        <v>53</v>
      </c>
      <c r="Z62" s="3">
        <v>10</v>
      </c>
      <c r="AA62" s="3" t="s">
        <v>766</v>
      </c>
      <c r="AB62" s="3">
        <v>999</v>
      </c>
      <c r="AC62" s="3" t="s">
        <v>59</v>
      </c>
      <c r="AD62" s="3" t="s">
        <v>59</v>
      </c>
      <c r="AE62" s="3" t="s">
        <v>59</v>
      </c>
      <c r="AF62" s="3">
        <v>0</v>
      </c>
      <c r="AG62" s="3" t="s">
        <v>59</v>
      </c>
      <c r="AH62" s="3" t="s">
        <v>59</v>
      </c>
      <c r="AI62" s="3" t="s">
        <v>59</v>
      </c>
      <c r="AJ62" s="3">
        <v>0</v>
      </c>
      <c r="AK62" s="3">
        <v>-1</v>
      </c>
      <c r="AL62" s="3">
        <v>-1</v>
      </c>
      <c r="AM62" s="3">
        <v>-1</v>
      </c>
      <c r="AN62" s="3">
        <v>-1</v>
      </c>
      <c r="AO62" s="3">
        <v>-1</v>
      </c>
      <c r="AP62" s="3">
        <v>-1</v>
      </c>
    </row>
    <row r="63" spans="1:42" x14ac:dyDescent="0.25">
      <c r="A63" s="3">
        <v>61</v>
      </c>
      <c r="B63" s="3" t="str">
        <f>VLOOKUP(E63,[1]recipe!$A$2:$D$500,3,FALSE)</f>
        <v>!!FOOD_BAKED_SHELDONSSTRAWBERRYSHORTCAKE</v>
      </c>
      <c r="C63" s="3" t="s">
        <v>767</v>
      </c>
      <c r="D63" s="3" t="s">
        <v>51</v>
      </c>
      <c r="E63" s="3">
        <v>80014</v>
      </c>
      <c r="F63" s="3">
        <v>80014</v>
      </c>
      <c r="G63" s="3">
        <v>1024</v>
      </c>
      <c r="H63" s="3" t="str">
        <f>VLOOKUP(G63,[1]building!$A$2:$D$351,3,FALSE)</f>
        <v>!!BLDG_NAME_BAKERY</v>
      </c>
      <c r="I63" s="3">
        <v>10</v>
      </c>
      <c r="J63" s="3">
        <v>1</v>
      </c>
      <c r="K63" s="3">
        <v>80015</v>
      </c>
      <c r="L63" s="3">
        <v>10008</v>
      </c>
      <c r="M63" s="3">
        <v>-1</v>
      </c>
      <c r="N63" s="3">
        <v>-1</v>
      </c>
      <c r="O63" s="3">
        <v>-1</v>
      </c>
      <c r="P63" s="3">
        <v>-1</v>
      </c>
      <c r="Q63" s="3">
        <v>1</v>
      </c>
      <c r="R63" s="3">
        <v>6</v>
      </c>
      <c r="S63" s="3">
        <v>-1</v>
      </c>
      <c r="T63" s="3">
        <v>-1</v>
      </c>
      <c r="U63" s="3">
        <v>-1</v>
      </c>
      <c r="V63" s="3">
        <v>-1</v>
      </c>
      <c r="W63" s="3">
        <v>43200</v>
      </c>
      <c r="X63" s="3" t="s">
        <v>52</v>
      </c>
      <c r="Y63" s="3" t="s">
        <v>53</v>
      </c>
      <c r="Z63" s="3">
        <v>10</v>
      </c>
      <c r="AA63" s="3" t="s">
        <v>767</v>
      </c>
      <c r="AB63" s="3">
        <v>999</v>
      </c>
      <c r="AC63" s="3" t="s">
        <v>59</v>
      </c>
      <c r="AD63" s="3" t="s">
        <v>59</v>
      </c>
      <c r="AE63" s="3" t="s">
        <v>59</v>
      </c>
      <c r="AF63" s="3">
        <v>0</v>
      </c>
      <c r="AG63" s="3" t="s">
        <v>59</v>
      </c>
      <c r="AH63" s="3" t="s">
        <v>59</v>
      </c>
      <c r="AI63" s="3" t="s">
        <v>59</v>
      </c>
      <c r="AJ63" s="3">
        <v>0</v>
      </c>
      <c r="AK63" s="3">
        <v>-1</v>
      </c>
      <c r="AL63" s="3">
        <v>-1</v>
      </c>
      <c r="AM63" s="3">
        <v>-1</v>
      </c>
      <c r="AN63" s="3">
        <v>-1</v>
      </c>
      <c r="AO63" s="3">
        <v>-1</v>
      </c>
      <c r="AP63" s="3">
        <v>-1</v>
      </c>
    </row>
    <row r="64" spans="1:42" x14ac:dyDescent="0.25">
      <c r="A64" s="3">
        <v>62</v>
      </c>
      <c r="B64" s="3" t="str">
        <f>VLOOKUP(E64,[1]recipe!$A$2:$D$500,3,FALSE)</f>
        <v>!!FOOD_BAKED_SPONGECAKESQUAREBAKE</v>
      </c>
      <c r="C64" s="3" t="s">
        <v>768</v>
      </c>
      <c r="D64" s="3" t="s">
        <v>51</v>
      </c>
      <c r="E64" s="3">
        <v>80015</v>
      </c>
      <c r="F64" s="3">
        <v>80015</v>
      </c>
      <c r="G64" s="3">
        <v>1024</v>
      </c>
      <c r="H64" s="3" t="str">
        <f>VLOOKUP(G64,[1]building!$A$2:$D$351,3,FALSE)</f>
        <v>!!BLDG_NAME_BAKERY</v>
      </c>
      <c r="I64" s="3">
        <v>1</v>
      </c>
      <c r="J64" s="3">
        <v>1</v>
      </c>
      <c r="K64" s="3">
        <v>3</v>
      </c>
      <c r="L64" s="3">
        <v>-1</v>
      </c>
      <c r="M64" s="3">
        <v>-1</v>
      </c>
      <c r="N64" s="3">
        <v>-1</v>
      </c>
      <c r="O64" s="3">
        <v>-1</v>
      </c>
      <c r="P64" s="3">
        <v>-1</v>
      </c>
      <c r="Q64" s="3">
        <v>25</v>
      </c>
      <c r="R64" s="3">
        <v>-1</v>
      </c>
      <c r="S64" s="3">
        <v>-1</v>
      </c>
      <c r="T64" s="3">
        <v>-1</v>
      </c>
      <c r="U64" s="3">
        <v>-1</v>
      </c>
      <c r="V64" s="3">
        <v>-1</v>
      </c>
      <c r="W64" s="3">
        <v>900</v>
      </c>
      <c r="X64" s="3" t="s">
        <v>52</v>
      </c>
      <c r="Y64" s="3" t="s">
        <v>53</v>
      </c>
      <c r="Z64" s="3">
        <v>8</v>
      </c>
      <c r="AA64" s="3" t="s">
        <v>768</v>
      </c>
      <c r="AB64" s="3">
        <v>999</v>
      </c>
      <c r="AC64" s="3" t="s">
        <v>59</v>
      </c>
      <c r="AD64" s="3" t="s">
        <v>59</v>
      </c>
      <c r="AE64" s="3" t="s">
        <v>59</v>
      </c>
      <c r="AF64" s="3">
        <v>0</v>
      </c>
      <c r="AG64" s="3" t="s">
        <v>59</v>
      </c>
      <c r="AH64" s="3" t="s">
        <v>59</v>
      </c>
      <c r="AI64" s="3" t="s">
        <v>59</v>
      </c>
      <c r="AJ64" s="3">
        <v>0</v>
      </c>
      <c r="AK64" s="3">
        <v>-1</v>
      </c>
      <c r="AL64" s="3">
        <v>-1</v>
      </c>
      <c r="AM64" s="3">
        <v>-1</v>
      </c>
      <c r="AN64" s="3">
        <v>-1</v>
      </c>
      <c r="AO64" s="3">
        <v>-1</v>
      </c>
      <c r="AP64" s="3">
        <v>-1</v>
      </c>
    </row>
    <row r="65" spans="1:42" x14ac:dyDescent="0.25">
      <c r="A65" s="3">
        <v>63</v>
      </c>
      <c r="B65" s="3" t="str">
        <f>VLOOKUP(E65,[1]recipe!$A$2:$D$500,3,FALSE)</f>
        <v>!!FOOD_BAKED_THEAPPLEFANCYSON</v>
      </c>
      <c r="C65" s="3" t="s">
        <v>769</v>
      </c>
      <c r="D65" s="3" t="s">
        <v>51</v>
      </c>
      <c r="E65" s="3">
        <v>80016</v>
      </c>
      <c r="F65" s="3">
        <v>80016</v>
      </c>
      <c r="G65" s="3">
        <v>1024</v>
      </c>
      <c r="H65" s="3" t="str">
        <f>VLOOKUP(G65,[1]building!$A$2:$D$351,3,FALSE)</f>
        <v>!!BLDG_NAME_BAKERY</v>
      </c>
      <c r="I65" s="3">
        <v>8</v>
      </c>
      <c r="J65" s="3">
        <v>1</v>
      </c>
      <c r="K65" s="3">
        <v>80003</v>
      </c>
      <c r="L65" s="3">
        <v>10001</v>
      </c>
      <c r="M65" s="3">
        <v>10002</v>
      </c>
      <c r="N65" s="3">
        <v>10005</v>
      </c>
      <c r="O65" s="3">
        <v>10007</v>
      </c>
      <c r="P65" s="3">
        <v>-1</v>
      </c>
      <c r="Q65" s="3">
        <v>4</v>
      </c>
      <c r="R65" s="3">
        <v>8</v>
      </c>
      <c r="S65" s="3">
        <v>1</v>
      </c>
      <c r="T65" s="3">
        <v>2</v>
      </c>
      <c r="U65" s="3">
        <v>2</v>
      </c>
      <c r="V65" s="3">
        <v>-1</v>
      </c>
      <c r="W65" s="3">
        <v>43200</v>
      </c>
      <c r="X65" s="3" t="s">
        <v>52</v>
      </c>
      <c r="Y65" s="3" t="s">
        <v>53</v>
      </c>
      <c r="Z65" s="3">
        <v>10</v>
      </c>
      <c r="AA65" s="3" t="s">
        <v>769</v>
      </c>
      <c r="AB65" s="3">
        <v>999</v>
      </c>
      <c r="AC65" s="3" t="s">
        <v>59</v>
      </c>
      <c r="AD65" s="3" t="s">
        <v>59</v>
      </c>
      <c r="AE65" s="3" t="s">
        <v>59</v>
      </c>
      <c r="AF65" s="3">
        <v>0</v>
      </c>
      <c r="AG65" s="3" t="s">
        <v>59</v>
      </c>
      <c r="AH65" s="3" t="s">
        <v>59</v>
      </c>
      <c r="AI65" s="3" t="s">
        <v>59</v>
      </c>
      <c r="AJ65" s="3">
        <v>0</v>
      </c>
      <c r="AK65" s="3">
        <v>-1</v>
      </c>
      <c r="AL65" s="3">
        <v>-1</v>
      </c>
      <c r="AM65" s="3">
        <v>-1</v>
      </c>
      <c r="AN65" s="3">
        <v>-1</v>
      </c>
      <c r="AO65" s="3">
        <v>-1</v>
      </c>
      <c r="AP65" s="3">
        <v>-1</v>
      </c>
    </row>
    <row r="66" spans="1:42" x14ac:dyDescent="0.25">
      <c r="A66" s="3">
        <v>64</v>
      </c>
      <c r="B66" s="3" t="str">
        <f>VLOOKUP(E66,[1]recipe!$A$2:$D$500,3,FALSE)</f>
        <v>!!FOOD_APPLE_CIDER</v>
      </c>
      <c r="C66" t="s">
        <v>406</v>
      </c>
      <c r="D66" t="s">
        <v>773</v>
      </c>
      <c r="E66" s="2">
        <v>9120</v>
      </c>
      <c r="F66" s="2">
        <v>9120</v>
      </c>
      <c r="G66" s="2">
        <v>1054</v>
      </c>
      <c r="H66" s="3" t="str">
        <f>VLOOKUP(G66,[1]building!$A$2:$D$351,3,FALSE)</f>
        <v>!!BLDG_NAME_JUICEBAR</v>
      </c>
      <c r="I66" s="2">
        <v>9</v>
      </c>
      <c r="J66" s="2">
        <v>1</v>
      </c>
      <c r="K66" s="3">
        <v>10001</v>
      </c>
      <c r="L66" s="3">
        <v>9114</v>
      </c>
      <c r="M66" s="3">
        <v>9111</v>
      </c>
      <c r="N66" s="3">
        <v>9108</v>
      </c>
      <c r="O66" s="3">
        <v>9110</v>
      </c>
      <c r="P66" s="3">
        <v>-1</v>
      </c>
      <c r="Q66" s="3">
        <v>1</v>
      </c>
      <c r="R66" s="3">
        <v>1</v>
      </c>
      <c r="S66" s="3">
        <v>1</v>
      </c>
      <c r="T66" s="3">
        <v>1</v>
      </c>
      <c r="U66" s="3">
        <v>1</v>
      </c>
      <c r="V66" s="3">
        <v>-1</v>
      </c>
      <c r="W66" s="2">
        <v>32400</v>
      </c>
      <c r="X66" t="s">
        <v>57</v>
      </c>
      <c r="Y66" t="s">
        <v>790</v>
      </c>
      <c r="Z66" s="2">
        <v>1</v>
      </c>
      <c r="AA66" t="s">
        <v>406</v>
      </c>
      <c r="AB66" s="2">
        <v>10</v>
      </c>
      <c r="AC66" s="3" t="s">
        <v>59</v>
      </c>
      <c r="AD66" s="3" t="s">
        <v>59</v>
      </c>
      <c r="AE66" s="3" t="s">
        <v>59</v>
      </c>
      <c r="AF66">
        <v>1</v>
      </c>
      <c r="AG66" s="3" t="s">
        <v>59</v>
      </c>
      <c r="AH66" s="3" t="s">
        <v>59</v>
      </c>
      <c r="AI66" s="3" t="s">
        <v>59</v>
      </c>
      <c r="AJ66">
        <v>1</v>
      </c>
      <c r="AK66" s="3">
        <v>-1</v>
      </c>
      <c r="AL66" s="3">
        <v>-1</v>
      </c>
      <c r="AM66" s="3">
        <v>-1</v>
      </c>
      <c r="AN66" s="3">
        <v>-1</v>
      </c>
      <c r="AO66" s="3">
        <v>-1</v>
      </c>
      <c r="AP66" s="3">
        <v>-1</v>
      </c>
    </row>
    <row r="67" spans="1:42" x14ac:dyDescent="0.25">
      <c r="A67" s="3">
        <v>65</v>
      </c>
      <c r="B67" s="3" t="str">
        <f>VLOOKUP(E67,[1]recipe!$A$2:$D$500,3,FALSE)</f>
        <v>!!FOOD_CRANBERRY_SAUCE</v>
      </c>
      <c r="C67" t="s">
        <v>412</v>
      </c>
      <c r="D67" t="s">
        <v>773</v>
      </c>
      <c r="E67" s="2">
        <v>9122</v>
      </c>
      <c r="F67" s="2">
        <v>9122</v>
      </c>
      <c r="G67" s="2">
        <v>1054</v>
      </c>
      <c r="H67" s="3" t="str">
        <f>VLOOKUP(G67,[1]building!$A$2:$D$351,3,FALSE)</f>
        <v>!!BLDG_NAME_JUICEBAR</v>
      </c>
      <c r="I67" s="2">
        <v>3</v>
      </c>
      <c r="J67" s="2">
        <v>1</v>
      </c>
      <c r="K67" s="3">
        <v>10011</v>
      </c>
      <c r="L67" s="3">
        <v>9107</v>
      </c>
      <c r="M67" s="3">
        <v>-1</v>
      </c>
      <c r="N67" s="3">
        <v>-1</v>
      </c>
      <c r="O67" s="3">
        <v>-1</v>
      </c>
      <c r="P67" s="3">
        <v>-1</v>
      </c>
      <c r="Q67" s="3">
        <v>3</v>
      </c>
      <c r="R67" s="3">
        <v>1</v>
      </c>
      <c r="S67" s="3">
        <v>-1</v>
      </c>
      <c r="T67" s="3">
        <v>-1</v>
      </c>
      <c r="U67" s="3">
        <v>-1</v>
      </c>
      <c r="V67" s="3">
        <v>-1</v>
      </c>
      <c r="W67" s="2">
        <v>10800</v>
      </c>
      <c r="X67" t="s">
        <v>57</v>
      </c>
      <c r="Y67" t="s">
        <v>790</v>
      </c>
      <c r="Z67" s="2">
        <v>1</v>
      </c>
      <c r="AA67" t="s">
        <v>412</v>
      </c>
      <c r="AB67" s="2">
        <v>10</v>
      </c>
      <c r="AC67" s="3" t="s">
        <v>59</v>
      </c>
      <c r="AD67" s="3" t="s">
        <v>59</v>
      </c>
      <c r="AE67" s="3" t="s">
        <v>59</v>
      </c>
      <c r="AF67">
        <v>1</v>
      </c>
      <c r="AG67" s="3" t="s">
        <v>59</v>
      </c>
      <c r="AH67" s="3" t="s">
        <v>59</v>
      </c>
      <c r="AI67" s="3" t="s">
        <v>59</v>
      </c>
      <c r="AJ67">
        <v>1</v>
      </c>
      <c r="AK67" s="3">
        <v>-1</v>
      </c>
      <c r="AL67" s="3">
        <v>-1</v>
      </c>
      <c r="AM67" s="3">
        <v>-1</v>
      </c>
      <c r="AN67" s="3">
        <v>-1</v>
      </c>
      <c r="AO67" s="3">
        <v>-1</v>
      </c>
      <c r="AP67" s="3">
        <v>-1</v>
      </c>
    </row>
    <row r="68" spans="1:42" x14ac:dyDescent="0.25">
      <c r="A68" s="3">
        <v>66</v>
      </c>
      <c r="B68" s="3" t="str">
        <f>VLOOKUP(E68,[1]recipe!$A$2:$D$500,3,FALSE)</f>
        <v>!!FOOD_HOT_CHOCOLATE</v>
      </c>
      <c r="C68" t="s">
        <v>415</v>
      </c>
      <c r="D68" t="s">
        <v>773</v>
      </c>
      <c r="E68" s="2">
        <v>9123</v>
      </c>
      <c r="F68" s="2">
        <v>9123</v>
      </c>
      <c r="G68" s="2">
        <v>1054</v>
      </c>
      <c r="H68" s="3" t="str">
        <f>VLOOKUP(G68,[1]building!$A$2:$D$351,3,FALSE)</f>
        <v>!!BLDG_NAME_JUICEBAR</v>
      </c>
      <c r="I68" s="2">
        <v>4</v>
      </c>
      <c r="J68" s="2">
        <v>1</v>
      </c>
      <c r="K68" s="3">
        <v>9109</v>
      </c>
      <c r="L68" s="3">
        <v>9107</v>
      </c>
      <c r="M68" s="3">
        <v>9108</v>
      </c>
      <c r="N68" s="3">
        <v>9113</v>
      </c>
      <c r="O68" s="3">
        <v>-1</v>
      </c>
      <c r="P68" s="3">
        <v>-1</v>
      </c>
      <c r="Q68" s="3">
        <v>1</v>
      </c>
      <c r="R68" s="3">
        <v>1</v>
      </c>
      <c r="S68" s="3">
        <v>1</v>
      </c>
      <c r="T68" s="3">
        <v>1</v>
      </c>
      <c r="U68" s="3">
        <v>-1</v>
      </c>
      <c r="V68" s="3">
        <v>-1</v>
      </c>
      <c r="W68" s="2">
        <v>14400</v>
      </c>
      <c r="X68" t="s">
        <v>57</v>
      </c>
      <c r="Y68" t="s">
        <v>790</v>
      </c>
      <c r="Z68" s="2">
        <v>1</v>
      </c>
      <c r="AA68" t="s">
        <v>415</v>
      </c>
      <c r="AB68" s="2">
        <v>10</v>
      </c>
      <c r="AC68" s="3" t="s">
        <v>59</v>
      </c>
      <c r="AD68" s="3" t="s">
        <v>59</v>
      </c>
      <c r="AE68" s="3" t="s">
        <v>59</v>
      </c>
      <c r="AF68">
        <v>1</v>
      </c>
      <c r="AG68" s="3" t="s">
        <v>59</v>
      </c>
      <c r="AH68" s="3" t="s">
        <v>59</v>
      </c>
      <c r="AI68" s="3" t="s">
        <v>59</v>
      </c>
      <c r="AJ68">
        <v>1</v>
      </c>
      <c r="AK68" s="3">
        <v>-1</v>
      </c>
      <c r="AL68" s="3">
        <v>-1</v>
      </c>
      <c r="AM68" s="3">
        <v>-1</v>
      </c>
      <c r="AN68" s="3">
        <v>-1</v>
      </c>
      <c r="AO68" s="3">
        <v>-1</v>
      </c>
      <c r="AP68" s="3">
        <v>-1</v>
      </c>
    </row>
    <row r="69" spans="1:42" x14ac:dyDescent="0.25">
      <c r="A69" s="3">
        <v>67</v>
      </c>
      <c r="B69" s="3" t="str">
        <f>VLOOKUP(E69,[1]recipe!$A$2:$D$500,3,FALSE)</f>
        <v>!!JUICE_APPLE</v>
      </c>
      <c r="C69" s="3" t="s">
        <v>824</v>
      </c>
      <c r="D69" s="3" t="s">
        <v>773</v>
      </c>
      <c r="E69" s="3">
        <v>20000</v>
      </c>
      <c r="F69" s="3">
        <v>20000</v>
      </c>
      <c r="G69" s="3">
        <v>1054</v>
      </c>
      <c r="H69" s="3" t="str">
        <f>VLOOKUP(G69,[1]building!$A$2:$D$351,3,FALSE)</f>
        <v>!!BLDG_NAME_JUICEBAR</v>
      </c>
      <c r="I69" s="3">
        <v>1</v>
      </c>
      <c r="J69" s="3">
        <v>1</v>
      </c>
      <c r="K69" s="3">
        <v>10001</v>
      </c>
      <c r="L69" s="3">
        <v>-1</v>
      </c>
      <c r="M69" s="3">
        <v>-1</v>
      </c>
      <c r="N69" s="3">
        <v>-1</v>
      </c>
      <c r="O69" s="3">
        <v>-1</v>
      </c>
      <c r="P69" s="3">
        <v>-1</v>
      </c>
      <c r="Q69" s="3">
        <v>4</v>
      </c>
      <c r="R69" s="3">
        <v>-1</v>
      </c>
      <c r="S69" s="3">
        <v>-1</v>
      </c>
      <c r="T69" s="3">
        <v>-1</v>
      </c>
      <c r="U69" s="3">
        <v>-1</v>
      </c>
      <c r="V69" s="3">
        <v>-1</v>
      </c>
      <c r="W69" s="3">
        <v>120</v>
      </c>
      <c r="X69" s="3" t="s">
        <v>57</v>
      </c>
      <c r="Y69" s="3" t="s">
        <v>790</v>
      </c>
      <c r="Z69" s="3">
        <v>14</v>
      </c>
      <c r="AA69" s="3" t="s">
        <v>824</v>
      </c>
      <c r="AB69" s="3">
        <v>20</v>
      </c>
      <c r="AC69" s="3" t="s">
        <v>59</v>
      </c>
      <c r="AD69" s="3" t="s">
        <v>59</v>
      </c>
      <c r="AE69" s="3" t="s">
        <v>59</v>
      </c>
      <c r="AF69" s="3">
        <v>0</v>
      </c>
      <c r="AG69" s="3" t="s">
        <v>59</v>
      </c>
      <c r="AH69" s="3" t="s">
        <v>59</v>
      </c>
      <c r="AI69" s="3" t="s">
        <v>59</v>
      </c>
      <c r="AJ69" s="3">
        <v>0</v>
      </c>
      <c r="AK69" s="3">
        <v>-1</v>
      </c>
      <c r="AL69" s="3">
        <v>-1</v>
      </c>
      <c r="AM69" s="3">
        <v>-1</v>
      </c>
      <c r="AN69" s="3">
        <v>-1</v>
      </c>
      <c r="AO69" s="3">
        <v>-1</v>
      </c>
      <c r="AP69" s="3">
        <v>-1</v>
      </c>
    </row>
    <row r="70" spans="1:42" x14ac:dyDescent="0.25">
      <c r="A70" s="3">
        <v>68</v>
      </c>
      <c r="B70" s="3" t="str">
        <f>VLOOKUP(E70,[1]recipe!$A$2:$D$500,3,FALSE)</f>
        <v>!!JUICE_LEMONADE</v>
      </c>
      <c r="C70" s="3" t="s">
        <v>825</v>
      </c>
      <c r="D70" s="3" t="s">
        <v>773</v>
      </c>
      <c r="E70" s="3">
        <v>20001</v>
      </c>
      <c r="F70" s="3">
        <v>20001</v>
      </c>
      <c r="G70" s="3">
        <v>1054</v>
      </c>
      <c r="H70" s="3" t="str">
        <f>VLOOKUP(G70,[1]building!$A$2:$D$351,3,FALSE)</f>
        <v>!!BLDG_NAME_JUICEBAR</v>
      </c>
      <c r="I70" s="3">
        <v>1</v>
      </c>
      <c r="J70" s="3">
        <v>1</v>
      </c>
      <c r="K70" s="3">
        <v>10004</v>
      </c>
      <c r="L70" s="3">
        <v>-1</v>
      </c>
      <c r="M70" s="3">
        <v>-1</v>
      </c>
      <c r="N70" s="3">
        <v>-1</v>
      </c>
      <c r="O70" s="3">
        <v>-1</v>
      </c>
      <c r="P70" s="3">
        <v>-1</v>
      </c>
      <c r="Q70" s="3">
        <v>4</v>
      </c>
      <c r="R70" s="3">
        <v>-1</v>
      </c>
      <c r="S70" s="3">
        <v>-1</v>
      </c>
      <c r="T70" s="3">
        <v>-1</v>
      </c>
      <c r="U70" s="3">
        <v>-1</v>
      </c>
      <c r="V70" s="3">
        <v>-1</v>
      </c>
      <c r="W70" s="3">
        <v>240</v>
      </c>
      <c r="X70" s="3" t="s">
        <v>57</v>
      </c>
      <c r="Y70" s="3" t="s">
        <v>790</v>
      </c>
      <c r="Z70" s="3">
        <v>17</v>
      </c>
      <c r="AA70" s="3" t="s">
        <v>825</v>
      </c>
      <c r="AB70" s="3">
        <v>30</v>
      </c>
      <c r="AC70" s="3" t="s">
        <v>59</v>
      </c>
      <c r="AD70" s="3" t="s">
        <v>59</v>
      </c>
      <c r="AE70" s="3" t="s">
        <v>59</v>
      </c>
      <c r="AF70" s="3">
        <v>0</v>
      </c>
      <c r="AG70" s="3" t="s">
        <v>59</v>
      </c>
      <c r="AH70" s="3" t="s">
        <v>59</v>
      </c>
      <c r="AI70" s="3" t="s">
        <v>59</v>
      </c>
      <c r="AJ70" s="3">
        <v>0</v>
      </c>
      <c r="AK70" s="3">
        <v>-1</v>
      </c>
      <c r="AL70" s="3">
        <v>-1</v>
      </c>
      <c r="AM70" s="3">
        <v>-1</v>
      </c>
      <c r="AN70" s="3">
        <v>-1</v>
      </c>
      <c r="AO70" s="3">
        <v>-1</v>
      </c>
      <c r="AP70" s="3">
        <v>-1</v>
      </c>
    </row>
    <row r="71" spans="1:42" x14ac:dyDescent="0.25">
      <c r="A71" s="3">
        <v>69</v>
      </c>
      <c r="B71" s="3" t="str">
        <f>VLOOKUP(E71,[1]recipe!$A$2:$D$500,3,FALSE)</f>
        <v>!!JUICE_LIMEADE</v>
      </c>
      <c r="C71" s="3" t="s">
        <v>826</v>
      </c>
      <c r="D71" s="3" t="s">
        <v>773</v>
      </c>
      <c r="E71" s="3">
        <v>20002</v>
      </c>
      <c r="F71" s="3">
        <v>20002</v>
      </c>
      <c r="G71" s="3">
        <v>1054</v>
      </c>
      <c r="H71" s="3" t="str">
        <f>VLOOKUP(G71,[1]building!$A$2:$D$351,3,FALSE)</f>
        <v>!!BLDG_NAME_JUICEBAR</v>
      </c>
      <c r="I71" s="3">
        <v>2</v>
      </c>
      <c r="J71" s="3">
        <v>1</v>
      </c>
      <c r="K71" s="3">
        <v>10005</v>
      </c>
      <c r="L71" s="3">
        <v>-1</v>
      </c>
      <c r="M71" s="3">
        <v>-1</v>
      </c>
      <c r="N71" s="3">
        <v>-1</v>
      </c>
      <c r="O71" s="3">
        <v>-1</v>
      </c>
      <c r="P71" s="3">
        <v>-1</v>
      </c>
      <c r="Q71" s="3">
        <v>4</v>
      </c>
      <c r="R71" s="3">
        <v>-1</v>
      </c>
      <c r="S71" s="3">
        <v>-1</v>
      </c>
      <c r="T71" s="3">
        <v>-1</v>
      </c>
      <c r="U71" s="3">
        <v>-1</v>
      </c>
      <c r="V71" s="3">
        <v>-1</v>
      </c>
      <c r="W71" s="3">
        <v>480</v>
      </c>
      <c r="X71" s="3" t="s">
        <v>57</v>
      </c>
      <c r="Y71" s="3" t="s">
        <v>790</v>
      </c>
      <c r="Z71" s="3">
        <v>19</v>
      </c>
      <c r="AA71" s="3" t="s">
        <v>826</v>
      </c>
      <c r="AB71" s="3">
        <v>40</v>
      </c>
      <c r="AC71" s="3" t="s">
        <v>59</v>
      </c>
      <c r="AD71" s="3" t="s">
        <v>59</v>
      </c>
      <c r="AE71" s="3" t="s">
        <v>59</v>
      </c>
      <c r="AF71" s="3">
        <v>0</v>
      </c>
      <c r="AG71" s="3" t="s">
        <v>59</v>
      </c>
      <c r="AH71" s="3" t="s">
        <v>59</v>
      </c>
      <c r="AI71" s="3" t="s">
        <v>59</v>
      </c>
      <c r="AJ71" s="3">
        <v>0</v>
      </c>
      <c r="AK71" s="3">
        <v>-1</v>
      </c>
      <c r="AL71" s="3">
        <v>-1</v>
      </c>
      <c r="AM71" s="3">
        <v>-1</v>
      </c>
      <c r="AN71" s="3">
        <v>-1</v>
      </c>
      <c r="AO71" s="3">
        <v>-1</v>
      </c>
      <c r="AP71" s="3">
        <v>-1</v>
      </c>
    </row>
    <row r="72" spans="1:42" x14ac:dyDescent="0.25">
      <c r="A72" s="3">
        <v>70</v>
      </c>
      <c r="B72" s="3" t="str">
        <f>VLOOKUP(E72,[1]recipe!$A$2:$D$500,3,FALSE)</f>
        <v>!!JUICE_ORANGE</v>
      </c>
      <c r="C72" s="3" t="s">
        <v>827</v>
      </c>
      <c r="D72" s="3" t="s">
        <v>773</v>
      </c>
      <c r="E72" s="3">
        <v>20003</v>
      </c>
      <c r="F72" s="3">
        <v>20003</v>
      </c>
      <c r="G72" s="3">
        <v>1054</v>
      </c>
      <c r="H72" s="3" t="str">
        <f>VLOOKUP(G72,[1]building!$A$2:$D$351,3,FALSE)</f>
        <v>!!BLDG_NAME_JUICEBAR</v>
      </c>
      <c r="I72" s="3">
        <v>1</v>
      </c>
      <c r="J72" s="3">
        <v>1</v>
      </c>
      <c r="K72" s="3">
        <v>10006</v>
      </c>
      <c r="L72" s="3">
        <v>-1</v>
      </c>
      <c r="M72" s="3">
        <v>-1</v>
      </c>
      <c r="N72" s="3">
        <v>-1</v>
      </c>
      <c r="O72" s="3">
        <v>-1</v>
      </c>
      <c r="P72" s="3">
        <v>-1</v>
      </c>
      <c r="Q72" s="3">
        <v>4</v>
      </c>
      <c r="R72" s="3">
        <v>-1</v>
      </c>
      <c r="S72" s="3">
        <v>-1</v>
      </c>
      <c r="T72" s="3">
        <v>-1</v>
      </c>
      <c r="U72" s="3">
        <v>-1</v>
      </c>
      <c r="V72" s="3">
        <v>-1</v>
      </c>
      <c r="W72" s="3">
        <v>60</v>
      </c>
      <c r="X72" s="3" t="s">
        <v>57</v>
      </c>
      <c r="Y72" s="3" t="s">
        <v>790</v>
      </c>
      <c r="Z72" s="3">
        <v>1</v>
      </c>
      <c r="AA72" s="3" t="s">
        <v>827</v>
      </c>
      <c r="AB72" s="3">
        <v>10</v>
      </c>
      <c r="AC72" s="3" t="s">
        <v>59</v>
      </c>
      <c r="AD72" s="3" t="s">
        <v>59</v>
      </c>
      <c r="AE72" s="3" t="s">
        <v>59</v>
      </c>
      <c r="AF72" s="3">
        <v>1</v>
      </c>
      <c r="AG72" s="3" t="s">
        <v>59</v>
      </c>
      <c r="AH72" s="3" t="s">
        <v>59</v>
      </c>
      <c r="AI72" s="3" t="s">
        <v>59</v>
      </c>
      <c r="AJ72" s="3">
        <v>0</v>
      </c>
      <c r="AK72" s="3">
        <v>-1</v>
      </c>
      <c r="AL72" s="3">
        <v>-1</v>
      </c>
      <c r="AM72" s="3">
        <v>-1</v>
      </c>
      <c r="AN72" s="3">
        <v>-1</v>
      </c>
      <c r="AO72" s="3">
        <v>-1</v>
      </c>
      <c r="AP72" s="3">
        <v>-1</v>
      </c>
    </row>
    <row r="73" spans="1:42" x14ac:dyDescent="0.25">
      <c r="A73" s="3">
        <v>71</v>
      </c>
      <c r="B73" s="3" t="str">
        <f>VLOOKUP(E73,[1]recipe!$A$2:$D$500,3,FALSE)</f>
        <v>!!JUICE_PEACHNECTAR</v>
      </c>
      <c r="C73" s="3" t="s">
        <v>828</v>
      </c>
      <c r="D73" s="3" t="s">
        <v>773</v>
      </c>
      <c r="E73" s="3">
        <v>20004</v>
      </c>
      <c r="F73" s="3">
        <v>20004</v>
      </c>
      <c r="G73" s="3">
        <v>1054</v>
      </c>
      <c r="H73" s="3" t="str">
        <f>VLOOKUP(G73,[1]building!$A$2:$D$351,3,FALSE)</f>
        <v>!!BLDG_NAME_JUICEBAR</v>
      </c>
      <c r="I73" s="3">
        <v>3</v>
      </c>
      <c r="J73" s="3">
        <v>1</v>
      </c>
      <c r="K73" s="3">
        <v>10007</v>
      </c>
      <c r="L73" s="3">
        <v>-1</v>
      </c>
      <c r="M73" s="3">
        <v>-1</v>
      </c>
      <c r="N73" s="3">
        <v>-1</v>
      </c>
      <c r="O73" s="3">
        <v>-1</v>
      </c>
      <c r="P73" s="3">
        <v>-1</v>
      </c>
      <c r="Q73" s="3">
        <v>4</v>
      </c>
      <c r="R73" s="3">
        <v>-1</v>
      </c>
      <c r="S73" s="3">
        <v>-1</v>
      </c>
      <c r="T73" s="3">
        <v>-1</v>
      </c>
      <c r="U73" s="3">
        <v>-1</v>
      </c>
      <c r="V73" s="3">
        <v>-1</v>
      </c>
      <c r="W73" s="3">
        <v>900</v>
      </c>
      <c r="X73" s="3" t="s">
        <v>57</v>
      </c>
      <c r="Y73" s="3" t="s">
        <v>790</v>
      </c>
      <c r="Z73" s="3">
        <v>23</v>
      </c>
      <c r="AA73" s="3" t="s">
        <v>828</v>
      </c>
      <c r="AB73" s="3">
        <v>50</v>
      </c>
      <c r="AC73" s="3" t="s">
        <v>59</v>
      </c>
      <c r="AD73" s="3" t="s">
        <v>59</v>
      </c>
      <c r="AE73" s="3" t="s">
        <v>59</v>
      </c>
      <c r="AF73" s="3">
        <v>0</v>
      </c>
      <c r="AG73" s="3" t="s">
        <v>59</v>
      </c>
      <c r="AH73" s="3" t="s">
        <v>59</v>
      </c>
      <c r="AI73" s="3" t="s">
        <v>59</v>
      </c>
      <c r="AJ73" s="3">
        <v>0</v>
      </c>
      <c r="AK73" s="3">
        <v>-1</v>
      </c>
      <c r="AL73" s="3">
        <v>-1</v>
      </c>
      <c r="AM73" s="3">
        <v>-1</v>
      </c>
      <c r="AN73" s="3">
        <v>-1</v>
      </c>
      <c r="AO73" s="3">
        <v>-1</v>
      </c>
      <c r="AP73" s="3">
        <v>-1</v>
      </c>
    </row>
    <row r="74" spans="1:42" x14ac:dyDescent="0.25">
      <c r="A74" s="3">
        <v>72</v>
      </c>
      <c r="B74" s="3" t="str">
        <f>VLOOKUP(E74,[1]recipe!$A$2:$D$500,3,FALSE)</f>
        <v>!!SMOOTHIE_BANANA_BREAKER</v>
      </c>
      <c r="C74" s="3" t="s">
        <v>880</v>
      </c>
      <c r="D74" s="3" t="s">
        <v>773</v>
      </c>
      <c r="E74" s="3">
        <v>30000</v>
      </c>
      <c r="F74" s="3">
        <v>30000</v>
      </c>
      <c r="G74" s="3">
        <v>1054</v>
      </c>
      <c r="H74" s="3" t="str">
        <f>VLOOKUP(G74,[1]building!$A$2:$D$351,3,FALSE)</f>
        <v>!!BLDG_NAME_JUICEBAR</v>
      </c>
      <c r="I74" s="3">
        <v>8</v>
      </c>
      <c r="J74" s="3">
        <v>1</v>
      </c>
      <c r="K74" s="3">
        <v>10000</v>
      </c>
      <c r="L74" s="3">
        <v>10003</v>
      </c>
      <c r="M74" s="3">
        <v>-1</v>
      </c>
      <c r="N74" s="3">
        <v>-1</v>
      </c>
      <c r="O74" s="3">
        <v>-1</v>
      </c>
      <c r="P74" s="3">
        <v>-1</v>
      </c>
      <c r="Q74" s="3">
        <v>2</v>
      </c>
      <c r="R74" s="3">
        <v>2</v>
      </c>
      <c r="S74" s="3">
        <v>-1</v>
      </c>
      <c r="T74" s="3">
        <v>-1</v>
      </c>
      <c r="U74" s="3">
        <v>-1</v>
      </c>
      <c r="V74" s="3">
        <v>-1</v>
      </c>
      <c r="W74" s="3">
        <v>43200</v>
      </c>
      <c r="X74" s="3" t="s">
        <v>57</v>
      </c>
      <c r="Y74" s="3" t="s">
        <v>790</v>
      </c>
      <c r="Z74" s="3">
        <v>19</v>
      </c>
      <c r="AA74" s="3" t="s">
        <v>880</v>
      </c>
      <c r="AB74" s="3">
        <v>10</v>
      </c>
      <c r="AC74" s="3" t="s">
        <v>59</v>
      </c>
      <c r="AD74" s="3" t="s">
        <v>59</v>
      </c>
      <c r="AE74" s="3" t="s">
        <v>59</v>
      </c>
      <c r="AF74" s="3">
        <v>0</v>
      </c>
      <c r="AG74" s="3" t="s">
        <v>59</v>
      </c>
      <c r="AH74" s="3" t="s">
        <v>59</v>
      </c>
      <c r="AI74" s="3" t="s">
        <v>59</v>
      </c>
      <c r="AJ74" s="3">
        <v>0</v>
      </c>
      <c r="AK74" s="3">
        <v>-1</v>
      </c>
      <c r="AL74" s="3">
        <v>-1</v>
      </c>
      <c r="AM74" s="3">
        <v>-1</v>
      </c>
      <c r="AN74" s="3">
        <v>-1</v>
      </c>
      <c r="AO74" s="3">
        <v>-1</v>
      </c>
      <c r="AP74" s="3">
        <v>-1</v>
      </c>
    </row>
    <row r="75" spans="1:42" x14ac:dyDescent="0.25">
      <c r="A75" s="3">
        <v>73</v>
      </c>
      <c r="B75" s="3" t="str">
        <f>VLOOKUP(E75,[1]recipe!$A$2:$D$500,3,FALSE)</f>
        <v>!!SMOOTHIE_BERRY_BLAST</v>
      </c>
      <c r="C75" s="3" t="s">
        <v>881</v>
      </c>
      <c r="D75" s="3" t="s">
        <v>773</v>
      </c>
      <c r="E75" s="3">
        <v>30001</v>
      </c>
      <c r="F75" s="3">
        <v>30001</v>
      </c>
      <c r="G75" s="3">
        <v>1054</v>
      </c>
      <c r="H75" s="3" t="str">
        <f>VLOOKUP(G75,[1]building!$A$2:$D$351,3,FALSE)</f>
        <v>!!BLDG_NAME_JUICEBAR</v>
      </c>
      <c r="I75" s="3">
        <v>6</v>
      </c>
      <c r="J75" s="3">
        <v>1</v>
      </c>
      <c r="K75" s="3">
        <v>10008</v>
      </c>
      <c r="L75" s="3">
        <v>10002</v>
      </c>
      <c r="M75" s="3">
        <v>10009</v>
      </c>
      <c r="N75" s="3">
        <v>-1</v>
      </c>
      <c r="O75" s="3">
        <v>-1</v>
      </c>
      <c r="P75" s="3">
        <v>-1</v>
      </c>
      <c r="Q75" s="3">
        <v>2</v>
      </c>
      <c r="R75" s="3">
        <v>1</v>
      </c>
      <c r="S75" s="3">
        <v>1</v>
      </c>
      <c r="T75" s="3">
        <v>-1</v>
      </c>
      <c r="U75" s="3">
        <v>-1</v>
      </c>
      <c r="V75" s="3">
        <v>-1</v>
      </c>
      <c r="W75" s="3">
        <v>14400</v>
      </c>
      <c r="X75" s="3" t="s">
        <v>57</v>
      </c>
      <c r="Y75" s="3" t="s">
        <v>790</v>
      </c>
      <c r="Z75" s="3">
        <v>17</v>
      </c>
      <c r="AA75" s="3" t="s">
        <v>881</v>
      </c>
      <c r="AB75" s="3">
        <v>10</v>
      </c>
      <c r="AC75" s="3" t="s">
        <v>59</v>
      </c>
      <c r="AD75" s="3" t="s">
        <v>59</v>
      </c>
      <c r="AE75" s="3" t="s">
        <v>59</v>
      </c>
      <c r="AF75" s="3">
        <v>0</v>
      </c>
      <c r="AG75" s="3" t="s">
        <v>59</v>
      </c>
      <c r="AH75" s="3" t="s">
        <v>59</v>
      </c>
      <c r="AI75" s="3" t="s">
        <v>59</v>
      </c>
      <c r="AJ75" s="3">
        <v>0</v>
      </c>
      <c r="AK75" s="3">
        <v>-1</v>
      </c>
      <c r="AL75" s="3">
        <v>-1</v>
      </c>
      <c r="AM75" s="3">
        <v>-1</v>
      </c>
      <c r="AN75" s="3">
        <v>-1</v>
      </c>
      <c r="AO75" s="3">
        <v>-1</v>
      </c>
      <c r="AP75" s="3">
        <v>-1</v>
      </c>
    </row>
    <row r="76" spans="1:42" x14ac:dyDescent="0.25">
      <c r="A76" s="3">
        <v>74</v>
      </c>
      <c r="B76" s="3" t="str">
        <f>VLOOKUP(E76,[1]recipe!$A$2:$D$500,3,FALSE)</f>
        <v>!!SMOOTHIE_CHERRY_SLURVEY</v>
      </c>
      <c r="C76" s="3" t="s">
        <v>882</v>
      </c>
      <c r="D76" s="3" t="s">
        <v>773</v>
      </c>
      <c r="E76" s="3">
        <v>30002</v>
      </c>
      <c r="F76" s="3">
        <v>30002</v>
      </c>
      <c r="G76" s="3">
        <v>1054</v>
      </c>
      <c r="H76" s="3" t="str">
        <f>VLOOKUP(G76,[1]building!$A$2:$D$351,3,FALSE)</f>
        <v>!!BLDG_NAME_JUICEBAR</v>
      </c>
      <c r="I76" s="3">
        <v>5</v>
      </c>
      <c r="J76" s="3">
        <v>1</v>
      </c>
      <c r="K76" s="3">
        <v>10002</v>
      </c>
      <c r="L76" s="3">
        <v>-1</v>
      </c>
      <c r="M76" s="3">
        <v>-1</v>
      </c>
      <c r="N76" s="3">
        <v>-1</v>
      </c>
      <c r="O76" s="3">
        <v>-1</v>
      </c>
      <c r="P76" s="3">
        <v>-1</v>
      </c>
      <c r="Q76" s="3">
        <v>4</v>
      </c>
      <c r="R76" s="3">
        <v>-1</v>
      </c>
      <c r="S76" s="3">
        <v>-1</v>
      </c>
      <c r="T76" s="3">
        <v>-1</v>
      </c>
      <c r="U76" s="3">
        <v>-1</v>
      </c>
      <c r="V76" s="3">
        <v>-1</v>
      </c>
      <c r="W76" s="3">
        <v>3600</v>
      </c>
      <c r="X76" s="3" t="s">
        <v>57</v>
      </c>
      <c r="Y76" s="3" t="s">
        <v>790</v>
      </c>
      <c r="Z76" s="3">
        <v>10</v>
      </c>
      <c r="AA76" s="3" t="s">
        <v>882</v>
      </c>
      <c r="AB76" s="3">
        <v>10</v>
      </c>
      <c r="AC76" s="3" t="s">
        <v>59</v>
      </c>
      <c r="AD76" s="3" t="s">
        <v>59</v>
      </c>
      <c r="AE76" s="3" t="s">
        <v>59</v>
      </c>
      <c r="AF76" s="3">
        <v>0</v>
      </c>
      <c r="AG76" s="3" t="s">
        <v>59</v>
      </c>
      <c r="AH76" s="3" t="s">
        <v>59</v>
      </c>
      <c r="AI76" s="3" t="s">
        <v>59</v>
      </c>
      <c r="AJ76" s="3">
        <v>0</v>
      </c>
      <c r="AK76" s="3">
        <v>-1</v>
      </c>
      <c r="AL76" s="3">
        <v>-1</v>
      </c>
      <c r="AM76" s="3">
        <v>-1</v>
      </c>
      <c r="AN76" s="3">
        <v>-1</v>
      </c>
      <c r="AO76" s="3">
        <v>-1</v>
      </c>
      <c r="AP76" s="3">
        <v>-1</v>
      </c>
    </row>
    <row r="77" spans="1:42" x14ac:dyDescent="0.25">
      <c r="A77" s="3">
        <v>75</v>
      </c>
      <c r="B77" s="3" t="str">
        <f>VLOOKUP(E77,[1]recipe!$A$2:$D$500,3,FALSE)</f>
        <v>!!SMOOTHIE_CHERRYADE_CHILLER</v>
      </c>
      <c r="C77" s="3" t="s">
        <v>883</v>
      </c>
      <c r="D77" s="3" t="s">
        <v>773</v>
      </c>
      <c r="E77" s="3">
        <v>30003</v>
      </c>
      <c r="F77" s="3">
        <v>30003</v>
      </c>
      <c r="G77" s="3">
        <v>1054</v>
      </c>
      <c r="H77" s="3" t="str">
        <f>VLOOKUP(G77,[1]building!$A$2:$D$351,3,FALSE)</f>
        <v>!!BLDG_NAME_JUICEBAR</v>
      </c>
      <c r="I77" s="3">
        <v>5</v>
      </c>
      <c r="J77" s="3">
        <v>1</v>
      </c>
      <c r="K77" s="3">
        <v>10002</v>
      </c>
      <c r="L77" s="3">
        <v>20001</v>
      </c>
      <c r="M77" s="3">
        <v>-1</v>
      </c>
      <c r="N77" s="3">
        <v>-1</v>
      </c>
      <c r="O77" s="3">
        <v>-1</v>
      </c>
      <c r="P77" s="3">
        <v>-1</v>
      </c>
      <c r="Q77" s="3">
        <v>2</v>
      </c>
      <c r="R77" s="3">
        <v>2</v>
      </c>
      <c r="S77" s="3">
        <v>-1</v>
      </c>
      <c r="T77" s="3">
        <v>-1</v>
      </c>
      <c r="U77" s="3">
        <v>-1</v>
      </c>
      <c r="V77" s="3">
        <v>-1</v>
      </c>
      <c r="W77" s="3">
        <v>1800</v>
      </c>
      <c r="X77" s="3" t="s">
        <v>57</v>
      </c>
      <c r="Y77" s="3" t="s">
        <v>790</v>
      </c>
      <c r="Z77" s="3">
        <v>15</v>
      </c>
      <c r="AA77" s="3" t="s">
        <v>883</v>
      </c>
      <c r="AB77" s="3">
        <v>10</v>
      </c>
      <c r="AC77" s="3" t="s">
        <v>59</v>
      </c>
      <c r="AD77" s="3" t="s">
        <v>59</v>
      </c>
      <c r="AE77" s="3" t="s">
        <v>59</v>
      </c>
      <c r="AF77" s="3">
        <v>0</v>
      </c>
      <c r="AG77" s="3" t="s">
        <v>59</v>
      </c>
      <c r="AH77" s="3" t="s">
        <v>59</v>
      </c>
      <c r="AI77" s="3" t="s">
        <v>59</v>
      </c>
      <c r="AJ77" s="3">
        <v>0</v>
      </c>
      <c r="AK77" s="3">
        <v>-1</v>
      </c>
      <c r="AL77" s="3">
        <v>-1</v>
      </c>
      <c r="AM77" s="3">
        <v>-1</v>
      </c>
      <c r="AN77" s="3">
        <v>-1</v>
      </c>
      <c r="AO77" s="3">
        <v>-1</v>
      </c>
      <c r="AP77" s="3">
        <v>-1</v>
      </c>
    </row>
    <row r="78" spans="1:42" x14ac:dyDescent="0.25">
      <c r="A78" s="3">
        <v>76</v>
      </c>
      <c r="B78" s="3" t="str">
        <f>VLOOKUP(E78,[1]recipe!$A$2:$D$500,3,FALSE)</f>
        <v>!!SMOOTHIE_CITRUS_SLURVEY</v>
      </c>
      <c r="C78" s="3" t="s">
        <v>884</v>
      </c>
      <c r="D78" s="3" t="s">
        <v>773</v>
      </c>
      <c r="E78" s="3">
        <v>30004</v>
      </c>
      <c r="F78" s="3">
        <v>30004</v>
      </c>
      <c r="G78" s="3">
        <v>1054</v>
      </c>
      <c r="H78" s="3" t="str">
        <f>VLOOKUP(G78,[1]building!$A$2:$D$351,3,FALSE)</f>
        <v>!!BLDG_NAME_JUICEBAR</v>
      </c>
      <c r="I78" s="3">
        <v>8</v>
      </c>
      <c r="J78" s="3">
        <v>1</v>
      </c>
      <c r="K78" s="3">
        <v>20003</v>
      </c>
      <c r="L78" s="3">
        <v>20001</v>
      </c>
      <c r="M78" s="3">
        <v>20002</v>
      </c>
      <c r="N78" s="3">
        <v>-1</v>
      </c>
      <c r="O78" s="3">
        <v>-1</v>
      </c>
      <c r="P78" s="3">
        <v>-1</v>
      </c>
      <c r="Q78" s="3">
        <v>1</v>
      </c>
      <c r="R78" s="3">
        <v>4</v>
      </c>
      <c r="S78" s="3">
        <v>4</v>
      </c>
      <c r="T78" s="3">
        <v>-1</v>
      </c>
      <c r="U78" s="3">
        <v>-1</v>
      </c>
      <c r="V78" s="3">
        <v>-1</v>
      </c>
      <c r="W78" s="3">
        <v>21600</v>
      </c>
      <c r="X78" s="3" t="s">
        <v>57</v>
      </c>
      <c r="Y78" s="3" t="s">
        <v>790</v>
      </c>
      <c r="Z78" s="3">
        <v>18</v>
      </c>
      <c r="AA78" s="3" t="s">
        <v>884</v>
      </c>
      <c r="AB78" s="3">
        <v>10</v>
      </c>
      <c r="AC78" s="3" t="s">
        <v>59</v>
      </c>
      <c r="AD78" s="3" t="s">
        <v>59</v>
      </c>
      <c r="AE78" s="3" t="s">
        <v>59</v>
      </c>
      <c r="AF78" s="3">
        <v>0</v>
      </c>
      <c r="AG78" s="3" t="s">
        <v>59</v>
      </c>
      <c r="AH78" s="3" t="s">
        <v>59</v>
      </c>
      <c r="AI78" s="3" t="s">
        <v>59</v>
      </c>
      <c r="AJ78" s="3">
        <v>0</v>
      </c>
      <c r="AK78" s="3">
        <v>-1</v>
      </c>
      <c r="AL78" s="3">
        <v>-1</v>
      </c>
      <c r="AM78" s="3">
        <v>-1</v>
      </c>
      <c r="AN78" s="3">
        <v>-1</v>
      </c>
      <c r="AO78" s="3">
        <v>-1</v>
      </c>
      <c r="AP78" s="3">
        <v>-1</v>
      </c>
    </row>
    <row r="79" spans="1:42" x14ac:dyDescent="0.25">
      <c r="A79" s="3">
        <v>77</v>
      </c>
      <c r="B79" s="3" t="str">
        <f>VLOOKUP(E79,[1]recipe!$A$2:$D$500,3,FALSE)</f>
        <v>!!SMOOTHIE_HANG_8</v>
      </c>
      <c r="C79" s="3" t="s">
        <v>885</v>
      </c>
      <c r="D79" s="3" t="s">
        <v>773</v>
      </c>
      <c r="E79" s="3">
        <v>30005</v>
      </c>
      <c r="F79" s="3">
        <v>30005</v>
      </c>
      <c r="G79" s="3">
        <v>1054</v>
      </c>
      <c r="H79" s="3" t="str">
        <f>VLOOKUP(G79,[1]building!$A$2:$D$351,3,FALSE)</f>
        <v>!!BLDG_NAME_JUICEBAR</v>
      </c>
      <c r="I79" s="3">
        <v>5</v>
      </c>
      <c r="J79" s="3">
        <v>1</v>
      </c>
      <c r="K79" s="3">
        <v>20001</v>
      </c>
      <c r="L79" s="3">
        <v>10003</v>
      </c>
      <c r="M79" s="3">
        <v>20002</v>
      </c>
      <c r="N79" s="3">
        <v>-1</v>
      </c>
      <c r="O79" s="3">
        <v>-1</v>
      </c>
      <c r="P79" s="3">
        <v>-1</v>
      </c>
      <c r="Q79" s="3">
        <v>3</v>
      </c>
      <c r="R79" s="3">
        <v>2</v>
      </c>
      <c r="S79" s="3">
        <v>3</v>
      </c>
      <c r="T79" s="3">
        <v>-1</v>
      </c>
      <c r="U79" s="3">
        <v>-1</v>
      </c>
      <c r="V79" s="3">
        <v>-1</v>
      </c>
      <c r="W79" s="3">
        <v>900</v>
      </c>
      <c r="X79" s="3" t="s">
        <v>57</v>
      </c>
      <c r="Y79" s="3" t="s">
        <v>790</v>
      </c>
      <c r="Z79" s="3">
        <v>20</v>
      </c>
      <c r="AA79" s="3" t="s">
        <v>885</v>
      </c>
      <c r="AB79" s="3">
        <v>10</v>
      </c>
      <c r="AC79" s="3" t="s">
        <v>59</v>
      </c>
      <c r="AD79" s="3" t="s">
        <v>59</v>
      </c>
      <c r="AE79" s="3" t="s">
        <v>59</v>
      </c>
      <c r="AF79" s="3">
        <v>0</v>
      </c>
      <c r="AG79" s="3" t="s">
        <v>59</v>
      </c>
      <c r="AH79" s="3" t="s">
        <v>59</v>
      </c>
      <c r="AI79" s="3" t="s">
        <v>59</v>
      </c>
      <c r="AJ79" s="3">
        <v>0</v>
      </c>
      <c r="AK79" s="3">
        <v>-1</v>
      </c>
      <c r="AL79" s="3">
        <v>-1</v>
      </c>
      <c r="AM79" s="3">
        <v>-1</v>
      </c>
      <c r="AN79" s="3">
        <v>-1</v>
      </c>
      <c r="AO79" s="3">
        <v>-1</v>
      </c>
      <c r="AP79" s="3">
        <v>-1</v>
      </c>
    </row>
    <row r="80" spans="1:42" x14ac:dyDescent="0.25">
      <c r="A80" s="3">
        <v>78</v>
      </c>
      <c r="B80" s="3" t="str">
        <f>VLOOKUP(E80,[1]recipe!$A$2:$D$500,3,FALSE)</f>
        <v>!!SMOOTHIE_LIQUID_COBBLER</v>
      </c>
      <c r="C80" s="3" t="s">
        <v>886</v>
      </c>
      <c r="D80" s="3" t="s">
        <v>773</v>
      </c>
      <c r="E80" s="3">
        <v>30006</v>
      </c>
      <c r="F80" s="3">
        <v>30006</v>
      </c>
      <c r="G80" s="3">
        <v>1054</v>
      </c>
      <c r="H80" s="3" t="str">
        <f>VLOOKUP(G80,[1]building!$A$2:$D$351,3,FALSE)</f>
        <v>!!BLDG_NAME_JUICEBAR</v>
      </c>
      <c r="I80" s="3">
        <v>10</v>
      </c>
      <c r="J80" s="3">
        <v>1</v>
      </c>
      <c r="K80" s="3">
        <v>10009</v>
      </c>
      <c r="L80" s="3">
        <v>20004</v>
      </c>
      <c r="M80" s="3">
        <v>-1</v>
      </c>
      <c r="N80" s="3">
        <v>-1</v>
      </c>
      <c r="O80" s="3">
        <v>-1</v>
      </c>
      <c r="P80" s="3">
        <v>-1</v>
      </c>
      <c r="Q80" s="3">
        <v>3</v>
      </c>
      <c r="R80" s="3">
        <v>3</v>
      </c>
      <c r="S80" s="3">
        <v>-1</v>
      </c>
      <c r="T80" s="3">
        <v>-1</v>
      </c>
      <c r="U80" s="3">
        <v>-1</v>
      </c>
      <c r="V80" s="3">
        <v>-1</v>
      </c>
      <c r="W80" s="3">
        <v>86400</v>
      </c>
      <c r="X80" s="3" t="s">
        <v>57</v>
      </c>
      <c r="Y80" s="3" t="s">
        <v>790</v>
      </c>
      <c r="Z80" s="3">
        <v>21</v>
      </c>
      <c r="AA80" s="3" t="s">
        <v>886</v>
      </c>
      <c r="AB80" s="3">
        <v>10</v>
      </c>
      <c r="AC80" s="3" t="s">
        <v>59</v>
      </c>
      <c r="AD80" s="3" t="s">
        <v>59</v>
      </c>
      <c r="AE80" s="3" t="s">
        <v>59</v>
      </c>
      <c r="AF80" s="3">
        <v>0</v>
      </c>
      <c r="AG80" s="3" t="s">
        <v>59</v>
      </c>
      <c r="AH80" s="3" t="s">
        <v>59</v>
      </c>
      <c r="AI80" s="3" t="s">
        <v>59</v>
      </c>
      <c r="AJ80" s="3">
        <v>0</v>
      </c>
      <c r="AK80" s="3">
        <v>-1</v>
      </c>
      <c r="AL80" s="3">
        <v>-1</v>
      </c>
      <c r="AM80" s="3">
        <v>-1</v>
      </c>
      <c r="AN80" s="3">
        <v>-1</v>
      </c>
      <c r="AO80" s="3">
        <v>-1</v>
      </c>
      <c r="AP80" s="3">
        <v>-1</v>
      </c>
    </row>
    <row r="81" spans="1:42" x14ac:dyDescent="0.25">
      <c r="A81" s="3">
        <v>79</v>
      </c>
      <c r="B81" s="3" t="str">
        <f>VLOOKUP(E81,[1]recipe!$A$2:$D$500,3,FALSE)</f>
        <v>!!SMOOTHIE_NANNAS_C_SERENADE</v>
      </c>
      <c r="C81" s="3" t="s">
        <v>887</v>
      </c>
      <c r="D81" s="3" t="s">
        <v>773</v>
      </c>
      <c r="E81" s="3">
        <v>30007</v>
      </c>
      <c r="F81" s="3">
        <v>30007</v>
      </c>
      <c r="G81" s="3">
        <v>1054</v>
      </c>
      <c r="H81" s="3" t="str">
        <f>VLOOKUP(G81,[1]building!$A$2:$D$351,3,FALSE)</f>
        <v>!!BLDG_NAME_JUICEBAR</v>
      </c>
      <c r="I81" s="3">
        <v>4</v>
      </c>
      <c r="J81" s="3">
        <v>1</v>
      </c>
      <c r="K81" s="3">
        <v>10000</v>
      </c>
      <c r="L81" s="3">
        <v>20003</v>
      </c>
      <c r="M81" s="3">
        <v>-1</v>
      </c>
      <c r="N81" s="3">
        <v>-1</v>
      </c>
      <c r="O81" s="3">
        <v>-1</v>
      </c>
      <c r="P81" s="3">
        <v>-1</v>
      </c>
      <c r="Q81" s="3">
        <v>4</v>
      </c>
      <c r="R81" s="3">
        <v>1</v>
      </c>
      <c r="S81" s="3">
        <v>-1</v>
      </c>
      <c r="T81" s="3">
        <v>-1</v>
      </c>
      <c r="U81" s="3">
        <v>-1</v>
      </c>
      <c r="V81" s="3">
        <v>-1</v>
      </c>
      <c r="W81" s="3">
        <v>900</v>
      </c>
      <c r="X81" s="3" t="s">
        <v>57</v>
      </c>
      <c r="Y81" s="3" t="s">
        <v>790</v>
      </c>
      <c r="Z81" s="3">
        <v>10</v>
      </c>
      <c r="AA81" s="3" t="s">
        <v>887</v>
      </c>
      <c r="AB81" s="3">
        <v>10</v>
      </c>
      <c r="AC81" s="3" t="s">
        <v>59</v>
      </c>
      <c r="AD81" s="3" t="s">
        <v>59</v>
      </c>
      <c r="AE81" s="3" t="s">
        <v>59</v>
      </c>
      <c r="AF81" s="3">
        <v>0</v>
      </c>
      <c r="AG81" s="3" t="s">
        <v>59</v>
      </c>
      <c r="AH81" s="3" t="s">
        <v>59</v>
      </c>
      <c r="AI81" s="3" t="s">
        <v>59</v>
      </c>
      <c r="AJ81" s="3">
        <v>0</v>
      </c>
      <c r="AK81" s="3">
        <v>-1</v>
      </c>
      <c r="AL81" s="3">
        <v>-1</v>
      </c>
      <c r="AM81" s="3">
        <v>-1</v>
      </c>
      <c r="AN81" s="3">
        <v>-1</v>
      </c>
      <c r="AO81" s="3">
        <v>-1</v>
      </c>
      <c r="AP81" s="3">
        <v>-1</v>
      </c>
    </row>
    <row r="82" spans="1:42" x14ac:dyDescent="0.25">
      <c r="A82" s="3">
        <v>80</v>
      </c>
      <c r="B82" s="3" t="str">
        <f>VLOOKUP(E82,[1]recipe!$A$2:$D$500,3,FALSE)</f>
        <v>!!SMOOTHIE_ORANGE_NUT</v>
      </c>
      <c r="C82" s="3" t="s">
        <v>888</v>
      </c>
      <c r="D82" s="3" t="s">
        <v>773</v>
      </c>
      <c r="E82" s="3">
        <v>30008</v>
      </c>
      <c r="F82" s="3">
        <v>30008</v>
      </c>
      <c r="G82" s="3">
        <v>1054</v>
      </c>
      <c r="H82" s="3" t="str">
        <f>VLOOKUP(G82,[1]building!$A$2:$D$351,3,FALSE)</f>
        <v>!!BLDG_NAME_JUICEBAR</v>
      </c>
      <c r="I82" s="3">
        <v>3</v>
      </c>
      <c r="J82" s="3">
        <v>1</v>
      </c>
      <c r="K82" s="3">
        <v>10006</v>
      </c>
      <c r="L82" s="3">
        <v>20003</v>
      </c>
      <c r="M82" s="3">
        <v>-1</v>
      </c>
      <c r="N82" s="3">
        <v>-1</v>
      </c>
      <c r="O82" s="3">
        <v>-1</v>
      </c>
      <c r="P82" s="3">
        <v>-1</v>
      </c>
      <c r="Q82" s="3">
        <v>4</v>
      </c>
      <c r="R82" s="3">
        <v>1</v>
      </c>
      <c r="S82" s="3">
        <v>-1</v>
      </c>
      <c r="T82" s="3">
        <v>-1</v>
      </c>
      <c r="U82" s="3">
        <v>-1</v>
      </c>
      <c r="V82" s="3">
        <v>-1</v>
      </c>
      <c r="W82" s="3">
        <v>300</v>
      </c>
      <c r="X82" s="3" t="s">
        <v>57</v>
      </c>
      <c r="Y82" s="3" t="s">
        <v>790</v>
      </c>
      <c r="Z82" s="3">
        <v>11</v>
      </c>
      <c r="AA82" s="3" t="s">
        <v>888</v>
      </c>
      <c r="AB82" s="3">
        <v>10</v>
      </c>
      <c r="AC82" s="3" t="s">
        <v>59</v>
      </c>
      <c r="AD82" s="3" t="s">
        <v>59</v>
      </c>
      <c r="AE82" s="3" t="s">
        <v>59</v>
      </c>
      <c r="AF82" s="3">
        <v>0</v>
      </c>
      <c r="AG82" s="3" t="s">
        <v>59</v>
      </c>
      <c r="AH82" s="3" t="s">
        <v>59</v>
      </c>
      <c r="AI82" s="3" t="s">
        <v>59</v>
      </c>
      <c r="AJ82" s="3">
        <v>0</v>
      </c>
      <c r="AK82" s="3">
        <v>-1</v>
      </c>
      <c r="AL82" s="3">
        <v>-1</v>
      </c>
      <c r="AM82" s="3">
        <v>-1</v>
      </c>
      <c r="AN82" s="3">
        <v>-1</v>
      </c>
      <c r="AO82" s="3">
        <v>-1</v>
      </c>
      <c r="AP82" s="3">
        <v>-1</v>
      </c>
    </row>
    <row r="83" spans="1:42" x14ac:dyDescent="0.25">
      <c r="A83" s="3">
        <v>81</v>
      </c>
      <c r="B83" s="3" t="str">
        <f>VLOOKUP(E83,[1]recipe!$A$2:$D$500,3,FALSE)</f>
        <v>!!SMOOTHIE_STRAWBERRY_SQUEEZE</v>
      </c>
      <c r="C83" s="3" t="s">
        <v>889</v>
      </c>
      <c r="D83" s="3" t="s">
        <v>773</v>
      </c>
      <c r="E83" s="3">
        <v>30009</v>
      </c>
      <c r="F83" s="3">
        <v>30009</v>
      </c>
      <c r="G83" s="3">
        <v>1054</v>
      </c>
      <c r="H83" s="3" t="str">
        <f>VLOOKUP(G83,[1]building!$A$2:$D$351,3,FALSE)</f>
        <v>!!BLDG_NAME_JUICEBAR</v>
      </c>
      <c r="I83" s="3">
        <v>6</v>
      </c>
      <c r="J83" s="3">
        <v>1</v>
      </c>
      <c r="K83" s="3">
        <v>10008</v>
      </c>
      <c r="L83" s="3">
        <v>20001</v>
      </c>
      <c r="M83" s="3">
        <v>-1</v>
      </c>
      <c r="N83" s="3">
        <v>-1</v>
      </c>
      <c r="O83" s="3">
        <v>-1</v>
      </c>
      <c r="P83" s="3">
        <v>-1</v>
      </c>
      <c r="Q83" s="3">
        <v>2</v>
      </c>
      <c r="R83" s="3">
        <v>2</v>
      </c>
      <c r="S83" s="3">
        <v>-1</v>
      </c>
      <c r="T83" s="3">
        <v>-1</v>
      </c>
      <c r="U83" s="3">
        <v>-1</v>
      </c>
      <c r="V83" s="3">
        <v>-1</v>
      </c>
      <c r="W83" s="3">
        <v>3600</v>
      </c>
      <c r="X83" s="3" t="s">
        <v>57</v>
      </c>
      <c r="Y83" s="3" t="s">
        <v>790</v>
      </c>
      <c r="Z83" s="3">
        <v>16</v>
      </c>
      <c r="AA83" s="3" t="s">
        <v>890</v>
      </c>
      <c r="AB83" s="3">
        <v>10</v>
      </c>
      <c r="AC83" s="3" t="s">
        <v>59</v>
      </c>
      <c r="AD83" s="3" t="s">
        <v>59</v>
      </c>
      <c r="AE83" s="3" t="s">
        <v>59</v>
      </c>
      <c r="AF83" s="3">
        <v>0</v>
      </c>
      <c r="AG83" s="3" t="s">
        <v>59</v>
      </c>
      <c r="AH83" s="3" t="s">
        <v>59</v>
      </c>
      <c r="AI83" s="3" t="s">
        <v>59</v>
      </c>
      <c r="AJ83" s="3">
        <v>0</v>
      </c>
      <c r="AK83" s="3">
        <v>-1</v>
      </c>
      <c r="AL83" s="3">
        <v>-1</v>
      </c>
      <c r="AM83" s="3">
        <v>-1</v>
      </c>
      <c r="AN83" s="3">
        <v>-1</v>
      </c>
      <c r="AO83" s="3">
        <v>-1</v>
      </c>
      <c r="AP83" s="3">
        <v>-1</v>
      </c>
    </row>
    <row r="84" spans="1:42" x14ac:dyDescent="0.25">
      <c r="A84" s="3">
        <v>82</v>
      </c>
      <c r="B84" s="3" t="str">
        <f>VLOOKUP(E84,[1]recipe!$A$2:$D$500,3,FALSE)</f>
        <v>!!SMOOTHIE_STRAWNANA_TSUNAMI</v>
      </c>
      <c r="C84" s="3" t="s">
        <v>891</v>
      </c>
      <c r="D84" s="3" t="s">
        <v>773</v>
      </c>
      <c r="E84" s="3">
        <v>30010</v>
      </c>
      <c r="F84" s="3">
        <v>30010</v>
      </c>
      <c r="G84" s="3">
        <v>1054</v>
      </c>
      <c r="H84" s="3" t="str">
        <f>VLOOKUP(G84,[1]building!$A$2:$D$351,3,FALSE)</f>
        <v>!!BLDG_NAME_JUICEBAR</v>
      </c>
      <c r="I84" s="3">
        <v>5</v>
      </c>
      <c r="J84" s="3">
        <v>1</v>
      </c>
      <c r="K84" s="3">
        <v>10000</v>
      </c>
      <c r="L84" s="3">
        <v>10008</v>
      </c>
      <c r="M84" s="3">
        <v>-1</v>
      </c>
      <c r="N84" s="3">
        <v>-1</v>
      </c>
      <c r="O84" s="3">
        <v>-1</v>
      </c>
      <c r="P84" s="3">
        <v>-1</v>
      </c>
      <c r="Q84" s="3">
        <v>2</v>
      </c>
      <c r="R84" s="3">
        <v>2</v>
      </c>
      <c r="S84" s="3">
        <v>-1</v>
      </c>
      <c r="T84" s="3">
        <v>-1</v>
      </c>
      <c r="U84" s="3">
        <v>-1</v>
      </c>
      <c r="V84" s="3">
        <v>-1</v>
      </c>
      <c r="W84" s="3">
        <v>1800</v>
      </c>
      <c r="X84" s="3" t="s">
        <v>57</v>
      </c>
      <c r="Y84" s="3" t="s">
        <v>790</v>
      </c>
      <c r="Z84" s="3">
        <v>10</v>
      </c>
      <c r="AA84" s="3" t="s">
        <v>891</v>
      </c>
      <c r="AB84" s="3">
        <v>10</v>
      </c>
      <c r="AC84" s="3" t="s">
        <v>59</v>
      </c>
      <c r="AD84" s="3" t="s">
        <v>59</v>
      </c>
      <c r="AE84" s="3" t="s">
        <v>59</v>
      </c>
      <c r="AF84" s="3">
        <v>0</v>
      </c>
      <c r="AG84" s="3" t="s">
        <v>59</v>
      </c>
      <c r="AH84" s="3" t="s">
        <v>59</v>
      </c>
      <c r="AI84" s="3" t="s">
        <v>59</v>
      </c>
      <c r="AJ84" s="3">
        <v>0</v>
      </c>
      <c r="AK84" s="3">
        <v>-1</v>
      </c>
      <c r="AL84" s="3">
        <v>-1</v>
      </c>
      <c r="AM84" s="3">
        <v>-1</v>
      </c>
      <c r="AN84" s="3">
        <v>-1</v>
      </c>
      <c r="AO84" s="3">
        <v>-1</v>
      </c>
      <c r="AP84" s="3">
        <v>-1</v>
      </c>
    </row>
    <row r="85" spans="1:42" x14ac:dyDescent="0.25">
      <c r="A85" s="3">
        <v>83</v>
      </c>
      <c r="B85" s="3" t="str">
        <f>VLOOKUP(E85,[1]recipe!$A$2:$D$500,3,FALSE)</f>
        <v>!!SMOOTHIE_WANNANANA</v>
      </c>
      <c r="C85" s="3" t="s">
        <v>892</v>
      </c>
      <c r="D85" s="3" t="s">
        <v>773</v>
      </c>
      <c r="E85" s="3">
        <v>30011</v>
      </c>
      <c r="F85" s="3">
        <v>30011</v>
      </c>
      <c r="G85" s="3">
        <v>1054</v>
      </c>
      <c r="H85" s="3" t="str">
        <f>VLOOKUP(G85,[1]building!$A$2:$D$351,3,FALSE)</f>
        <v>!!BLDG_NAME_JUICEBAR</v>
      </c>
      <c r="I85" s="3">
        <v>1</v>
      </c>
      <c r="J85" s="3">
        <v>1</v>
      </c>
      <c r="K85" s="3">
        <v>10000</v>
      </c>
      <c r="L85" s="3">
        <v>-1</v>
      </c>
      <c r="M85" s="3">
        <v>-1</v>
      </c>
      <c r="N85" s="3">
        <v>-1</v>
      </c>
      <c r="O85" s="3">
        <v>-1</v>
      </c>
      <c r="P85" s="3">
        <v>-1</v>
      </c>
      <c r="Q85" s="3">
        <v>4</v>
      </c>
      <c r="R85" s="3">
        <v>-1</v>
      </c>
      <c r="S85" s="3">
        <v>-1</v>
      </c>
      <c r="T85" s="3">
        <v>-1</v>
      </c>
      <c r="U85" s="3">
        <v>-1</v>
      </c>
      <c r="V85" s="3">
        <v>-1</v>
      </c>
      <c r="W85" s="3">
        <v>300</v>
      </c>
      <c r="X85" s="3" t="s">
        <v>57</v>
      </c>
      <c r="Y85" s="3" t="s">
        <v>790</v>
      </c>
      <c r="Z85" s="3">
        <v>10</v>
      </c>
      <c r="AA85" s="3" t="s">
        <v>892</v>
      </c>
      <c r="AB85" s="3">
        <v>10</v>
      </c>
      <c r="AC85" s="3" t="s">
        <v>59</v>
      </c>
      <c r="AD85" s="3" t="s">
        <v>59</v>
      </c>
      <c r="AE85" s="3" t="s">
        <v>59</v>
      </c>
      <c r="AF85" s="3">
        <v>0</v>
      </c>
      <c r="AG85" s="3" t="s">
        <v>59</v>
      </c>
      <c r="AH85" s="3" t="s">
        <v>59</v>
      </c>
      <c r="AI85" s="3" t="s">
        <v>59</v>
      </c>
      <c r="AJ85" s="3">
        <v>0</v>
      </c>
      <c r="AK85" s="3">
        <v>-1</v>
      </c>
      <c r="AL85" s="3">
        <v>-1</v>
      </c>
      <c r="AM85" s="3">
        <v>-1</v>
      </c>
      <c r="AN85" s="3">
        <v>-1</v>
      </c>
      <c r="AO85" s="3">
        <v>-1</v>
      </c>
      <c r="AP85" s="3">
        <v>-1</v>
      </c>
    </row>
    <row r="86" spans="1:42" x14ac:dyDescent="0.25">
      <c r="A86" s="3">
        <v>84</v>
      </c>
      <c r="B86" s="3" t="str">
        <f>VLOOKUP(E86,[1]recipe!$A$2:$D$500,3,FALSE)</f>
        <v>!!FLOWERCORAL_BRANCHCORAL</v>
      </c>
      <c r="C86" t="s">
        <v>982</v>
      </c>
      <c r="D86" t="s">
        <v>773</v>
      </c>
      <c r="E86" s="2">
        <v>60000</v>
      </c>
      <c r="F86" s="2">
        <v>60000</v>
      </c>
      <c r="G86" s="2">
        <v>1055</v>
      </c>
      <c r="H86" s="3" t="str">
        <f>VLOOKUP(G86,[1]building!$A$2:$D$351,3,FALSE)</f>
        <v>!!BLDG_NAME_FLOWERSHOP</v>
      </c>
      <c r="I86" s="2">
        <v>4</v>
      </c>
      <c r="J86" s="2">
        <v>1</v>
      </c>
      <c r="K86" s="3">
        <v>3</v>
      </c>
      <c r="L86" s="3">
        <v>-1</v>
      </c>
      <c r="M86" s="3">
        <v>-1</v>
      </c>
      <c r="N86" s="3">
        <v>-1</v>
      </c>
      <c r="O86" s="3">
        <v>-1</v>
      </c>
      <c r="P86" s="3">
        <v>-1</v>
      </c>
      <c r="Q86" s="3">
        <v>50</v>
      </c>
      <c r="R86" s="3">
        <v>-1</v>
      </c>
      <c r="S86" s="3">
        <v>-1</v>
      </c>
      <c r="T86" s="3">
        <v>-1</v>
      </c>
      <c r="U86" s="3">
        <v>-1</v>
      </c>
      <c r="V86" s="3">
        <v>-1</v>
      </c>
      <c r="W86">
        <v>1800</v>
      </c>
      <c r="X86" t="s">
        <v>784</v>
      </c>
      <c r="Y86" t="s">
        <v>785</v>
      </c>
      <c r="Z86">
        <v>17</v>
      </c>
      <c r="AA86" t="s">
        <v>982</v>
      </c>
      <c r="AB86">
        <v>10</v>
      </c>
      <c r="AC86" s="3" t="s">
        <v>59</v>
      </c>
      <c r="AD86" s="3" t="s">
        <v>59</v>
      </c>
      <c r="AE86" s="3" t="s">
        <v>59</v>
      </c>
      <c r="AF86">
        <v>0</v>
      </c>
      <c r="AG86" s="3" t="s">
        <v>59</v>
      </c>
      <c r="AH86" s="3" t="s">
        <v>59</v>
      </c>
      <c r="AI86" s="3" t="s">
        <v>59</v>
      </c>
      <c r="AJ86">
        <v>0</v>
      </c>
      <c r="AK86">
        <v>0</v>
      </c>
      <c r="AL86">
        <v>1</v>
      </c>
      <c r="AM86">
        <v>2</v>
      </c>
      <c r="AN86">
        <v>0.5</v>
      </c>
      <c r="AO86">
        <v>0.25</v>
      </c>
      <c r="AP86">
        <v>0.25</v>
      </c>
    </row>
    <row r="87" spans="1:42" x14ac:dyDescent="0.25">
      <c r="A87" s="3">
        <v>85</v>
      </c>
      <c r="B87" s="3" t="str">
        <f>VLOOKUP(E87,[1]recipe!$A$2:$D$500,3,FALSE)</f>
        <v>!!FLOWERCORAL_CUPCORAL</v>
      </c>
      <c r="C87" t="s">
        <v>983</v>
      </c>
      <c r="D87" t="s">
        <v>773</v>
      </c>
      <c r="E87" s="2">
        <v>60001</v>
      </c>
      <c r="F87" s="2">
        <v>60001</v>
      </c>
      <c r="G87" s="2">
        <v>1055</v>
      </c>
      <c r="H87" s="3" t="str">
        <f>VLOOKUP(G87,[1]building!$A$2:$D$351,3,FALSE)</f>
        <v>!!BLDG_NAME_FLOWERSHOP</v>
      </c>
      <c r="I87" s="2">
        <v>3</v>
      </c>
      <c r="J87" s="2">
        <v>1</v>
      </c>
      <c r="K87" s="3">
        <v>3</v>
      </c>
      <c r="L87" s="3">
        <v>-1</v>
      </c>
      <c r="M87" s="3">
        <v>-1</v>
      </c>
      <c r="N87" s="3">
        <v>-1</v>
      </c>
      <c r="O87" s="3">
        <v>-1</v>
      </c>
      <c r="P87" s="3">
        <v>-1</v>
      </c>
      <c r="Q87" s="3">
        <v>30</v>
      </c>
      <c r="R87" s="3">
        <v>-1</v>
      </c>
      <c r="S87" s="3">
        <v>-1</v>
      </c>
      <c r="T87" s="3">
        <v>-1</v>
      </c>
      <c r="U87" s="3">
        <v>-1</v>
      </c>
      <c r="V87" s="3">
        <v>-1</v>
      </c>
      <c r="W87">
        <v>900</v>
      </c>
      <c r="X87" t="s">
        <v>784</v>
      </c>
      <c r="Y87" t="s">
        <v>785</v>
      </c>
      <c r="Z87">
        <v>15</v>
      </c>
      <c r="AA87" t="s">
        <v>983</v>
      </c>
      <c r="AB87">
        <v>10</v>
      </c>
      <c r="AC87" s="3" t="s">
        <v>59</v>
      </c>
      <c r="AD87" s="3" t="s">
        <v>59</v>
      </c>
      <c r="AE87" s="3" t="s">
        <v>59</v>
      </c>
      <c r="AF87">
        <v>0</v>
      </c>
      <c r="AG87" s="3" t="s">
        <v>59</v>
      </c>
      <c r="AH87" s="3" t="s">
        <v>59</v>
      </c>
      <c r="AI87" s="3" t="s">
        <v>59</v>
      </c>
      <c r="AJ87">
        <v>0</v>
      </c>
      <c r="AK87">
        <v>0</v>
      </c>
      <c r="AL87">
        <v>1</v>
      </c>
      <c r="AM87">
        <v>2</v>
      </c>
      <c r="AN87">
        <v>0.5</v>
      </c>
      <c r="AO87">
        <v>0.25</v>
      </c>
      <c r="AP87">
        <v>0.25</v>
      </c>
    </row>
    <row r="88" spans="1:42" x14ac:dyDescent="0.25">
      <c r="A88" s="3">
        <v>86</v>
      </c>
      <c r="B88" s="3" t="str">
        <f>VLOOKUP(E88,[1]recipe!$A$2:$D$500,3,FALSE)</f>
        <v>!!FLOWERCORAL_FLOWER</v>
      </c>
      <c r="C88" s="3" t="s">
        <v>783</v>
      </c>
      <c r="D88" s="3" t="s">
        <v>773</v>
      </c>
      <c r="E88" s="3">
        <v>60002</v>
      </c>
      <c r="F88" s="3">
        <v>60002</v>
      </c>
      <c r="G88" s="3">
        <v>1055</v>
      </c>
      <c r="H88" s="3" t="str">
        <f>VLOOKUP(G88,[1]building!$A$2:$D$351,3,FALSE)</f>
        <v>!!BLDG_NAME_FLOWERSHOP</v>
      </c>
      <c r="I88" s="3">
        <v>1</v>
      </c>
      <c r="J88" s="3">
        <v>1</v>
      </c>
      <c r="K88" s="3">
        <v>3</v>
      </c>
      <c r="L88" s="3">
        <v>-1</v>
      </c>
      <c r="M88" s="3">
        <v>-1</v>
      </c>
      <c r="N88" s="3">
        <v>-1</v>
      </c>
      <c r="O88" s="3">
        <v>-1</v>
      </c>
      <c r="P88" s="3">
        <v>-1</v>
      </c>
      <c r="Q88" s="3">
        <v>20</v>
      </c>
      <c r="R88" s="3">
        <v>-1</v>
      </c>
      <c r="S88" s="3">
        <v>-1</v>
      </c>
      <c r="T88" s="3">
        <v>-1</v>
      </c>
      <c r="U88" s="3">
        <v>-1</v>
      </c>
      <c r="V88" s="3">
        <v>-1</v>
      </c>
      <c r="W88" s="3">
        <v>300</v>
      </c>
      <c r="X88" s="3" t="s">
        <v>784</v>
      </c>
      <c r="Y88" s="3" t="s">
        <v>785</v>
      </c>
      <c r="Z88" s="3">
        <v>12</v>
      </c>
      <c r="AA88" s="3" t="s">
        <v>783</v>
      </c>
      <c r="AB88" s="3">
        <v>10</v>
      </c>
      <c r="AC88" s="3" t="s">
        <v>59</v>
      </c>
      <c r="AD88" s="3" t="s">
        <v>59</v>
      </c>
      <c r="AE88" s="3" t="s">
        <v>59</v>
      </c>
      <c r="AF88" s="3">
        <v>1</v>
      </c>
      <c r="AG88" s="3" t="s">
        <v>59</v>
      </c>
      <c r="AH88" s="3" t="s">
        <v>59</v>
      </c>
      <c r="AI88" s="3" t="s">
        <v>59</v>
      </c>
      <c r="AJ88" s="3">
        <v>0</v>
      </c>
      <c r="AK88" s="3">
        <v>-1</v>
      </c>
      <c r="AL88" s="3">
        <v>-1</v>
      </c>
      <c r="AM88" s="3">
        <v>-1</v>
      </c>
      <c r="AN88" s="3">
        <v>-1</v>
      </c>
      <c r="AO88" s="3">
        <v>-1</v>
      </c>
      <c r="AP88" s="3">
        <v>-1</v>
      </c>
    </row>
    <row r="89" spans="1:42" x14ac:dyDescent="0.25">
      <c r="A89" s="3">
        <v>87</v>
      </c>
      <c r="B89" s="3" t="str">
        <f>VLOOKUP(E89,[1]recipe!$A$2:$D$500,3,FALSE)</f>
        <v>!!FLOWERCORAL_STINKYSEAROSE</v>
      </c>
      <c r="C89" s="3" t="s">
        <v>786</v>
      </c>
      <c r="D89" s="3" t="s">
        <v>773</v>
      </c>
      <c r="E89" s="3">
        <v>60003</v>
      </c>
      <c r="F89" s="3">
        <v>60003</v>
      </c>
      <c r="G89" s="3">
        <v>1055</v>
      </c>
      <c r="H89" s="3" t="str">
        <f>VLOOKUP(G89,[1]building!$A$2:$D$351,3,FALSE)</f>
        <v>!!BLDG_NAME_FLOWERSHOP</v>
      </c>
      <c r="I89" s="3">
        <v>5</v>
      </c>
      <c r="J89" s="3">
        <v>1</v>
      </c>
      <c r="K89" s="3">
        <v>3</v>
      </c>
      <c r="L89" s="3">
        <v>-1</v>
      </c>
      <c r="M89" s="3">
        <v>-1</v>
      </c>
      <c r="N89" s="3">
        <v>-1</v>
      </c>
      <c r="O89" s="3">
        <v>-1</v>
      </c>
      <c r="P89" s="3">
        <v>-1</v>
      </c>
      <c r="Q89" s="3">
        <v>100</v>
      </c>
      <c r="R89" s="3">
        <v>-1</v>
      </c>
      <c r="S89" s="3">
        <v>-1</v>
      </c>
      <c r="T89" s="3">
        <v>-1</v>
      </c>
      <c r="U89" s="3">
        <v>-1</v>
      </c>
      <c r="V89" s="3">
        <v>-1</v>
      </c>
      <c r="W89" s="3">
        <v>3600</v>
      </c>
      <c r="X89" s="3" t="s">
        <v>787</v>
      </c>
      <c r="Y89" s="3" t="s">
        <v>788</v>
      </c>
      <c r="Z89" s="3">
        <v>21</v>
      </c>
      <c r="AA89" s="3" t="s">
        <v>786</v>
      </c>
      <c r="AB89" s="3">
        <v>10</v>
      </c>
      <c r="AC89" s="3" t="s">
        <v>59</v>
      </c>
      <c r="AD89" s="3" t="s">
        <v>59</v>
      </c>
      <c r="AE89" s="3" t="s">
        <v>59</v>
      </c>
      <c r="AF89" s="3">
        <v>0</v>
      </c>
      <c r="AG89" s="3" t="s">
        <v>59</v>
      </c>
      <c r="AH89" s="3" t="s">
        <v>59</v>
      </c>
      <c r="AI89" s="3" t="s">
        <v>59</v>
      </c>
      <c r="AJ89" s="3">
        <v>0</v>
      </c>
      <c r="AK89" s="3">
        <v>-1</v>
      </c>
      <c r="AL89" s="3">
        <v>-1</v>
      </c>
      <c r="AM89" s="3">
        <v>-1</v>
      </c>
      <c r="AN89" s="3">
        <v>-1</v>
      </c>
      <c r="AO89" s="3">
        <v>-1</v>
      </c>
      <c r="AP89" s="3">
        <v>-1</v>
      </c>
    </row>
    <row r="90" spans="1:42" x14ac:dyDescent="0.25">
      <c r="A90" s="3">
        <v>88</v>
      </c>
      <c r="B90" s="3" t="str">
        <f>VLOOKUP(E90,[1]recipe!$A$2:$D$500,3,FALSE)</f>
        <v>!!FLOWERCORAL_TUBECORAL</v>
      </c>
      <c r="C90" t="s">
        <v>984</v>
      </c>
      <c r="D90" t="s">
        <v>773</v>
      </c>
      <c r="E90" s="2">
        <v>60004</v>
      </c>
      <c r="F90" s="2">
        <v>60004</v>
      </c>
      <c r="G90" s="2">
        <v>1055</v>
      </c>
      <c r="H90" s="3" t="str">
        <f>VLOOKUP(G90,[1]building!$A$2:$D$351,3,FALSE)</f>
        <v>!!BLDG_NAME_FLOWERSHOP</v>
      </c>
      <c r="I90" s="2">
        <v>5</v>
      </c>
      <c r="J90" s="2">
        <v>1</v>
      </c>
      <c r="K90" s="3">
        <v>3</v>
      </c>
      <c r="L90" s="3">
        <v>-1</v>
      </c>
      <c r="M90" s="3">
        <v>-1</v>
      </c>
      <c r="N90" s="3">
        <v>-1</v>
      </c>
      <c r="O90" s="3">
        <v>-1</v>
      </c>
      <c r="P90" s="3">
        <v>-1</v>
      </c>
      <c r="Q90" s="3">
        <v>80</v>
      </c>
      <c r="R90" s="3">
        <v>-1</v>
      </c>
      <c r="S90" s="3">
        <v>-1</v>
      </c>
      <c r="T90" s="3">
        <v>-1</v>
      </c>
      <c r="U90" s="3">
        <v>-1</v>
      </c>
      <c r="V90" s="3">
        <v>-1</v>
      </c>
      <c r="W90">
        <v>2700</v>
      </c>
      <c r="X90" t="s">
        <v>784</v>
      </c>
      <c r="Y90" t="s">
        <v>785</v>
      </c>
      <c r="Z90">
        <v>19</v>
      </c>
      <c r="AA90" t="s">
        <v>984</v>
      </c>
      <c r="AB90">
        <v>10</v>
      </c>
      <c r="AC90" s="3" t="s">
        <v>59</v>
      </c>
      <c r="AD90" s="3" t="s">
        <v>59</v>
      </c>
      <c r="AE90" s="3" t="s">
        <v>59</v>
      </c>
      <c r="AF90">
        <v>0</v>
      </c>
      <c r="AG90" s="3" t="s">
        <v>59</v>
      </c>
      <c r="AH90" s="3" t="s">
        <v>59</v>
      </c>
      <c r="AI90" s="3" t="s">
        <v>59</v>
      </c>
      <c r="AJ90">
        <v>0</v>
      </c>
      <c r="AK90">
        <v>0</v>
      </c>
      <c r="AL90">
        <v>1</v>
      </c>
      <c r="AM90">
        <v>2</v>
      </c>
      <c r="AN90">
        <v>0.5</v>
      </c>
      <c r="AO90">
        <v>0.25</v>
      </c>
      <c r="AP90">
        <v>0.25</v>
      </c>
    </row>
    <row r="91" spans="1:42" x14ac:dyDescent="0.25">
      <c r="A91" s="3">
        <v>89</v>
      </c>
      <c r="B91" s="3" t="str">
        <f>VLOOKUP(E91,[1]recipe!$A$2:$D$500,3,FALSE)</f>
        <v>!!BOUQUET_FLOWERCORAL_FRIENDLYFLOWER</v>
      </c>
      <c r="C91" t="s">
        <v>980</v>
      </c>
      <c r="D91" t="s">
        <v>773</v>
      </c>
      <c r="E91" s="2">
        <v>60014</v>
      </c>
      <c r="F91" s="2">
        <v>60014</v>
      </c>
      <c r="G91" s="2">
        <v>1055</v>
      </c>
      <c r="H91" s="3" t="str">
        <f>VLOOKUP(G91,[1]building!$A$2:$D$351,3,FALSE)</f>
        <v>!!BLDG_NAME_FLOWERSHOP</v>
      </c>
      <c r="I91" s="2">
        <v>1</v>
      </c>
      <c r="J91" s="2">
        <v>1</v>
      </c>
      <c r="K91" s="3">
        <v>60002</v>
      </c>
      <c r="L91" s="3">
        <v>-1</v>
      </c>
      <c r="M91" s="3">
        <v>-1</v>
      </c>
      <c r="N91" s="3">
        <v>-1</v>
      </c>
      <c r="O91" s="3">
        <v>-1</v>
      </c>
      <c r="P91" s="3">
        <v>-1</v>
      </c>
      <c r="Q91" s="3">
        <v>5</v>
      </c>
      <c r="R91" s="3">
        <v>-1</v>
      </c>
      <c r="S91" s="3">
        <v>-1</v>
      </c>
      <c r="T91" s="3">
        <v>-1</v>
      </c>
      <c r="U91" s="3">
        <v>-1</v>
      </c>
      <c r="V91" s="3">
        <v>-1</v>
      </c>
      <c r="W91" s="2">
        <v>1800</v>
      </c>
      <c r="X91" t="s">
        <v>784</v>
      </c>
      <c r="Y91" t="s">
        <v>785</v>
      </c>
      <c r="Z91" s="2">
        <v>1</v>
      </c>
      <c r="AA91" t="s">
        <v>980</v>
      </c>
      <c r="AB91" s="2">
        <v>10</v>
      </c>
      <c r="AC91" s="3" t="s">
        <v>59</v>
      </c>
      <c r="AD91" s="3" t="s">
        <v>59</v>
      </c>
      <c r="AE91" s="3" t="s">
        <v>59</v>
      </c>
      <c r="AF91">
        <v>1</v>
      </c>
      <c r="AG91" s="3" t="s">
        <v>59</v>
      </c>
      <c r="AH91" s="3" t="s">
        <v>59</v>
      </c>
      <c r="AI91" s="3" t="s">
        <v>59</v>
      </c>
      <c r="AJ91">
        <v>0</v>
      </c>
      <c r="AK91" s="3">
        <v>-1</v>
      </c>
      <c r="AL91" s="3">
        <v>-1</v>
      </c>
      <c r="AM91" s="3">
        <v>-1</v>
      </c>
      <c r="AN91" s="3">
        <v>-1</v>
      </c>
      <c r="AO91" s="3">
        <v>-1</v>
      </c>
      <c r="AP91" s="3">
        <v>-1</v>
      </c>
    </row>
    <row r="92" spans="1:42" x14ac:dyDescent="0.25">
      <c r="A92" s="3">
        <v>90</v>
      </c>
      <c r="B92" s="3" t="str">
        <f>VLOOKUP(E92,[1]recipe!$A$2:$D$500,3,FALSE)</f>
        <v>!!BOUQUET_FLOWERCORAL_CUPN2FLOWERS</v>
      </c>
      <c r="C92" t="s">
        <v>979</v>
      </c>
      <c r="D92" t="s">
        <v>773</v>
      </c>
      <c r="E92" s="2">
        <v>60015</v>
      </c>
      <c r="F92" s="2">
        <v>60015</v>
      </c>
      <c r="G92" s="2">
        <v>1055</v>
      </c>
      <c r="H92" s="3" t="str">
        <f>VLOOKUP(G92,[1]building!$A$2:$D$351,3,FALSE)</f>
        <v>!!BLDG_NAME_FLOWERSHOP</v>
      </c>
      <c r="I92" s="2">
        <v>6</v>
      </c>
      <c r="J92" s="2">
        <v>1</v>
      </c>
      <c r="K92" s="3">
        <v>60001</v>
      </c>
      <c r="L92" s="3">
        <v>60002</v>
      </c>
      <c r="M92" s="3">
        <v>-1</v>
      </c>
      <c r="N92" s="3">
        <v>-1</v>
      </c>
      <c r="O92" s="3">
        <v>-1</v>
      </c>
      <c r="P92" s="3">
        <v>-1</v>
      </c>
      <c r="Q92" s="3">
        <v>1</v>
      </c>
      <c r="R92" s="3">
        <v>2</v>
      </c>
      <c r="S92" s="3">
        <v>-1</v>
      </c>
      <c r="T92" s="3">
        <v>-1</v>
      </c>
      <c r="U92" s="3">
        <v>-1</v>
      </c>
      <c r="V92" s="3">
        <v>-1</v>
      </c>
      <c r="W92" s="2">
        <v>7200</v>
      </c>
      <c r="X92" t="s">
        <v>784</v>
      </c>
      <c r="Y92" t="s">
        <v>785</v>
      </c>
      <c r="Z92" s="2">
        <v>14</v>
      </c>
      <c r="AA92" t="s">
        <v>979</v>
      </c>
      <c r="AB92" s="2">
        <v>10</v>
      </c>
      <c r="AC92" s="3" t="s">
        <v>59</v>
      </c>
      <c r="AD92" s="3" t="s">
        <v>59</v>
      </c>
      <c r="AE92" s="3" t="s">
        <v>59</v>
      </c>
      <c r="AF92">
        <v>0</v>
      </c>
      <c r="AG92" s="3" t="s">
        <v>59</v>
      </c>
      <c r="AH92" s="3" t="s">
        <v>59</v>
      </c>
      <c r="AI92" s="3" t="s">
        <v>59</v>
      </c>
      <c r="AJ92">
        <v>0</v>
      </c>
      <c r="AK92" s="3">
        <v>-1</v>
      </c>
      <c r="AL92" s="3">
        <v>-1</v>
      </c>
      <c r="AM92" s="3">
        <v>-1</v>
      </c>
      <c r="AN92" s="3">
        <v>-1</v>
      </c>
      <c r="AO92" s="3">
        <v>-1</v>
      </c>
      <c r="AP92" s="3">
        <v>-1</v>
      </c>
    </row>
    <row r="93" spans="1:42" x14ac:dyDescent="0.25">
      <c r="A93" s="3">
        <v>91</v>
      </c>
      <c r="B93" s="3" t="str">
        <f>VLOOKUP(E93,[1]recipe!$A$2:$D$500,3,FALSE)</f>
        <v>!!BOUQUET_FLOWERCORAL_BUNCHOBRANCHES</v>
      </c>
      <c r="C93" t="s">
        <v>976</v>
      </c>
      <c r="D93" t="s">
        <v>773</v>
      </c>
      <c r="E93" s="2">
        <v>60016</v>
      </c>
      <c r="F93" s="2">
        <v>60016</v>
      </c>
      <c r="G93" s="2">
        <v>1055</v>
      </c>
      <c r="H93" s="3" t="str">
        <f>VLOOKUP(G93,[1]building!$A$2:$D$351,3,FALSE)</f>
        <v>!!BLDG_NAME_FLOWERSHOP</v>
      </c>
      <c r="I93" s="2">
        <v>6</v>
      </c>
      <c r="J93" s="2">
        <v>1</v>
      </c>
      <c r="K93" s="3">
        <v>60000</v>
      </c>
      <c r="L93" s="3">
        <v>-1</v>
      </c>
      <c r="M93" s="3">
        <v>-1</v>
      </c>
      <c r="N93" s="3">
        <v>-1</v>
      </c>
      <c r="O93" s="3">
        <v>-1</v>
      </c>
      <c r="P93" s="3">
        <v>-1</v>
      </c>
      <c r="Q93" s="3">
        <v>5</v>
      </c>
      <c r="R93" s="3">
        <v>-1</v>
      </c>
      <c r="S93" s="3">
        <v>-1</v>
      </c>
      <c r="T93" s="3">
        <v>-1</v>
      </c>
      <c r="U93" s="3">
        <v>-1</v>
      </c>
      <c r="V93" s="3">
        <v>-1</v>
      </c>
      <c r="W93" s="2">
        <v>3600</v>
      </c>
      <c r="X93" t="s">
        <v>784</v>
      </c>
      <c r="Y93" t="s">
        <v>785</v>
      </c>
      <c r="Z93" s="2">
        <v>16</v>
      </c>
      <c r="AA93" t="s">
        <v>976</v>
      </c>
      <c r="AB93" s="2">
        <v>10</v>
      </c>
      <c r="AC93" s="3" t="s">
        <v>59</v>
      </c>
      <c r="AD93" s="3" t="s">
        <v>59</v>
      </c>
      <c r="AE93" s="3" t="s">
        <v>59</v>
      </c>
      <c r="AF93">
        <v>0</v>
      </c>
      <c r="AG93" s="3" t="s">
        <v>59</v>
      </c>
      <c r="AH93" s="3" t="s">
        <v>59</v>
      </c>
      <c r="AI93" s="3" t="s">
        <v>59</v>
      </c>
      <c r="AJ93">
        <v>0</v>
      </c>
      <c r="AK93" s="3">
        <v>-1</v>
      </c>
      <c r="AL93" s="3">
        <v>-1</v>
      </c>
      <c r="AM93" s="3">
        <v>-1</v>
      </c>
      <c r="AN93" s="3">
        <v>-1</v>
      </c>
      <c r="AO93" s="3">
        <v>-1</v>
      </c>
      <c r="AP93" s="3">
        <v>-1</v>
      </c>
    </row>
    <row r="94" spans="1:42" x14ac:dyDescent="0.25">
      <c r="A94" s="3">
        <v>92</v>
      </c>
      <c r="B94" s="3" t="str">
        <f>VLOOKUP(E94,[1]recipe!$A$2:$D$500,3,FALSE)</f>
        <v>!!BOUQUET_FLOWERCORAL_CUPCORALTREE</v>
      </c>
      <c r="C94" t="s">
        <v>978</v>
      </c>
      <c r="D94" t="s">
        <v>773</v>
      </c>
      <c r="E94" s="2">
        <v>60017</v>
      </c>
      <c r="F94" s="2">
        <v>60017</v>
      </c>
      <c r="G94" s="2">
        <v>1055</v>
      </c>
      <c r="H94" s="3" t="str">
        <f>VLOOKUP(G94,[1]building!$A$2:$D$351,3,FALSE)</f>
        <v>!!BLDG_NAME_FLOWERSHOP</v>
      </c>
      <c r="I94" s="2">
        <v>10</v>
      </c>
      <c r="J94" s="2">
        <v>1</v>
      </c>
      <c r="K94" s="3">
        <v>60000</v>
      </c>
      <c r="L94" s="3">
        <v>60001</v>
      </c>
      <c r="M94" s="3">
        <v>-1</v>
      </c>
      <c r="N94" s="3">
        <v>-1</v>
      </c>
      <c r="O94" s="3">
        <v>-1</v>
      </c>
      <c r="P94" s="3">
        <v>-1</v>
      </c>
      <c r="Q94" s="3">
        <v>4</v>
      </c>
      <c r="R94" s="3">
        <v>1</v>
      </c>
      <c r="S94" s="3">
        <v>-1</v>
      </c>
      <c r="T94" s="3">
        <v>-1</v>
      </c>
      <c r="U94" s="3">
        <v>-1</v>
      </c>
      <c r="V94" s="3">
        <v>-1</v>
      </c>
      <c r="W94" s="2">
        <v>43200</v>
      </c>
      <c r="X94" t="s">
        <v>784</v>
      </c>
      <c r="Y94" t="s">
        <v>785</v>
      </c>
      <c r="Z94" s="2">
        <v>17</v>
      </c>
      <c r="AA94" t="s">
        <v>978</v>
      </c>
      <c r="AB94" s="2">
        <v>10</v>
      </c>
      <c r="AC94" s="3" t="s">
        <v>59</v>
      </c>
      <c r="AD94" s="3" t="s">
        <v>59</v>
      </c>
      <c r="AE94" s="3" t="s">
        <v>59</v>
      </c>
      <c r="AF94">
        <v>0</v>
      </c>
      <c r="AG94" s="3" t="s">
        <v>59</v>
      </c>
      <c r="AH94" s="3" t="s">
        <v>59</v>
      </c>
      <c r="AI94" s="3" t="s">
        <v>59</v>
      </c>
      <c r="AJ94">
        <v>0</v>
      </c>
      <c r="AK94" s="3">
        <v>-1</v>
      </c>
      <c r="AL94" s="3">
        <v>-1</v>
      </c>
      <c r="AM94" s="3">
        <v>-1</v>
      </c>
      <c r="AN94" s="3">
        <v>-1</v>
      </c>
      <c r="AO94" s="3">
        <v>-1</v>
      </c>
      <c r="AP94" s="3">
        <v>-1</v>
      </c>
    </row>
    <row r="95" spans="1:42" x14ac:dyDescent="0.25">
      <c r="A95" s="3">
        <v>93</v>
      </c>
      <c r="B95" s="3" t="str">
        <f>VLOOKUP(E95,[1]recipe!$A$2:$D$500,3,FALSE)</f>
        <v>!!BOUQUET_FLOWERCORAL_CORALPARADISE</v>
      </c>
      <c r="C95" t="s">
        <v>977</v>
      </c>
      <c r="D95" t="s">
        <v>773</v>
      </c>
      <c r="E95" s="2">
        <v>60018</v>
      </c>
      <c r="F95" s="2">
        <v>60018</v>
      </c>
      <c r="G95" s="2">
        <v>1055</v>
      </c>
      <c r="H95" s="3" t="str">
        <f>VLOOKUP(G95,[1]building!$A$2:$D$351,3,FALSE)</f>
        <v>!!BLDG_NAME_FLOWERSHOP</v>
      </c>
      <c r="I95" s="2">
        <v>10</v>
      </c>
      <c r="J95" s="2">
        <v>1</v>
      </c>
      <c r="K95" s="3">
        <v>60000</v>
      </c>
      <c r="L95" s="3">
        <v>60001</v>
      </c>
      <c r="M95" s="3">
        <v>60002</v>
      </c>
      <c r="N95" s="3">
        <v>60004</v>
      </c>
      <c r="O95" s="3">
        <v>-1</v>
      </c>
      <c r="P95" s="3">
        <v>-1</v>
      </c>
      <c r="Q95" s="3">
        <v>1</v>
      </c>
      <c r="R95" s="3">
        <v>1</v>
      </c>
      <c r="S95" s="3">
        <v>1</v>
      </c>
      <c r="T95" s="3">
        <v>2</v>
      </c>
      <c r="U95" s="3">
        <v>-1</v>
      </c>
      <c r="V95" s="3">
        <v>-1</v>
      </c>
      <c r="W95" s="2">
        <v>86400</v>
      </c>
      <c r="X95" t="s">
        <v>784</v>
      </c>
      <c r="Y95" t="s">
        <v>785</v>
      </c>
      <c r="Z95" s="2">
        <v>18</v>
      </c>
      <c r="AA95" t="s">
        <v>977</v>
      </c>
      <c r="AB95" s="2">
        <v>10</v>
      </c>
      <c r="AC95" s="3" t="s">
        <v>59</v>
      </c>
      <c r="AD95" s="3" t="s">
        <v>59</v>
      </c>
      <c r="AE95" s="3" t="s">
        <v>59</v>
      </c>
      <c r="AF95">
        <v>0</v>
      </c>
      <c r="AG95" s="3" t="s">
        <v>59</v>
      </c>
      <c r="AH95" s="3" t="s">
        <v>59</v>
      </c>
      <c r="AI95" s="3" t="s">
        <v>59</v>
      </c>
      <c r="AJ95">
        <v>0</v>
      </c>
      <c r="AK95" s="3">
        <v>-1</v>
      </c>
      <c r="AL95" s="3">
        <v>-1</v>
      </c>
      <c r="AM95" s="3">
        <v>-1</v>
      </c>
      <c r="AN95" s="3">
        <v>-1</v>
      </c>
      <c r="AO95" s="3">
        <v>-1</v>
      </c>
      <c r="AP95" s="3">
        <v>-1</v>
      </c>
    </row>
    <row r="96" spans="1:42" x14ac:dyDescent="0.25">
      <c r="A96" s="3">
        <v>94</v>
      </c>
      <c r="B96" s="3" t="str">
        <f>VLOOKUP(E96,[1]recipe!$A$2:$D$500,3,FALSE)</f>
        <v>!!ICECREAM_BANANA</v>
      </c>
      <c r="C96" s="3" t="s">
        <v>813</v>
      </c>
      <c r="D96" s="3" t="s">
        <v>773</v>
      </c>
      <c r="E96" s="3">
        <v>40000</v>
      </c>
      <c r="F96" s="3">
        <v>40000</v>
      </c>
      <c r="G96" s="3">
        <v>1056</v>
      </c>
      <c r="H96" s="3" t="str">
        <f>VLOOKUP(G96,[1]building!$A$2:$D$351,3,FALSE)</f>
        <v>!!BLDG_NAME_ICECREAMSHOP</v>
      </c>
      <c r="I96" s="3">
        <v>2</v>
      </c>
      <c r="J96" s="3">
        <v>1</v>
      </c>
      <c r="K96" s="3">
        <v>10000</v>
      </c>
      <c r="L96" s="3">
        <v>-1</v>
      </c>
      <c r="M96" s="3">
        <v>-1</v>
      </c>
      <c r="N96" s="3">
        <v>-1</v>
      </c>
      <c r="O96" s="3">
        <v>-1</v>
      </c>
      <c r="P96" s="3">
        <v>-1</v>
      </c>
      <c r="Q96" s="3">
        <v>4</v>
      </c>
      <c r="R96" s="3">
        <v>-1</v>
      </c>
      <c r="S96" s="3">
        <v>-1</v>
      </c>
      <c r="T96" s="3">
        <v>-1</v>
      </c>
      <c r="U96" s="3">
        <v>-1</v>
      </c>
      <c r="V96" s="3">
        <v>-1</v>
      </c>
      <c r="W96" s="3">
        <v>600</v>
      </c>
      <c r="X96" s="3" t="s">
        <v>57</v>
      </c>
      <c r="Y96" s="3" t="s">
        <v>790</v>
      </c>
      <c r="Z96" s="3">
        <v>22</v>
      </c>
      <c r="AA96" s="3" t="s">
        <v>813</v>
      </c>
      <c r="AB96" s="3">
        <v>10</v>
      </c>
      <c r="AC96" s="3" t="s">
        <v>59</v>
      </c>
      <c r="AD96" s="3" t="s">
        <v>59</v>
      </c>
      <c r="AE96" s="3" t="s">
        <v>59</v>
      </c>
      <c r="AF96" s="3">
        <v>0</v>
      </c>
      <c r="AG96" s="3" t="s">
        <v>59</v>
      </c>
      <c r="AH96" s="3" t="s">
        <v>59</v>
      </c>
      <c r="AI96" s="3" t="s">
        <v>59</v>
      </c>
      <c r="AJ96" s="3">
        <v>0</v>
      </c>
      <c r="AK96" s="3">
        <v>-1</v>
      </c>
      <c r="AL96" s="3">
        <v>-1</v>
      </c>
      <c r="AM96" s="3">
        <v>-1</v>
      </c>
      <c r="AN96" s="3">
        <v>-1</v>
      </c>
      <c r="AO96" s="3">
        <v>-1</v>
      </c>
      <c r="AP96" s="3">
        <v>-1</v>
      </c>
    </row>
    <row r="97" spans="1:42" x14ac:dyDescent="0.25">
      <c r="A97" s="3">
        <v>95</v>
      </c>
      <c r="B97" s="3" t="str">
        <f>VLOOKUP(E97,[1]recipe!$A$2:$D$500,3,FALSE)</f>
        <v>!!ICECREAM_BANANA_SPLIT</v>
      </c>
      <c r="C97" s="3" t="s">
        <v>814</v>
      </c>
      <c r="D97" s="3" t="s">
        <v>773</v>
      </c>
      <c r="E97" s="3">
        <v>40001</v>
      </c>
      <c r="F97" s="3">
        <v>40001</v>
      </c>
      <c r="G97" s="3">
        <v>1056</v>
      </c>
      <c r="H97" s="3" t="str">
        <f>VLOOKUP(G97,[1]building!$A$2:$D$351,3,FALSE)</f>
        <v>!!BLDG_NAME_ICECREAMSHOP</v>
      </c>
      <c r="I97" s="3">
        <v>6</v>
      </c>
      <c r="J97" s="3">
        <v>1</v>
      </c>
      <c r="K97" s="3">
        <v>10000</v>
      </c>
      <c r="L97" s="3">
        <v>10002</v>
      </c>
      <c r="M97" s="3">
        <v>40008</v>
      </c>
      <c r="N97" s="3">
        <v>40007</v>
      </c>
      <c r="O97" s="3">
        <v>40004</v>
      </c>
      <c r="P97" s="3">
        <v>-1</v>
      </c>
      <c r="Q97" s="3">
        <v>1</v>
      </c>
      <c r="R97" s="3">
        <v>1</v>
      </c>
      <c r="S97" s="3">
        <v>1</v>
      </c>
      <c r="T97" s="3">
        <v>1</v>
      </c>
      <c r="U97" s="3">
        <v>1</v>
      </c>
      <c r="V97" s="3">
        <v>-1</v>
      </c>
      <c r="W97" s="3">
        <v>600</v>
      </c>
      <c r="X97" s="3" t="s">
        <v>57</v>
      </c>
      <c r="Y97" s="3" t="s">
        <v>790</v>
      </c>
      <c r="Z97" s="3">
        <v>25</v>
      </c>
      <c r="AA97" s="3" t="s">
        <v>814</v>
      </c>
      <c r="AB97" s="3">
        <v>10</v>
      </c>
      <c r="AC97" s="3" t="s">
        <v>59</v>
      </c>
      <c r="AD97" s="3" t="s">
        <v>59</v>
      </c>
      <c r="AE97" s="3" t="s">
        <v>59</v>
      </c>
      <c r="AF97" s="3">
        <v>0</v>
      </c>
      <c r="AG97" s="3" t="s">
        <v>59</v>
      </c>
      <c r="AH97" s="3" t="s">
        <v>59</v>
      </c>
      <c r="AI97" s="3" t="s">
        <v>59</v>
      </c>
      <c r="AJ97" s="3">
        <v>0</v>
      </c>
      <c r="AK97" s="3">
        <v>-1</v>
      </c>
      <c r="AL97" s="3">
        <v>-1</v>
      </c>
      <c r="AM97" s="3">
        <v>-1</v>
      </c>
      <c r="AN97" s="3">
        <v>-1</v>
      </c>
      <c r="AO97" s="3">
        <v>-1</v>
      </c>
      <c r="AP97" s="3">
        <v>-1</v>
      </c>
    </row>
    <row r="98" spans="1:42" x14ac:dyDescent="0.25">
      <c r="A98" s="3">
        <v>96</v>
      </c>
      <c r="B98" s="3" t="str">
        <f>VLOOKUP(E98,[1]recipe!$A$2:$D$500,3,FALSE)</f>
        <v>!!ICECREAM_BERRY_SCOOPS</v>
      </c>
      <c r="C98" s="3" t="s">
        <v>815</v>
      </c>
      <c r="D98" s="3" t="s">
        <v>773</v>
      </c>
      <c r="E98" s="3">
        <v>40002</v>
      </c>
      <c r="F98" s="3">
        <v>40002</v>
      </c>
      <c r="G98" s="3">
        <v>1056</v>
      </c>
      <c r="H98" s="3" t="str">
        <f>VLOOKUP(G98,[1]building!$A$2:$D$351,3,FALSE)</f>
        <v>!!BLDG_NAME_ICECREAMSHOP</v>
      </c>
      <c r="I98" s="3">
        <v>6</v>
      </c>
      <c r="J98" s="3">
        <v>1</v>
      </c>
      <c r="K98" s="3">
        <v>10008</v>
      </c>
      <c r="L98" s="3">
        <v>10002</v>
      </c>
      <c r="M98" s="3">
        <v>10009</v>
      </c>
      <c r="N98" s="3">
        <v>-1</v>
      </c>
      <c r="O98" s="3">
        <v>-1</v>
      </c>
      <c r="P98" s="3">
        <v>-1</v>
      </c>
      <c r="Q98" s="3">
        <v>2</v>
      </c>
      <c r="R98" s="3">
        <v>1</v>
      </c>
      <c r="S98" s="3">
        <v>1</v>
      </c>
      <c r="T98" s="3">
        <v>-1</v>
      </c>
      <c r="U98" s="3">
        <v>-1</v>
      </c>
      <c r="V98" s="3">
        <v>-1</v>
      </c>
      <c r="W98" s="3">
        <v>300</v>
      </c>
      <c r="X98" s="3" t="s">
        <v>57</v>
      </c>
      <c r="Y98" s="3" t="s">
        <v>790</v>
      </c>
      <c r="Z98" s="3">
        <v>22</v>
      </c>
      <c r="AA98" s="3" t="s">
        <v>815</v>
      </c>
      <c r="AB98" s="3">
        <v>10</v>
      </c>
      <c r="AC98" s="3" t="s">
        <v>59</v>
      </c>
      <c r="AD98" s="3" t="s">
        <v>59</v>
      </c>
      <c r="AE98" s="3" t="s">
        <v>59</v>
      </c>
      <c r="AF98" s="3">
        <v>0</v>
      </c>
      <c r="AG98" s="3" t="s">
        <v>59</v>
      </c>
      <c r="AH98" s="3" t="s">
        <v>59</v>
      </c>
      <c r="AI98" s="3" t="s">
        <v>59</v>
      </c>
      <c r="AJ98" s="3">
        <v>0</v>
      </c>
      <c r="AK98" s="3">
        <v>-1</v>
      </c>
      <c r="AL98" s="3">
        <v>-1</v>
      </c>
      <c r="AM98" s="3">
        <v>-1</v>
      </c>
      <c r="AN98" s="3">
        <v>-1</v>
      </c>
      <c r="AO98" s="3">
        <v>-1</v>
      </c>
      <c r="AP98" s="3">
        <v>-1</v>
      </c>
    </row>
    <row r="99" spans="1:42" x14ac:dyDescent="0.25">
      <c r="A99" s="3">
        <v>97</v>
      </c>
      <c r="B99" s="3" t="str">
        <f>VLOOKUP(E99,[1]recipe!$A$2:$D$500,3,FALSE)</f>
        <v>!!ICECREAM_CARAMEL</v>
      </c>
      <c r="C99" s="3" t="s">
        <v>816</v>
      </c>
      <c r="D99" s="3" t="s">
        <v>773</v>
      </c>
      <c r="E99" s="3">
        <v>40003</v>
      </c>
      <c r="F99" s="3">
        <v>40003</v>
      </c>
      <c r="G99" s="3">
        <v>1056</v>
      </c>
      <c r="H99" s="3" t="str">
        <f>VLOOKUP(G99,[1]building!$A$2:$D$351,3,FALSE)</f>
        <v>!!BLDG_NAME_ICECREAMSHOP</v>
      </c>
      <c r="I99" s="3">
        <v>1</v>
      </c>
      <c r="J99" s="3">
        <v>1</v>
      </c>
      <c r="K99" s="3">
        <v>3</v>
      </c>
      <c r="L99" s="3">
        <v>-1</v>
      </c>
      <c r="M99" s="3">
        <v>-1</v>
      </c>
      <c r="N99" s="3">
        <v>-1</v>
      </c>
      <c r="O99" s="3">
        <v>-1</v>
      </c>
      <c r="P99" s="3">
        <v>-1</v>
      </c>
      <c r="Q99" s="3">
        <v>8</v>
      </c>
      <c r="R99" s="3">
        <v>-1</v>
      </c>
      <c r="S99" s="3">
        <v>-1</v>
      </c>
      <c r="T99" s="3">
        <v>-1</v>
      </c>
      <c r="U99" s="3">
        <v>-1</v>
      </c>
      <c r="V99" s="3">
        <v>-1</v>
      </c>
      <c r="W99" s="3">
        <v>300</v>
      </c>
      <c r="X99" s="3" t="s">
        <v>57</v>
      </c>
      <c r="Y99" s="3" t="s">
        <v>790</v>
      </c>
      <c r="Z99" s="3">
        <v>21</v>
      </c>
      <c r="AA99" s="3" t="s">
        <v>816</v>
      </c>
      <c r="AB99" s="3">
        <v>10</v>
      </c>
      <c r="AC99" s="3" t="s">
        <v>59</v>
      </c>
      <c r="AD99" s="3" t="s">
        <v>59</v>
      </c>
      <c r="AE99" s="3" t="s">
        <v>59</v>
      </c>
      <c r="AF99" s="3">
        <v>0</v>
      </c>
      <c r="AG99" s="3" t="s">
        <v>59</v>
      </c>
      <c r="AH99" s="3" t="s">
        <v>59</v>
      </c>
      <c r="AI99" s="3" t="s">
        <v>59</v>
      </c>
      <c r="AJ99" s="3">
        <v>0</v>
      </c>
      <c r="AK99" s="3">
        <v>-1</v>
      </c>
      <c r="AL99" s="3">
        <v>-1</v>
      </c>
      <c r="AM99" s="3">
        <v>-1</v>
      </c>
      <c r="AN99" s="3">
        <v>-1</v>
      </c>
      <c r="AO99" s="3">
        <v>-1</v>
      </c>
      <c r="AP99" s="3">
        <v>-1</v>
      </c>
    </row>
    <row r="100" spans="1:42" x14ac:dyDescent="0.25">
      <c r="A100" s="3">
        <v>98</v>
      </c>
      <c r="B100" s="3" t="str">
        <f>VLOOKUP(E100,[1]recipe!$A$2:$D$500,3,FALSE)</f>
        <v>!!ICECREAM_CORAL_BITS</v>
      </c>
      <c r="C100" s="3" t="s">
        <v>817</v>
      </c>
      <c r="D100" s="3" t="s">
        <v>773</v>
      </c>
      <c r="E100" s="3">
        <v>40004</v>
      </c>
      <c r="F100" s="3">
        <v>40004</v>
      </c>
      <c r="G100" s="3">
        <v>1056</v>
      </c>
      <c r="H100" s="3" t="str">
        <f>VLOOKUP(G100,[1]building!$A$2:$D$351,3,FALSE)</f>
        <v>!!BLDG_NAME_ICECREAMSHOP</v>
      </c>
      <c r="I100" s="3">
        <v>4</v>
      </c>
      <c r="J100" s="3">
        <v>1</v>
      </c>
      <c r="K100" s="3">
        <v>40006</v>
      </c>
      <c r="L100" s="3">
        <v>2001</v>
      </c>
      <c r="M100" s="3">
        <v>-1</v>
      </c>
      <c r="N100" s="3">
        <v>-1</v>
      </c>
      <c r="O100" s="3">
        <v>-1</v>
      </c>
      <c r="P100" s="3">
        <v>-1</v>
      </c>
      <c r="Q100" s="3">
        <v>2</v>
      </c>
      <c r="R100" s="3">
        <v>4</v>
      </c>
      <c r="S100" s="3">
        <v>-1</v>
      </c>
      <c r="T100" s="3">
        <v>-1</v>
      </c>
      <c r="U100" s="3">
        <v>-1</v>
      </c>
      <c r="V100" s="3">
        <v>-1</v>
      </c>
      <c r="W100" s="3">
        <v>900</v>
      </c>
      <c r="X100" s="3" t="s">
        <v>57</v>
      </c>
      <c r="Y100" s="3" t="s">
        <v>790</v>
      </c>
      <c r="Z100" s="3">
        <v>25</v>
      </c>
      <c r="AA100" s="3" t="s">
        <v>817</v>
      </c>
      <c r="AB100" s="3">
        <v>10</v>
      </c>
      <c r="AC100" s="3" t="s">
        <v>59</v>
      </c>
      <c r="AD100" s="3" t="s">
        <v>59</v>
      </c>
      <c r="AE100" s="3" t="s">
        <v>59</v>
      </c>
      <c r="AF100" s="3">
        <v>0</v>
      </c>
      <c r="AG100" s="3" t="s">
        <v>59</v>
      </c>
      <c r="AH100" s="3" t="s">
        <v>59</v>
      </c>
      <c r="AI100" s="3" t="s">
        <v>59</v>
      </c>
      <c r="AJ100" s="3">
        <v>0</v>
      </c>
      <c r="AK100" s="3">
        <v>-1</v>
      </c>
      <c r="AL100" s="3">
        <v>-1</v>
      </c>
      <c r="AM100" s="3">
        <v>-1</v>
      </c>
      <c r="AN100" s="3">
        <v>-1</v>
      </c>
      <c r="AO100" s="3">
        <v>-1</v>
      </c>
      <c r="AP100" s="3">
        <v>-1</v>
      </c>
    </row>
    <row r="101" spans="1:42" x14ac:dyDescent="0.25">
      <c r="A101" s="3">
        <v>99</v>
      </c>
      <c r="B101" s="3" t="str">
        <f>VLOOKUP(E101,[1]recipe!$A$2:$D$500,3,FALSE)</f>
        <v>!!ICECREAM_LEMON_GELATO</v>
      </c>
      <c r="C101" s="3" t="s">
        <v>818</v>
      </c>
      <c r="D101" s="3" t="s">
        <v>773</v>
      </c>
      <c r="E101" s="3">
        <v>40005</v>
      </c>
      <c r="F101" s="3">
        <v>40005</v>
      </c>
      <c r="G101" s="3">
        <v>1056</v>
      </c>
      <c r="H101" s="3" t="str">
        <f>VLOOKUP(G101,[1]building!$A$2:$D$351,3,FALSE)</f>
        <v>!!BLDG_NAME_ICECREAMSHOP</v>
      </c>
      <c r="I101" s="3">
        <v>3</v>
      </c>
      <c r="J101" s="3">
        <v>1</v>
      </c>
      <c r="K101" s="3">
        <v>10004</v>
      </c>
      <c r="L101" s="3">
        <v>-1</v>
      </c>
      <c r="M101" s="3">
        <v>-1</v>
      </c>
      <c r="N101" s="3">
        <v>-1</v>
      </c>
      <c r="O101" s="3">
        <v>-1</v>
      </c>
      <c r="P101" s="3">
        <v>-1</v>
      </c>
      <c r="Q101" s="3">
        <v>4</v>
      </c>
      <c r="R101" s="3">
        <v>-1</v>
      </c>
      <c r="S101" s="3">
        <v>-1</v>
      </c>
      <c r="T101" s="3">
        <v>-1</v>
      </c>
      <c r="U101" s="3">
        <v>-1</v>
      </c>
      <c r="V101" s="3">
        <v>-1</v>
      </c>
      <c r="W101" s="3">
        <v>900</v>
      </c>
      <c r="X101" s="3" t="s">
        <v>57</v>
      </c>
      <c r="Y101" s="3" t="s">
        <v>790</v>
      </c>
      <c r="Z101" s="3">
        <v>25</v>
      </c>
      <c r="AA101" s="3" t="s">
        <v>818</v>
      </c>
      <c r="AB101" s="3">
        <v>10</v>
      </c>
      <c r="AC101" s="3" t="s">
        <v>59</v>
      </c>
      <c r="AD101" s="3" t="s">
        <v>59</v>
      </c>
      <c r="AE101" s="3" t="s">
        <v>59</v>
      </c>
      <c r="AF101" s="3">
        <v>0</v>
      </c>
      <c r="AG101" s="3" t="s">
        <v>59</v>
      </c>
      <c r="AH101" s="3" t="s">
        <v>59</v>
      </c>
      <c r="AI101" s="3" t="s">
        <v>59</v>
      </c>
      <c r="AJ101" s="3">
        <v>0</v>
      </c>
      <c r="AK101" s="3">
        <v>-1</v>
      </c>
      <c r="AL101" s="3">
        <v>-1</v>
      </c>
      <c r="AM101" s="3">
        <v>-1</v>
      </c>
      <c r="AN101" s="3">
        <v>-1</v>
      </c>
      <c r="AO101" s="3">
        <v>-1</v>
      </c>
      <c r="AP101" s="3">
        <v>-1</v>
      </c>
    </row>
    <row r="102" spans="1:42" x14ac:dyDescent="0.25">
      <c r="A102" s="3">
        <v>100</v>
      </c>
      <c r="B102" s="3" t="str">
        <f>VLOOKUP(E102,[1]recipe!$A$2:$D$500,3,FALSE)</f>
        <v>!!ICECREAM_SEASALT</v>
      </c>
      <c r="C102" s="3" t="s">
        <v>819</v>
      </c>
      <c r="D102" s="3" t="s">
        <v>773</v>
      </c>
      <c r="E102" s="3">
        <v>40006</v>
      </c>
      <c r="F102" s="3">
        <v>40006</v>
      </c>
      <c r="G102" s="3">
        <v>1056</v>
      </c>
      <c r="H102" s="3" t="str">
        <f>VLOOKUP(G102,[1]building!$A$2:$D$351,3,FALSE)</f>
        <v>!!BLDG_NAME_ICECREAMSHOP</v>
      </c>
      <c r="I102" s="3">
        <v>1</v>
      </c>
      <c r="J102" s="3">
        <v>1</v>
      </c>
      <c r="K102" s="3">
        <v>3</v>
      </c>
      <c r="L102" s="3">
        <v>-1</v>
      </c>
      <c r="M102" s="3">
        <v>-1</v>
      </c>
      <c r="N102" s="3">
        <v>-1</v>
      </c>
      <c r="O102" s="3">
        <v>-1</v>
      </c>
      <c r="P102" s="3">
        <v>-1</v>
      </c>
      <c r="Q102" s="3">
        <v>8</v>
      </c>
      <c r="R102" s="3">
        <v>-1</v>
      </c>
      <c r="S102" s="3">
        <v>-1</v>
      </c>
      <c r="T102" s="3">
        <v>-1</v>
      </c>
      <c r="U102" s="3">
        <v>-1</v>
      </c>
      <c r="V102" s="3">
        <v>-1</v>
      </c>
      <c r="W102" s="3">
        <v>300</v>
      </c>
      <c r="X102" s="3" t="s">
        <v>57</v>
      </c>
      <c r="Y102" s="3" t="s">
        <v>790</v>
      </c>
      <c r="Z102" s="3">
        <v>1</v>
      </c>
      <c r="AA102" s="3" t="s">
        <v>819</v>
      </c>
      <c r="AB102" s="3">
        <v>10</v>
      </c>
      <c r="AC102" s="3" t="s">
        <v>59</v>
      </c>
      <c r="AD102" s="3" t="s">
        <v>59</v>
      </c>
      <c r="AE102" s="3" t="s">
        <v>59</v>
      </c>
      <c r="AF102" s="3">
        <v>1</v>
      </c>
      <c r="AG102" s="3" t="s">
        <v>59</v>
      </c>
      <c r="AH102" s="3" t="s">
        <v>59</v>
      </c>
      <c r="AI102" s="3" t="s">
        <v>59</v>
      </c>
      <c r="AJ102" s="3">
        <v>0</v>
      </c>
      <c r="AK102" s="3">
        <v>-1</v>
      </c>
      <c r="AL102" s="3">
        <v>-1</v>
      </c>
      <c r="AM102" s="3">
        <v>-1</v>
      </c>
      <c r="AN102" s="3">
        <v>-1</v>
      </c>
      <c r="AO102" s="3">
        <v>-1</v>
      </c>
      <c r="AP102" s="3">
        <v>-1</v>
      </c>
    </row>
    <row r="103" spans="1:42" x14ac:dyDescent="0.25">
      <c r="A103" s="3">
        <v>101</v>
      </c>
      <c r="B103" s="3" t="str">
        <f>VLOOKUP(E103,[1]recipe!$A$2:$D$500,3,FALSE)</f>
        <v>!!ICECREAM_STRAWBERRY</v>
      </c>
      <c r="C103" s="3" t="s">
        <v>820</v>
      </c>
      <c r="D103" s="3" t="s">
        <v>773</v>
      </c>
      <c r="E103" s="3">
        <v>40007</v>
      </c>
      <c r="F103" s="3">
        <v>40007</v>
      </c>
      <c r="G103" s="3">
        <v>1056</v>
      </c>
      <c r="H103" s="3" t="str">
        <f>VLOOKUP(G103,[1]building!$A$2:$D$351,3,FALSE)</f>
        <v>!!BLDG_NAME_ICECREAMSHOP</v>
      </c>
      <c r="I103" s="3">
        <v>5</v>
      </c>
      <c r="J103" s="3">
        <v>1</v>
      </c>
      <c r="K103" s="3">
        <v>10008</v>
      </c>
      <c r="L103" s="3">
        <v>-1</v>
      </c>
      <c r="M103" s="3">
        <v>-1</v>
      </c>
      <c r="N103" s="3">
        <v>-1</v>
      </c>
      <c r="O103" s="3">
        <v>-1</v>
      </c>
      <c r="P103" s="3">
        <v>-1</v>
      </c>
      <c r="Q103" s="3">
        <v>4</v>
      </c>
      <c r="R103" s="3">
        <v>-1</v>
      </c>
      <c r="S103" s="3">
        <v>-1</v>
      </c>
      <c r="T103" s="3">
        <v>-1</v>
      </c>
      <c r="U103" s="3">
        <v>-1</v>
      </c>
      <c r="V103" s="3">
        <v>-1</v>
      </c>
      <c r="W103" s="3">
        <v>600</v>
      </c>
      <c r="X103" s="3" t="s">
        <v>57</v>
      </c>
      <c r="Y103" s="3" t="s">
        <v>790</v>
      </c>
      <c r="Z103" s="3">
        <v>23</v>
      </c>
      <c r="AA103" s="3" t="s">
        <v>820</v>
      </c>
      <c r="AB103" s="3">
        <v>10</v>
      </c>
      <c r="AC103" s="3" t="s">
        <v>59</v>
      </c>
      <c r="AD103" s="3" t="s">
        <v>59</v>
      </c>
      <c r="AE103" s="3" t="s">
        <v>59</v>
      </c>
      <c r="AF103" s="3">
        <v>0</v>
      </c>
      <c r="AG103" s="3" t="s">
        <v>59</v>
      </c>
      <c r="AH103" s="3" t="s">
        <v>59</v>
      </c>
      <c r="AI103" s="3" t="s">
        <v>59</v>
      </c>
      <c r="AJ103" s="3">
        <v>0</v>
      </c>
      <c r="AK103" s="3">
        <v>-1</v>
      </c>
      <c r="AL103" s="3">
        <v>-1</v>
      </c>
      <c r="AM103" s="3">
        <v>-1</v>
      </c>
      <c r="AN103" s="3">
        <v>-1</v>
      </c>
      <c r="AO103" s="3">
        <v>-1</v>
      </c>
      <c r="AP103" s="3">
        <v>-1</v>
      </c>
    </row>
    <row r="104" spans="1:42" x14ac:dyDescent="0.25">
      <c r="A104" s="3">
        <v>102</v>
      </c>
      <c r="B104" s="3" t="str">
        <f>VLOOKUP(E104,[1]recipe!$A$2:$D$500,3,FALSE)</f>
        <v>!!ICECREAM_VANILLA</v>
      </c>
      <c r="C104" s="3" t="s">
        <v>821</v>
      </c>
      <c r="D104" s="3" t="s">
        <v>773</v>
      </c>
      <c r="E104" s="3">
        <v>40008</v>
      </c>
      <c r="F104" s="3">
        <v>40008</v>
      </c>
      <c r="G104" s="3">
        <v>1056</v>
      </c>
      <c r="H104" s="3" t="str">
        <f>VLOOKUP(G104,[1]building!$A$2:$D$351,3,FALSE)</f>
        <v>!!BLDG_NAME_ICECREAMSHOP</v>
      </c>
      <c r="I104" s="3">
        <v>6</v>
      </c>
      <c r="J104" s="3">
        <v>1</v>
      </c>
      <c r="K104" s="3">
        <v>2000</v>
      </c>
      <c r="L104" s="3">
        <v>-1</v>
      </c>
      <c r="M104" s="3">
        <v>-1</v>
      </c>
      <c r="N104" s="3">
        <v>-1</v>
      </c>
      <c r="O104" s="3">
        <v>-1</v>
      </c>
      <c r="P104" s="3">
        <v>-1</v>
      </c>
      <c r="Q104" s="3">
        <v>4</v>
      </c>
      <c r="R104" s="3">
        <v>-1</v>
      </c>
      <c r="S104" s="3">
        <v>-1</v>
      </c>
      <c r="T104" s="3">
        <v>-1</v>
      </c>
      <c r="U104" s="3">
        <v>-1</v>
      </c>
      <c r="V104" s="3">
        <v>-1</v>
      </c>
      <c r="W104" s="3">
        <v>600</v>
      </c>
      <c r="X104" s="3" t="s">
        <v>57</v>
      </c>
      <c r="Y104" s="3" t="s">
        <v>790</v>
      </c>
      <c r="Z104" s="3">
        <v>25</v>
      </c>
      <c r="AA104" s="3" t="s">
        <v>821</v>
      </c>
      <c r="AB104" s="3">
        <v>10</v>
      </c>
      <c r="AC104" s="3" t="s">
        <v>59</v>
      </c>
      <c r="AD104" s="3" t="s">
        <v>59</v>
      </c>
      <c r="AE104" s="3" t="s">
        <v>59</v>
      </c>
      <c r="AF104" s="3">
        <v>0</v>
      </c>
      <c r="AG104" s="3" t="s">
        <v>59</v>
      </c>
      <c r="AH104" s="3" t="s">
        <v>59</v>
      </c>
      <c r="AI104" s="3" t="s">
        <v>59</v>
      </c>
      <c r="AJ104" s="3">
        <v>0</v>
      </c>
      <c r="AK104" s="3">
        <v>-1</v>
      </c>
      <c r="AL104" s="3">
        <v>-1</v>
      </c>
      <c r="AM104" s="3">
        <v>-1</v>
      </c>
      <c r="AN104" s="3">
        <v>-1</v>
      </c>
      <c r="AO104" s="3">
        <v>-1</v>
      </c>
      <c r="AP104" s="3">
        <v>-1</v>
      </c>
    </row>
    <row r="105" spans="1:42" x14ac:dyDescent="0.25">
      <c r="A105" s="3">
        <v>103</v>
      </c>
      <c r="B105" s="3" t="str">
        <f>VLOOKUP(E105,[1]recipe!$A$2:$D$500,3,FALSE)</f>
        <v>!!SHAKE_BANANAS_N_BITS</v>
      </c>
      <c r="C105" s="3" t="s">
        <v>872</v>
      </c>
      <c r="D105" s="3" t="s">
        <v>773</v>
      </c>
      <c r="E105" s="3">
        <v>50000</v>
      </c>
      <c r="F105" s="3">
        <v>50000</v>
      </c>
      <c r="G105" s="3">
        <v>1056</v>
      </c>
      <c r="H105" s="3" t="str">
        <f>VLOOKUP(G105,[1]building!$A$2:$D$351,3,FALSE)</f>
        <v>!!BLDG_NAME_ICECREAMSHOP</v>
      </c>
      <c r="I105" s="3">
        <v>10</v>
      </c>
      <c r="J105" s="3">
        <v>1</v>
      </c>
      <c r="K105" s="3">
        <v>40000</v>
      </c>
      <c r="L105" s="3">
        <v>40004</v>
      </c>
      <c r="M105" s="3">
        <v>-1</v>
      </c>
      <c r="N105" s="3">
        <v>-1</v>
      </c>
      <c r="O105" s="3">
        <v>-1</v>
      </c>
      <c r="P105" s="3">
        <v>-1</v>
      </c>
      <c r="Q105" s="3">
        <v>1</v>
      </c>
      <c r="R105" s="3">
        <v>1</v>
      </c>
      <c r="S105" s="3">
        <v>-1</v>
      </c>
      <c r="T105" s="3">
        <v>-1</v>
      </c>
      <c r="U105" s="3">
        <v>-1</v>
      </c>
      <c r="V105" s="3">
        <v>-1</v>
      </c>
      <c r="W105" s="3">
        <v>86400</v>
      </c>
      <c r="X105" s="3" t="s">
        <v>57</v>
      </c>
      <c r="Y105" s="3" t="s">
        <v>790</v>
      </c>
      <c r="Z105" s="3">
        <v>32</v>
      </c>
      <c r="AA105" s="3" t="s">
        <v>872</v>
      </c>
      <c r="AB105" s="3">
        <v>10</v>
      </c>
      <c r="AC105" s="3" t="s">
        <v>59</v>
      </c>
      <c r="AD105" s="3" t="s">
        <v>59</v>
      </c>
      <c r="AE105" s="3" t="s">
        <v>59</v>
      </c>
      <c r="AF105" s="3">
        <v>0</v>
      </c>
      <c r="AG105" s="3" t="s">
        <v>59</v>
      </c>
      <c r="AH105" s="3" t="s">
        <v>59</v>
      </c>
      <c r="AI105" s="3" t="s">
        <v>59</v>
      </c>
      <c r="AJ105" s="3">
        <v>0</v>
      </c>
      <c r="AK105" s="3">
        <v>-1</v>
      </c>
      <c r="AL105" s="3">
        <v>-1</v>
      </c>
      <c r="AM105" s="3">
        <v>-1</v>
      </c>
      <c r="AN105" s="3">
        <v>-1</v>
      </c>
      <c r="AO105" s="3">
        <v>-1</v>
      </c>
      <c r="AP105" s="3">
        <v>-1</v>
      </c>
    </row>
    <row r="106" spans="1:42" x14ac:dyDescent="0.25">
      <c r="A106" s="3">
        <v>104</v>
      </c>
      <c r="B106" s="3" t="str">
        <f>VLOOKUP(E106,[1]recipe!$A$2:$D$500,3,FALSE)</f>
        <v>!!SHAKE_BERRY_BLISS</v>
      </c>
      <c r="C106" s="3" t="s">
        <v>873</v>
      </c>
      <c r="D106" s="3" t="s">
        <v>773</v>
      </c>
      <c r="E106" s="3">
        <v>50001</v>
      </c>
      <c r="F106" s="3">
        <v>50001</v>
      </c>
      <c r="G106" s="3">
        <v>1056</v>
      </c>
      <c r="H106" s="3" t="str">
        <f>VLOOKUP(G106,[1]building!$A$2:$D$351,3,FALSE)</f>
        <v>!!BLDG_NAME_ICECREAMSHOP</v>
      </c>
      <c r="I106" s="3">
        <v>6</v>
      </c>
      <c r="J106" s="3">
        <v>1</v>
      </c>
      <c r="K106" s="3">
        <v>40002</v>
      </c>
      <c r="L106" s="3">
        <v>-1</v>
      </c>
      <c r="M106" s="3">
        <v>-1</v>
      </c>
      <c r="N106" s="3">
        <v>-1</v>
      </c>
      <c r="O106" s="3">
        <v>-1</v>
      </c>
      <c r="P106" s="3">
        <v>-1</v>
      </c>
      <c r="Q106" s="3">
        <v>2</v>
      </c>
      <c r="R106" s="3">
        <v>-1</v>
      </c>
      <c r="S106" s="3">
        <v>-1</v>
      </c>
      <c r="T106" s="3">
        <v>-1</v>
      </c>
      <c r="U106" s="3">
        <v>-1</v>
      </c>
      <c r="V106" s="3">
        <v>-1</v>
      </c>
      <c r="W106" s="3">
        <v>21600</v>
      </c>
      <c r="X106" s="3" t="s">
        <v>57</v>
      </c>
      <c r="Y106" s="3" t="s">
        <v>790</v>
      </c>
      <c r="Z106" s="3">
        <v>25</v>
      </c>
      <c r="AA106" s="3" t="s">
        <v>873</v>
      </c>
      <c r="AB106" s="3">
        <v>10</v>
      </c>
      <c r="AC106" s="3" t="s">
        <v>59</v>
      </c>
      <c r="AD106" s="3" t="s">
        <v>59</v>
      </c>
      <c r="AE106" s="3" t="s">
        <v>59</v>
      </c>
      <c r="AF106" s="3">
        <v>0</v>
      </c>
      <c r="AG106" s="3" t="s">
        <v>59</v>
      </c>
      <c r="AH106" s="3" t="s">
        <v>59</v>
      </c>
      <c r="AI106" s="3" t="s">
        <v>59</v>
      </c>
      <c r="AJ106" s="3">
        <v>0</v>
      </c>
      <c r="AK106" s="3">
        <v>-1</v>
      </c>
      <c r="AL106" s="3">
        <v>-1</v>
      </c>
      <c r="AM106" s="3">
        <v>-1</v>
      </c>
      <c r="AN106" s="3">
        <v>-1</v>
      </c>
      <c r="AO106" s="3">
        <v>-1</v>
      </c>
      <c r="AP106" s="3">
        <v>-1</v>
      </c>
    </row>
    <row r="107" spans="1:42" x14ac:dyDescent="0.25">
      <c r="A107" s="3">
        <v>105</v>
      </c>
      <c r="B107" s="3" t="str">
        <f>VLOOKUP(E107,[1]recipe!$A$2:$D$500,3,FALSE)</f>
        <v>!!SHAKE_CORAL_CRUSH</v>
      </c>
      <c r="C107" s="3" t="s">
        <v>874</v>
      </c>
      <c r="D107" s="3" t="s">
        <v>773</v>
      </c>
      <c r="E107" s="3">
        <v>50002</v>
      </c>
      <c r="F107" s="3">
        <v>50002</v>
      </c>
      <c r="G107" s="3">
        <v>1056</v>
      </c>
      <c r="H107" s="3" t="str">
        <f>VLOOKUP(G107,[1]building!$A$2:$D$351,3,FALSE)</f>
        <v>!!BLDG_NAME_ICECREAMSHOP</v>
      </c>
      <c r="I107" s="3">
        <v>10</v>
      </c>
      <c r="J107" s="3">
        <v>1</v>
      </c>
      <c r="K107" s="3">
        <v>40004</v>
      </c>
      <c r="L107" s="3">
        <v>-1</v>
      </c>
      <c r="M107" s="3">
        <v>-1</v>
      </c>
      <c r="N107" s="3">
        <v>-1</v>
      </c>
      <c r="O107" s="3">
        <v>-1</v>
      </c>
      <c r="P107" s="3">
        <v>-1</v>
      </c>
      <c r="Q107" s="3">
        <v>2</v>
      </c>
      <c r="R107" s="3">
        <v>-1</v>
      </c>
      <c r="S107" s="3">
        <v>-1</v>
      </c>
      <c r="T107" s="3">
        <v>-1</v>
      </c>
      <c r="U107" s="3">
        <v>-1</v>
      </c>
      <c r="V107" s="3">
        <v>-1</v>
      </c>
      <c r="W107" s="3">
        <v>43200</v>
      </c>
      <c r="X107" s="3" t="s">
        <v>57</v>
      </c>
      <c r="Y107" s="3" t="s">
        <v>790</v>
      </c>
      <c r="Z107" s="3">
        <v>25</v>
      </c>
      <c r="AA107" s="3" t="s">
        <v>874</v>
      </c>
      <c r="AB107" s="3">
        <v>10</v>
      </c>
      <c r="AC107" s="3" t="s">
        <v>59</v>
      </c>
      <c r="AD107" s="3" t="s">
        <v>59</v>
      </c>
      <c r="AE107" s="3" t="s">
        <v>59</v>
      </c>
      <c r="AF107" s="3">
        <v>0</v>
      </c>
      <c r="AG107" s="3" t="s">
        <v>59</v>
      </c>
      <c r="AH107" s="3" t="s">
        <v>59</v>
      </c>
      <c r="AI107" s="3" t="s">
        <v>59</v>
      </c>
      <c r="AJ107" s="3">
        <v>0</v>
      </c>
      <c r="AK107" s="3">
        <v>-1</v>
      </c>
      <c r="AL107" s="3">
        <v>-1</v>
      </c>
      <c r="AM107" s="3">
        <v>-1</v>
      </c>
      <c r="AN107" s="3">
        <v>-1</v>
      </c>
      <c r="AO107" s="3">
        <v>-1</v>
      </c>
      <c r="AP107" s="3">
        <v>-1</v>
      </c>
    </row>
    <row r="108" spans="1:42" x14ac:dyDescent="0.25">
      <c r="A108" s="3">
        <v>106</v>
      </c>
      <c r="B108" s="3" t="str">
        <f>VLOOKUP(E108,[1]recipe!$A$2:$D$500,3,FALSE)</f>
        <v>!!SHAKE_FRUTIY_BREEZE</v>
      </c>
      <c r="C108" s="3" t="s">
        <v>875</v>
      </c>
      <c r="D108" s="3" t="s">
        <v>773</v>
      </c>
      <c r="E108" s="3">
        <v>50003</v>
      </c>
      <c r="F108" s="3">
        <v>50003</v>
      </c>
      <c r="G108" s="3">
        <v>1056</v>
      </c>
      <c r="H108" s="3" t="str">
        <f>VLOOKUP(G108,[1]building!$A$2:$D$351,3,FALSE)</f>
        <v>!!BLDG_NAME_ICECREAMSHOP</v>
      </c>
      <c r="I108" s="3">
        <v>6</v>
      </c>
      <c r="J108" s="3">
        <v>1</v>
      </c>
      <c r="K108" s="3">
        <v>40000</v>
      </c>
      <c r="L108" s="3">
        <v>40007</v>
      </c>
      <c r="M108" s="3">
        <v>-1</v>
      </c>
      <c r="N108" s="3">
        <v>-1</v>
      </c>
      <c r="O108" s="3">
        <v>-1</v>
      </c>
      <c r="P108" s="3">
        <v>-1</v>
      </c>
      <c r="Q108" s="3">
        <v>1</v>
      </c>
      <c r="R108" s="3">
        <v>1</v>
      </c>
      <c r="S108" s="3">
        <v>-1</v>
      </c>
      <c r="T108" s="3">
        <v>-1</v>
      </c>
      <c r="U108" s="3">
        <v>-1</v>
      </c>
      <c r="V108" s="3">
        <v>-1</v>
      </c>
      <c r="W108" s="3">
        <v>1800</v>
      </c>
      <c r="X108" s="3" t="s">
        <v>57</v>
      </c>
      <c r="Y108" s="3" t="s">
        <v>790</v>
      </c>
      <c r="Z108" s="3">
        <v>24</v>
      </c>
      <c r="AA108" s="3" t="s">
        <v>875</v>
      </c>
      <c r="AB108" s="3">
        <v>10</v>
      </c>
      <c r="AC108" s="3" t="s">
        <v>59</v>
      </c>
      <c r="AD108" s="3" t="s">
        <v>59</v>
      </c>
      <c r="AE108" s="3" t="s">
        <v>59</v>
      </c>
      <c r="AF108" s="3">
        <v>0</v>
      </c>
      <c r="AG108" s="3" t="s">
        <v>59</v>
      </c>
      <c r="AH108" s="3" t="s">
        <v>59</v>
      </c>
      <c r="AI108" s="3" t="s">
        <v>59</v>
      </c>
      <c r="AJ108" s="3">
        <v>0</v>
      </c>
      <c r="AK108" s="3">
        <v>-1</v>
      </c>
      <c r="AL108" s="3">
        <v>-1</v>
      </c>
      <c r="AM108" s="3">
        <v>-1</v>
      </c>
      <c r="AN108" s="3">
        <v>-1</v>
      </c>
      <c r="AO108" s="3">
        <v>-1</v>
      </c>
      <c r="AP108" s="3">
        <v>-1</v>
      </c>
    </row>
    <row r="109" spans="1:42" x14ac:dyDescent="0.25">
      <c r="A109" s="3">
        <v>107</v>
      </c>
      <c r="B109" s="3" t="str">
        <f>VLOOKUP(E109,[1]recipe!$A$2:$D$500,3,FALSE)</f>
        <v>!!SHAKE_SALTY_BANANA</v>
      </c>
      <c r="C109" s="3" t="s">
        <v>876</v>
      </c>
      <c r="D109" s="3" t="s">
        <v>773</v>
      </c>
      <c r="E109" s="3">
        <v>50004</v>
      </c>
      <c r="F109" s="3">
        <v>50004</v>
      </c>
      <c r="G109" s="3">
        <v>1056</v>
      </c>
      <c r="H109" s="3" t="str">
        <f>VLOOKUP(G109,[1]building!$A$2:$D$351,3,FALSE)</f>
        <v>!!BLDG_NAME_ICECREAMSHOP</v>
      </c>
      <c r="I109" s="3">
        <v>4</v>
      </c>
      <c r="J109" s="3">
        <v>1</v>
      </c>
      <c r="K109" s="3">
        <v>40006</v>
      </c>
      <c r="L109" s="3">
        <v>40000</v>
      </c>
      <c r="M109" s="3">
        <v>-1</v>
      </c>
      <c r="N109" s="3">
        <v>-1</v>
      </c>
      <c r="O109" s="3">
        <v>-1</v>
      </c>
      <c r="P109" s="3">
        <v>-1</v>
      </c>
      <c r="Q109" s="3">
        <v>1</v>
      </c>
      <c r="R109" s="3">
        <v>1</v>
      </c>
      <c r="S109" s="3">
        <v>-1</v>
      </c>
      <c r="T109" s="3">
        <v>-1</v>
      </c>
      <c r="U109" s="3">
        <v>-1</v>
      </c>
      <c r="V109" s="3">
        <v>-1</v>
      </c>
      <c r="W109" s="3">
        <v>300</v>
      </c>
      <c r="X109" s="3" t="s">
        <v>57</v>
      </c>
      <c r="Y109" s="3" t="s">
        <v>790</v>
      </c>
      <c r="Z109" s="3">
        <v>22</v>
      </c>
      <c r="AA109" s="3" t="s">
        <v>876</v>
      </c>
      <c r="AB109" s="3">
        <v>10</v>
      </c>
      <c r="AC109" s="3" t="s">
        <v>59</v>
      </c>
      <c r="AD109" s="3" t="s">
        <v>59</v>
      </c>
      <c r="AE109" s="3" t="s">
        <v>59</v>
      </c>
      <c r="AF109" s="3">
        <v>0</v>
      </c>
      <c r="AG109" s="3" t="s">
        <v>59</v>
      </c>
      <c r="AH109" s="3" t="s">
        <v>59</v>
      </c>
      <c r="AI109" s="3" t="s">
        <v>59</v>
      </c>
      <c r="AJ109" s="3">
        <v>0</v>
      </c>
      <c r="AK109" s="3">
        <v>-1</v>
      </c>
      <c r="AL109" s="3">
        <v>-1</v>
      </c>
      <c r="AM109" s="3">
        <v>-1</v>
      </c>
      <c r="AN109" s="3">
        <v>-1</v>
      </c>
      <c r="AO109" s="3">
        <v>-1</v>
      </c>
      <c r="AP109" s="3">
        <v>-1</v>
      </c>
    </row>
    <row r="110" spans="1:42" x14ac:dyDescent="0.25">
      <c r="A110" s="3">
        <v>108</v>
      </c>
      <c r="B110" s="3" t="str">
        <f>VLOOKUP(E110,[1]recipe!$A$2:$D$500,3,FALSE)</f>
        <v>!!SHAKE_STRAWBERRY_RIPTIDE</v>
      </c>
      <c r="C110" s="3" t="s">
        <v>877</v>
      </c>
      <c r="D110" s="3" t="s">
        <v>773</v>
      </c>
      <c r="E110" s="3">
        <v>50005</v>
      </c>
      <c r="F110" s="3">
        <v>50005</v>
      </c>
      <c r="G110" s="3">
        <v>1056</v>
      </c>
      <c r="H110" s="3" t="str">
        <f>VLOOKUP(G110,[1]building!$A$2:$D$351,3,FALSE)</f>
        <v>!!BLDG_NAME_ICECREAMSHOP</v>
      </c>
      <c r="I110" s="3">
        <v>6</v>
      </c>
      <c r="J110" s="3">
        <v>1</v>
      </c>
      <c r="K110" s="3">
        <v>40007</v>
      </c>
      <c r="L110" s="3">
        <v>-1</v>
      </c>
      <c r="M110" s="3">
        <v>-1</v>
      </c>
      <c r="N110" s="3">
        <v>-1</v>
      </c>
      <c r="O110" s="3">
        <v>-1</v>
      </c>
      <c r="P110" s="3">
        <v>-1</v>
      </c>
      <c r="Q110" s="3">
        <v>2</v>
      </c>
      <c r="R110" s="3">
        <v>-1</v>
      </c>
      <c r="S110" s="3">
        <v>-1</v>
      </c>
      <c r="T110" s="3">
        <v>-1</v>
      </c>
      <c r="U110" s="3">
        <v>-1</v>
      </c>
      <c r="V110" s="3">
        <v>-1</v>
      </c>
      <c r="W110" s="3">
        <v>900</v>
      </c>
      <c r="X110" s="3" t="s">
        <v>57</v>
      </c>
      <c r="Y110" s="3" t="s">
        <v>790</v>
      </c>
      <c r="Z110" s="3">
        <v>23</v>
      </c>
      <c r="AA110" s="3" t="s">
        <v>877</v>
      </c>
      <c r="AB110" s="3">
        <v>10</v>
      </c>
      <c r="AC110" s="3" t="s">
        <v>59</v>
      </c>
      <c r="AD110" s="3" t="s">
        <v>59</v>
      </c>
      <c r="AE110" s="3" t="s">
        <v>59</v>
      </c>
      <c r="AF110" s="3">
        <v>0</v>
      </c>
      <c r="AG110" s="3" t="s">
        <v>59</v>
      </c>
      <c r="AH110" s="3" t="s">
        <v>59</v>
      </c>
      <c r="AI110" s="3" t="s">
        <v>59</v>
      </c>
      <c r="AJ110" s="3">
        <v>0</v>
      </c>
      <c r="AK110" s="3">
        <v>-1</v>
      </c>
      <c r="AL110" s="3">
        <v>-1</v>
      </c>
      <c r="AM110" s="3">
        <v>-1</v>
      </c>
      <c r="AN110" s="3">
        <v>-1</v>
      </c>
      <c r="AO110" s="3">
        <v>-1</v>
      </c>
      <c r="AP110" s="3">
        <v>-1</v>
      </c>
    </row>
    <row r="111" spans="1:42" x14ac:dyDescent="0.25">
      <c r="A111" s="3">
        <v>109</v>
      </c>
      <c r="B111" s="3" t="str">
        <f>VLOOKUP(E111,[1]recipe!$A$2:$D$500,3,FALSE)</f>
        <v>!!SHAKE_TARTBERRY_TWIST</v>
      </c>
      <c r="C111" s="3" t="s">
        <v>878</v>
      </c>
      <c r="D111" s="3" t="s">
        <v>773</v>
      </c>
      <c r="E111" s="3">
        <v>50006</v>
      </c>
      <c r="F111" s="3">
        <v>50006</v>
      </c>
      <c r="G111" s="3">
        <v>1056</v>
      </c>
      <c r="H111" s="3" t="str">
        <f>VLOOKUP(G111,[1]building!$A$2:$D$351,3,FALSE)</f>
        <v>!!BLDG_NAME_ICECREAMSHOP</v>
      </c>
      <c r="I111" s="3">
        <v>6</v>
      </c>
      <c r="J111" s="3">
        <v>1</v>
      </c>
      <c r="K111" s="3">
        <v>40007</v>
      </c>
      <c r="L111" s="3">
        <v>40005</v>
      </c>
      <c r="M111" s="3">
        <v>-1</v>
      </c>
      <c r="N111" s="3">
        <v>-1</v>
      </c>
      <c r="O111" s="3">
        <v>-1</v>
      </c>
      <c r="P111" s="3">
        <v>-1</v>
      </c>
      <c r="Q111" s="3">
        <v>1</v>
      </c>
      <c r="R111" s="3">
        <v>1</v>
      </c>
      <c r="S111" s="3">
        <v>-1</v>
      </c>
      <c r="T111" s="3">
        <v>-1</v>
      </c>
      <c r="U111" s="3">
        <v>-1</v>
      </c>
      <c r="V111" s="3">
        <v>-1</v>
      </c>
      <c r="W111" s="3">
        <v>10800</v>
      </c>
      <c r="X111" s="3" t="s">
        <v>57</v>
      </c>
      <c r="Y111" s="3" t="s">
        <v>790</v>
      </c>
      <c r="Z111" s="3">
        <v>28</v>
      </c>
      <c r="AA111" s="3" t="s">
        <v>878</v>
      </c>
      <c r="AB111" s="3">
        <v>10</v>
      </c>
      <c r="AC111" s="3" t="s">
        <v>59</v>
      </c>
      <c r="AD111" s="3" t="s">
        <v>59</v>
      </c>
      <c r="AE111" s="3" t="s">
        <v>59</v>
      </c>
      <c r="AF111" s="3">
        <v>0</v>
      </c>
      <c r="AG111" s="3" t="s">
        <v>59</v>
      </c>
      <c r="AH111" s="3" t="s">
        <v>59</v>
      </c>
      <c r="AI111" s="3" t="s">
        <v>59</v>
      </c>
      <c r="AJ111" s="3">
        <v>0</v>
      </c>
      <c r="AK111" s="3">
        <v>-1</v>
      </c>
      <c r="AL111" s="3">
        <v>-1</v>
      </c>
      <c r="AM111" s="3">
        <v>-1</v>
      </c>
      <c r="AN111" s="3">
        <v>-1</v>
      </c>
      <c r="AO111" s="3">
        <v>-1</v>
      </c>
      <c r="AP111" s="3">
        <v>-1</v>
      </c>
    </row>
    <row r="112" spans="1:42" x14ac:dyDescent="0.25">
      <c r="A112" s="3">
        <v>110</v>
      </c>
      <c r="B112" s="3" t="str">
        <f>VLOOKUP(E112,[1]recipe!$A$2:$D$500,3,FALSE)</f>
        <v>!!SHAKE_VANILLA_BLAST</v>
      </c>
      <c r="C112" s="3" t="s">
        <v>879</v>
      </c>
      <c r="D112" s="3" t="s">
        <v>773</v>
      </c>
      <c r="E112" s="3">
        <v>50007</v>
      </c>
      <c r="F112" s="3">
        <v>50007</v>
      </c>
      <c r="G112" s="3">
        <v>1056</v>
      </c>
      <c r="H112" s="3" t="str">
        <f>VLOOKUP(G112,[1]building!$A$2:$D$351,3,FALSE)</f>
        <v>!!BLDG_NAME_ICECREAMSHOP</v>
      </c>
      <c r="I112" s="3">
        <v>6</v>
      </c>
      <c r="J112" s="3">
        <v>1</v>
      </c>
      <c r="K112" s="3">
        <v>40008</v>
      </c>
      <c r="L112" s="3">
        <v>-1</v>
      </c>
      <c r="M112" s="3">
        <v>-1</v>
      </c>
      <c r="N112" s="3">
        <v>-1</v>
      </c>
      <c r="O112" s="3">
        <v>-1</v>
      </c>
      <c r="P112" s="3">
        <v>-1</v>
      </c>
      <c r="Q112" s="3">
        <v>2</v>
      </c>
      <c r="R112" s="3">
        <v>-1</v>
      </c>
      <c r="S112" s="3">
        <v>-1</v>
      </c>
      <c r="T112" s="3">
        <v>-1</v>
      </c>
      <c r="U112" s="3">
        <v>-1</v>
      </c>
      <c r="V112" s="3">
        <v>-1</v>
      </c>
      <c r="W112" s="3">
        <v>3600</v>
      </c>
      <c r="X112" s="3" t="s">
        <v>57</v>
      </c>
      <c r="Y112" s="3" t="s">
        <v>790</v>
      </c>
      <c r="Z112" s="3">
        <v>26</v>
      </c>
      <c r="AA112" s="3" t="s">
        <v>879</v>
      </c>
      <c r="AB112" s="3">
        <v>10</v>
      </c>
      <c r="AC112" s="3" t="s">
        <v>59</v>
      </c>
      <c r="AD112" s="3" t="s">
        <v>59</v>
      </c>
      <c r="AE112" s="3" t="s">
        <v>59</v>
      </c>
      <c r="AF112" s="3">
        <v>0</v>
      </c>
      <c r="AG112" s="3" t="s">
        <v>59</v>
      </c>
      <c r="AH112" s="3" t="s">
        <v>59</v>
      </c>
      <c r="AI112" s="3" t="s">
        <v>59</v>
      </c>
      <c r="AJ112" s="3">
        <v>0</v>
      </c>
      <c r="AK112" s="3">
        <v>-1</v>
      </c>
      <c r="AL112" s="3">
        <v>-1</v>
      </c>
      <c r="AM112" s="3">
        <v>-1</v>
      </c>
      <c r="AN112" s="3">
        <v>-1</v>
      </c>
      <c r="AO112" s="3">
        <v>-1</v>
      </c>
      <c r="AP112" s="3">
        <v>-1</v>
      </c>
    </row>
    <row r="113" spans="1:42" x14ac:dyDescent="0.25">
      <c r="A113" s="3">
        <v>111</v>
      </c>
      <c r="B113" s="3" t="str">
        <f>VLOOKUP(E113,[1]recipe!$A$2:$D$500,3,FALSE)</f>
        <v>!!PERFUME_4OFCUPS</v>
      </c>
      <c r="C113" s="3" t="s">
        <v>854</v>
      </c>
      <c r="D113" s="3" t="s">
        <v>773</v>
      </c>
      <c r="E113" s="3">
        <v>70000</v>
      </c>
      <c r="F113" s="3">
        <v>70000</v>
      </c>
      <c r="G113" s="3">
        <v>1057</v>
      </c>
      <c r="H113" s="3" t="str">
        <f>VLOOKUP(G113,[1]building!$A$2:$D$351,3,FALSE)</f>
        <v>!!BLDG_NAME_PERFUMESHOP</v>
      </c>
      <c r="I113" s="3">
        <v>5</v>
      </c>
      <c r="J113" s="3">
        <v>1</v>
      </c>
      <c r="K113" s="3">
        <v>60001</v>
      </c>
      <c r="L113" s="3">
        <v>-1</v>
      </c>
      <c r="M113" s="3">
        <v>-1</v>
      </c>
      <c r="N113" s="3">
        <v>-1</v>
      </c>
      <c r="O113" s="3">
        <v>-1</v>
      </c>
      <c r="P113" s="3">
        <v>-1</v>
      </c>
      <c r="Q113" s="3">
        <v>4</v>
      </c>
      <c r="R113" s="3">
        <v>-1</v>
      </c>
      <c r="S113" s="3">
        <v>-1</v>
      </c>
      <c r="T113" s="3">
        <v>-1</v>
      </c>
      <c r="U113" s="3">
        <v>-1</v>
      </c>
      <c r="V113" s="3">
        <v>-1</v>
      </c>
      <c r="W113" s="3">
        <v>300</v>
      </c>
      <c r="X113" s="3" t="s">
        <v>855</v>
      </c>
      <c r="Y113" s="3" t="s">
        <v>856</v>
      </c>
      <c r="Z113" s="3">
        <v>25</v>
      </c>
      <c r="AA113" s="3" t="s">
        <v>854</v>
      </c>
      <c r="AB113" s="3">
        <v>10</v>
      </c>
      <c r="AC113" s="3" t="s">
        <v>59</v>
      </c>
      <c r="AD113" s="3" t="s">
        <v>59</v>
      </c>
      <c r="AE113" s="3" t="s">
        <v>59</v>
      </c>
      <c r="AF113" s="3">
        <v>0</v>
      </c>
      <c r="AG113" s="3" t="s">
        <v>59</v>
      </c>
      <c r="AH113" s="3" t="s">
        <v>59</v>
      </c>
      <c r="AI113" s="3" t="s">
        <v>59</v>
      </c>
      <c r="AJ113" s="3">
        <v>0</v>
      </c>
      <c r="AK113" s="3">
        <v>-1</v>
      </c>
      <c r="AL113" s="3">
        <v>-1</v>
      </c>
      <c r="AM113" s="3">
        <v>-1</v>
      </c>
      <c r="AN113" s="3">
        <v>-1</v>
      </c>
      <c r="AO113" s="3">
        <v>-1</v>
      </c>
      <c r="AP113" s="3">
        <v>-1</v>
      </c>
    </row>
    <row r="114" spans="1:42" x14ac:dyDescent="0.25">
      <c r="A114" s="3">
        <v>112</v>
      </c>
      <c r="B114" s="3" t="str">
        <f>VLOOKUP(E114,[1]recipe!$A$2:$D$500,3,FALSE)</f>
        <v>!!PERFUME_CAPSIZEFORHER</v>
      </c>
      <c r="C114" s="3" t="s">
        <v>857</v>
      </c>
      <c r="D114" s="3" t="s">
        <v>773</v>
      </c>
      <c r="E114" s="3">
        <v>70001</v>
      </c>
      <c r="F114" s="3">
        <v>70001</v>
      </c>
      <c r="G114" s="3">
        <v>1057</v>
      </c>
      <c r="H114" s="3" t="str">
        <f>VLOOKUP(G114,[1]building!$A$2:$D$351,3,FALSE)</f>
        <v>!!BLDG_NAME_PERFUMESHOP</v>
      </c>
      <c r="I114" s="3">
        <v>5</v>
      </c>
      <c r="J114" s="3">
        <v>1</v>
      </c>
      <c r="K114" s="3">
        <v>60002</v>
      </c>
      <c r="L114" s="3">
        <v>60001</v>
      </c>
      <c r="M114" s="3">
        <v>-1</v>
      </c>
      <c r="N114" s="3">
        <v>-1</v>
      </c>
      <c r="O114" s="3">
        <v>-1</v>
      </c>
      <c r="P114" s="3">
        <v>-1</v>
      </c>
      <c r="Q114" s="3">
        <v>2</v>
      </c>
      <c r="R114" s="3">
        <v>2</v>
      </c>
      <c r="S114" s="3">
        <v>-1</v>
      </c>
      <c r="T114" s="3">
        <v>-1</v>
      </c>
      <c r="U114" s="3">
        <v>-1</v>
      </c>
      <c r="V114" s="3">
        <v>-1</v>
      </c>
      <c r="W114" s="3">
        <v>900</v>
      </c>
      <c r="X114" s="3" t="s">
        <v>855</v>
      </c>
      <c r="Y114" s="3" t="s">
        <v>856</v>
      </c>
      <c r="Z114" s="3">
        <v>25</v>
      </c>
      <c r="AA114" s="3" t="s">
        <v>857</v>
      </c>
      <c r="AB114" s="3">
        <v>10</v>
      </c>
      <c r="AC114" s="3" t="s">
        <v>59</v>
      </c>
      <c r="AD114" s="3" t="s">
        <v>59</v>
      </c>
      <c r="AE114" s="3" t="s">
        <v>59</v>
      </c>
      <c r="AF114" s="3">
        <v>0</v>
      </c>
      <c r="AG114" s="3" t="s">
        <v>59</v>
      </c>
      <c r="AH114" s="3" t="s">
        <v>59</v>
      </c>
      <c r="AI114" s="3" t="s">
        <v>59</v>
      </c>
      <c r="AJ114" s="3">
        <v>0</v>
      </c>
      <c r="AK114" s="3">
        <v>-1</v>
      </c>
      <c r="AL114" s="3">
        <v>-1</v>
      </c>
      <c r="AM114" s="3">
        <v>-1</v>
      </c>
      <c r="AN114" s="3">
        <v>-1</v>
      </c>
      <c r="AO114" s="3">
        <v>-1</v>
      </c>
      <c r="AP114" s="3">
        <v>-1</v>
      </c>
    </row>
    <row r="115" spans="1:42" x14ac:dyDescent="0.25">
      <c r="A115" s="3">
        <v>113</v>
      </c>
      <c r="B115" s="3" t="str">
        <f>VLOOKUP(E115,[1]recipe!$A$2:$D$500,3,FALSE)</f>
        <v>!!PERFUME_CAPSIZEFORHIM</v>
      </c>
      <c r="C115" s="3" t="s">
        <v>858</v>
      </c>
      <c r="D115" s="3" t="s">
        <v>773</v>
      </c>
      <c r="E115" s="3">
        <v>70002</v>
      </c>
      <c r="F115" s="3">
        <v>70002</v>
      </c>
      <c r="G115" s="3">
        <v>1057</v>
      </c>
      <c r="H115" s="3" t="str">
        <f>VLOOKUP(G115,[1]building!$A$2:$D$351,3,FALSE)</f>
        <v>!!BLDG_NAME_PERFUMESHOP</v>
      </c>
      <c r="I115" s="3">
        <v>6</v>
      </c>
      <c r="J115" s="3">
        <v>1</v>
      </c>
      <c r="K115" s="3">
        <v>60000</v>
      </c>
      <c r="L115" s="3">
        <v>60003</v>
      </c>
      <c r="M115" s="3">
        <v>-1</v>
      </c>
      <c r="N115" s="3">
        <v>-1</v>
      </c>
      <c r="O115" s="3">
        <v>-1</v>
      </c>
      <c r="P115" s="3">
        <v>-1</v>
      </c>
      <c r="Q115" s="3">
        <v>3</v>
      </c>
      <c r="R115" s="3">
        <v>1</v>
      </c>
      <c r="S115" s="3">
        <v>-1</v>
      </c>
      <c r="T115" s="3">
        <v>-1</v>
      </c>
      <c r="U115" s="3">
        <v>-1</v>
      </c>
      <c r="V115" s="3">
        <v>-1</v>
      </c>
      <c r="W115" s="3">
        <v>1800</v>
      </c>
      <c r="X115" s="3" t="s">
        <v>855</v>
      </c>
      <c r="Y115" s="3" t="s">
        <v>856</v>
      </c>
      <c r="Z115" s="3">
        <v>25</v>
      </c>
      <c r="AA115" s="3" t="s">
        <v>858</v>
      </c>
      <c r="AB115" s="3">
        <v>10</v>
      </c>
      <c r="AC115" s="3" t="s">
        <v>59</v>
      </c>
      <c r="AD115" s="3" t="s">
        <v>59</v>
      </c>
      <c r="AE115" s="3" t="s">
        <v>59</v>
      </c>
      <c r="AF115" s="3">
        <v>0</v>
      </c>
      <c r="AG115" s="3" t="s">
        <v>59</v>
      </c>
      <c r="AH115" s="3" t="s">
        <v>59</v>
      </c>
      <c r="AI115" s="3" t="s">
        <v>59</v>
      </c>
      <c r="AJ115" s="3">
        <v>0</v>
      </c>
      <c r="AK115" s="3">
        <v>-1</v>
      </c>
      <c r="AL115" s="3">
        <v>-1</v>
      </c>
      <c r="AM115" s="3">
        <v>-1</v>
      </c>
      <c r="AN115" s="3">
        <v>-1</v>
      </c>
      <c r="AO115" s="3">
        <v>-1</v>
      </c>
      <c r="AP115" s="3">
        <v>-1</v>
      </c>
    </row>
    <row r="116" spans="1:42" x14ac:dyDescent="0.25">
      <c r="A116" s="3">
        <v>114</v>
      </c>
      <c r="B116" s="3" t="str">
        <f>VLOOKUP(E116,[1]recipe!$A$2:$D$500,3,FALSE)</f>
        <v>!!PERFUME_CORALBREEZE</v>
      </c>
      <c r="C116" s="3" t="s">
        <v>859</v>
      </c>
      <c r="D116" s="3" t="s">
        <v>773</v>
      </c>
      <c r="E116" s="3">
        <v>70005</v>
      </c>
      <c r="F116" s="3">
        <v>70005</v>
      </c>
      <c r="G116" s="3">
        <v>1057</v>
      </c>
      <c r="H116" s="3" t="str">
        <f>VLOOKUP(G116,[1]building!$A$2:$D$351,3,FALSE)</f>
        <v>!!BLDG_NAME_PERFUMESHOP</v>
      </c>
      <c r="I116" s="3">
        <v>6</v>
      </c>
      <c r="J116" s="3">
        <v>1</v>
      </c>
      <c r="K116" s="3">
        <v>60002</v>
      </c>
      <c r="L116" s="3">
        <v>60001</v>
      </c>
      <c r="M116" s="3">
        <v>60000</v>
      </c>
      <c r="N116" s="3">
        <v>-1</v>
      </c>
      <c r="O116" s="3">
        <v>-1</v>
      </c>
      <c r="P116" s="3">
        <v>-1</v>
      </c>
      <c r="Q116" s="3">
        <v>1</v>
      </c>
      <c r="R116" s="3">
        <v>1</v>
      </c>
      <c r="S116" s="3">
        <v>2</v>
      </c>
      <c r="T116" s="3">
        <v>-1</v>
      </c>
      <c r="U116" s="3">
        <v>-1</v>
      </c>
      <c r="V116" s="3">
        <v>-1</v>
      </c>
      <c r="W116" s="3">
        <v>3600</v>
      </c>
      <c r="X116" s="3" t="s">
        <v>855</v>
      </c>
      <c r="Y116" s="3" t="s">
        <v>856</v>
      </c>
      <c r="Z116" s="3">
        <v>25</v>
      </c>
      <c r="AA116" s="3" t="s">
        <v>859</v>
      </c>
      <c r="AB116" s="3">
        <v>10</v>
      </c>
      <c r="AC116" s="3" t="s">
        <v>59</v>
      </c>
      <c r="AD116" s="3" t="s">
        <v>59</v>
      </c>
      <c r="AE116" s="3" t="s">
        <v>59</v>
      </c>
      <c r="AF116" s="3">
        <v>0</v>
      </c>
      <c r="AG116" s="3" t="s">
        <v>59</v>
      </c>
      <c r="AH116" s="3" t="s">
        <v>59</v>
      </c>
      <c r="AI116" s="3" t="s">
        <v>59</v>
      </c>
      <c r="AJ116" s="3">
        <v>0</v>
      </c>
      <c r="AK116" s="3">
        <v>-1</v>
      </c>
      <c r="AL116" s="3">
        <v>-1</v>
      </c>
      <c r="AM116" s="3">
        <v>-1</v>
      </c>
      <c r="AN116" s="3">
        <v>-1</v>
      </c>
      <c r="AO116" s="3">
        <v>-1</v>
      </c>
      <c r="AP116" s="3">
        <v>-1</v>
      </c>
    </row>
    <row r="117" spans="1:42" x14ac:dyDescent="0.25">
      <c r="A117" s="3">
        <v>115</v>
      </c>
      <c r="B117" s="3" t="str">
        <f>VLOOKUP(E117,[1]recipe!$A$2:$D$500,3,FALSE)</f>
        <v>!!PERFUME_FISHERMANSFLOWERS</v>
      </c>
      <c r="C117" s="3" t="s">
        <v>860</v>
      </c>
      <c r="D117" s="3" t="s">
        <v>773</v>
      </c>
      <c r="E117" s="3">
        <v>70006</v>
      </c>
      <c r="F117" s="3">
        <v>70006</v>
      </c>
      <c r="G117" s="3">
        <v>1057</v>
      </c>
      <c r="H117" s="3" t="str">
        <f>VLOOKUP(G117,[1]building!$A$2:$D$351,3,FALSE)</f>
        <v>!!BLDG_NAME_PERFUMESHOP</v>
      </c>
      <c r="I117" s="3">
        <v>5</v>
      </c>
      <c r="J117" s="3">
        <v>1</v>
      </c>
      <c r="K117" s="3">
        <v>60002</v>
      </c>
      <c r="L117" s="3">
        <v>-1</v>
      </c>
      <c r="M117" s="3">
        <v>-1</v>
      </c>
      <c r="N117" s="3">
        <v>-1</v>
      </c>
      <c r="O117" s="3">
        <v>-1</v>
      </c>
      <c r="P117" s="3">
        <v>-1</v>
      </c>
      <c r="Q117" s="3">
        <v>4</v>
      </c>
      <c r="R117" s="3">
        <v>-1</v>
      </c>
      <c r="S117" s="3">
        <v>-1</v>
      </c>
      <c r="T117" s="3">
        <v>-1</v>
      </c>
      <c r="U117" s="3">
        <v>-1</v>
      </c>
      <c r="V117" s="3">
        <v>-1</v>
      </c>
      <c r="W117" s="3">
        <v>1800</v>
      </c>
      <c r="X117" s="3" t="s">
        <v>855</v>
      </c>
      <c r="Y117" s="3" t="s">
        <v>856</v>
      </c>
      <c r="Z117" s="3">
        <v>1</v>
      </c>
      <c r="AA117" s="3" t="s">
        <v>860</v>
      </c>
      <c r="AB117" s="3">
        <v>10</v>
      </c>
      <c r="AC117" s="3" t="s">
        <v>59</v>
      </c>
      <c r="AD117" s="3" t="s">
        <v>59</v>
      </c>
      <c r="AE117" s="3" t="s">
        <v>59</v>
      </c>
      <c r="AF117" s="3">
        <v>1</v>
      </c>
      <c r="AG117" s="3" t="s">
        <v>59</v>
      </c>
      <c r="AH117" s="3" t="s">
        <v>59</v>
      </c>
      <c r="AI117" s="3" t="s">
        <v>59</v>
      </c>
      <c r="AJ117" s="3">
        <v>0</v>
      </c>
      <c r="AK117" s="3">
        <v>-1</v>
      </c>
      <c r="AL117" s="3">
        <v>-1</v>
      </c>
      <c r="AM117" s="3">
        <v>-1</v>
      </c>
      <c r="AN117" s="3">
        <v>-1</v>
      </c>
      <c r="AO117" s="3">
        <v>-1</v>
      </c>
      <c r="AP117" s="3">
        <v>-1</v>
      </c>
    </row>
    <row r="118" spans="1:42" x14ac:dyDescent="0.25">
      <c r="A118" s="3">
        <v>116</v>
      </c>
      <c r="B118" s="3" t="str">
        <f>VLOOKUP(E118,[1]recipe!$A$2:$D$500,3,FALSE)</f>
        <v>!!PERFUME_LAMPREYAWAY</v>
      </c>
      <c r="C118" s="3" t="s">
        <v>861</v>
      </c>
      <c r="D118" s="3" t="s">
        <v>773</v>
      </c>
      <c r="E118" s="3">
        <v>70007</v>
      </c>
      <c r="F118" s="3">
        <v>70007</v>
      </c>
      <c r="G118" s="3">
        <v>1057</v>
      </c>
      <c r="H118" s="3" t="str">
        <f>VLOOKUP(G118,[1]building!$A$2:$D$351,3,FALSE)</f>
        <v>!!BLDG_NAME_PERFUMESHOP</v>
      </c>
      <c r="I118" s="3">
        <v>10</v>
      </c>
      <c r="J118" s="3">
        <v>1</v>
      </c>
      <c r="K118" s="3">
        <v>2002</v>
      </c>
      <c r="L118" s="3">
        <v>-1</v>
      </c>
      <c r="M118" s="3">
        <v>-1</v>
      </c>
      <c r="N118" s="3">
        <v>-1</v>
      </c>
      <c r="O118" s="3">
        <v>-1</v>
      </c>
      <c r="P118" s="3">
        <v>-1</v>
      </c>
      <c r="Q118" s="3">
        <v>4</v>
      </c>
      <c r="R118" s="3">
        <v>-1</v>
      </c>
      <c r="S118" s="3">
        <v>-1</v>
      </c>
      <c r="T118" s="3">
        <v>-1</v>
      </c>
      <c r="U118" s="3">
        <v>-1</v>
      </c>
      <c r="V118" s="3">
        <v>-1</v>
      </c>
      <c r="W118" s="3">
        <v>86400</v>
      </c>
      <c r="X118" s="3" t="s">
        <v>787</v>
      </c>
      <c r="Y118" s="3" t="s">
        <v>788</v>
      </c>
      <c r="Z118" s="3">
        <v>25</v>
      </c>
      <c r="AA118" s="3" t="s">
        <v>861</v>
      </c>
      <c r="AB118" s="3">
        <v>10</v>
      </c>
      <c r="AC118" s="3" t="s">
        <v>59</v>
      </c>
      <c r="AD118" s="3" t="s">
        <v>59</v>
      </c>
      <c r="AE118" s="3" t="s">
        <v>59</v>
      </c>
      <c r="AF118" s="3">
        <v>0</v>
      </c>
      <c r="AG118" s="3" t="s">
        <v>59</v>
      </c>
      <c r="AH118" s="3" t="s">
        <v>59</v>
      </c>
      <c r="AI118" s="3" t="s">
        <v>59</v>
      </c>
      <c r="AJ118" s="3">
        <v>0</v>
      </c>
      <c r="AK118" s="3">
        <v>-1</v>
      </c>
      <c r="AL118" s="3">
        <v>-1</v>
      </c>
      <c r="AM118" s="3">
        <v>-1</v>
      </c>
      <c r="AN118" s="3">
        <v>-1</v>
      </c>
      <c r="AO118" s="3">
        <v>-1</v>
      </c>
      <c r="AP118" s="3">
        <v>-1</v>
      </c>
    </row>
    <row r="119" spans="1:42" x14ac:dyDescent="0.25">
      <c r="A119" s="3">
        <v>117</v>
      </c>
      <c r="B119" s="3" t="str">
        <f>VLOOKUP(E119,[1]recipe!$A$2:$D$500,3,FALSE)</f>
        <v>!!PERFUME_SCENTOSAILOR</v>
      </c>
      <c r="C119" s="3" t="s">
        <v>862</v>
      </c>
      <c r="D119" s="3" t="s">
        <v>773</v>
      </c>
      <c r="E119" s="3">
        <v>70008</v>
      </c>
      <c r="F119" s="3">
        <v>70008</v>
      </c>
      <c r="G119" s="3">
        <v>1057</v>
      </c>
      <c r="H119" s="3" t="str">
        <f>VLOOKUP(G119,[1]building!$A$2:$D$351,3,FALSE)</f>
        <v>!!BLDG_NAME_PERFUMESHOP</v>
      </c>
      <c r="I119" s="3">
        <v>6</v>
      </c>
      <c r="J119" s="3">
        <v>1</v>
      </c>
      <c r="K119" s="3">
        <v>60004</v>
      </c>
      <c r="L119" s="3">
        <v>-1</v>
      </c>
      <c r="M119" s="3">
        <v>-1</v>
      </c>
      <c r="N119" s="3">
        <v>-1</v>
      </c>
      <c r="O119" s="3">
        <v>-1</v>
      </c>
      <c r="P119" s="3">
        <v>-1</v>
      </c>
      <c r="Q119" s="3">
        <v>4</v>
      </c>
      <c r="R119" s="3">
        <v>-1</v>
      </c>
      <c r="S119" s="3">
        <v>-1</v>
      </c>
      <c r="T119" s="3">
        <v>-1</v>
      </c>
      <c r="U119" s="3">
        <v>-1</v>
      </c>
      <c r="V119" s="3">
        <v>-1</v>
      </c>
      <c r="W119" s="3">
        <v>10800</v>
      </c>
      <c r="X119" s="3" t="s">
        <v>855</v>
      </c>
      <c r="Y119" s="3" t="s">
        <v>856</v>
      </c>
      <c r="Z119" s="3">
        <v>25</v>
      </c>
      <c r="AA119" s="3" t="s">
        <v>862</v>
      </c>
      <c r="AB119" s="3">
        <v>10</v>
      </c>
      <c r="AC119" s="3" t="s">
        <v>59</v>
      </c>
      <c r="AD119" s="3" t="s">
        <v>59</v>
      </c>
      <c r="AE119" s="3" t="s">
        <v>59</v>
      </c>
      <c r="AF119" s="3">
        <v>0</v>
      </c>
      <c r="AG119" s="3" t="s">
        <v>59</v>
      </c>
      <c r="AH119" s="3" t="s">
        <v>59</v>
      </c>
      <c r="AI119" s="3" t="s">
        <v>59</v>
      </c>
      <c r="AJ119" s="3">
        <v>0</v>
      </c>
      <c r="AK119" s="3">
        <v>-1</v>
      </c>
      <c r="AL119" s="3">
        <v>-1</v>
      </c>
      <c r="AM119" s="3">
        <v>-1</v>
      </c>
      <c r="AN119" s="3">
        <v>-1</v>
      </c>
      <c r="AO119" s="3">
        <v>-1</v>
      </c>
      <c r="AP119" s="3">
        <v>-1</v>
      </c>
    </row>
    <row r="120" spans="1:42" x14ac:dyDescent="0.25">
      <c r="A120" s="3">
        <v>118</v>
      </c>
      <c r="B120" s="3" t="str">
        <f>VLOOKUP(E120,[1]recipe!$A$2:$D$500,3,FALSE)</f>
        <v>!!PERFUME_SEASHANTY</v>
      </c>
      <c r="C120" s="3" t="s">
        <v>863</v>
      </c>
      <c r="D120" s="3" t="s">
        <v>773</v>
      </c>
      <c r="E120" s="3">
        <v>70009</v>
      </c>
      <c r="F120" s="3">
        <v>70009</v>
      </c>
      <c r="G120" s="3">
        <v>1057</v>
      </c>
      <c r="H120" s="3" t="str">
        <f>VLOOKUP(G120,[1]building!$A$2:$D$351,3,FALSE)</f>
        <v>!!BLDG_NAME_PERFUMESHOP</v>
      </c>
      <c r="I120" s="3">
        <v>8</v>
      </c>
      <c r="J120" s="3">
        <v>1</v>
      </c>
      <c r="K120" s="3">
        <v>60003</v>
      </c>
      <c r="L120" s="3">
        <v>-1</v>
      </c>
      <c r="M120" s="3">
        <v>-1</v>
      </c>
      <c r="N120" s="3">
        <v>-1</v>
      </c>
      <c r="O120" s="3">
        <v>-1</v>
      </c>
      <c r="P120" s="3">
        <v>-1</v>
      </c>
      <c r="Q120" s="3">
        <v>4</v>
      </c>
      <c r="R120" s="3">
        <v>-1</v>
      </c>
      <c r="S120" s="3">
        <v>-1</v>
      </c>
      <c r="T120" s="3">
        <v>-1</v>
      </c>
      <c r="U120" s="3">
        <v>-1</v>
      </c>
      <c r="V120" s="3">
        <v>-1</v>
      </c>
      <c r="W120" s="3">
        <v>21600</v>
      </c>
      <c r="X120" s="3" t="s">
        <v>787</v>
      </c>
      <c r="Y120" s="3" t="s">
        <v>788</v>
      </c>
      <c r="Z120" s="3">
        <v>25</v>
      </c>
      <c r="AA120" s="3" t="s">
        <v>863</v>
      </c>
      <c r="AB120" s="3">
        <v>10</v>
      </c>
      <c r="AC120" s="3" t="s">
        <v>59</v>
      </c>
      <c r="AD120" s="3" t="s">
        <v>59</v>
      </c>
      <c r="AE120" s="3" t="s">
        <v>59</v>
      </c>
      <c r="AF120" s="3">
        <v>0</v>
      </c>
      <c r="AG120" s="3" t="s">
        <v>59</v>
      </c>
      <c r="AH120" s="3" t="s">
        <v>59</v>
      </c>
      <c r="AI120" s="3" t="s">
        <v>59</v>
      </c>
      <c r="AJ120" s="3">
        <v>0</v>
      </c>
      <c r="AK120" s="3">
        <v>-1</v>
      </c>
      <c r="AL120" s="3">
        <v>-1</v>
      </c>
      <c r="AM120" s="3">
        <v>-1</v>
      </c>
      <c r="AN120" s="3">
        <v>-1</v>
      </c>
      <c r="AO120" s="3">
        <v>-1</v>
      </c>
      <c r="AP120" s="3">
        <v>-1</v>
      </c>
    </row>
    <row r="121" spans="1:42" x14ac:dyDescent="0.25">
      <c r="A121" s="3">
        <v>119</v>
      </c>
      <c r="B121" s="3" t="str">
        <f>VLOOKUP(E121,[1]recipe!$A$2:$D$500,3,FALSE)</f>
        <v>!!PERFUME_THATSSOCORAL</v>
      </c>
      <c r="C121" s="3" t="s">
        <v>864</v>
      </c>
      <c r="D121" s="3" t="s">
        <v>773</v>
      </c>
      <c r="E121" s="3">
        <v>70010</v>
      </c>
      <c r="F121" s="3">
        <v>70010</v>
      </c>
      <c r="G121" s="3">
        <v>1057</v>
      </c>
      <c r="H121" s="3" t="str">
        <f>VLOOKUP(G121,[1]building!$A$2:$D$351,3,FALSE)</f>
        <v>!!BLDG_NAME_PERFUMESHOP</v>
      </c>
      <c r="I121" s="3">
        <v>8</v>
      </c>
      <c r="J121" s="3">
        <v>1</v>
      </c>
      <c r="K121" s="3">
        <v>60000</v>
      </c>
      <c r="L121" s="3">
        <v>60004</v>
      </c>
      <c r="M121" s="3">
        <v>-1</v>
      </c>
      <c r="N121" s="3">
        <v>-1</v>
      </c>
      <c r="O121" s="3">
        <v>-1</v>
      </c>
      <c r="P121" s="3">
        <v>-1</v>
      </c>
      <c r="Q121" s="3">
        <v>2</v>
      </c>
      <c r="R121" s="3">
        <v>2</v>
      </c>
      <c r="S121" s="3">
        <v>-1</v>
      </c>
      <c r="T121" s="3">
        <v>-1</v>
      </c>
      <c r="U121" s="3">
        <v>-1</v>
      </c>
      <c r="V121" s="3">
        <v>-1</v>
      </c>
      <c r="W121" s="3">
        <v>21600</v>
      </c>
      <c r="X121" s="3" t="s">
        <v>855</v>
      </c>
      <c r="Y121" s="3" t="s">
        <v>856</v>
      </c>
      <c r="Z121" s="3">
        <v>25</v>
      </c>
      <c r="AA121" s="3" t="s">
        <v>864</v>
      </c>
      <c r="AB121" s="3">
        <v>10</v>
      </c>
      <c r="AC121" s="3" t="s">
        <v>59</v>
      </c>
      <c r="AD121" s="3" t="s">
        <v>59</v>
      </c>
      <c r="AE121" s="3" t="s">
        <v>59</v>
      </c>
      <c r="AF121" s="3">
        <v>0</v>
      </c>
      <c r="AG121" s="3" t="s">
        <v>59</v>
      </c>
      <c r="AH121" s="3" t="s">
        <v>59</v>
      </c>
      <c r="AI121" s="3" t="s">
        <v>59</v>
      </c>
      <c r="AJ121" s="3">
        <v>0</v>
      </c>
      <c r="AK121" s="3">
        <v>-1</v>
      </c>
      <c r="AL121" s="3">
        <v>-1</v>
      </c>
      <c r="AM121" s="3">
        <v>-1</v>
      </c>
      <c r="AN121" s="3">
        <v>-1</v>
      </c>
      <c r="AO121" s="3">
        <v>-1</v>
      </c>
      <c r="AP121" s="3">
        <v>-1</v>
      </c>
    </row>
    <row r="122" spans="1:42" x14ac:dyDescent="0.25">
      <c r="A122" s="3">
        <v>120</v>
      </c>
      <c r="B122" s="3" t="str">
        <f>VLOOKUP(E122,[1]recipe!$A$2:$D$500,3,FALSE)</f>
        <v>!!PERFUME_THEDUMP</v>
      </c>
      <c r="C122" s="3" t="s">
        <v>865</v>
      </c>
      <c r="D122" s="3" t="s">
        <v>773</v>
      </c>
      <c r="E122" s="3">
        <v>70011</v>
      </c>
      <c r="F122" s="3">
        <v>70011</v>
      </c>
      <c r="G122" s="3">
        <v>1057</v>
      </c>
      <c r="H122" s="3" t="str">
        <f>VLOOKUP(G122,[1]building!$A$2:$D$351,3,FALSE)</f>
        <v>!!BLDG_NAME_PERFUMESHOP</v>
      </c>
      <c r="I122" s="3">
        <v>10</v>
      </c>
      <c r="J122" s="3">
        <v>1</v>
      </c>
      <c r="K122" s="3">
        <v>60004</v>
      </c>
      <c r="L122" s="3">
        <v>60003</v>
      </c>
      <c r="M122" s="3">
        <v>-1</v>
      </c>
      <c r="N122" s="3">
        <v>-1</v>
      </c>
      <c r="O122" s="3">
        <v>-1</v>
      </c>
      <c r="P122" s="3">
        <v>-1</v>
      </c>
      <c r="Q122" s="3">
        <v>2</v>
      </c>
      <c r="R122" s="3">
        <v>2</v>
      </c>
      <c r="S122" s="3">
        <v>-1</v>
      </c>
      <c r="T122" s="3">
        <v>-1</v>
      </c>
      <c r="U122" s="3">
        <v>-1</v>
      </c>
      <c r="V122" s="3">
        <v>-1</v>
      </c>
      <c r="W122" s="3">
        <v>43200</v>
      </c>
      <c r="X122" s="3" t="s">
        <v>787</v>
      </c>
      <c r="Y122" s="3" t="s">
        <v>788</v>
      </c>
      <c r="Z122" s="3">
        <v>25</v>
      </c>
      <c r="AA122" s="3" t="s">
        <v>865</v>
      </c>
      <c r="AB122" s="3">
        <v>10</v>
      </c>
      <c r="AC122" s="3" t="s">
        <v>59</v>
      </c>
      <c r="AD122" s="3" t="s">
        <v>59</v>
      </c>
      <c r="AE122" s="3" t="s">
        <v>59</v>
      </c>
      <c r="AF122" s="3">
        <v>0</v>
      </c>
      <c r="AG122" s="3" t="s">
        <v>59</v>
      </c>
      <c r="AH122" s="3" t="s">
        <v>59</v>
      </c>
      <c r="AI122" s="3" t="s">
        <v>59</v>
      </c>
      <c r="AJ122" s="3">
        <v>0</v>
      </c>
      <c r="AK122" s="3">
        <v>-1</v>
      </c>
      <c r="AL122" s="3">
        <v>-1</v>
      </c>
      <c r="AM122" s="3">
        <v>-1</v>
      </c>
      <c r="AN122" s="3">
        <v>-1</v>
      </c>
      <c r="AO122" s="3">
        <v>-1</v>
      </c>
      <c r="AP122" s="3">
        <v>-1</v>
      </c>
    </row>
    <row r="123" spans="1:42" x14ac:dyDescent="0.25">
      <c r="A123" s="3">
        <v>121</v>
      </c>
      <c r="B123" s="3" t="str">
        <f>VLOOKUP(E123,[1]recipe!$A$2:$D$500,3,FALSE)</f>
        <v>!!FOOD_LETTUCE</v>
      </c>
      <c r="C123" s="3" t="s">
        <v>844</v>
      </c>
      <c r="D123" s="3" t="s">
        <v>773</v>
      </c>
      <c r="E123" s="3">
        <v>1000</v>
      </c>
      <c r="F123" s="3">
        <v>8</v>
      </c>
      <c r="G123" s="3">
        <v>1102</v>
      </c>
      <c r="H123" s="3" t="str">
        <f>VLOOKUP(G123,[1]building!$A$2:$D$351,3,FALSE)</f>
        <v>!!BLDG_NAME_SEEDSTORE</v>
      </c>
      <c r="I123" s="3">
        <v>1</v>
      </c>
      <c r="J123" s="3">
        <v>2</v>
      </c>
      <c r="K123" s="3">
        <v>3</v>
      </c>
      <c r="L123" s="3">
        <v>-1</v>
      </c>
      <c r="M123" s="3">
        <v>-1</v>
      </c>
      <c r="N123" s="3">
        <v>-1</v>
      </c>
      <c r="O123" s="3">
        <v>-1</v>
      </c>
      <c r="P123" s="3">
        <v>-1</v>
      </c>
      <c r="Q123" s="3">
        <v>3</v>
      </c>
      <c r="R123" s="3">
        <v>-1</v>
      </c>
      <c r="S123" s="3">
        <v>-1</v>
      </c>
      <c r="T123" s="3">
        <v>-1</v>
      </c>
      <c r="U123" s="3">
        <v>-1</v>
      </c>
      <c r="V123" s="3">
        <v>-1</v>
      </c>
      <c r="W123" s="3">
        <v>20</v>
      </c>
      <c r="X123" s="3" t="s">
        <v>57</v>
      </c>
      <c r="Y123" s="3" t="s">
        <v>845</v>
      </c>
      <c r="Z123" s="3">
        <v>1</v>
      </c>
      <c r="AA123" s="3" t="s">
        <v>844</v>
      </c>
      <c r="AB123" s="3">
        <v>10</v>
      </c>
      <c r="AC123" s="3" t="s">
        <v>846</v>
      </c>
      <c r="AD123" s="3" t="s">
        <v>847</v>
      </c>
      <c r="AE123" s="3" t="s">
        <v>848</v>
      </c>
      <c r="AF123" s="3">
        <v>0</v>
      </c>
      <c r="AG123" s="3" t="s">
        <v>59</v>
      </c>
      <c r="AH123" s="3" t="s">
        <v>59</v>
      </c>
      <c r="AI123" s="3" t="s">
        <v>59</v>
      </c>
      <c r="AJ123" s="3">
        <v>0</v>
      </c>
      <c r="AK123" s="3">
        <v>-1</v>
      </c>
      <c r="AL123" s="3">
        <v>-1</v>
      </c>
      <c r="AM123" s="3">
        <v>-1</v>
      </c>
      <c r="AN123" s="3">
        <v>-1</v>
      </c>
      <c r="AO123" s="3">
        <v>-1</v>
      </c>
      <c r="AP123" s="3">
        <v>-1</v>
      </c>
    </row>
    <row r="124" spans="1:42" x14ac:dyDescent="0.25">
      <c r="A124" s="3">
        <v>122</v>
      </c>
      <c r="B124" s="3" t="str">
        <f>VLOOKUP(E124,[1]recipe!$A$2:$D$500,3,FALSE)</f>
        <v>!!FOOD_ONION</v>
      </c>
      <c r="C124" s="3" t="s">
        <v>849</v>
      </c>
      <c r="D124" s="3" t="s">
        <v>773</v>
      </c>
      <c r="E124" s="3">
        <v>1001</v>
      </c>
      <c r="F124" s="3">
        <v>12</v>
      </c>
      <c r="G124" s="3">
        <v>1102</v>
      </c>
      <c r="H124" s="3" t="str">
        <f>VLOOKUP(G124,[1]building!$A$2:$D$351,3,FALSE)</f>
        <v>!!BLDG_NAME_SEEDSTORE</v>
      </c>
      <c r="I124" s="3">
        <v>1</v>
      </c>
      <c r="J124" s="3">
        <v>2</v>
      </c>
      <c r="K124" s="3">
        <v>3</v>
      </c>
      <c r="L124" s="3">
        <v>-1</v>
      </c>
      <c r="M124" s="3">
        <v>-1</v>
      </c>
      <c r="N124" s="3">
        <v>-1</v>
      </c>
      <c r="O124" s="3">
        <v>-1</v>
      </c>
      <c r="P124" s="3">
        <v>-1</v>
      </c>
      <c r="Q124" s="3">
        <v>8</v>
      </c>
      <c r="R124" s="3">
        <v>-1</v>
      </c>
      <c r="S124" s="3">
        <v>-1</v>
      </c>
      <c r="T124" s="3">
        <v>-1</v>
      </c>
      <c r="U124" s="3">
        <v>-1</v>
      </c>
      <c r="V124" s="3">
        <v>-1</v>
      </c>
      <c r="W124" s="3">
        <v>120</v>
      </c>
      <c r="X124" s="3" t="s">
        <v>57</v>
      </c>
      <c r="Y124" s="3" t="s">
        <v>58</v>
      </c>
      <c r="Z124" s="3">
        <v>6</v>
      </c>
      <c r="AA124" s="3" t="s">
        <v>849</v>
      </c>
      <c r="AB124" s="3">
        <v>10</v>
      </c>
      <c r="AC124" s="3" t="s">
        <v>850</v>
      </c>
      <c r="AD124" s="3" t="s">
        <v>851</v>
      </c>
      <c r="AE124" s="3" t="s">
        <v>852</v>
      </c>
      <c r="AF124" s="3">
        <v>0</v>
      </c>
      <c r="AG124" s="3" t="s">
        <v>59</v>
      </c>
      <c r="AH124" s="3" t="s">
        <v>59</v>
      </c>
      <c r="AI124" s="3" t="s">
        <v>59</v>
      </c>
      <c r="AJ124" s="3">
        <v>0</v>
      </c>
      <c r="AK124" s="3">
        <v>-1</v>
      </c>
      <c r="AL124" s="3">
        <v>-1</v>
      </c>
      <c r="AM124" s="3">
        <v>-1</v>
      </c>
      <c r="AN124" s="3">
        <v>-1</v>
      </c>
      <c r="AO124" s="3">
        <v>-1</v>
      </c>
      <c r="AP124" s="3">
        <v>-1</v>
      </c>
    </row>
    <row r="125" spans="1:42" x14ac:dyDescent="0.25">
      <c r="A125" s="3">
        <v>123</v>
      </c>
      <c r="B125" s="3" t="str">
        <f>VLOOKUP(E125,[1]recipe!$A$2:$D$500,3,FALSE)</f>
        <v>!!FOOD_POTATO</v>
      </c>
      <c r="C125" s="3" t="s">
        <v>867</v>
      </c>
      <c r="D125" s="3" t="s">
        <v>773</v>
      </c>
      <c r="E125" s="3">
        <v>1002</v>
      </c>
      <c r="F125" s="3">
        <v>13</v>
      </c>
      <c r="G125" s="3">
        <v>1102</v>
      </c>
      <c r="H125" s="3" t="str">
        <f>VLOOKUP(G125,[1]building!$A$2:$D$351,3,FALSE)</f>
        <v>!!BLDG_NAME_SEEDSTORE</v>
      </c>
      <c r="I125" s="3">
        <v>4</v>
      </c>
      <c r="J125" s="3">
        <v>2</v>
      </c>
      <c r="K125" s="3">
        <v>3</v>
      </c>
      <c r="L125" s="3">
        <v>-1</v>
      </c>
      <c r="M125" s="3">
        <v>-1</v>
      </c>
      <c r="N125" s="3">
        <v>-1</v>
      </c>
      <c r="O125" s="3">
        <v>-1</v>
      </c>
      <c r="P125" s="3">
        <v>-1</v>
      </c>
      <c r="Q125" s="3">
        <v>18</v>
      </c>
      <c r="R125" s="3">
        <v>-1</v>
      </c>
      <c r="S125" s="3">
        <v>-1</v>
      </c>
      <c r="T125" s="3">
        <v>-1</v>
      </c>
      <c r="U125" s="3">
        <v>-1</v>
      </c>
      <c r="V125" s="3">
        <v>-1</v>
      </c>
      <c r="W125" s="3">
        <v>1200</v>
      </c>
      <c r="X125" s="3" t="s">
        <v>57</v>
      </c>
      <c r="Y125" s="3" t="s">
        <v>58</v>
      </c>
      <c r="Z125" s="3">
        <v>9</v>
      </c>
      <c r="AA125" s="3" t="s">
        <v>867</v>
      </c>
      <c r="AB125" s="3">
        <v>10</v>
      </c>
      <c r="AC125" s="3" t="s">
        <v>774</v>
      </c>
      <c r="AD125" s="3" t="s">
        <v>775</v>
      </c>
      <c r="AE125" s="3" t="s">
        <v>776</v>
      </c>
      <c r="AF125" s="3">
        <v>0</v>
      </c>
      <c r="AG125" s="3" t="s">
        <v>59</v>
      </c>
      <c r="AH125" s="3" t="s">
        <v>59</v>
      </c>
      <c r="AI125" s="3" t="s">
        <v>59</v>
      </c>
      <c r="AJ125" s="3">
        <v>0</v>
      </c>
      <c r="AK125" s="3">
        <v>-1</v>
      </c>
      <c r="AL125" s="3">
        <v>-1</v>
      </c>
      <c r="AM125" s="3">
        <v>-1</v>
      </c>
      <c r="AN125" s="3">
        <v>-1</v>
      </c>
      <c r="AO125" s="3">
        <v>-1</v>
      </c>
      <c r="AP125" s="3">
        <v>-1</v>
      </c>
    </row>
    <row r="126" spans="1:42" x14ac:dyDescent="0.25">
      <c r="A126" s="3">
        <v>124</v>
      </c>
      <c r="B126" s="3" t="str">
        <f>VLOOKUP(E126,[1]recipe!$A$2:$D$500,3,FALSE)</f>
        <v>!!FOOD_TOMATO</v>
      </c>
      <c r="C126" s="3" t="s">
        <v>893</v>
      </c>
      <c r="D126" s="3" t="s">
        <v>773</v>
      </c>
      <c r="E126" s="3">
        <v>1003</v>
      </c>
      <c r="F126" s="3">
        <v>10</v>
      </c>
      <c r="G126" s="3">
        <v>1102</v>
      </c>
      <c r="H126" s="3" t="str">
        <f>VLOOKUP(G126,[1]building!$A$2:$D$351,3,FALSE)</f>
        <v>!!BLDG_NAME_SEEDSTORE</v>
      </c>
      <c r="I126" s="3">
        <v>1</v>
      </c>
      <c r="J126" s="3">
        <v>2</v>
      </c>
      <c r="K126" s="3">
        <v>3</v>
      </c>
      <c r="L126" s="3">
        <v>-1</v>
      </c>
      <c r="M126" s="3">
        <v>-1</v>
      </c>
      <c r="N126" s="3">
        <v>-1</v>
      </c>
      <c r="O126" s="3">
        <v>-1</v>
      </c>
      <c r="P126" s="3">
        <v>-1</v>
      </c>
      <c r="Q126" s="3">
        <v>2</v>
      </c>
      <c r="R126" s="3">
        <v>-1</v>
      </c>
      <c r="S126" s="3">
        <v>-1</v>
      </c>
      <c r="T126" s="3">
        <v>-1</v>
      </c>
      <c r="U126" s="3">
        <v>-1</v>
      </c>
      <c r="V126" s="3">
        <v>-1</v>
      </c>
      <c r="W126" s="3">
        <v>40</v>
      </c>
      <c r="X126" s="3" t="s">
        <v>57</v>
      </c>
      <c r="Y126" s="3" t="s">
        <v>894</v>
      </c>
      <c r="Z126" s="3">
        <v>3</v>
      </c>
      <c r="AA126" s="3" t="s">
        <v>893</v>
      </c>
      <c r="AB126" s="3">
        <v>10</v>
      </c>
      <c r="AC126" s="3" t="s">
        <v>60</v>
      </c>
      <c r="AD126" s="3" t="s">
        <v>61</v>
      </c>
      <c r="AE126" s="3" t="s">
        <v>62</v>
      </c>
      <c r="AF126" s="3">
        <v>0</v>
      </c>
      <c r="AG126" s="3" t="s">
        <v>59</v>
      </c>
      <c r="AH126" s="3" t="s">
        <v>59</v>
      </c>
      <c r="AI126" s="3" t="s">
        <v>59</v>
      </c>
      <c r="AJ126" s="3">
        <v>0</v>
      </c>
      <c r="AK126" s="3">
        <v>-1</v>
      </c>
      <c r="AL126" s="3">
        <v>-1</v>
      </c>
      <c r="AM126" s="3">
        <v>-1</v>
      </c>
      <c r="AN126" s="3">
        <v>-1</v>
      </c>
      <c r="AO126" s="3">
        <v>-1</v>
      </c>
      <c r="AP126" s="3">
        <v>-1</v>
      </c>
    </row>
    <row r="127" spans="1:42" x14ac:dyDescent="0.25">
      <c r="A127" s="3">
        <v>125</v>
      </c>
      <c r="B127" s="3" t="str">
        <f>VLOOKUP(E127,[1]recipe!$A$2:$D$500,3,FALSE)</f>
        <v>!!FOOD_KELP</v>
      </c>
      <c r="C127" s="3" t="s">
        <v>829</v>
      </c>
      <c r="D127" s="3" t="s">
        <v>773</v>
      </c>
      <c r="E127" s="3">
        <v>1004</v>
      </c>
      <c r="F127" s="3">
        <v>14</v>
      </c>
      <c r="G127" s="3">
        <v>1102</v>
      </c>
      <c r="H127" s="3" t="str">
        <f>VLOOKUP(G127,[1]building!$A$2:$D$351,3,FALSE)</f>
        <v>!!BLDG_NAME_SEEDSTORE</v>
      </c>
      <c r="I127" s="3">
        <v>2</v>
      </c>
      <c r="J127" s="3">
        <v>2</v>
      </c>
      <c r="K127" s="3">
        <v>3</v>
      </c>
      <c r="L127" s="3">
        <v>-1</v>
      </c>
      <c r="M127" s="3">
        <v>-1</v>
      </c>
      <c r="N127" s="3">
        <v>-1</v>
      </c>
      <c r="O127" s="3">
        <v>-1</v>
      </c>
      <c r="P127" s="3">
        <v>-1</v>
      </c>
      <c r="Q127" s="3">
        <v>12</v>
      </c>
      <c r="R127" s="3">
        <v>-1</v>
      </c>
      <c r="S127" s="3">
        <v>-1</v>
      </c>
      <c r="T127" s="3">
        <v>-1</v>
      </c>
      <c r="U127" s="3">
        <v>-1</v>
      </c>
      <c r="V127" s="3">
        <v>-1</v>
      </c>
      <c r="W127" s="3">
        <v>600</v>
      </c>
      <c r="X127" s="3" t="s">
        <v>57</v>
      </c>
      <c r="Y127" s="3" t="s">
        <v>58</v>
      </c>
      <c r="Z127" s="3">
        <v>12</v>
      </c>
      <c r="AA127" s="3" t="s">
        <v>829</v>
      </c>
      <c r="AB127" s="3">
        <v>10</v>
      </c>
      <c r="AC127" s="3" t="s">
        <v>830</v>
      </c>
      <c r="AD127" s="3" t="s">
        <v>831</v>
      </c>
      <c r="AE127" s="3" t="s">
        <v>832</v>
      </c>
      <c r="AF127" s="3">
        <v>0</v>
      </c>
      <c r="AG127" s="3" t="s">
        <v>59</v>
      </c>
      <c r="AH127" s="3" t="s">
        <v>59</v>
      </c>
      <c r="AI127" s="3" t="s">
        <v>59</v>
      </c>
      <c r="AJ127" s="3">
        <v>0</v>
      </c>
      <c r="AK127" s="3">
        <v>-1</v>
      </c>
      <c r="AL127" s="3">
        <v>-1</v>
      </c>
      <c r="AM127" s="3">
        <v>-1</v>
      </c>
      <c r="AN127" s="3">
        <v>-1</v>
      </c>
      <c r="AO127" s="3">
        <v>-1</v>
      </c>
      <c r="AP127" s="3">
        <v>-1</v>
      </c>
    </row>
    <row r="128" spans="1:42" x14ac:dyDescent="0.25">
      <c r="A128" s="3">
        <v>126</v>
      </c>
      <c r="B128" s="3" t="str">
        <f>VLOOKUP(E128,[1]recipe!$A$2:$D$500,3,FALSE)</f>
        <v>!!FOOD_VANILLA</v>
      </c>
      <c r="C128" s="3" t="s">
        <v>397</v>
      </c>
      <c r="D128" s="3" t="s">
        <v>773</v>
      </c>
      <c r="E128" s="3">
        <v>2000</v>
      </c>
      <c r="F128" s="3">
        <v>2000</v>
      </c>
      <c r="G128" s="3">
        <v>1102</v>
      </c>
      <c r="H128" s="3" t="str">
        <f>VLOOKUP(G128,[1]building!$A$2:$D$351,3,FALSE)</f>
        <v>!!BLDG_NAME_SEEDSTORE</v>
      </c>
      <c r="I128" s="3">
        <v>5</v>
      </c>
      <c r="J128" s="3">
        <v>2</v>
      </c>
      <c r="K128" s="3">
        <v>3</v>
      </c>
      <c r="L128" s="3">
        <v>-1</v>
      </c>
      <c r="M128" s="3">
        <v>-1</v>
      </c>
      <c r="N128" s="3">
        <v>-1</v>
      </c>
      <c r="O128" s="3">
        <v>-1</v>
      </c>
      <c r="P128" s="3">
        <v>-1</v>
      </c>
      <c r="Q128" s="3">
        <v>20</v>
      </c>
      <c r="R128" s="3">
        <v>-1</v>
      </c>
      <c r="S128" s="3">
        <v>-1</v>
      </c>
      <c r="T128" s="3">
        <v>-1</v>
      </c>
      <c r="U128" s="3">
        <v>-1</v>
      </c>
      <c r="V128" s="3">
        <v>-1</v>
      </c>
      <c r="W128" s="3">
        <v>2400</v>
      </c>
      <c r="X128" s="3" t="s">
        <v>57</v>
      </c>
      <c r="Y128" s="3" t="s">
        <v>58</v>
      </c>
      <c r="Z128" s="3">
        <v>9</v>
      </c>
      <c r="AA128" s="3" t="s">
        <v>397</v>
      </c>
      <c r="AB128" s="3">
        <v>10</v>
      </c>
      <c r="AC128" s="3" t="s">
        <v>774</v>
      </c>
      <c r="AD128" s="3" t="s">
        <v>775</v>
      </c>
      <c r="AE128" s="3" t="s">
        <v>776</v>
      </c>
      <c r="AF128" s="3">
        <v>0</v>
      </c>
      <c r="AG128" s="3" t="s">
        <v>59</v>
      </c>
      <c r="AH128" s="3" t="s">
        <v>59</v>
      </c>
      <c r="AI128" s="3" t="s">
        <v>59</v>
      </c>
      <c r="AJ128" s="3">
        <v>0</v>
      </c>
      <c r="AK128" s="3">
        <v>-1</v>
      </c>
      <c r="AL128" s="3">
        <v>-1</v>
      </c>
      <c r="AM128" s="3">
        <v>-1</v>
      </c>
      <c r="AN128" s="3">
        <v>-1</v>
      </c>
      <c r="AO128" s="3">
        <v>-1</v>
      </c>
      <c r="AP128" s="3">
        <v>-1</v>
      </c>
    </row>
    <row r="129" spans="1:42" x14ac:dyDescent="0.25">
      <c r="A129" s="3">
        <v>127</v>
      </c>
      <c r="B129" s="3" t="str">
        <f>VLOOKUP(E129,[1]recipe!$A$2:$D$500,3,FALSE)</f>
        <v>!!FOOD_CORALBITS</v>
      </c>
      <c r="C129" s="3" t="s">
        <v>772</v>
      </c>
      <c r="D129" s="3" t="s">
        <v>773</v>
      </c>
      <c r="E129" s="3">
        <v>2001</v>
      </c>
      <c r="F129" s="3">
        <v>2001</v>
      </c>
      <c r="G129" s="3">
        <v>1102</v>
      </c>
      <c r="H129" s="3" t="str">
        <f>VLOOKUP(G129,[1]building!$A$2:$D$351,3,FALSE)</f>
        <v>!!BLDG_NAME_SEEDSTORE</v>
      </c>
      <c r="I129" s="3">
        <v>1</v>
      </c>
      <c r="J129" s="3">
        <v>2</v>
      </c>
      <c r="K129" s="3">
        <v>-1</v>
      </c>
      <c r="L129" s="3">
        <v>-1</v>
      </c>
      <c r="M129" s="3">
        <v>-1</v>
      </c>
      <c r="N129" s="3">
        <v>-1</v>
      </c>
      <c r="O129" s="3">
        <v>-1</v>
      </c>
      <c r="P129" s="3">
        <v>-1</v>
      </c>
      <c r="Q129" s="3">
        <v>-1</v>
      </c>
      <c r="R129" s="3">
        <v>-1</v>
      </c>
      <c r="S129" s="3">
        <v>-1</v>
      </c>
      <c r="T129" s="3">
        <v>-1</v>
      </c>
      <c r="U129" s="3">
        <v>-1</v>
      </c>
      <c r="V129" s="3">
        <v>-1</v>
      </c>
      <c r="W129" s="3">
        <v>0</v>
      </c>
      <c r="X129" s="3" t="s">
        <v>57</v>
      </c>
      <c r="Y129" s="3" t="s">
        <v>58</v>
      </c>
      <c r="Z129" s="3">
        <v>1</v>
      </c>
      <c r="AA129" s="3" t="s">
        <v>772</v>
      </c>
      <c r="AB129" s="3">
        <v>10</v>
      </c>
      <c r="AC129" s="3" t="s">
        <v>774</v>
      </c>
      <c r="AD129" s="3" t="s">
        <v>775</v>
      </c>
      <c r="AE129" s="3" t="s">
        <v>776</v>
      </c>
      <c r="AF129" s="3">
        <v>0</v>
      </c>
      <c r="AG129" s="3" t="s">
        <v>59</v>
      </c>
      <c r="AH129" s="3" t="s">
        <v>59</v>
      </c>
      <c r="AI129" s="3" t="s">
        <v>59</v>
      </c>
      <c r="AJ129" s="3">
        <v>0</v>
      </c>
      <c r="AK129" s="3">
        <v>-1</v>
      </c>
      <c r="AL129" s="3">
        <v>-1</v>
      </c>
      <c r="AM129" s="3">
        <v>-1</v>
      </c>
      <c r="AN129" s="3">
        <v>-1</v>
      </c>
      <c r="AO129" s="3">
        <v>-1</v>
      </c>
      <c r="AP129" s="3">
        <v>-1</v>
      </c>
    </row>
    <row r="130" spans="1:42" x14ac:dyDescent="0.25">
      <c r="A130" s="3">
        <v>128</v>
      </c>
      <c r="B130" s="3" t="str">
        <f>VLOOKUP(E130,[1]recipe!$A$2:$D$500,3,FALSE)</f>
        <v>!!FOOD_GARLIC</v>
      </c>
      <c r="C130" s="3" t="s">
        <v>800</v>
      </c>
      <c r="D130" s="3" t="s">
        <v>773</v>
      </c>
      <c r="E130" s="3">
        <v>2002</v>
      </c>
      <c r="F130" s="3">
        <v>2002</v>
      </c>
      <c r="G130" s="3">
        <v>1102</v>
      </c>
      <c r="H130" s="3" t="str">
        <f>VLOOKUP(G130,[1]building!$A$2:$D$351,3,FALSE)</f>
        <v>!!BLDG_NAME_SEEDSTORE</v>
      </c>
      <c r="I130" s="3">
        <v>5</v>
      </c>
      <c r="J130" s="3">
        <v>2</v>
      </c>
      <c r="K130" s="3">
        <v>3</v>
      </c>
      <c r="L130" s="3">
        <v>-1</v>
      </c>
      <c r="M130" s="3">
        <v>-1</v>
      </c>
      <c r="N130" s="3">
        <v>-1</v>
      </c>
      <c r="O130" s="3">
        <v>-1</v>
      </c>
      <c r="P130" s="3">
        <v>-1</v>
      </c>
      <c r="Q130" s="3">
        <v>25</v>
      </c>
      <c r="R130" s="3">
        <v>-1</v>
      </c>
      <c r="S130" s="3">
        <v>-1</v>
      </c>
      <c r="T130" s="3">
        <v>-1</v>
      </c>
      <c r="U130" s="3">
        <v>-1</v>
      </c>
      <c r="V130" s="3">
        <v>-1</v>
      </c>
      <c r="W130" s="3">
        <v>2700</v>
      </c>
      <c r="X130" s="3" t="s">
        <v>57</v>
      </c>
      <c r="Y130" s="3" t="s">
        <v>58</v>
      </c>
      <c r="Z130" s="3">
        <v>9</v>
      </c>
      <c r="AA130" s="3" t="s">
        <v>800</v>
      </c>
      <c r="AB130" s="3">
        <v>10</v>
      </c>
      <c r="AC130" s="3" t="s">
        <v>774</v>
      </c>
      <c r="AD130" s="3" t="s">
        <v>775</v>
      </c>
      <c r="AE130" s="3" t="s">
        <v>776</v>
      </c>
      <c r="AF130" s="3">
        <v>0</v>
      </c>
      <c r="AG130" s="3" t="s">
        <v>59</v>
      </c>
      <c r="AH130" s="3" t="s">
        <v>59</v>
      </c>
      <c r="AI130" s="3" t="s">
        <v>59</v>
      </c>
      <c r="AJ130" s="3">
        <v>0</v>
      </c>
      <c r="AK130" s="3">
        <v>-1</v>
      </c>
      <c r="AL130" s="3">
        <v>-1</v>
      </c>
      <c r="AM130" s="3">
        <v>-1</v>
      </c>
      <c r="AN130" s="3">
        <v>-1</v>
      </c>
      <c r="AO130" s="3">
        <v>-1</v>
      </c>
      <c r="AP130" s="3">
        <v>-1</v>
      </c>
    </row>
    <row r="131" spans="1:42" x14ac:dyDescent="0.25">
      <c r="A131" s="3">
        <v>129</v>
      </c>
      <c r="B131" s="3" t="str">
        <f>VLOOKUP(E131,[1]recipe!$A$2:$D$500,3,FALSE)</f>
        <v>!!INGREDIENT_PEANUTS</v>
      </c>
      <c r="C131" t="s">
        <v>391</v>
      </c>
      <c r="D131" t="s">
        <v>51</v>
      </c>
      <c r="E131" s="2">
        <v>9115</v>
      </c>
      <c r="F131" s="2">
        <v>9115</v>
      </c>
      <c r="G131" s="2">
        <v>1102</v>
      </c>
      <c r="H131" s="3" t="str">
        <f>VLOOKUP(G131,[1]building!$A$2:$D$351,3,FALSE)</f>
        <v>!!BLDG_NAME_SEEDSTORE</v>
      </c>
      <c r="I131" s="2">
        <v>1</v>
      </c>
      <c r="J131" s="2">
        <v>1</v>
      </c>
      <c r="K131" s="3">
        <v>3</v>
      </c>
      <c r="L131" s="3">
        <v>-1</v>
      </c>
      <c r="M131" s="3">
        <v>-1</v>
      </c>
      <c r="N131" s="3">
        <v>-1</v>
      </c>
      <c r="O131" s="3">
        <v>-1</v>
      </c>
      <c r="P131" s="3">
        <v>-1</v>
      </c>
      <c r="Q131" s="3">
        <v>8</v>
      </c>
      <c r="R131" s="3">
        <v>-1</v>
      </c>
      <c r="S131" s="3">
        <v>-1</v>
      </c>
      <c r="T131" s="3">
        <v>-1</v>
      </c>
      <c r="U131" s="3">
        <v>-1</v>
      </c>
      <c r="V131" s="3">
        <v>-1</v>
      </c>
      <c r="W131">
        <v>120</v>
      </c>
      <c r="X131" t="s">
        <v>52</v>
      </c>
      <c r="Y131" t="s">
        <v>53</v>
      </c>
      <c r="Z131">
        <v>1</v>
      </c>
      <c r="AA131" t="s">
        <v>391</v>
      </c>
      <c r="AB131">
        <v>10</v>
      </c>
      <c r="AC131" s="3" t="s">
        <v>59</v>
      </c>
      <c r="AD131" s="3" t="s">
        <v>59</v>
      </c>
      <c r="AE131" s="3" t="s">
        <v>59</v>
      </c>
      <c r="AF131">
        <v>0</v>
      </c>
      <c r="AG131" s="3" t="s">
        <v>59</v>
      </c>
      <c r="AH131" s="3" t="s">
        <v>59</v>
      </c>
      <c r="AI131" s="3" t="s">
        <v>59</v>
      </c>
      <c r="AJ131">
        <v>0</v>
      </c>
      <c r="AK131" s="3">
        <v>-1</v>
      </c>
      <c r="AL131" s="3">
        <v>-1</v>
      </c>
      <c r="AM131" s="3">
        <v>-1</v>
      </c>
      <c r="AN131" s="3">
        <v>-1</v>
      </c>
      <c r="AO131" s="3">
        <v>-1</v>
      </c>
      <c r="AP131" s="3">
        <v>-1</v>
      </c>
    </row>
    <row r="132" spans="1:42" x14ac:dyDescent="0.25">
      <c r="A132" s="3">
        <v>130</v>
      </c>
      <c r="B132" s="3" t="str">
        <f>VLOOKUP(E132,[1]recipe!$A$2:$D$500,3,FALSE)</f>
        <v>!!INGREDIENT_CORN</v>
      </c>
      <c r="C132" t="s">
        <v>430</v>
      </c>
      <c r="D132" t="s">
        <v>773</v>
      </c>
      <c r="E132" s="2">
        <v>9200</v>
      </c>
      <c r="F132" s="2">
        <v>9200</v>
      </c>
      <c r="G132" s="2">
        <v>1102</v>
      </c>
      <c r="H132" s="3" t="str">
        <f>VLOOKUP(G132,[1]building!$A$2:$D$351,3,FALSE)</f>
        <v>!!BLDG_NAME_SEEDSTORE</v>
      </c>
      <c r="I132" s="2">
        <v>1</v>
      </c>
      <c r="J132" s="2">
        <v>2</v>
      </c>
      <c r="K132" s="3">
        <v>3</v>
      </c>
      <c r="L132" s="3">
        <v>-1</v>
      </c>
      <c r="M132" s="3">
        <v>-1</v>
      </c>
      <c r="N132" s="3">
        <v>-1</v>
      </c>
      <c r="O132" s="3">
        <v>-1</v>
      </c>
      <c r="P132" s="3">
        <v>-1</v>
      </c>
      <c r="Q132" s="3">
        <v>9</v>
      </c>
      <c r="R132" s="3">
        <v>-1</v>
      </c>
      <c r="S132" s="3">
        <v>-1</v>
      </c>
      <c r="T132" s="3">
        <v>-1</v>
      </c>
      <c r="U132" s="3">
        <v>-1</v>
      </c>
      <c r="V132" s="3">
        <v>-1</v>
      </c>
      <c r="W132">
        <v>300</v>
      </c>
      <c r="X132" t="s">
        <v>57</v>
      </c>
      <c r="Y132" t="s">
        <v>790</v>
      </c>
      <c r="Z132">
        <v>1</v>
      </c>
      <c r="AA132" t="s">
        <v>430</v>
      </c>
      <c r="AB132">
        <v>10</v>
      </c>
      <c r="AC132" s="3" t="s">
        <v>59</v>
      </c>
      <c r="AD132" s="3" t="s">
        <v>59</v>
      </c>
      <c r="AE132" s="3" t="s">
        <v>59</v>
      </c>
      <c r="AF132">
        <v>0</v>
      </c>
      <c r="AG132" s="3" t="s">
        <v>59</v>
      </c>
      <c r="AH132" s="3" t="s">
        <v>59</v>
      </c>
      <c r="AI132" s="3" t="s">
        <v>59</v>
      </c>
      <c r="AJ132">
        <v>0</v>
      </c>
      <c r="AK132" s="3">
        <v>-1</v>
      </c>
      <c r="AL132" s="3">
        <v>-1</v>
      </c>
      <c r="AM132" s="3">
        <v>-1</v>
      </c>
      <c r="AN132" s="3">
        <v>-1</v>
      </c>
      <c r="AO132" s="3">
        <v>-1</v>
      </c>
      <c r="AP132" s="3">
        <v>-1</v>
      </c>
    </row>
    <row r="133" spans="1:42" x14ac:dyDescent="0.25">
      <c r="A133" s="3">
        <v>131</v>
      </c>
      <c r="B133" s="3" t="str">
        <f>VLOOKUP(E133,[1]recipe!$A$2:$D$500,3,FALSE)</f>
        <v>!!FOOD_STRAWBERRY</v>
      </c>
      <c r="C133" s="3" t="s">
        <v>799</v>
      </c>
      <c r="D133" s="3" t="s">
        <v>773</v>
      </c>
      <c r="E133" s="3">
        <v>10008</v>
      </c>
      <c r="F133" s="3">
        <v>10008</v>
      </c>
      <c r="G133" s="3">
        <v>1102</v>
      </c>
      <c r="H133" s="3" t="str">
        <f>VLOOKUP(G133,[1]building!$A$2:$D$351,3,FALSE)</f>
        <v>!!BLDG_NAME_SEEDSTORE</v>
      </c>
      <c r="I133" s="3">
        <v>4</v>
      </c>
      <c r="J133" s="3">
        <v>2</v>
      </c>
      <c r="K133" s="3">
        <v>3</v>
      </c>
      <c r="L133" s="3">
        <v>-1</v>
      </c>
      <c r="M133" s="3">
        <v>-1</v>
      </c>
      <c r="N133" s="3">
        <v>-1</v>
      </c>
      <c r="O133" s="3">
        <v>-1</v>
      </c>
      <c r="P133" s="3">
        <v>-1</v>
      </c>
      <c r="Q133" s="3">
        <v>15</v>
      </c>
      <c r="R133" s="3">
        <v>-1</v>
      </c>
      <c r="S133" s="3">
        <v>-1</v>
      </c>
      <c r="T133" s="3">
        <v>-1</v>
      </c>
      <c r="U133" s="3">
        <v>-1</v>
      </c>
      <c r="V133" s="3">
        <v>-1</v>
      </c>
      <c r="W133" s="3">
        <v>1800</v>
      </c>
      <c r="X133" s="3" t="s">
        <v>57</v>
      </c>
      <c r="Y133" s="3" t="s">
        <v>790</v>
      </c>
      <c r="Z133" s="3">
        <v>9</v>
      </c>
      <c r="AA133" s="3" t="s">
        <v>799</v>
      </c>
      <c r="AB133" s="3">
        <v>10</v>
      </c>
      <c r="AC133" s="3" t="s">
        <v>59</v>
      </c>
      <c r="AD133" s="3" t="s">
        <v>59</v>
      </c>
      <c r="AE133" s="3" t="s">
        <v>59</v>
      </c>
      <c r="AF133" s="3">
        <v>0</v>
      </c>
      <c r="AG133" s="3" t="s">
        <v>59</v>
      </c>
      <c r="AH133" s="3" t="s">
        <v>59</v>
      </c>
      <c r="AI133" s="3" t="s">
        <v>59</v>
      </c>
      <c r="AJ133" s="3">
        <v>0</v>
      </c>
      <c r="AK133" s="3">
        <v>-1</v>
      </c>
      <c r="AL133" s="3">
        <v>-1</v>
      </c>
      <c r="AM133" s="3">
        <v>-1</v>
      </c>
      <c r="AN133" s="3">
        <v>-1</v>
      </c>
      <c r="AO133" s="3">
        <v>-1</v>
      </c>
      <c r="AP133" s="3">
        <v>-1</v>
      </c>
    </row>
    <row r="134" spans="1:42" x14ac:dyDescent="0.25">
      <c r="A134" s="3">
        <v>132</v>
      </c>
      <c r="B134" s="3" t="str">
        <f>VLOOKUP(E134,[1]recipe!$A$2:$D$500,3,FALSE)</f>
        <v>!!FOOD_BLUEBERRY</v>
      </c>
      <c r="C134" s="3" t="s">
        <v>792</v>
      </c>
      <c r="D134" s="3" t="s">
        <v>773</v>
      </c>
      <c r="E134" s="3">
        <v>10009</v>
      </c>
      <c r="F134" s="3">
        <v>10009</v>
      </c>
      <c r="G134" s="3">
        <v>1102</v>
      </c>
      <c r="H134" s="3" t="str">
        <f>VLOOKUP(G134,[1]building!$A$2:$D$351,3,FALSE)</f>
        <v>!!BLDG_NAME_SEEDSTORE</v>
      </c>
      <c r="I134" s="3">
        <v>5</v>
      </c>
      <c r="J134" s="3">
        <v>2</v>
      </c>
      <c r="K134" s="3">
        <v>3</v>
      </c>
      <c r="L134" s="3">
        <v>-1</v>
      </c>
      <c r="M134" s="3">
        <v>-1</v>
      </c>
      <c r="N134" s="3">
        <v>-1</v>
      </c>
      <c r="O134" s="3">
        <v>-1</v>
      </c>
      <c r="P134" s="3">
        <v>-1</v>
      </c>
      <c r="Q134" s="3">
        <v>20</v>
      </c>
      <c r="R134" s="3">
        <v>-1</v>
      </c>
      <c r="S134" s="3">
        <v>-1</v>
      </c>
      <c r="T134" s="3">
        <v>-1</v>
      </c>
      <c r="U134" s="3">
        <v>-1</v>
      </c>
      <c r="V134" s="3">
        <v>-1</v>
      </c>
      <c r="W134" s="3">
        <v>3600</v>
      </c>
      <c r="X134" s="3" t="s">
        <v>57</v>
      </c>
      <c r="Y134" s="3" t="s">
        <v>790</v>
      </c>
      <c r="Z134" s="3">
        <v>18</v>
      </c>
      <c r="AA134" s="3" t="s">
        <v>792</v>
      </c>
      <c r="AB134" s="3">
        <v>10</v>
      </c>
      <c r="AC134" s="3" t="s">
        <v>59</v>
      </c>
      <c r="AD134" s="3" t="s">
        <v>59</v>
      </c>
      <c r="AE134" s="3" t="s">
        <v>59</v>
      </c>
      <c r="AF134" s="3">
        <v>0</v>
      </c>
      <c r="AG134" s="3" t="s">
        <v>59</v>
      </c>
      <c r="AH134" s="3" t="s">
        <v>59</v>
      </c>
      <c r="AI134" s="3" t="s">
        <v>59</v>
      </c>
      <c r="AJ134" s="3">
        <v>0</v>
      </c>
      <c r="AK134" s="3">
        <v>-1</v>
      </c>
      <c r="AL134" s="3">
        <v>-1</v>
      </c>
      <c r="AM134" s="3">
        <v>-1</v>
      </c>
      <c r="AN134" s="3">
        <v>-1</v>
      </c>
      <c r="AO134" s="3">
        <v>-1</v>
      </c>
      <c r="AP134" s="3">
        <v>-1</v>
      </c>
    </row>
    <row r="135" spans="1:42" x14ac:dyDescent="0.25">
      <c r="A135" s="3">
        <v>133</v>
      </c>
      <c r="B135" s="3" t="str">
        <f>VLOOKUP(E135,[1]recipe!$A$2:$D$500,3,FALSE)</f>
        <v>!!FOOD_RUSTYS_BARKING_BRISKET</v>
      </c>
      <c r="C135" s="3" t="s">
        <v>803</v>
      </c>
      <c r="D135" s="3" t="s">
        <v>51</v>
      </c>
      <c r="E135" s="3">
        <v>9001</v>
      </c>
      <c r="F135" s="3">
        <v>9001</v>
      </c>
      <c r="G135" s="3">
        <v>9035</v>
      </c>
      <c r="H135" s="3" t="str">
        <f>VLOOKUP(G135,[1]building!$A$2:$D$351,3,FALSE)</f>
        <v>!!BLDG_NAME_RUSTYS_RIB_EYE</v>
      </c>
      <c r="I135" s="3">
        <v>1</v>
      </c>
      <c r="J135" s="3">
        <v>1</v>
      </c>
      <c r="K135" s="3">
        <v>9007</v>
      </c>
      <c r="L135" s="3">
        <v>9011</v>
      </c>
      <c r="M135" s="3">
        <v>9004</v>
      </c>
      <c r="N135" s="3">
        <v>-1</v>
      </c>
      <c r="O135" s="3">
        <v>-1</v>
      </c>
      <c r="P135" s="3">
        <v>-1</v>
      </c>
      <c r="Q135" s="3">
        <v>1</v>
      </c>
      <c r="R135" s="3">
        <v>1</v>
      </c>
      <c r="S135" s="3">
        <v>3</v>
      </c>
      <c r="T135" s="3">
        <v>-1</v>
      </c>
      <c r="U135" s="3">
        <v>-1</v>
      </c>
      <c r="V135" s="3">
        <v>-1</v>
      </c>
      <c r="W135" s="3">
        <v>30</v>
      </c>
      <c r="X135" s="3" t="s">
        <v>52</v>
      </c>
      <c r="Y135" s="3" t="s">
        <v>53</v>
      </c>
      <c r="Z135" s="3">
        <v>1</v>
      </c>
      <c r="AA135" s="3" t="s">
        <v>803</v>
      </c>
      <c r="AB135" s="3">
        <v>10</v>
      </c>
      <c r="AC135" s="3" t="s">
        <v>59</v>
      </c>
      <c r="AD135" s="3" t="s">
        <v>59</v>
      </c>
      <c r="AE135" s="3" t="s">
        <v>59</v>
      </c>
      <c r="AF135" s="3">
        <v>0</v>
      </c>
      <c r="AG135" s="3" t="s">
        <v>59</v>
      </c>
      <c r="AH135" s="3" t="s">
        <v>59</v>
      </c>
      <c r="AI135" s="3" t="s">
        <v>59</v>
      </c>
      <c r="AJ135" s="3">
        <v>0</v>
      </c>
      <c r="AK135" s="3">
        <v>-1</v>
      </c>
      <c r="AL135" s="3">
        <v>-1</v>
      </c>
      <c r="AM135" s="3">
        <v>-1</v>
      </c>
      <c r="AN135" s="3">
        <v>-1</v>
      </c>
      <c r="AO135" s="3">
        <v>-1</v>
      </c>
      <c r="AP135" s="3">
        <v>-1</v>
      </c>
    </row>
    <row r="136" spans="1:42" x14ac:dyDescent="0.25">
      <c r="A136" s="3">
        <v>134</v>
      </c>
      <c r="B136" s="3" t="e">
        <f>VLOOKUP(E136,[1]recipe!$A$2:$D$500,3,FALSE)</f>
        <v>#N/A</v>
      </c>
      <c r="C136" s="3" t="s">
        <v>805</v>
      </c>
      <c r="D136" s="3" t="s">
        <v>51</v>
      </c>
      <c r="E136" s="3">
        <v>9013</v>
      </c>
      <c r="F136" s="3">
        <v>9013</v>
      </c>
      <c r="G136" s="3">
        <v>9035</v>
      </c>
      <c r="H136" s="3" t="str">
        <f>VLOOKUP(G136,[1]building!$A$2:$D$351,3,FALSE)</f>
        <v>!!BLDG_NAME_RUSTYS_RIB_EYE</v>
      </c>
      <c r="I136" s="3">
        <v>1</v>
      </c>
      <c r="J136" s="3">
        <v>1</v>
      </c>
      <c r="K136" s="3">
        <v>90</v>
      </c>
      <c r="L136" s="3">
        <v>9004</v>
      </c>
      <c r="M136" s="3">
        <v>-1</v>
      </c>
      <c r="N136" s="3">
        <v>-1</v>
      </c>
      <c r="O136" s="3">
        <v>-1</v>
      </c>
      <c r="P136" s="3">
        <v>-1</v>
      </c>
      <c r="Q136" s="3">
        <v>1</v>
      </c>
      <c r="R136" s="3">
        <v>2</v>
      </c>
      <c r="S136" s="3">
        <v>-1</v>
      </c>
      <c r="T136" s="3">
        <v>-1</v>
      </c>
      <c r="U136" s="3">
        <v>-1</v>
      </c>
      <c r="V136" s="3">
        <v>-1</v>
      </c>
      <c r="W136" s="3">
        <v>30</v>
      </c>
      <c r="X136" s="3" t="s">
        <v>52</v>
      </c>
      <c r="Y136" s="3" t="s">
        <v>53</v>
      </c>
      <c r="Z136" s="3">
        <v>1</v>
      </c>
      <c r="AA136" s="3" t="s">
        <v>805</v>
      </c>
      <c r="AB136" s="3">
        <v>10</v>
      </c>
      <c r="AC136" s="3" t="s">
        <v>59</v>
      </c>
      <c r="AD136" s="3" t="s">
        <v>59</v>
      </c>
      <c r="AE136" s="3" t="s">
        <v>59</v>
      </c>
      <c r="AF136" s="3">
        <v>0</v>
      </c>
      <c r="AG136" s="3" t="s">
        <v>59</v>
      </c>
      <c r="AH136" s="3" t="s">
        <v>59</v>
      </c>
      <c r="AI136" s="3" t="s">
        <v>59</v>
      </c>
      <c r="AJ136" s="3">
        <v>0</v>
      </c>
      <c r="AK136" s="3">
        <v>-1</v>
      </c>
      <c r="AL136" s="3">
        <v>-1</v>
      </c>
      <c r="AM136" s="3">
        <v>-1</v>
      </c>
      <c r="AN136" s="3">
        <v>-1</v>
      </c>
      <c r="AO136" s="3">
        <v>-1</v>
      </c>
      <c r="AP136" s="3">
        <v>-1</v>
      </c>
    </row>
    <row r="137" spans="1:42" x14ac:dyDescent="0.25">
      <c r="A137" s="3">
        <v>135</v>
      </c>
      <c r="B137" s="3" t="str">
        <f>VLOOKUP(E137,[1]recipe!$A$2:$D$500,3,FALSE)</f>
        <v>!!FOOD_RUSTYS_MESQUITE_RIBS</v>
      </c>
      <c r="C137" s="3" t="s">
        <v>806</v>
      </c>
      <c r="D137" s="3" t="s">
        <v>51</v>
      </c>
      <c r="E137" s="3">
        <v>9014</v>
      </c>
      <c r="F137" s="3">
        <v>9014</v>
      </c>
      <c r="G137" s="3">
        <v>9035</v>
      </c>
      <c r="H137" s="3" t="str">
        <f>VLOOKUP(G137,[1]building!$A$2:$D$351,3,FALSE)</f>
        <v>!!BLDG_NAME_RUSTYS_RIB_EYE</v>
      </c>
      <c r="I137" s="3">
        <v>1</v>
      </c>
      <c r="J137" s="3">
        <v>1</v>
      </c>
      <c r="K137" s="3">
        <v>9007</v>
      </c>
      <c r="L137" s="3">
        <v>9011</v>
      </c>
      <c r="M137" s="3">
        <v>9002</v>
      </c>
      <c r="N137" s="3">
        <v>9004</v>
      </c>
      <c r="O137" s="3">
        <v>-1</v>
      </c>
      <c r="P137" s="3">
        <v>-1</v>
      </c>
      <c r="Q137" s="3">
        <v>1</v>
      </c>
      <c r="R137" s="3">
        <v>1</v>
      </c>
      <c r="S137" s="3">
        <v>1</v>
      </c>
      <c r="T137" s="3">
        <v>3</v>
      </c>
      <c r="U137" s="3">
        <v>-1</v>
      </c>
      <c r="V137" s="3">
        <v>-1</v>
      </c>
      <c r="W137" s="3">
        <v>30</v>
      </c>
      <c r="X137" s="3" t="s">
        <v>52</v>
      </c>
      <c r="Y137" s="3" t="s">
        <v>53</v>
      </c>
      <c r="Z137" s="3">
        <v>1</v>
      </c>
      <c r="AA137" s="3" t="s">
        <v>806</v>
      </c>
      <c r="AB137" s="3">
        <v>10</v>
      </c>
      <c r="AC137" s="3" t="s">
        <v>59</v>
      </c>
      <c r="AD137" s="3" t="s">
        <v>59</v>
      </c>
      <c r="AE137" s="3" t="s">
        <v>59</v>
      </c>
      <c r="AF137" s="3">
        <v>0</v>
      </c>
      <c r="AG137" s="3" t="s">
        <v>59</v>
      </c>
      <c r="AH137" s="3" t="s">
        <v>59</v>
      </c>
      <c r="AI137" s="3" t="s">
        <v>59</v>
      </c>
      <c r="AJ137" s="3">
        <v>0</v>
      </c>
      <c r="AK137" s="3">
        <v>-1</v>
      </c>
      <c r="AL137" s="3">
        <v>-1</v>
      </c>
      <c r="AM137" s="3">
        <v>-1</v>
      </c>
      <c r="AN137" s="3">
        <v>-1</v>
      </c>
      <c r="AO137" s="3">
        <v>-1</v>
      </c>
      <c r="AP137" s="3">
        <v>-1</v>
      </c>
    </row>
    <row r="138" spans="1:42" x14ac:dyDescent="0.25">
      <c r="A138" s="3">
        <v>136</v>
      </c>
      <c r="B138" s="3" t="str">
        <f>VLOOKUP(E138,[1]recipe!$A$2:$D$500,3,FALSE)</f>
        <v>!!FOOD_RUSTYS_PULLED_PULP_SANDWICH</v>
      </c>
      <c r="C138" s="3" t="s">
        <v>807</v>
      </c>
      <c r="D138" s="3" t="s">
        <v>51</v>
      </c>
      <c r="E138" s="3">
        <v>9015</v>
      </c>
      <c r="F138" s="3">
        <v>9015</v>
      </c>
      <c r="G138" s="3">
        <v>9035</v>
      </c>
      <c r="H138" s="3" t="str">
        <f>VLOOKUP(G138,[1]building!$A$2:$D$351,3,FALSE)</f>
        <v>!!BLDG_NAME_RUSTYS_RIB_EYE</v>
      </c>
      <c r="I138" s="3">
        <v>1</v>
      </c>
      <c r="J138" s="3">
        <v>1</v>
      </c>
      <c r="K138" s="3">
        <v>9002</v>
      </c>
      <c r="L138" s="3">
        <v>9004</v>
      </c>
      <c r="M138" s="3">
        <v>-1</v>
      </c>
      <c r="N138" s="3">
        <v>-1</v>
      </c>
      <c r="O138" s="3">
        <v>-1</v>
      </c>
      <c r="P138" s="3">
        <v>-1</v>
      </c>
      <c r="Q138" s="3">
        <v>1</v>
      </c>
      <c r="R138" s="3">
        <v>4</v>
      </c>
      <c r="S138" s="3">
        <v>-1</v>
      </c>
      <c r="T138" s="3">
        <v>-1</v>
      </c>
      <c r="U138" s="3">
        <v>-1</v>
      </c>
      <c r="V138" s="3">
        <v>-1</v>
      </c>
      <c r="W138" s="3">
        <v>30</v>
      </c>
      <c r="X138" s="3" t="s">
        <v>52</v>
      </c>
      <c r="Y138" s="3" t="s">
        <v>53</v>
      </c>
      <c r="Z138" s="3">
        <v>1</v>
      </c>
      <c r="AA138" s="3" t="s">
        <v>807</v>
      </c>
      <c r="AB138" s="3">
        <v>10</v>
      </c>
      <c r="AC138" s="3" t="s">
        <v>59</v>
      </c>
      <c r="AD138" s="3" t="s">
        <v>59</v>
      </c>
      <c r="AE138" s="3" t="s">
        <v>59</v>
      </c>
      <c r="AF138" s="3">
        <v>0</v>
      </c>
      <c r="AG138" s="3" t="s">
        <v>59</v>
      </c>
      <c r="AH138" s="3" t="s">
        <v>59</v>
      </c>
      <c r="AI138" s="3" t="s">
        <v>59</v>
      </c>
      <c r="AJ138" s="3">
        <v>0</v>
      </c>
      <c r="AK138" s="3">
        <v>-1</v>
      </c>
      <c r="AL138" s="3">
        <v>-1</v>
      </c>
      <c r="AM138" s="3">
        <v>-1</v>
      </c>
      <c r="AN138" s="3">
        <v>-1</v>
      </c>
      <c r="AO138" s="3">
        <v>-1</v>
      </c>
      <c r="AP138" s="3">
        <v>-1</v>
      </c>
    </row>
    <row r="139" spans="1:42" x14ac:dyDescent="0.25">
      <c r="A139" s="3">
        <v>137</v>
      </c>
      <c r="B139" s="3" t="str">
        <f>VLOOKUP(E139,[1]recipe!$A$2:$D$500,3,FALSE)</f>
        <v>!!FOOD_RUSTYS_RUSTY_ON_RYE</v>
      </c>
      <c r="C139" s="3" t="s">
        <v>809</v>
      </c>
      <c r="D139" s="3" t="s">
        <v>51</v>
      </c>
      <c r="E139" s="3">
        <v>9016</v>
      </c>
      <c r="F139" s="3">
        <v>9016</v>
      </c>
      <c r="G139" s="3">
        <v>9035</v>
      </c>
      <c r="H139" s="3" t="str">
        <f>VLOOKUP(G139,[1]building!$A$2:$D$351,3,FALSE)</f>
        <v>!!BLDG_NAME_RUSTYS_RIB_EYE</v>
      </c>
      <c r="I139" s="3">
        <v>1</v>
      </c>
      <c r="J139" s="3">
        <v>1</v>
      </c>
      <c r="K139" s="3">
        <v>9009</v>
      </c>
      <c r="L139" s="3">
        <v>9010</v>
      </c>
      <c r="M139" s="3">
        <v>9004</v>
      </c>
      <c r="N139" s="3">
        <v>-1</v>
      </c>
      <c r="O139" s="3">
        <v>-1</v>
      </c>
      <c r="P139" s="3">
        <v>-1</v>
      </c>
      <c r="Q139" s="3">
        <v>1</v>
      </c>
      <c r="R139" s="3">
        <v>1</v>
      </c>
      <c r="S139" s="3">
        <v>3</v>
      </c>
      <c r="T139" s="3">
        <v>-1</v>
      </c>
      <c r="U139" s="3">
        <v>-1</v>
      </c>
      <c r="V139" s="3">
        <v>-1</v>
      </c>
      <c r="W139" s="3">
        <v>30</v>
      </c>
      <c r="X139" s="3" t="s">
        <v>52</v>
      </c>
      <c r="Y139" s="3" t="s">
        <v>53</v>
      </c>
      <c r="Z139" s="3">
        <v>1</v>
      </c>
      <c r="AA139" s="3" t="s">
        <v>809</v>
      </c>
      <c r="AB139" s="3">
        <v>10</v>
      </c>
      <c r="AC139" s="3" t="s">
        <v>59</v>
      </c>
      <c r="AD139" s="3" t="s">
        <v>59</v>
      </c>
      <c r="AE139" s="3" t="s">
        <v>59</v>
      </c>
      <c r="AF139" s="3">
        <v>0</v>
      </c>
      <c r="AG139" s="3" t="s">
        <v>59</v>
      </c>
      <c r="AH139" s="3" t="s">
        <v>59</v>
      </c>
      <c r="AI139" s="3" t="s">
        <v>59</v>
      </c>
      <c r="AJ139" s="3">
        <v>0</v>
      </c>
      <c r="AK139" s="3">
        <v>-1</v>
      </c>
      <c r="AL139" s="3">
        <v>-1</v>
      </c>
      <c r="AM139" s="3">
        <v>-1</v>
      </c>
      <c r="AN139" s="3">
        <v>-1</v>
      </c>
      <c r="AO139" s="3">
        <v>-1</v>
      </c>
      <c r="AP139" s="3">
        <v>-1</v>
      </c>
    </row>
    <row r="140" spans="1:42" x14ac:dyDescent="0.25">
      <c r="A140" s="3">
        <v>138</v>
      </c>
      <c r="B140" s="3" t="str">
        <f>VLOOKUP(E140,[1]recipe!$A$2:$D$500,3,FALSE)</f>
        <v>!!FOOD_RUSTYS_SPICY_SPACKLE_SAUCE</v>
      </c>
      <c r="C140" s="3" t="s">
        <v>810</v>
      </c>
      <c r="D140" s="3" t="s">
        <v>51</v>
      </c>
      <c r="E140" s="3">
        <v>9017</v>
      </c>
      <c r="F140" s="3">
        <v>9017</v>
      </c>
      <c r="G140" s="3">
        <v>9035</v>
      </c>
      <c r="H140" s="3" t="str">
        <f>VLOOKUP(G140,[1]building!$A$2:$D$351,3,FALSE)</f>
        <v>!!BLDG_NAME_RUSTYS_RIB_EYE</v>
      </c>
      <c r="I140" s="3">
        <v>1</v>
      </c>
      <c r="J140" s="3">
        <v>1</v>
      </c>
      <c r="K140" s="3">
        <v>9002</v>
      </c>
      <c r="L140" s="3">
        <v>9010</v>
      </c>
      <c r="M140" s="3">
        <v>-1</v>
      </c>
      <c r="N140" s="3">
        <v>-1</v>
      </c>
      <c r="O140" s="3">
        <v>-1</v>
      </c>
      <c r="P140" s="3">
        <v>-1</v>
      </c>
      <c r="Q140" s="3">
        <v>1</v>
      </c>
      <c r="R140" s="3">
        <v>1</v>
      </c>
      <c r="S140" s="3">
        <v>-1</v>
      </c>
      <c r="T140" s="3">
        <v>-1</v>
      </c>
      <c r="U140" s="3">
        <v>-1</v>
      </c>
      <c r="V140" s="3">
        <v>-1</v>
      </c>
      <c r="W140" s="3">
        <v>30</v>
      </c>
      <c r="X140" s="3" t="s">
        <v>52</v>
      </c>
      <c r="Y140" s="3" t="s">
        <v>53</v>
      </c>
      <c r="Z140" s="3">
        <v>1</v>
      </c>
      <c r="AA140" s="3" t="s">
        <v>810</v>
      </c>
      <c r="AB140" s="3">
        <v>10</v>
      </c>
      <c r="AC140" s="3" t="s">
        <v>59</v>
      </c>
      <c r="AD140" s="3" t="s">
        <v>59</v>
      </c>
      <c r="AE140" s="3" t="s">
        <v>59</v>
      </c>
      <c r="AF140" s="3">
        <v>0</v>
      </c>
      <c r="AG140" s="3" t="s">
        <v>59</v>
      </c>
      <c r="AH140" s="3" t="s">
        <v>59</v>
      </c>
      <c r="AI140" s="3" t="s">
        <v>59</v>
      </c>
      <c r="AJ140" s="3">
        <v>0</v>
      </c>
      <c r="AK140" s="3">
        <v>-1</v>
      </c>
      <c r="AL140" s="3">
        <v>-1</v>
      </c>
      <c r="AM140" s="3">
        <v>-1</v>
      </c>
      <c r="AN140" s="3">
        <v>-1</v>
      </c>
      <c r="AO140" s="3">
        <v>-1</v>
      </c>
      <c r="AP140" s="3">
        <v>-1</v>
      </c>
    </row>
    <row r="141" spans="1:42" x14ac:dyDescent="0.25">
      <c r="A141" s="3">
        <v>139</v>
      </c>
      <c r="B141" s="3" t="str">
        <f>VLOOKUP(E141,[1]recipe!$A$2:$D$500,3,FALSE)</f>
        <v>!!FOOD_RUSTYS_SPLINTERED_SLAW</v>
      </c>
      <c r="C141" s="3" t="s">
        <v>811</v>
      </c>
      <c r="D141" s="3" t="s">
        <v>51</v>
      </c>
      <c r="E141" s="3">
        <v>9018</v>
      </c>
      <c r="F141" s="3">
        <v>9018</v>
      </c>
      <c r="G141" s="3">
        <v>9035</v>
      </c>
      <c r="H141" s="3" t="str">
        <f>VLOOKUP(G141,[1]building!$A$2:$D$351,3,FALSE)</f>
        <v>!!BLDG_NAME_RUSTYS_RIB_EYE</v>
      </c>
      <c r="I141" s="3">
        <v>1</v>
      </c>
      <c r="J141" s="3">
        <v>1</v>
      </c>
      <c r="K141" s="3">
        <v>9017</v>
      </c>
      <c r="L141" s="3">
        <v>9004</v>
      </c>
      <c r="M141" s="3">
        <v>-1</v>
      </c>
      <c r="N141" s="3">
        <v>-1</v>
      </c>
      <c r="O141" s="3">
        <v>-1</v>
      </c>
      <c r="P141" s="3">
        <v>-1</v>
      </c>
      <c r="Q141" s="3">
        <v>1</v>
      </c>
      <c r="R141" s="3">
        <v>3</v>
      </c>
      <c r="S141" s="3">
        <v>-1</v>
      </c>
      <c r="T141" s="3">
        <v>-1</v>
      </c>
      <c r="U141" s="3">
        <v>-1</v>
      </c>
      <c r="V141" s="3">
        <v>-1</v>
      </c>
      <c r="W141" s="3">
        <v>30</v>
      </c>
      <c r="X141" s="3" t="s">
        <v>52</v>
      </c>
      <c r="Y141" s="3" t="s">
        <v>53</v>
      </c>
      <c r="Z141" s="3">
        <v>1</v>
      </c>
      <c r="AA141" s="3" t="s">
        <v>811</v>
      </c>
      <c r="AB141" s="3">
        <v>10</v>
      </c>
      <c r="AC141" s="3" t="s">
        <v>59</v>
      </c>
      <c r="AD141" s="3" t="s">
        <v>59</v>
      </c>
      <c r="AE141" s="3" t="s">
        <v>59</v>
      </c>
      <c r="AF141" s="3">
        <v>0</v>
      </c>
      <c r="AG141" s="3" t="s">
        <v>59</v>
      </c>
      <c r="AH141" s="3" t="s">
        <v>59</v>
      </c>
      <c r="AI141" s="3" t="s">
        <v>59</v>
      </c>
      <c r="AJ141" s="3">
        <v>0</v>
      </c>
      <c r="AK141" s="3">
        <v>-1</v>
      </c>
      <c r="AL141" s="3">
        <v>-1</v>
      </c>
      <c r="AM141" s="3">
        <v>-1</v>
      </c>
      <c r="AN141" s="3">
        <v>-1</v>
      </c>
      <c r="AO141" s="3">
        <v>-1</v>
      </c>
      <c r="AP141" s="3">
        <v>-1</v>
      </c>
    </row>
    <row r="142" spans="1:42" x14ac:dyDescent="0.25">
      <c r="A142" s="3">
        <v>140</v>
      </c>
      <c r="B142" s="3" t="str">
        <f>VLOOKUP(E142,[1]recipe!$A$2:$D$500,3,FALSE)</f>
        <v>!!FOOD_RUSTYS_RIBEYE_SANDWICH</v>
      </c>
      <c r="C142" s="3" t="s">
        <v>808</v>
      </c>
      <c r="D142" s="3" t="s">
        <v>51</v>
      </c>
      <c r="E142" s="3">
        <v>9019</v>
      </c>
      <c r="F142" s="3">
        <v>9019</v>
      </c>
      <c r="G142" s="3">
        <v>9035</v>
      </c>
      <c r="H142" s="3" t="str">
        <f>VLOOKUP(G142,[1]building!$A$2:$D$351,3,FALSE)</f>
        <v>!!BLDG_NAME_RUSTYS_RIB_EYE</v>
      </c>
      <c r="I142" s="3">
        <v>1</v>
      </c>
      <c r="J142" s="3">
        <v>1</v>
      </c>
      <c r="K142" s="3">
        <v>8</v>
      </c>
      <c r="L142" s="3">
        <v>9014</v>
      </c>
      <c r="M142" s="3">
        <v>9004</v>
      </c>
      <c r="N142" s="3">
        <v>-1</v>
      </c>
      <c r="O142" s="3">
        <v>-1</v>
      </c>
      <c r="P142" s="3">
        <v>-1</v>
      </c>
      <c r="Q142" s="3">
        <v>1</v>
      </c>
      <c r="R142" s="3">
        <v>1</v>
      </c>
      <c r="S142" s="3">
        <v>2</v>
      </c>
      <c r="T142" s="3">
        <v>-1</v>
      </c>
      <c r="U142" s="3">
        <v>-1</v>
      </c>
      <c r="V142" s="3">
        <v>-1</v>
      </c>
      <c r="W142" s="3">
        <v>30</v>
      </c>
      <c r="X142" s="3" t="s">
        <v>52</v>
      </c>
      <c r="Y142" s="3" t="s">
        <v>53</v>
      </c>
      <c r="Z142" s="3">
        <v>1</v>
      </c>
      <c r="AA142" s="3" t="s">
        <v>808</v>
      </c>
      <c r="AB142" s="3">
        <v>10</v>
      </c>
      <c r="AC142" s="3" t="s">
        <v>59</v>
      </c>
      <c r="AD142" s="3" t="s">
        <v>59</v>
      </c>
      <c r="AE142" s="3" t="s">
        <v>59</v>
      </c>
      <c r="AF142" s="3">
        <v>0</v>
      </c>
      <c r="AG142" s="3" t="s">
        <v>59</v>
      </c>
      <c r="AH142" s="3" t="s">
        <v>59</v>
      </c>
      <c r="AI142" s="3" t="s">
        <v>59</v>
      </c>
      <c r="AJ142" s="3">
        <v>0</v>
      </c>
      <c r="AK142" s="3">
        <v>-1</v>
      </c>
      <c r="AL142" s="3">
        <v>-1</v>
      </c>
      <c r="AM142" s="3">
        <v>-1</v>
      </c>
      <c r="AN142" s="3">
        <v>-1</v>
      </c>
      <c r="AO142" s="3">
        <v>-1</v>
      </c>
      <c r="AP142" s="3">
        <v>-1</v>
      </c>
    </row>
    <row r="143" spans="1:42" x14ac:dyDescent="0.25">
      <c r="A143" s="3">
        <v>141</v>
      </c>
      <c r="B143" s="3" t="str">
        <f>VLOOKUP(E143,[1]recipe!$A$2:$D$500,3,FALSE)</f>
        <v>!!FOOD_HOLIDAY_CHEER</v>
      </c>
      <c r="C143" t="s">
        <v>346</v>
      </c>
      <c r="D143" t="s">
        <v>51</v>
      </c>
      <c r="E143" s="2">
        <v>9100</v>
      </c>
      <c r="F143" s="2">
        <v>9100</v>
      </c>
      <c r="G143" s="2">
        <v>9042</v>
      </c>
      <c r="H143" s="3" t="str">
        <f>VLOOKUP(G143,[1]building!$A$2:$D$351,3,FALSE)</f>
        <v>!!BLDG_NAME_ELF_APARTMENTS</v>
      </c>
      <c r="I143" s="2">
        <v>1</v>
      </c>
      <c r="J143" s="2">
        <v>1</v>
      </c>
      <c r="K143" s="3">
        <v>3</v>
      </c>
      <c r="L143" s="3">
        <v>-1</v>
      </c>
      <c r="M143" s="3">
        <v>-1</v>
      </c>
      <c r="N143" s="3">
        <v>-1</v>
      </c>
      <c r="O143" s="3">
        <v>-1</v>
      </c>
      <c r="P143" s="3">
        <v>-1</v>
      </c>
      <c r="Q143" s="3">
        <v>1</v>
      </c>
      <c r="R143" s="3">
        <v>-1</v>
      </c>
      <c r="S143" s="3">
        <v>-1</v>
      </c>
      <c r="T143" s="3">
        <v>-1</v>
      </c>
      <c r="U143" s="3">
        <v>-1</v>
      </c>
      <c r="V143" s="3">
        <v>-1</v>
      </c>
      <c r="W143" s="2">
        <v>30</v>
      </c>
      <c r="X143" t="s">
        <v>52</v>
      </c>
      <c r="Y143" t="s">
        <v>53</v>
      </c>
      <c r="Z143" s="2">
        <v>1</v>
      </c>
      <c r="AA143" t="s">
        <v>981</v>
      </c>
      <c r="AB143" s="2">
        <v>10</v>
      </c>
      <c r="AC143" s="3" t="s">
        <v>59</v>
      </c>
      <c r="AD143" s="3" t="s">
        <v>59</v>
      </c>
      <c r="AE143" s="3" t="s">
        <v>59</v>
      </c>
      <c r="AF143" s="3">
        <v>0</v>
      </c>
      <c r="AG143" s="3" t="s">
        <v>59</v>
      </c>
      <c r="AH143" s="3" t="s">
        <v>59</v>
      </c>
      <c r="AI143" s="3" t="s">
        <v>59</v>
      </c>
      <c r="AJ143">
        <v>1</v>
      </c>
      <c r="AK143" s="3">
        <v>-1</v>
      </c>
      <c r="AL143" s="3">
        <v>-1</v>
      </c>
      <c r="AM143" s="3">
        <v>-1</v>
      </c>
      <c r="AN143" s="3">
        <v>-1</v>
      </c>
      <c r="AO143" s="3">
        <v>-1</v>
      </c>
      <c r="AP143" s="3">
        <v>-1</v>
      </c>
    </row>
    <row r="144" spans="1:42" x14ac:dyDescent="0.25">
      <c r="A144" s="3">
        <v>142</v>
      </c>
      <c r="B144" s="3" t="str">
        <f>VLOOKUP(E144,[1]recipe!$A$2:$D$500,3,FALSE)</f>
        <v>!!INGREDIENT_SUGAR</v>
      </c>
      <c r="C144" t="s">
        <v>367</v>
      </c>
      <c r="D144" t="s">
        <v>51</v>
      </c>
      <c r="E144" s="2">
        <v>9107</v>
      </c>
      <c r="F144" s="2">
        <v>9107</v>
      </c>
      <c r="G144" s="2">
        <v>9045</v>
      </c>
      <c r="H144" s="3" t="str">
        <f>VLOOKUP(G144,[1]building!$A$2:$D$351,3,FALSE)</f>
        <v>!!BLDG_NAME_SPICE_SHACK</v>
      </c>
      <c r="I144" s="2">
        <v>1</v>
      </c>
      <c r="J144" s="2">
        <v>1</v>
      </c>
      <c r="K144" s="3">
        <v>3</v>
      </c>
      <c r="L144" s="3">
        <v>-1</v>
      </c>
      <c r="M144" s="3">
        <v>-1</v>
      </c>
      <c r="N144" s="3">
        <v>-1</v>
      </c>
      <c r="O144" s="3">
        <v>-1</v>
      </c>
      <c r="P144" s="3">
        <v>-1</v>
      </c>
      <c r="Q144" s="3">
        <v>2</v>
      </c>
      <c r="R144" s="3">
        <v>-1</v>
      </c>
      <c r="S144" s="3">
        <v>-1</v>
      </c>
      <c r="T144" s="3">
        <v>-1</v>
      </c>
      <c r="U144" s="3">
        <v>-1</v>
      </c>
      <c r="V144" s="3">
        <v>-1</v>
      </c>
      <c r="W144" s="2">
        <v>30</v>
      </c>
      <c r="X144" t="s">
        <v>52</v>
      </c>
      <c r="Y144" t="s">
        <v>53</v>
      </c>
      <c r="Z144" s="2">
        <v>1</v>
      </c>
      <c r="AA144" t="s">
        <v>367</v>
      </c>
      <c r="AB144" s="2">
        <v>10</v>
      </c>
      <c r="AC144" s="3" t="s">
        <v>59</v>
      </c>
      <c r="AD144" s="3" t="s">
        <v>59</v>
      </c>
      <c r="AE144" s="3" t="s">
        <v>59</v>
      </c>
      <c r="AF144">
        <v>0</v>
      </c>
      <c r="AG144" s="3" t="s">
        <v>59</v>
      </c>
      <c r="AH144" s="3" t="s">
        <v>59</v>
      </c>
      <c r="AI144" s="3" t="s">
        <v>59</v>
      </c>
      <c r="AJ144">
        <v>0</v>
      </c>
      <c r="AK144" s="3">
        <v>-1</v>
      </c>
      <c r="AL144" s="3">
        <v>-1</v>
      </c>
      <c r="AM144" s="3">
        <v>-1</v>
      </c>
      <c r="AN144" s="3">
        <v>-1</v>
      </c>
      <c r="AO144" s="3">
        <v>-1</v>
      </c>
      <c r="AP144" s="3">
        <v>-1</v>
      </c>
    </row>
    <row r="145" spans="1:42" x14ac:dyDescent="0.25">
      <c r="A145" s="3">
        <v>143</v>
      </c>
      <c r="B145" s="3" t="str">
        <f>VLOOKUP(E145,[1]recipe!$A$2:$D$500,3,FALSE)</f>
        <v>!!INGREDIENT_CINNAMON</v>
      </c>
      <c r="C145" t="s">
        <v>370</v>
      </c>
      <c r="D145" t="s">
        <v>51</v>
      </c>
      <c r="E145" s="2">
        <v>9108</v>
      </c>
      <c r="F145" s="2">
        <v>9108</v>
      </c>
      <c r="G145" s="2">
        <v>9045</v>
      </c>
      <c r="H145" s="3" t="str">
        <f>VLOOKUP(G145,[1]building!$A$2:$D$351,3,FALSE)</f>
        <v>!!BLDG_NAME_SPICE_SHACK</v>
      </c>
      <c r="I145" s="2">
        <v>1</v>
      </c>
      <c r="J145" s="2">
        <v>1</v>
      </c>
      <c r="K145" s="3">
        <v>3</v>
      </c>
      <c r="L145" s="3">
        <v>-1</v>
      </c>
      <c r="M145" s="3">
        <v>-1</v>
      </c>
      <c r="N145" s="3">
        <v>-1</v>
      </c>
      <c r="O145" s="3">
        <v>-1</v>
      </c>
      <c r="P145" s="3">
        <v>-1</v>
      </c>
      <c r="Q145" s="3">
        <v>2</v>
      </c>
      <c r="R145" s="3">
        <v>-1</v>
      </c>
      <c r="S145" s="3">
        <v>-1</v>
      </c>
      <c r="T145" s="3">
        <v>-1</v>
      </c>
      <c r="U145" s="3">
        <v>-1</v>
      </c>
      <c r="V145" s="3">
        <v>-1</v>
      </c>
      <c r="W145">
        <v>30</v>
      </c>
      <c r="X145" t="s">
        <v>52</v>
      </c>
      <c r="Y145" t="s">
        <v>53</v>
      </c>
      <c r="Z145">
        <v>1</v>
      </c>
      <c r="AA145" t="s">
        <v>370</v>
      </c>
      <c r="AB145">
        <v>10</v>
      </c>
      <c r="AC145" s="3" t="s">
        <v>59</v>
      </c>
      <c r="AD145" s="3" t="s">
        <v>59</v>
      </c>
      <c r="AE145" s="3" t="s">
        <v>59</v>
      </c>
      <c r="AF145">
        <v>0</v>
      </c>
      <c r="AG145" s="3" t="s">
        <v>59</v>
      </c>
      <c r="AH145" s="3" t="s">
        <v>59</v>
      </c>
      <c r="AI145" s="3" t="s">
        <v>59</v>
      </c>
      <c r="AJ145">
        <v>0</v>
      </c>
      <c r="AK145" s="3">
        <v>-1</v>
      </c>
      <c r="AL145" s="3">
        <v>-1</v>
      </c>
      <c r="AM145" s="3">
        <v>-1</v>
      </c>
      <c r="AN145" s="3">
        <v>-1</v>
      </c>
      <c r="AO145" s="3">
        <v>-1</v>
      </c>
      <c r="AP145" s="3">
        <v>-1</v>
      </c>
    </row>
    <row r="146" spans="1:42" x14ac:dyDescent="0.25">
      <c r="A146" s="3">
        <v>144</v>
      </c>
      <c r="B146" s="3" t="str">
        <f>VLOOKUP(E146,[1]recipe!$A$2:$D$500,3,FALSE)</f>
        <v>!!INGREDIENT_CLOVES</v>
      </c>
      <c r="C146" t="s">
        <v>376</v>
      </c>
      <c r="D146" t="s">
        <v>51</v>
      </c>
      <c r="E146" s="2">
        <v>9110</v>
      </c>
      <c r="F146" s="2">
        <v>9110</v>
      </c>
      <c r="G146" s="2">
        <v>9045</v>
      </c>
      <c r="H146" s="3" t="str">
        <f>VLOOKUP(G146,[1]building!$A$2:$D$351,3,FALSE)</f>
        <v>!!BLDG_NAME_SPICE_SHACK</v>
      </c>
      <c r="I146" s="2">
        <v>1</v>
      </c>
      <c r="J146" s="2">
        <v>1</v>
      </c>
      <c r="K146" s="3">
        <v>3</v>
      </c>
      <c r="L146" s="3">
        <v>-1</v>
      </c>
      <c r="M146" s="3">
        <v>-1</v>
      </c>
      <c r="N146" s="3">
        <v>-1</v>
      </c>
      <c r="O146" s="3">
        <v>-1</v>
      </c>
      <c r="P146" s="3">
        <v>-1</v>
      </c>
      <c r="Q146" s="3">
        <v>2</v>
      </c>
      <c r="R146" s="3">
        <v>-1</v>
      </c>
      <c r="S146" s="3">
        <v>-1</v>
      </c>
      <c r="T146" s="3">
        <v>-1</v>
      </c>
      <c r="U146" s="3">
        <v>-1</v>
      </c>
      <c r="V146" s="3">
        <v>-1</v>
      </c>
      <c r="W146">
        <v>30</v>
      </c>
      <c r="X146" t="s">
        <v>52</v>
      </c>
      <c r="Y146" t="s">
        <v>53</v>
      </c>
      <c r="Z146">
        <v>1</v>
      </c>
      <c r="AA146" t="s">
        <v>376</v>
      </c>
      <c r="AB146">
        <v>10</v>
      </c>
      <c r="AC146" s="3" t="s">
        <v>59</v>
      </c>
      <c r="AD146" s="3" t="s">
        <v>59</v>
      </c>
      <c r="AE146" s="3" t="s">
        <v>59</v>
      </c>
      <c r="AF146">
        <v>0</v>
      </c>
      <c r="AG146" s="3" t="s">
        <v>59</v>
      </c>
      <c r="AH146" s="3" t="s">
        <v>59</v>
      </c>
      <c r="AI146" s="3" t="s">
        <v>59</v>
      </c>
      <c r="AJ146">
        <v>0</v>
      </c>
      <c r="AK146" s="3">
        <v>-1</v>
      </c>
      <c r="AL146" s="3">
        <v>-1</v>
      </c>
      <c r="AM146" s="3">
        <v>-1</v>
      </c>
      <c r="AN146" s="3">
        <v>-1</v>
      </c>
      <c r="AO146" s="3">
        <v>-1</v>
      </c>
      <c r="AP146" s="3">
        <v>-1</v>
      </c>
    </row>
    <row r="147" spans="1:42" x14ac:dyDescent="0.25">
      <c r="A147" s="3">
        <v>145</v>
      </c>
      <c r="B147" s="3" t="str">
        <f>VLOOKUP(E147,[1]recipe!$A$2:$D$500,3,FALSE)</f>
        <v>!!INGREDIENT_GINGER</v>
      </c>
      <c r="C147" t="s">
        <v>379</v>
      </c>
      <c r="D147" t="s">
        <v>51</v>
      </c>
      <c r="E147" s="2">
        <v>9111</v>
      </c>
      <c r="F147" s="2">
        <v>9111</v>
      </c>
      <c r="G147" s="2">
        <v>9045</v>
      </c>
      <c r="H147" s="3" t="str">
        <f>VLOOKUP(G147,[1]building!$A$2:$D$351,3,FALSE)</f>
        <v>!!BLDG_NAME_SPICE_SHACK</v>
      </c>
      <c r="I147" s="2">
        <v>1</v>
      </c>
      <c r="J147" s="2">
        <v>1</v>
      </c>
      <c r="K147" s="3">
        <v>3</v>
      </c>
      <c r="L147" s="3">
        <v>-1</v>
      </c>
      <c r="M147" s="3">
        <v>-1</v>
      </c>
      <c r="N147" s="3">
        <v>-1</v>
      </c>
      <c r="O147" s="3">
        <v>-1</v>
      </c>
      <c r="P147" s="3">
        <v>-1</v>
      </c>
      <c r="Q147" s="3">
        <v>2</v>
      </c>
      <c r="R147" s="3">
        <v>-1</v>
      </c>
      <c r="S147" s="3">
        <v>-1</v>
      </c>
      <c r="T147" s="3">
        <v>-1</v>
      </c>
      <c r="U147" s="3">
        <v>-1</v>
      </c>
      <c r="V147" s="3">
        <v>-1</v>
      </c>
      <c r="W147">
        <v>30</v>
      </c>
      <c r="X147" t="s">
        <v>52</v>
      </c>
      <c r="Y147" t="s">
        <v>53</v>
      </c>
      <c r="Z147">
        <v>1</v>
      </c>
      <c r="AA147" t="s">
        <v>379</v>
      </c>
      <c r="AB147">
        <v>10</v>
      </c>
      <c r="AC147" s="3" t="s">
        <v>59</v>
      </c>
      <c r="AD147" s="3" t="s">
        <v>59</v>
      </c>
      <c r="AE147" s="3" t="s">
        <v>59</v>
      </c>
      <c r="AF147">
        <v>0</v>
      </c>
      <c r="AG147" s="3" t="s">
        <v>59</v>
      </c>
      <c r="AH147" s="3" t="s">
        <v>59</v>
      </c>
      <c r="AI147" s="3" t="s">
        <v>59</v>
      </c>
      <c r="AJ147">
        <v>0</v>
      </c>
      <c r="AK147" s="3">
        <v>-1</v>
      </c>
      <c r="AL147" s="3">
        <v>-1</v>
      </c>
      <c r="AM147" s="3">
        <v>-1</v>
      </c>
      <c r="AN147" s="3">
        <v>-1</v>
      </c>
      <c r="AO147" s="3">
        <v>-1</v>
      </c>
      <c r="AP147" s="3">
        <v>-1</v>
      </c>
    </row>
    <row r="148" spans="1:42" x14ac:dyDescent="0.25">
      <c r="A148" s="3">
        <v>146</v>
      </c>
      <c r="B148" s="3" t="str">
        <f>VLOOKUP(E148,[1]recipe!$A$2:$D$500,3,FALSE)</f>
        <v>!!INGREDIENT_NUTMEG</v>
      </c>
      <c r="C148" t="s">
        <v>388</v>
      </c>
      <c r="D148" t="s">
        <v>51</v>
      </c>
      <c r="E148" s="2">
        <v>9114</v>
      </c>
      <c r="F148" s="2">
        <v>9114</v>
      </c>
      <c r="G148" s="2">
        <v>9045</v>
      </c>
      <c r="H148" s="3" t="str">
        <f>VLOOKUP(G148,[1]building!$A$2:$D$351,3,FALSE)</f>
        <v>!!BLDG_NAME_SPICE_SHACK</v>
      </c>
      <c r="I148" s="2">
        <v>1</v>
      </c>
      <c r="J148" s="2">
        <v>1</v>
      </c>
      <c r="K148" s="3">
        <v>3</v>
      </c>
      <c r="L148" s="3">
        <v>-1</v>
      </c>
      <c r="M148" s="3">
        <v>-1</v>
      </c>
      <c r="N148" s="3">
        <v>-1</v>
      </c>
      <c r="O148" s="3">
        <v>-1</v>
      </c>
      <c r="P148" s="3">
        <v>-1</v>
      </c>
      <c r="Q148" s="3">
        <v>2</v>
      </c>
      <c r="R148" s="3">
        <v>-1</v>
      </c>
      <c r="S148" s="3">
        <v>-1</v>
      </c>
      <c r="T148" s="3">
        <v>-1</v>
      </c>
      <c r="U148" s="3">
        <v>-1</v>
      </c>
      <c r="V148" s="3">
        <v>-1</v>
      </c>
      <c r="W148">
        <v>30</v>
      </c>
      <c r="X148" t="s">
        <v>52</v>
      </c>
      <c r="Y148" t="s">
        <v>53</v>
      </c>
      <c r="Z148">
        <v>1</v>
      </c>
      <c r="AA148" t="s">
        <v>388</v>
      </c>
      <c r="AB148">
        <v>10</v>
      </c>
      <c r="AC148" s="3" t="s">
        <v>59</v>
      </c>
      <c r="AD148" s="3" t="s">
        <v>59</v>
      </c>
      <c r="AE148" s="3" t="s">
        <v>59</v>
      </c>
      <c r="AF148">
        <v>0</v>
      </c>
      <c r="AG148" s="3" t="s">
        <v>59</v>
      </c>
      <c r="AH148" s="3" t="s">
        <v>59</v>
      </c>
      <c r="AI148" s="3" t="s">
        <v>59</v>
      </c>
      <c r="AJ148">
        <v>0</v>
      </c>
      <c r="AK148" s="3">
        <v>-1</v>
      </c>
      <c r="AL148" s="3">
        <v>-1</v>
      </c>
      <c r="AM148" s="3">
        <v>-1</v>
      </c>
      <c r="AN148" s="3">
        <v>-1</v>
      </c>
      <c r="AO148" s="3">
        <v>-1</v>
      </c>
      <c r="AP148" s="3">
        <v>-1</v>
      </c>
    </row>
    <row r="149" spans="1:42" x14ac:dyDescent="0.25">
      <c r="A149" s="3">
        <v>147</v>
      </c>
      <c r="B149" s="3" t="str">
        <f>VLOOKUP(E149,[1]recipe!$A$2:$D$500,3,FALSE)</f>
        <v>!!INGREDIENT_PEPPERMINT</v>
      </c>
      <c r="C149" t="s">
        <v>394</v>
      </c>
      <c r="D149" t="s">
        <v>51</v>
      </c>
      <c r="E149" s="2">
        <v>9116</v>
      </c>
      <c r="F149" s="2">
        <v>9116</v>
      </c>
      <c r="G149" s="2">
        <v>9045</v>
      </c>
      <c r="H149" s="3" t="str">
        <f>VLOOKUP(G149,[1]building!$A$2:$D$351,3,FALSE)</f>
        <v>!!BLDG_NAME_SPICE_SHACK</v>
      </c>
      <c r="I149" s="2">
        <v>1</v>
      </c>
      <c r="J149" s="2">
        <v>1</v>
      </c>
      <c r="K149" s="3">
        <v>3</v>
      </c>
      <c r="L149" s="3">
        <v>-1</v>
      </c>
      <c r="M149" s="3">
        <v>-1</v>
      </c>
      <c r="N149" s="3">
        <v>-1</v>
      </c>
      <c r="O149" s="3">
        <v>-1</v>
      </c>
      <c r="P149" s="3">
        <v>-1</v>
      </c>
      <c r="Q149" s="3">
        <v>2</v>
      </c>
      <c r="R149" s="3">
        <v>-1</v>
      </c>
      <c r="S149" s="3">
        <v>-1</v>
      </c>
      <c r="T149" s="3">
        <v>-1</v>
      </c>
      <c r="U149" s="3">
        <v>-1</v>
      </c>
      <c r="V149" s="3">
        <v>-1</v>
      </c>
      <c r="W149">
        <v>30</v>
      </c>
      <c r="X149" t="s">
        <v>52</v>
      </c>
      <c r="Y149" t="s">
        <v>53</v>
      </c>
      <c r="Z149">
        <v>1</v>
      </c>
      <c r="AA149" t="s">
        <v>394</v>
      </c>
      <c r="AB149">
        <v>10</v>
      </c>
      <c r="AC149" s="3" t="s">
        <v>59</v>
      </c>
      <c r="AD149" s="3" t="s">
        <v>59</v>
      </c>
      <c r="AE149" s="3" t="s">
        <v>59</v>
      </c>
      <c r="AF149">
        <v>0</v>
      </c>
      <c r="AG149" s="3" t="s">
        <v>59</v>
      </c>
      <c r="AH149" s="3" t="s">
        <v>59</v>
      </c>
      <c r="AI149" s="3" t="s">
        <v>59</v>
      </c>
      <c r="AJ149">
        <v>0</v>
      </c>
      <c r="AK149" s="3">
        <v>-1</v>
      </c>
      <c r="AL149" s="3">
        <v>-1</v>
      </c>
      <c r="AM149" s="3">
        <v>-1</v>
      </c>
      <c r="AN149" s="3">
        <v>-1</v>
      </c>
      <c r="AO149" s="3">
        <v>-1</v>
      </c>
      <c r="AP149" s="3">
        <v>-1</v>
      </c>
    </row>
    <row r="150" spans="1:42" x14ac:dyDescent="0.25">
      <c r="A150" s="3">
        <v>148</v>
      </c>
      <c r="B150" s="3" t="str">
        <f>VLOOKUP(E150,[1]recipe!$A$2:$D$500,3,FALSE)</f>
        <v>!!INGREDIENT_VANILLA</v>
      </c>
      <c r="C150" t="s">
        <v>397</v>
      </c>
      <c r="D150" t="s">
        <v>51</v>
      </c>
      <c r="E150" s="2">
        <v>9117</v>
      </c>
      <c r="F150" s="2">
        <v>9117</v>
      </c>
      <c r="G150" s="2">
        <v>9045</v>
      </c>
      <c r="H150" s="3" t="str">
        <f>VLOOKUP(G150,[1]building!$A$2:$D$351,3,FALSE)</f>
        <v>!!BLDG_NAME_SPICE_SHACK</v>
      </c>
      <c r="I150" s="2">
        <v>1</v>
      </c>
      <c r="J150" s="2">
        <v>1</v>
      </c>
      <c r="K150" s="3">
        <v>3</v>
      </c>
      <c r="L150" s="3">
        <v>-1</v>
      </c>
      <c r="M150" s="3">
        <v>-1</v>
      </c>
      <c r="N150" s="3">
        <v>-1</v>
      </c>
      <c r="O150" s="3">
        <v>-1</v>
      </c>
      <c r="P150" s="3">
        <v>-1</v>
      </c>
      <c r="Q150" s="3">
        <v>2</v>
      </c>
      <c r="R150" s="3">
        <v>-1</v>
      </c>
      <c r="S150" s="3">
        <v>-1</v>
      </c>
      <c r="T150" s="3">
        <v>-1</v>
      </c>
      <c r="U150" s="3">
        <v>-1</v>
      </c>
      <c r="V150" s="3">
        <v>-1</v>
      </c>
      <c r="W150">
        <v>30</v>
      </c>
      <c r="X150" t="s">
        <v>52</v>
      </c>
      <c r="Y150" t="s">
        <v>53</v>
      </c>
      <c r="Z150">
        <v>1</v>
      </c>
      <c r="AA150" t="s">
        <v>397</v>
      </c>
      <c r="AB150">
        <v>10</v>
      </c>
      <c r="AC150" s="3" t="s">
        <v>59</v>
      </c>
      <c r="AD150" s="3" t="s">
        <v>59</v>
      </c>
      <c r="AE150" s="3" t="s">
        <v>59</v>
      </c>
      <c r="AF150">
        <v>0</v>
      </c>
      <c r="AG150" s="3" t="s">
        <v>59</v>
      </c>
      <c r="AH150" s="3" t="s">
        <v>59</v>
      </c>
      <c r="AI150" s="3" t="s">
        <v>59</v>
      </c>
      <c r="AJ150">
        <v>0</v>
      </c>
      <c r="AK150" s="3">
        <v>-1</v>
      </c>
      <c r="AL150" s="3">
        <v>-1</v>
      </c>
      <c r="AM150" s="3">
        <v>-1</v>
      </c>
      <c r="AN150" s="3">
        <v>-1</v>
      </c>
      <c r="AO150" s="3">
        <v>-1</v>
      </c>
      <c r="AP150" s="3">
        <v>-1</v>
      </c>
    </row>
    <row r="151" spans="1:42" x14ac:dyDescent="0.25">
      <c r="A151" s="3">
        <v>149</v>
      </c>
      <c r="B151" s="3" t="str">
        <f>VLOOKUP(E151,[1]recipe!$A$2:$D$500,3,FALSE)</f>
        <v>!!INGREDIENT_WHIPPED_CREAM</v>
      </c>
      <c r="C151" t="s">
        <v>400</v>
      </c>
      <c r="D151" t="s">
        <v>51</v>
      </c>
      <c r="E151" s="2">
        <v>9118</v>
      </c>
      <c r="F151" s="2">
        <v>9118</v>
      </c>
      <c r="G151" s="2">
        <v>9045</v>
      </c>
      <c r="H151" s="3" t="str">
        <f>VLOOKUP(G151,[1]building!$A$2:$D$351,3,FALSE)</f>
        <v>!!BLDG_NAME_SPICE_SHACK</v>
      </c>
      <c r="I151" s="2">
        <v>1</v>
      </c>
      <c r="J151" s="2">
        <v>1</v>
      </c>
      <c r="K151" s="3">
        <v>3</v>
      </c>
      <c r="L151" s="3">
        <v>-1</v>
      </c>
      <c r="M151" s="3">
        <v>-1</v>
      </c>
      <c r="N151" s="3">
        <v>-1</v>
      </c>
      <c r="O151" s="3">
        <v>-1</v>
      </c>
      <c r="P151" s="3">
        <v>-1</v>
      </c>
      <c r="Q151" s="3">
        <v>25</v>
      </c>
      <c r="R151" s="3">
        <v>-1</v>
      </c>
      <c r="S151" s="3">
        <v>-1</v>
      </c>
      <c r="T151" s="3">
        <v>-1</v>
      </c>
      <c r="U151" s="3">
        <v>-1</v>
      </c>
      <c r="V151" s="3">
        <v>-1</v>
      </c>
      <c r="W151">
        <v>900</v>
      </c>
      <c r="X151" t="s">
        <v>52</v>
      </c>
      <c r="Y151" t="s">
        <v>53</v>
      </c>
      <c r="Z151">
        <v>1</v>
      </c>
      <c r="AA151" t="s">
        <v>400</v>
      </c>
      <c r="AB151">
        <v>10</v>
      </c>
      <c r="AC151" s="3" t="s">
        <v>59</v>
      </c>
      <c r="AD151" s="3" t="s">
        <v>59</v>
      </c>
      <c r="AE151" s="3" t="s">
        <v>59</v>
      </c>
      <c r="AF151">
        <v>0</v>
      </c>
      <c r="AG151" s="3" t="s">
        <v>59</v>
      </c>
      <c r="AH151" s="3" t="s">
        <v>59</v>
      </c>
      <c r="AI151" s="3" t="s">
        <v>59</v>
      </c>
      <c r="AJ151">
        <v>0</v>
      </c>
      <c r="AK151" s="3">
        <v>-1</v>
      </c>
      <c r="AL151" s="3">
        <v>-1</v>
      </c>
      <c r="AM151" s="3">
        <v>-1</v>
      </c>
      <c r="AN151" s="3">
        <v>-1</v>
      </c>
      <c r="AO151" s="3">
        <v>-1</v>
      </c>
      <c r="AP151" s="3">
        <v>-1</v>
      </c>
    </row>
    <row r="152" spans="1:42" x14ac:dyDescent="0.25">
      <c r="A152" s="3">
        <v>150</v>
      </c>
      <c r="B152" s="3" t="str">
        <f>VLOOKUP(E152,[1]recipe!$A$2:$D$500,3,FALSE)</f>
        <v>!!FOOD_PEANUT_BRITTLE</v>
      </c>
      <c r="C152" t="s">
        <v>355</v>
      </c>
      <c r="D152" t="s">
        <v>51</v>
      </c>
      <c r="E152" s="2">
        <v>9103</v>
      </c>
      <c r="F152" s="2">
        <v>9103</v>
      </c>
      <c r="G152" s="2">
        <v>9046</v>
      </c>
      <c r="H152" s="3" t="str">
        <f>VLOOKUP(G152,[1]building!$A$2:$D$351,3,FALSE)</f>
        <v>!!BLDG_NAME_TREAT_SHOP</v>
      </c>
      <c r="I152" s="2">
        <v>2</v>
      </c>
      <c r="J152" s="2">
        <v>1</v>
      </c>
      <c r="K152" s="3">
        <v>9008</v>
      </c>
      <c r="L152" s="3">
        <v>9107</v>
      </c>
      <c r="M152" s="3">
        <v>9115</v>
      </c>
      <c r="N152" s="3">
        <v>-1</v>
      </c>
      <c r="O152" s="3">
        <v>-1</v>
      </c>
      <c r="P152" s="3">
        <v>-1</v>
      </c>
      <c r="Q152" s="3">
        <v>1</v>
      </c>
      <c r="R152" s="3">
        <v>1</v>
      </c>
      <c r="S152" s="3">
        <v>2</v>
      </c>
      <c r="T152" s="3">
        <v>-1</v>
      </c>
      <c r="U152" s="3">
        <v>-1</v>
      </c>
      <c r="V152" s="3">
        <v>-1</v>
      </c>
      <c r="W152">
        <v>7200</v>
      </c>
      <c r="X152" t="s">
        <v>52</v>
      </c>
      <c r="Y152" t="s">
        <v>53</v>
      </c>
      <c r="Z152">
        <v>1</v>
      </c>
      <c r="AA152" t="s">
        <v>355</v>
      </c>
      <c r="AB152">
        <v>10</v>
      </c>
      <c r="AC152" s="3" t="s">
        <v>59</v>
      </c>
      <c r="AD152" s="3" t="s">
        <v>59</v>
      </c>
      <c r="AE152" s="3" t="s">
        <v>59</v>
      </c>
      <c r="AF152" s="3">
        <v>0</v>
      </c>
      <c r="AG152" s="3" t="s">
        <v>59</v>
      </c>
      <c r="AH152" s="3" t="s">
        <v>59</v>
      </c>
      <c r="AI152" s="3" t="s">
        <v>59</v>
      </c>
      <c r="AJ152">
        <v>1</v>
      </c>
      <c r="AK152" s="3">
        <v>-1</v>
      </c>
      <c r="AL152" s="3">
        <v>-1</v>
      </c>
      <c r="AM152" s="3">
        <v>-1</v>
      </c>
      <c r="AN152" s="3">
        <v>-1</v>
      </c>
      <c r="AO152" s="3">
        <v>-1</v>
      </c>
      <c r="AP152" s="3">
        <v>-1</v>
      </c>
    </row>
    <row r="153" spans="1:42" x14ac:dyDescent="0.25">
      <c r="A153" s="3">
        <v>151</v>
      </c>
      <c r="B153" s="3" t="str">
        <f>VLOOKUP(E153,[1]recipe!$A$2:$D$500,3,FALSE)</f>
        <v>!!INGREDIENT_CHOCOLATE</v>
      </c>
      <c r="C153" t="s">
        <v>373</v>
      </c>
      <c r="D153" t="s">
        <v>51</v>
      </c>
      <c r="E153" s="2">
        <v>9109</v>
      </c>
      <c r="F153" s="2">
        <v>9109</v>
      </c>
      <c r="G153" s="2">
        <v>9046</v>
      </c>
      <c r="H153" s="3" t="str">
        <f>VLOOKUP(G153,[1]building!$A$2:$D$351,3,FALSE)</f>
        <v>!!BLDG_NAME_TREAT_SHOP</v>
      </c>
      <c r="I153" s="2">
        <v>1</v>
      </c>
      <c r="J153" s="2">
        <v>1</v>
      </c>
      <c r="K153" s="3">
        <v>3</v>
      </c>
      <c r="L153" s="3">
        <v>-1</v>
      </c>
      <c r="M153" s="3">
        <v>-1</v>
      </c>
      <c r="N153" s="3">
        <v>-1</v>
      </c>
      <c r="O153" s="3">
        <v>-1</v>
      </c>
      <c r="P153" s="3">
        <v>-1</v>
      </c>
      <c r="Q153" s="3">
        <v>5</v>
      </c>
      <c r="R153" s="3">
        <v>-1</v>
      </c>
      <c r="S153" s="3">
        <v>-1</v>
      </c>
      <c r="T153" s="3">
        <v>-1</v>
      </c>
      <c r="U153" s="3">
        <v>-1</v>
      </c>
      <c r="V153" s="3">
        <v>-1</v>
      </c>
      <c r="W153" s="2">
        <v>30</v>
      </c>
      <c r="X153" t="s">
        <v>52</v>
      </c>
      <c r="Y153" t="s">
        <v>53</v>
      </c>
      <c r="Z153" s="2">
        <v>1</v>
      </c>
      <c r="AA153" t="s">
        <v>373</v>
      </c>
      <c r="AB153" s="2">
        <v>10</v>
      </c>
      <c r="AC153" s="3" t="s">
        <v>59</v>
      </c>
      <c r="AD153" s="3" t="s">
        <v>59</v>
      </c>
      <c r="AE153" s="3" t="s">
        <v>59</v>
      </c>
      <c r="AF153">
        <v>0</v>
      </c>
      <c r="AG153" s="3" t="s">
        <v>59</v>
      </c>
      <c r="AH153" s="3" t="s">
        <v>59</v>
      </c>
      <c r="AI153" s="3" t="s">
        <v>59</v>
      </c>
      <c r="AJ153">
        <v>0</v>
      </c>
      <c r="AK153" s="3">
        <v>-1</v>
      </c>
      <c r="AL153" s="3">
        <v>-1</v>
      </c>
      <c r="AM153" s="3">
        <v>-1</v>
      </c>
      <c r="AN153" s="3">
        <v>-1</v>
      </c>
      <c r="AO153" s="3">
        <v>-1</v>
      </c>
      <c r="AP153" s="3">
        <v>-1</v>
      </c>
    </row>
    <row r="154" spans="1:42" x14ac:dyDescent="0.25">
      <c r="A154" s="3">
        <v>152</v>
      </c>
      <c r="B154" s="3" t="str">
        <f>VLOOKUP(E154,[1]recipe!$A$2:$D$500,3,FALSE)</f>
        <v>!!INGREDIENT_ICING</v>
      </c>
      <c r="C154" t="s">
        <v>382</v>
      </c>
      <c r="D154" t="s">
        <v>51</v>
      </c>
      <c r="E154" s="2">
        <v>9112</v>
      </c>
      <c r="F154" s="2">
        <v>9112</v>
      </c>
      <c r="G154" s="2">
        <v>9046</v>
      </c>
      <c r="H154" s="3" t="str">
        <f>VLOOKUP(G154,[1]building!$A$2:$D$351,3,FALSE)</f>
        <v>!!BLDG_NAME_TREAT_SHOP</v>
      </c>
      <c r="I154" s="2">
        <v>1</v>
      </c>
      <c r="J154" s="2">
        <v>1</v>
      </c>
      <c r="K154" s="3">
        <v>3</v>
      </c>
      <c r="L154" s="3">
        <v>-1</v>
      </c>
      <c r="M154" s="3">
        <v>-1</v>
      </c>
      <c r="N154" s="3">
        <v>-1</v>
      </c>
      <c r="O154" s="3">
        <v>-1</v>
      </c>
      <c r="P154" s="3">
        <v>-1</v>
      </c>
      <c r="Q154" s="3">
        <v>10</v>
      </c>
      <c r="R154" s="3">
        <v>-1</v>
      </c>
      <c r="S154" s="3">
        <v>-1</v>
      </c>
      <c r="T154" s="3">
        <v>-1</v>
      </c>
      <c r="U154" s="3">
        <v>-1</v>
      </c>
      <c r="V154" s="3">
        <v>-1</v>
      </c>
      <c r="W154">
        <v>60</v>
      </c>
      <c r="X154" t="s">
        <v>52</v>
      </c>
      <c r="Y154" t="s">
        <v>53</v>
      </c>
      <c r="Z154">
        <v>1</v>
      </c>
      <c r="AA154" t="s">
        <v>382</v>
      </c>
      <c r="AB154">
        <v>10</v>
      </c>
      <c r="AC154" s="3" t="s">
        <v>59</v>
      </c>
      <c r="AD154" s="3" t="s">
        <v>59</v>
      </c>
      <c r="AE154" s="3" t="s">
        <v>59</v>
      </c>
      <c r="AF154">
        <v>0</v>
      </c>
      <c r="AG154" s="3" t="s">
        <v>59</v>
      </c>
      <c r="AH154" s="3" t="s">
        <v>59</v>
      </c>
      <c r="AI154" s="3" t="s">
        <v>59</v>
      </c>
      <c r="AJ154">
        <v>0</v>
      </c>
      <c r="AK154" s="3">
        <v>-1</v>
      </c>
      <c r="AL154" s="3">
        <v>-1</v>
      </c>
      <c r="AM154" s="3">
        <v>-1</v>
      </c>
      <c r="AN154" s="3">
        <v>-1</v>
      </c>
      <c r="AO154" s="3">
        <v>-1</v>
      </c>
      <c r="AP154" s="3">
        <v>-1</v>
      </c>
    </row>
    <row r="155" spans="1:42" x14ac:dyDescent="0.25">
      <c r="A155" s="3">
        <v>153</v>
      </c>
      <c r="B155" s="3" t="str">
        <f>VLOOKUP(E155,[1]recipe!$A$2:$D$500,3,FALSE)</f>
        <v>!!INGREDIENT_MARSHMALLOW</v>
      </c>
      <c r="C155" t="s">
        <v>385</v>
      </c>
      <c r="D155" t="s">
        <v>51</v>
      </c>
      <c r="E155" s="2">
        <v>9113</v>
      </c>
      <c r="F155" s="2">
        <v>9113</v>
      </c>
      <c r="G155" s="2">
        <v>9046</v>
      </c>
      <c r="H155" s="3" t="str">
        <f>VLOOKUP(G155,[1]building!$A$2:$D$351,3,FALSE)</f>
        <v>!!BLDG_NAME_TREAT_SHOP</v>
      </c>
      <c r="I155" s="2">
        <v>1</v>
      </c>
      <c r="J155" s="2">
        <v>1</v>
      </c>
      <c r="K155" s="3">
        <v>3</v>
      </c>
      <c r="L155" s="3">
        <v>-1</v>
      </c>
      <c r="M155" s="3">
        <v>-1</v>
      </c>
      <c r="N155" s="3">
        <v>-1</v>
      </c>
      <c r="O155" s="3">
        <v>-1</v>
      </c>
      <c r="P155" s="3">
        <v>-1</v>
      </c>
      <c r="Q155" s="3">
        <v>20</v>
      </c>
      <c r="R155" s="3">
        <v>-1</v>
      </c>
      <c r="S155" s="3">
        <v>-1</v>
      </c>
      <c r="T155" s="3">
        <v>-1</v>
      </c>
      <c r="U155" s="3">
        <v>-1</v>
      </c>
      <c r="V155" s="3">
        <v>-1</v>
      </c>
      <c r="W155">
        <v>600</v>
      </c>
      <c r="X155" t="s">
        <v>52</v>
      </c>
      <c r="Y155" t="s">
        <v>53</v>
      </c>
      <c r="Z155">
        <v>1</v>
      </c>
      <c r="AA155" t="s">
        <v>385</v>
      </c>
      <c r="AB155">
        <v>10</v>
      </c>
      <c r="AC155" s="3" t="s">
        <v>59</v>
      </c>
      <c r="AD155" s="3" t="s">
        <v>59</v>
      </c>
      <c r="AE155" s="3" t="s">
        <v>59</v>
      </c>
      <c r="AF155">
        <v>0</v>
      </c>
      <c r="AG155" s="3" t="s">
        <v>59</v>
      </c>
      <c r="AH155" s="3" t="s">
        <v>59</v>
      </c>
      <c r="AI155" s="3" t="s">
        <v>59</v>
      </c>
      <c r="AJ155">
        <v>0</v>
      </c>
      <c r="AK155" s="3">
        <v>-1</v>
      </c>
      <c r="AL155" s="3">
        <v>-1</v>
      </c>
      <c r="AM155" s="3">
        <v>-1</v>
      </c>
      <c r="AN155" s="3">
        <v>-1</v>
      </c>
      <c r="AO155" s="3">
        <v>-1</v>
      </c>
      <c r="AP155" s="3">
        <v>-1</v>
      </c>
    </row>
    <row r="156" spans="1:42" x14ac:dyDescent="0.25">
      <c r="A156" s="3">
        <v>154</v>
      </c>
      <c r="B156" s="3" t="str">
        <f>VLOOKUP(E156,[1]recipe!$A$2:$D$500,3,FALSE)</f>
        <v>!!FOOD_CANDY_CANE</v>
      </c>
      <c r="C156" t="s">
        <v>418</v>
      </c>
      <c r="D156" t="s">
        <v>51</v>
      </c>
      <c r="E156" s="2">
        <v>9124</v>
      </c>
      <c r="F156" s="2">
        <v>9124</v>
      </c>
      <c r="G156" s="2">
        <v>9046</v>
      </c>
      <c r="H156" s="3" t="str">
        <f>VLOOKUP(G156,[1]building!$A$2:$D$351,3,FALSE)</f>
        <v>!!BLDG_NAME_TREAT_SHOP</v>
      </c>
      <c r="I156" s="2">
        <v>10</v>
      </c>
      <c r="J156" s="2">
        <v>1</v>
      </c>
      <c r="K156" s="3">
        <v>9107</v>
      </c>
      <c r="L156" s="3">
        <v>9116</v>
      </c>
      <c r="M156" s="3">
        <v>-1</v>
      </c>
      <c r="N156" s="3">
        <v>-1</v>
      </c>
      <c r="O156" s="3">
        <v>-1</v>
      </c>
      <c r="P156" s="3">
        <v>-1</v>
      </c>
      <c r="Q156" s="3">
        <v>1</v>
      </c>
      <c r="R156" s="3">
        <v>1</v>
      </c>
      <c r="S156" s="3">
        <v>-1</v>
      </c>
      <c r="T156" s="3">
        <v>-1</v>
      </c>
      <c r="U156" s="3">
        <v>-1</v>
      </c>
      <c r="V156" s="3">
        <v>-1</v>
      </c>
      <c r="W156" s="2">
        <v>36000</v>
      </c>
      <c r="X156" t="s">
        <v>52</v>
      </c>
      <c r="Y156" t="s">
        <v>53</v>
      </c>
      <c r="Z156" s="2">
        <v>1</v>
      </c>
      <c r="AA156" t="s">
        <v>418</v>
      </c>
      <c r="AB156" s="2">
        <v>10</v>
      </c>
      <c r="AC156" s="3" t="s">
        <v>59</v>
      </c>
      <c r="AD156" s="3" t="s">
        <v>59</v>
      </c>
      <c r="AE156" s="3" t="s">
        <v>59</v>
      </c>
      <c r="AF156">
        <v>1</v>
      </c>
      <c r="AG156" s="3" t="s">
        <v>59</v>
      </c>
      <c r="AH156" s="3" t="s">
        <v>59</v>
      </c>
      <c r="AI156" s="3" t="s">
        <v>59</v>
      </c>
      <c r="AJ156">
        <v>1</v>
      </c>
      <c r="AK156" s="3">
        <v>-1</v>
      </c>
      <c r="AL156" s="3">
        <v>-1</v>
      </c>
      <c r="AM156" s="3">
        <v>-1</v>
      </c>
      <c r="AN156" s="3">
        <v>-1</v>
      </c>
      <c r="AO156" s="3">
        <v>-1</v>
      </c>
      <c r="AP156" s="3">
        <v>-1</v>
      </c>
    </row>
    <row r="157" spans="1:42" x14ac:dyDescent="0.25">
      <c r="A157" s="3">
        <v>155</v>
      </c>
      <c r="B157" s="3" t="str">
        <f>VLOOKUP(E157,[1]recipe!$A$2:$D$500,3,FALSE)</f>
        <v>!!FOOD_ENGLISH_TOFFEE</v>
      </c>
      <c r="C157" t="s">
        <v>421</v>
      </c>
      <c r="D157" t="s">
        <v>51</v>
      </c>
      <c r="E157" s="2">
        <v>9125</v>
      </c>
      <c r="F157" s="2">
        <v>9125</v>
      </c>
      <c r="G157" s="2">
        <v>9046</v>
      </c>
      <c r="H157" s="3" t="str">
        <f>VLOOKUP(G157,[1]building!$A$2:$D$351,3,FALSE)</f>
        <v>!!BLDG_NAME_TREAT_SHOP</v>
      </c>
      <c r="I157" s="2">
        <v>8</v>
      </c>
      <c r="J157" s="2">
        <v>1</v>
      </c>
      <c r="K157" s="3">
        <v>9107</v>
      </c>
      <c r="L157" s="3">
        <v>9115</v>
      </c>
      <c r="M157" s="3">
        <v>9109</v>
      </c>
      <c r="N157" s="3">
        <v>-1</v>
      </c>
      <c r="O157" s="3">
        <v>-1</v>
      </c>
      <c r="P157" s="3">
        <v>-1</v>
      </c>
      <c r="Q157" s="3">
        <v>1</v>
      </c>
      <c r="R157" s="3">
        <v>1</v>
      </c>
      <c r="S157" s="3">
        <v>1</v>
      </c>
      <c r="T157" s="3">
        <v>-1</v>
      </c>
      <c r="U157" s="3">
        <v>-1</v>
      </c>
      <c r="V157" s="3">
        <v>-1</v>
      </c>
      <c r="W157" s="2">
        <v>28800</v>
      </c>
      <c r="X157" t="s">
        <v>52</v>
      </c>
      <c r="Y157" t="s">
        <v>53</v>
      </c>
      <c r="Z157" s="2">
        <v>1</v>
      </c>
      <c r="AA157" t="s">
        <v>421</v>
      </c>
      <c r="AB157" s="2">
        <v>10</v>
      </c>
      <c r="AC157" s="3" t="s">
        <v>59</v>
      </c>
      <c r="AD157" s="3" t="s">
        <v>59</v>
      </c>
      <c r="AE157" s="3" t="s">
        <v>59</v>
      </c>
      <c r="AF157">
        <v>1</v>
      </c>
      <c r="AG157" s="3" t="s">
        <v>59</v>
      </c>
      <c r="AH157" s="3" t="s">
        <v>59</v>
      </c>
      <c r="AI157" s="3" t="s">
        <v>59</v>
      </c>
      <c r="AJ157">
        <v>1</v>
      </c>
      <c r="AK157" s="3">
        <v>-1</v>
      </c>
      <c r="AL157" s="3">
        <v>-1</v>
      </c>
      <c r="AM157" s="3">
        <v>-1</v>
      </c>
      <c r="AN157" s="3">
        <v>-1</v>
      </c>
      <c r="AO157" s="3">
        <v>-1</v>
      </c>
      <c r="AP157" s="3">
        <v>-1</v>
      </c>
    </row>
    <row r="158" spans="1:42" x14ac:dyDescent="0.25">
      <c r="A158" s="3">
        <v>156</v>
      </c>
      <c r="B158" s="3" t="str">
        <f>VLOOKUP(E158,[1]recipe!$A$2:$D$500,3,FALSE)</f>
        <v>!!FOOD_FUDGE</v>
      </c>
      <c r="C158" t="s">
        <v>424</v>
      </c>
      <c r="D158" t="s">
        <v>51</v>
      </c>
      <c r="E158" s="2">
        <v>9126</v>
      </c>
      <c r="F158" s="2">
        <v>9126</v>
      </c>
      <c r="G158" s="2">
        <v>9046</v>
      </c>
      <c r="H158" s="3" t="str">
        <f>VLOOKUP(G158,[1]building!$A$2:$D$351,3,FALSE)</f>
        <v>!!BLDG_NAME_TREAT_SHOP</v>
      </c>
      <c r="I158" s="2">
        <v>2</v>
      </c>
      <c r="J158" s="2">
        <v>1</v>
      </c>
      <c r="K158" s="3">
        <v>9008</v>
      </c>
      <c r="L158" s="3">
        <v>9107</v>
      </c>
      <c r="M158" s="3">
        <v>9117</v>
      </c>
      <c r="N158" s="3">
        <v>9115</v>
      </c>
      <c r="O158" s="3">
        <v>9109</v>
      </c>
      <c r="P158" s="3">
        <v>9113</v>
      </c>
      <c r="Q158" s="3">
        <v>1</v>
      </c>
      <c r="R158" s="3">
        <v>1</v>
      </c>
      <c r="S158" s="3">
        <v>1</v>
      </c>
      <c r="T158" s="3">
        <v>1</v>
      </c>
      <c r="U158" s="3">
        <v>1</v>
      </c>
      <c r="V158" s="3">
        <v>1</v>
      </c>
      <c r="W158" s="2">
        <v>25200</v>
      </c>
      <c r="X158" t="s">
        <v>52</v>
      </c>
      <c r="Y158" t="s">
        <v>53</v>
      </c>
      <c r="Z158" s="2">
        <v>1</v>
      </c>
      <c r="AA158" t="s">
        <v>424</v>
      </c>
      <c r="AB158" s="2">
        <v>10</v>
      </c>
      <c r="AC158" s="3" t="s">
        <v>59</v>
      </c>
      <c r="AD158" s="3" t="s">
        <v>59</v>
      </c>
      <c r="AE158" s="3" t="s">
        <v>59</v>
      </c>
      <c r="AF158">
        <v>1</v>
      </c>
      <c r="AG158" s="3" t="s">
        <v>59</v>
      </c>
      <c r="AH158" s="3" t="s">
        <v>59</v>
      </c>
      <c r="AI158" s="3" t="s">
        <v>59</v>
      </c>
      <c r="AJ158">
        <v>1</v>
      </c>
      <c r="AK158" s="3">
        <v>-1</v>
      </c>
      <c r="AL158" s="3">
        <v>-1</v>
      </c>
      <c r="AM158" s="3">
        <v>-1</v>
      </c>
      <c r="AN158" s="3">
        <v>-1</v>
      </c>
      <c r="AO158" s="3">
        <v>-1</v>
      </c>
      <c r="AP158" s="3">
        <v>-1</v>
      </c>
    </row>
    <row r="159" spans="1:42" x14ac:dyDescent="0.25">
      <c r="A159" s="3">
        <v>157</v>
      </c>
      <c r="B159" s="3" t="str">
        <f>VLOOKUP(E159,[1]recipe!$A$2:$D$500,3,FALSE)</f>
        <v>!!FOOD_SUGAR_PLUM</v>
      </c>
      <c r="C159" t="s">
        <v>427</v>
      </c>
      <c r="D159" t="s">
        <v>51</v>
      </c>
      <c r="E159" s="2">
        <v>9127</v>
      </c>
      <c r="F159" s="2">
        <v>9127</v>
      </c>
      <c r="G159" s="2">
        <v>9046</v>
      </c>
      <c r="H159" s="3" t="str">
        <f>VLOOKUP(G159,[1]building!$A$2:$D$351,3,FALSE)</f>
        <v>!!BLDG_NAME_TREAT_SHOP</v>
      </c>
      <c r="I159" s="2">
        <v>15</v>
      </c>
      <c r="J159" s="2">
        <v>1</v>
      </c>
      <c r="K159" s="3">
        <v>10011</v>
      </c>
      <c r="L159" s="3">
        <v>9107</v>
      </c>
      <c r="M159" s="3">
        <v>9108</v>
      </c>
      <c r="N159" s="3">
        <v>9110</v>
      </c>
      <c r="O159" s="3">
        <v>9115</v>
      </c>
      <c r="P159" s="3">
        <v>-1</v>
      </c>
      <c r="Q159" s="3">
        <v>1</v>
      </c>
      <c r="R159" s="3">
        <v>1</v>
      </c>
      <c r="S159" s="3">
        <v>1</v>
      </c>
      <c r="T159" s="3">
        <v>1</v>
      </c>
      <c r="U159" s="3">
        <v>1</v>
      </c>
      <c r="V159" s="3">
        <v>-1</v>
      </c>
      <c r="W159">
        <v>86400</v>
      </c>
      <c r="X159" t="s">
        <v>52</v>
      </c>
      <c r="Y159" t="s">
        <v>53</v>
      </c>
      <c r="Z159">
        <v>1</v>
      </c>
      <c r="AA159" t="s">
        <v>427</v>
      </c>
      <c r="AB159">
        <v>10</v>
      </c>
      <c r="AC159" s="3" t="s">
        <v>59</v>
      </c>
      <c r="AD159" s="3" t="s">
        <v>59</v>
      </c>
      <c r="AE159" s="3" t="s">
        <v>59</v>
      </c>
      <c r="AF159">
        <v>1</v>
      </c>
      <c r="AG159" s="3" t="s">
        <v>59</v>
      </c>
      <c r="AH159" s="3" t="s">
        <v>59</v>
      </c>
      <c r="AI159" s="3" t="s">
        <v>59</v>
      </c>
      <c r="AJ159">
        <v>1</v>
      </c>
      <c r="AK159" s="3">
        <v>-1</v>
      </c>
      <c r="AL159" s="3">
        <v>-1</v>
      </c>
      <c r="AM159" s="3">
        <v>-1</v>
      </c>
      <c r="AN159" s="3">
        <v>-1</v>
      </c>
      <c r="AO159" s="3">
        <v>-1</v>
      </c>
      <c r="AP159" s="3">
        <v>-1</v>
      </c>
    </row>
    <row r="160" spans="1:42" x14ac:dyDescent="0.25">
      <c r="A160" s="3">
        <v>158</v>
      </c>
      <c r="B160" s="3" t="str">
        <f>VLOOKUP(E160,[1]recipe!$A$2:$D$500,3,FALSE)</f>
        <v>!!FOOD_CHOCOLATES</v>
      </c>
      <c r="C160" t="s">
        <v>433</v>
      </c>
      <c r="D160" t="s">
        <v>56</v>
      </c>
      <c r="E160" s="2">
        <v>9201</v>
      </c>
      <c r="F160" s="2">
        <v>9201</v>
      </c>
      <c r="G160" s="2">
        <v>9046</v>
      </c>
      <c r="H160" s="3" t="str">
        <f>VLOOKUP(G160,[1]building!$A$2:$D$351,3,FALSE)</f>
        <v>!!BLDG_NAME_TREAT_SHOP</v>
      </c>
      <c r="I160" s="2">
        <v>1</v>
      </c>
      <c r="J160" s="2">
        <v>1</v>
      </c>
      <c r="K160" s="3">
        <v>9109</v>
      </c>
      <c r="L160" s="3">
        <v>-1</v>
      </c>
      <c r="M160" s="3">
        <v>-1</v>
      </c>
      <c r="N160" s="3">
        <v>-1</v>
      </c>
      <c r="O160" s="3">
        <v>-1</v>
      </c>
      <c r="P160" s="3">
        <v>-1</v>
      </c>
      <c r="Q160" s="3">
        <v>1</v>
      </c>
      <c r="R160" s="3">
        <v>-1</v>
      </c>
      <c r="S160" s="3">
        <v>-1</v>
      </c>
      <c r="T160" s="3">
        <v>-1</v>
      </c>
      <c r="U160" s="3">
        <v>-1</v>
      </c>
      <c r="V160" s="3">
        <v>-1</v>
      </c>
      <c r="W160">
        <v>30</v>
      </c>
      <c r="X160" t="s">
        <v>57</v>
      </c>
      <c r="Y160" t="s">
        <v>790</v>
      </c>
      <c r="Z160">
        <v>1</v>
      </c>
      <c r="AA160" t="s">
        <v>433</v>
      </c>
      <c r="AB160">
        <v>10</v>
      </c>
      <c r="AC160" s="3" t="s">
        <v>59</v>
      </c>
      <c r="AD160" s="3" t="s">
        <v>59</v>
      </c>
      <c r="AE160" s="3" t="s">
        <v>59</v>
      </c>
      <c r="AF160">
        <v>1</v>
      </c>
      <c r="AG160" s="3" t="s">
        <v>59</v>
      </c>
      <c r="AH160" s="3" t="s">
        <v>59</v>
      </c>
      <c r="AI160" s="3" t="s">
        <v>59</v>
      </c>
      <c r="AJ160">
        <v>1</v>
      </c>
      <c r="AK160" s="3">
        <v>-1</v>
      </c>
      <c r="AL160" s="3">
        <v>-1</v>
      </c>
      <c r="AM160" s="3">
        <v>-1</v>
      </c>
      <c r="AN160" s="3">
        <v>-1</v>
      </c>
      <c r="AO160" s="3">
        <v>-1</v>
      </c>
      <c r="AP160" s="3">
        <v>-1</v>
      </c>
    </row>
    <row r="161" spans="1:42" x14ac:dyDescent="0.25">
      <c r="A161" s="3">
        <v>159</v>
      </c>
      <c r="B161" s="3" t="str">
        <f>VLOOKUP(E161,[1]recipe!$A$2:$D$500,3,FALSE)</f>
        <v>!!FOOD_TRUFFLES</v>
      </c>
      <c r="C161" t="s">
        <v>439</v>
      </c>
      <c r="D161" t="s">
        <v>56</v>
      </c>
      <c r="E161" s="2">
        <v>9203</v>
      </c>
      <c r="F161" s="2">
        <v>9203</v>
      </c>
      <c r="G161" s="2">
        <v>9046</v>
      </c>
      <c r="H161" s="3" t="str">
        <f>VLOOKUP(G161,[1]building!$A$2:$D$351,3,FALSE)</f>
        <v>!!BLDG_NAME_TREAT_SHOP</v>
      </c>
      <c r="I161" s="2">
        <v>2</v>
      </c>
      <c r="J161" s="2">
        <v>1</v>
      </c>
      <c r="K161" s="3">
        <v>9109</v>
      </c>
      <c r="L161" s="3">
        <v>9115</v>
      </c>
      <c r="M161" s="3">
        <v>9116</v>
      </c>
      <c r="N161" s="3">
        <v>-1</v>
      </c>
      <c r="O161" s="3">
        <v>-1</v>
      </c>
      <c r="P161" s="3">
        <v>-1</v>
      </c>
      <c r="Q161" s="3">
        <v>1</v>
      </c>
      <c r="R161" s="3">
        <v>1</v>
      </c>
      <c r="S161" s="3">
        <v>1</v>
      </c>
      <c r="T161" s="3">
        <v>-1</v>
      </c>
      <c r="U161" s="3">
        <v>-1</v>
      </c>
      <c r="V161" s="3">
        <v>-1</v>
      </c>
      <c r="W161">
        <v>7200</v>
      </c>
      <c r="X161" t="s">
        <v>52</v>
      </c>
      <c r="Y161" t="s">
        <v>53</v>
      </c>
      <c r="Z161">
        <v>1</v>
      </c>
      <c r="AA161" t="s">
        <v>439</v>
      </c>
      <c r="AB161">
        <v>10</v>
      </c>
      <c r="AC161" s="3" t="s">
        <v>59</v>
      </c>
      <c r="AD161" s="3" t="s">
        <v>59</v>
      </c>
      <c r="AE161" s="3" t="s">
        <v>59</v>
      </c>
      <c r="AF161">
        <v>1</v>
      </c>
      <c r="AG161" s="3" t="s">
        <v>59</v>
      </c>
      <c r="AH161" s="3" t="s">
        <v>59</v>
      </c>
      <c r="AI161" s="3" t="s">
        <v>59</v>
      </c>
      <c r="AJ161">
        <v>1</v>
      </c>
      <c r="AK161" s="3">
        <v>-1</v>
      </c>
      <c r="AL161" s="3">
        <v>-1</v>
      </c>
      <c r="AM161" s="3">
        <v>-1</v>
      </c>
      <c r="AN161" s="3">
        <v>-1</v>
      </c>
      <c r="AO161" s="3">
        <v>-1</v>
      </c>
      <c r="AP161" s="3">
        <v>-1</v>
      </c>
    </row>
    <row r="162" spans="1:42" x14ac:dyDescent="0.25">
      <c r="A162" s="3">
        <v>160</v>
      </c>
      <c r="B162" s="3" t="str">
        <f>VLOOKUP(E162,[1]recipe!$A$2:$D$500,3,FALSE)</f>
        <v>!!FOOD_COTTON_CANDY</v>
      </c>
      <c r="C162" t="s">
        <v>442</v>
      </c>
      <c r="D162" t="s">
        <v>56</v>
      </c>
      <c r="E162" s="2">
        <v>9204</v>
      </c>
      <c r="F162" s="2">
        <v>9204</v>
      </c>
      <c r="G162" s="2">
        <v>9046</v>
      </c>
      <c r="H162" s="3" t="str">
        <f>VLOOKUP(G162,[1]building!$A$2:$D$351,3,FALSE)</f>
        <v>!!BLDG_NAME_TREAT_SHOP</v>
      </c>
      <c r="I162" s="2">
        <v>1</v>
      </c>
      <c r="J162" s="2">
        <v>1</v>
      </c>
      <c r="K162" s="3">
        <v>9107</v>
      </c>
      <c r="L162" s="3">
        <v>-1</v>
      </c>
      <c r="M162" s="3">
        <v>-1</v>
      </c>
      <c r="N162" s="3">
        <v>-1</v>
      </c>
      <c r="O162" s="3">
        <v>-1</v>
      </c>
      <c r="P162" s="3">
        <v>-1</v>
      </c>
      <c r="Q162" s="3">
        <v>3</v>
      </c>
      <c r="R162" s="3">
        <v>-1</v>
      </c>
      <c r="S162" s="3">
        <v>-1</v>
      </c>
      <c r="T162" s="3">
        <v>-1</v>
      </c>
      <c r="U162" s="3">
        <v>-1</v>
      </c>
      <c r="V162" s="3">
        <v>-1</v>
      </c>
      <c r="W162">
        <v>14400</v>
      </c>
      <c r="X162" t="s">
        <v>52</v>
      </c>
      <c r="Y162" t="s">
        <v>53</v>
      </c>
      <c r="Z162">
        <v>1</v>
      </c>
      <c r="AA162" t="s">
        <v>442</v>
      </c>
      <c r="AB162">
        <v>10</v>
      </c>
      <c r="AC162" s="3" t="s">
        <v>59</v>
      </c>
      <c r="AD162" s="3" t="s">
        <v>59</v>
      </c>
      <c r="AE162" s="3" t="s">
        <v>59</v>
      </c>
      <c r="AF162">
        <v>1</v>
      </c>
      <c r="AG162" s="3" t="s">
        <v>59</v>
      </c>
      <c r="AH162" s="3" t="s">
        <v>59</v>
      </c>
      <c r="AI162" s="3" t="s">
        <v>59</v>
      </c>
      <c r="AJ162">
        <v>1</v>
      </c>
      <c r="AK162" s="3">
        <v>-1</v>
      </c>
      <c r="AL162" s="3">
        <v>-1</v>
      </c>
      <c r="AM162" s="3">
        <v>-1</v>
      </c>
      <c r="AN162" s="3">
        <v>-1</v>
      </c>
      <c r="AO162" s="3">
        <v>-1</v>
      </c>
      <c r="AP162" s="3">
        <v>-1</v>
      </c>
    </row>
    <row r="163" spans="1:42" x14ac:dyDescent="0.25">
      <c r="A163" s="3">
        <v>161</v>
      </c>
      <c r="B163" s="3" t="str">
        <f>VLOOKUP(E163,[1]recipe!$A$2:$D$500,3,FALSE)</f>
        <v>!!FOOD_CANDY_HEART_ON_STICK</v>
      </c>
      <c r="C163" t="s">
        <v>445</v>
      </c>
      <c r="D163" t="s">
        <v>56</v>
      </c>
      <c r="E163" s="2">
        <v>9205</v>
      </c>
      <c r="F163" s="2">
        <v>9205</v>
      </c>
      <c r="G163" s="2">
        <v>9046</v>
      </c>
      <c r="H163" s="3" t="str">
        <f>VLOOKUP(G163,[1]building!$A$2:$D$351,3,FALSE)</f>
        <v>!!BLDG_NAME_TREAT_SHOP</v>
      </c>
      <c r="I163" s="2">
        <v>1</v>
      </c>
      <c r="J163" s="2">
        <v>1</v>
      </c>
      <c r="K163" s="3">
        <v>9107</v>
      </c>
      <c r="L163" s="3">
        <v>9108</v>
      </c>
      <c r="M163" s="3">
        <v>-1</v>
      </c>
      <c r="N163" s="3">
        <v>-1</v>
      </c>
      <c r="O163" s="3">
        <v>-1</v>
      </c>
      <c r="P163" s="3">
        <v>-1</v>
      </c>
      <c r="Q163" s="3">
        <v>1</v>
      </c>
      <c r="R163" s="3">
        <v>1</v>
      </c>
      <c r="S163" s="3">
        <v>-1</v>
      </c>
      <c r="T163" s="3">
        <v>-1</v>
      </c>
      <c r="U163" s="3">
        <v>-1</v>
      </c>
      <c r="V163" s="3">
        <v>-1</v>
      </c>
      <c r="W163">
        <v>21600</v>
      </c>
      <c r="X163" t="s">
        <v>52</v>
      </c>
      <c r="Y163" t="s">
        <v>53</v>
      </c>
      <c r="Z163">
        <v>1</v>
      </c>
      <c r="AA163" t="s">
        <v>445</v>
      </c>
      <c r="AB163">
        <v>10</v>
      </c>
      <c r="AC163" s="3" t="s">
        <v>59</v>
      </c>
      <c r="AD163" s="3" t="s">
        <v>59</v>
      </c>
      <c r="AE163" s="3" t="s">
        <v>59</v>
      </c>
      <c r="AF163">
        <v>1</v>
      </c>
      <c r="AG163" s="3" t="s">
        <v>59</v>
      </c>
      <c r="AH163" s="3" t="s">
        <v>59</v>
      </c>
      <c r="AI163" s="3" t="s">
        <v>59</v>
      </c>
      <c r="AJ163">
        <v>1</v>
      </c>
      <c r="AK163" s="3">
        <v>-1</v>
      </c>
      <c r="AL163" s="3">
        <v>-1</v>
      </c>
      <c r="AM163" s="3">
        <v>-1</v>
      </c>
      <c r="AN163" s="3">
        <v>-1</v>
      </c>
      <c r="AO163" s="3">
        <v>-1</v>
      </c>
      <c r="AP163" s="3">
        <v>-1</v>
      </c>
    </row>
    <row r="164" spans="1:42" x14ac:dyDescent="0.25">
      <c r="A164" s="3">
        <v>162</v>
      </c>
      <c r="B164" s="3" t="str">
        <f>VLOOKUP(E164,[1]recipe!$A$2:$D$500,3,FALSE)</f>
        <v>!!FOOD_BANANA</v>
      </c>
      <c r="C164" s="3" t="s">
        <v>791</v>
      </c>
      <c r="D164" s="3" t="s">
        <v>773</v>
      </c>
      <c r="E164" s="3">
        <v>10000</v>
      </c>
      <c r="F164" s="3">
        <v>10000</v>
      </c>
      <c r="G164" s="3">
        <v>10000</v>
      </c>
      <c r="H164" s="3" t="str">
        <f>VLOOKUP(G164,[1]building!$A$2:$D$351,3,FALSE)</f>
        <v>!!TREE_NAME_BANANA</v>
      </c>
      <c r="I164" s="3">
        <v>1</v>
      </c>
      <c r="J164" s="3">
        <v>2</v>
      </c>
      <c r="K164" s="3">
        <v>-1</v>
      </c>
      <c r="L164" s="3">
        <v>-1</v>
      </c>
      <c r="M164" s="3">
        <v>-1</v>
      </c>
      <c r="N164" s="3">
        <v>-1</v>
      </c>
      <c r="O164" s="3">
        <v>-1</v>
      </c>
      <c r="P164" s="3">
        <v>-1</v>
      </c>
      <c r="Q164" s="3">
        <v>-1</v>
      </c>
      <c r="R164" s="3">
        <v>-1</v>
      </c>
      <c r="S164" s="3">
        <v>-1</v>
      </c>
      <c r="T164" s="3">
        <v>-1</v>
      </c>
      <c r="U164" s="3">
        <v>-1</v>
      </c>
      <c r="V164" s="3">
        <v>-1</v>
      </c>
      <c r="W164" s="3">
        <v>0</v>
      </c>
      <c r="X164" s="3" t="s">
        <v>57</v>
      </c>
      <c r="Y164" s="3" t="s">
        <v>790</v>
      </c>
      <c r="Z164" s="3">
        <v>8</v>
      </c>
      <c r="AA164" s="3" t="s">
        <v>791</v>
      </c>
      <c r="AB164" s="3">
        <v>10</v>
      </c>
      <c r="AC164" s="3" t="s">
        <v>59</v>
      </c>
      <c r="AD164" s="3" t="s">
        <v>59</v>
      </c>
      <c r="AE164" s="3" t="s">
        <v>59</v>
      </c>
      <c r="AF164" s="3">
        <v>0</v>
      </c>
      <c r="AG164" s="3" t="s">
        <v>59</v>
      </c>
      <c r="AH164" s="3" t="s">
        <v>59</v>
      </c>
      <c r="AI164" s="3" t="s">
        <v>59</v>
      </c>
      <c r="AJ164" s="3">
        <v>0</v>
      </c>
      <c r="AK164" s="3">
        <v>-1</v>
      </c>
      <c r="AL164" s="3">
        <v>-1</v>
      </c>
      <c r="AM164" s="3">
        <v>-1</v>
      </c>
      <c r="AN164" s="3">
        <v>-1</v>
      </c>
      <c r="AO164" s="3">
        <v>-1</v>
      </c>
      <c r="AP164" s="3">
        <v>-1</v>
      </c>
    </row>
    <row r="165" spans="1:42" x14ac:dyDescent="0.25">
      <c r="A165" s="3">
        <v>163</v>
      </c>
      <c r="B165" s="3" t="str">
        <f>VLOOKUP(E165,[1]recipe!$A$2:$D$500,3,FALSE)</f>
        <v>!!FOOD_APPLE</v>
      </c>
      <c r="C165" s="3" t="s">
        <v>789</v>
      </c>
      <c r="D165" s="3" t="s">
        <v>773</v>
      </c>
      <c r="E165" s="3">
        <v>10001</v>
      </c>
      <c r="F165" s="3">
        <v>10001</v>
      </c>
      <c r="G165" s="3">
        <v>10001</v>
      </c>
      <c r="H165" s="3" t="str">
        <f>VLOOKUP(G165,[1]building!$A$2:$D$351,3,FALSE)</f>
        <v>!!TREE_NAME_APPLE</v>
      </c>
      <c r="I165" s="3">
        <v>1</v>
      </c>
      <c r="J165" s="3">
        <v>2</v>
      </c>
      <c r="K165" s="3">
        <v>-1</v>
      </c>
      <c r="L165" s="3">
        <v>-1</v>
      </c>
      <c r="M165" s="3">
        <v>-1</v>
      </c>
      <c r="N165" s="3">
        <v>-1</v>
      </c>
      <c r="O165" s="3">
        <v>-1</v>
      </c>
      <c r="P165" s="3">
        <v>-1</v>
      </c>
      <c r="Q165" s="3">
        <v>-1</v>
      </c>
      <c r="R165" s="3">
        <v>-1</v>
      </c>
      <c r="S165" s="3">
        <v>-1</v>
      </c>
      <c r="T165" s="3">
        <v>-1</v>
      </c>
      <c r="U165" s="3">
        <v>-1</v>
      </c>
      <c r="V165" s="3">
        <v>-1</v>
      </c>
      <c r="W165" s="3">
        <v>0</v>
      </c>
      <c r="X165" s="3" t="s">
        <v>57</v>
      </c>
      <c r="Y165" s="3" t="s">
        <v>790</v>
      </c>
      <c r="Z165" s="3">
        <v>14</v>
      </c>
      <c r="AA165" s="3" t="s">
        <v>789</v>
      </c>
      <c r="AB165" s="3">
        <v>10</v>
      </c>
      <c r="AC165" s="3" t="s">
        <v>59</v>
      </c>
      <c r="AD165" s="3" t="s">
        <v>59</v>
      </c>
      <c r="AE165" s="3" t="s">
        <v>59</v>
      </c>
      <c r="AF165" s="3">
        <v>0</v>
      </c>
      <c r="AG165" s="3" t="s">
        <v>59</v>
      </c>
      <c r="AH165" s="3" t="s">
        <v>59</v>
      </c>
      <c r="AI165" s="3" t="s">
        <v>59</v>
      </c>
      <c r="AJ165" s="3">
        <v>0</v>
      </c>
      <c r="AK165" s="3">
        <v>-1</v>
      </c>
      <c r="AL165" s="3">
        <v>-1</v>
      </c>
      <c r="AM165" s="3">
        <v>-1</v>
      </c>
      <c r="AN165" s="3">
        <v>-1</v>
      </c>
      <c r="AO165" s="3">
        <v>-1</v>
      </c>
      <c r="AP165" s="3">
        <v>-1</v>
      </c>
    </row>
    <row r="166" spans="1:42" x14ac:dyDescent="0.25">
      <c r="A166" s="3">
        <v>164</v>
      </c>
      <c r="B166" s="3" t="str">
        <f>VLOOKUP(E166,[1]recipe!$A$2:$D$500,3,FALSE)</f>
        <v>!!FOOD_CHERRY</v>
      </c>
      <c r="C166" s="3" t="s">
        <v>793</v>
      </c>
      <c r="D166" s="3" t="s">
        <v>773</v>
      </c>
      <c r="E166" s="3">
        <v>10002</v>
      </c>
      <c r="F166" s="3">
        <v>10002</v>
      </c>
      <c r="G166" s="3">
        <v>10002</v>
      </c>
      <c r="H166" s="3" t="str">
        <f>VLOOKUP(G166,[1]building!$A$2:$D$351,3,FALSE)</f>
        <v>!!TREE_NAME_CHERRY</v>
      </c>
      <c r="I166" s="3">
        <v>1</v>
      </c>
      <c r="J166" s="3">
        <v>2</v>
      </c>
      <c r="K166" s="3">
        <v>-1</v>
      </c>
      <c r="L166" s="3">
        <v>-1</v>
      </c>
      <c r="M166" s="3">
        <v>-1</v>
      </c>
      <c r="N166" s="3">
        <v>-1</v>
      </c>
      <c r="O166" s="3">
        <v>-1</v>
      </c>
      <c r="P166" s="3">
        <v>-1</v>
      </c>
      <c r="Q166" s="3">
        <v>-1</v>
      </c>
      <c r="R166" s="3">
        <v>-1</v>
      </c>
      <c r="S166" s="3">
        <v>-1</v>
      </c>
      <c r="T166" s="3">
        <v>-1</v>
      </c>
      <c r="U166" s="3">
        <v>-1</v>
      </c>
      <c r="V166" s="3">
        <v>-1</v>
      </c>
      <c r="W166" s="3">
        <v>0</v>
      </c>
      <c r="X166" s="3" t="s">
        <v>57</v>
      </c>
      <c r="Y166" s="3" t="s">
        <v>790</v>
      </c>
      <c r="Z166" s="3">
        <v>12</v>
      </c>
      <c r="AA166" s="3" t="s">
        <v>793</v>
      </c>
      <c r="AB166" s="3">
        <v>10</v>
      </c>
      <c r="AC166" s="3" t="s">
        <v>59</v>
      </c>
      <c r="AD166" s="3" t="s">
        <v>59</v>
      </c>
      <c r="AE166" s="3" t="s">
        <v>59</v>
      </c>
      <c r="AF166" s="3">
        <v>0</v>
      </c>
      <c r="AG166" s="3" t="s">
        <v>59</v>
      </c>
      <c r="AH166" s="3" t="s">
        <v>59</v>
      </c>
      <c r="AI166" s="3" t="s">
        <v>59</v>
      </c>
      <c r="AJ166" s="3">
        <v>0</v>
      </c>
      <c r="AK166" s="3">
        <v>-1</v>
      </c>
      <c r="AL166" s="3">
        <v>-1</v>
      </c>
      <c r="AM166" s="3">
        <v>-1</v>
      </c>
      <c r="AN166" s="3">
        <v>-1</v>
      </c>
      <c r="AO166" s="3">
        <v>-1</v>
      </c>
      <c r="AP166" s="3">
        <v>-1</v>
      </c>
    </row>
    <row r="167" spans="1:42" x14ac:dyDescent="0.25">
      <c r="A167" s="3">
        <v>165</v>
      </c>
      <c r="B167" s="3" t="str">
        <f>VLOOKUP(E167,[1]recipe!$A$2:$D$500,3,FALSE)</f>
        <v>!!FOOD_COCONUT</v>
      </c>
      <c r="C167" s="3" t="s">
        <v>794</v>
      </c>
      <c r="D167" s="3" t="s">
        <v>773</v>
      </c>
      <c r="E167" s="3">
        <v>10003</v>
      </c>
      <c r="F167" s="3">
        <v>10003</v>
      </c>
      <c r="G167" s="3">
        <v>10003</v>
      </c>
      <c r="H167" s="3" t="str">
        <f>VLOOKUP(G167,[1]building!$A$2:$D$351,3,FALSE)</f>
        <v>!!TREE_NAME_COCONUT</v>
      </c>
      <c r="I167" s="3">
        <v>1</v>
      </c>
      <c r="J167" s="3">
        <v>2</v>
      </c>
      <c r="K167" s="3">
        <v>-1</v>
      </c>
      <c r="L167" s="3">
        <v>-1</v>
      </c>
      <c r="M167" s="3">
        <v>-1</v>
      </c>
      <c r="N167" s="3">
        <v>-1</v>
      </c>
      <c r="O167" s="3">
        <v>-1</v>
      </c>
      <c r="P167" s="3">
        <v>-1</v>
      </c>
      <c r="Q167" s="3">
        <v>-1</v>
      </c>
      <c r="R167" s="3">
        <v>-1</v>
      </c>
      <c r="S167" s="3">
        <v>-1</v>
      </c>
      <c r="T167" s="3">
        <v>-1</v>
      </c>
      <c r="U167" s="3">
        <v>-1</v>
      </c>
      <c r="V167" s="3">
        <v>-1</v>
      </c>
      <c r="W167" s="3">
        <v>0</v>
      </c>
      <c r="X167" s="3" t="s">
        <v>57</v>
      </c>
      <c r="Y167" s="3" t="s">
        <v>790</v>
      </c>
      <c r="Z167" s="3">
        <v>22</v>
      </c>
      <c r="AA167" s="3" t="s">
        <v>794</v>
      </c>
      <c r="AB167" s="3">
        <v>10</v>
      </c>
      <c r="AC167" s="3" t="s">
        <v>59</v>
      </c>
      <c r="AD167" s="3" t="s">
        <v>59</v>
      </c>
      <c r="AE167" s="3" t="s">
        <v>59</v>
      </c>
      <c r="AF167" s="3">
        <v>0</v>
      </c>
      <c r="AG167" s="3" t="s">
        <v>59</v>
      </c>
      <c r="AH167" s="3" t="s">
        <v>59</v>
      </c>
      <c r="AI167" s="3" t="s">
        <v>59</v>
      </c>
      <c r="AJ167" s="3">
        <v>0</v>
      </c>
      <c r="AK167" s="3">
        <v>-1</v>
      </c>
      <c r="AL167" s="3">
        <v>-1</v>
      </c>
      <c r="AM167" s="3">
        <v>-1</v>
      </c>
      <c r="AN167" s="3">
        <v>-1</v>
      </c>
      <c r="AO167" s="3">
        <v>-1</v>
      </c>
      <c r="AP167" s="3">
        <v>-1</v>
      </c>
    </row>
    <row r="168" spans="1:42" x14ac:dyDescent="0.25">
      <c r="A168" s="3">
        <v>166</v>
      </c>
      <c r="B168" s="3" t="str">
        <f>VLOOKUP(E168,[1]recipe!$A$2:$D$500,3,FALSE)</f>
        <v>!!FOOD_LEMON</v>
      </c>
      <c r="C168" s="3" t="s">
        <v>795</v>
      </c>
      <c r="D168" s="3" t="s">
        <v>773</v>
      </c>
      <c r="E168" s="3">
        <v>10004</v>
      </c>
      <c r="F168" s="3">
        <v>10004</v>
      </c>
      <c r="G168" s="3">
        <v>10004</v>
      </c>
      <c r="H168" s="3" t="str">
        <f>VLOOKUP(G168,[1]building!$A$2:$D$351,3,FALSE)</f>
        <v>!!TREE_NAME_LEMON</v>
      </c>
      <c r="I168" s="3">
        <v>1</v>
      </c>
      <c r="J168" s="3">
        <v>2</v>
      </c>
      <c r="K168" s="3">
        <v>-1</v>
      </c>
      <c r="L168" s="3">
        <v>-1</v>
      </c>
      <c r="M168" s="3">
        <v>-1</v>
      </c>
      <c r="N168" s="3">
        <v>-1</v>
      </c>
      <c r="O168" s="3">
        <v>-1</v>
      </c>
      <c r="P168" s="3">
        <v>-1</v>
      </c>
      <c r="Q168" s="3">
        <v>-1</v>
      </c>
      <c r="R168" s="3">
        <v>-1</v>
      </c>
      <c r="S168" s="3">
        <v>-1</v>
      </c>
      <c r="T168" s="3">
        <v>-1</v>
      </c>
      <c r="U168" s="3">
        <v>-1</v>
      </c>
      <c r="V168" s="3">
        <v>-1</v>
      </c>
      <c r="W168" s="3">
        <v>0</v>
      </c>
      <c r="X168" s="3" t="s">
        <v>57</v>
      </c>
      <c r="Y168" s="3" t="s">
        <v>790</v>
      </c>
      <c r="Z168" s="3">
        <v>17</v>
      </c>
      <c r="AA168" s="3" t="s">
        <v>795</v>
      </c>
      <c r="AB168" s="3">
        <v>10</v>
      </c>
      <c r="AC168" s="3" t="s">
        <v>59</v>
      </c>
      <c r="AD168" s="3" t="s">
        <v>59</v>
      </c>
      <c r="AE168" s="3" t="s">
        <v>59</v>
      </c>
      <c r="AF168" s="3">
        <v>0</v>
      </c>
      <c r="AG168" s="3" t="s">
        <v>59</v>
      </c>
      <c r="AH168" s="3" t="s">
        <v>59</v>
      </c>
      <c r="AI168" s="3" t="s">
        <v>59</v>
      </c>
      <c r="AJ168" s="3">
        <v>0</v>
      </c>
      <c r="AK168" s="3">
        <v>-1</v>
      </c>
      <c r="AL168" s="3">
        <v>-1</v>
      </c>
      <c r="AM168" s="3">
        <v>-1</v>
      </c>
      <c r="AN168" s="3">
        <v>-1</v>
      </c>
      <c r="AO168" s="3">
        <v>-1</v>
      </c>
      <c r="AP168" s="3">
        <v>-1</v>
      </c>
    </row>
    <row r="169" spans="1:42" x14ac:dyDescent="0.25">
      <c r="A169" s="3">
        <v>167</v>
      </c>
      <c r="B169" s="3" t="str">
        <f>VLOOKUP(E169,[1]recipe!$A$2:$D$500,3,FALSE)</f>
        <v>!!FOOD_LIME</v>
      </c>
      <c r="C169" s="3" t="s">
        <v>796</v>
      </c>
      <c r="D169" s="3" t="s">
        <v>773</v>
      </c>
      <c r="E169" s="3">
        <v>10005</v>
      </c>
      <c r="F169" s="3">
        <v>10005</v>
      </c>
      <c r="G169" s="3">
        <v>10005</v>
      </c>
      <c r="H169" s="3" t="str">
        <f>VLOOKUP(G169,[1]building!$A$2:$D$351,3,FALSE)</f>
        <v>!!TREE_NAME_LIME</v>
      </c>
      <c r="I169" s="3">
        <v>1</v>
      </c>
      <c r="J169" s="3">
        <v>2</v>
      </c>
      <c r="K169" s="3">
        <v>-1</v>
      </c>
      <c r="L169" s="3">
        <v>-1</v>
      </c>
      <c r="M169" s="3">
        <v>-1</v>
      </c>
      <c r="N169" s="3">
        <v>-1</v>
      </c>
      <c r="O169" s="3">
        <v>-1</v>
      </c>
      <c r="P169" s="3">
        <v>-1</v>
      </c>
      <c r="Q169" s="3">
        <v>-1</v>
      </c>
      <c r="R169" s="3">
        <v>-1</v>
      </c>
      <c r="S169" s="3">
        <v>-1</v>
      </c>
      <c r="T169" s="3">
        <v>-1</v>
      </c>
      <c r="U169" s="3">
        <v>-1</v>
      </c>
      <c r="V169" s="3">
        <v>-1</v>
      </c>
      <c r="W169" s="3">
        <v>0</v>
      </c>
      <c r="X169" s="3" t="s">
        <v>57</v>
      </c>
      <c r="Y169" s="3" t="s">
        <v>790</v>
      </c>
      <c r="Z169" s="3">
        <v>19</v>
      </c>
      <c r="AA169" s="3" t="s">
        <v>796</v>
      </c>
      <c r="AB169" s="3">
        <v>10</v>
      </c>
      <c r="AC169" s="3" t="s">
        <v>59</v>
      </c>
      <c r="AD169" s="3" t="s">
        <v>59</v>
      </c>
      <c r="AE169" s="3" t="s">
        <v>59</v>
      </c>
      <c r="AF169" s="3">
        <v>0</v>
      </c>
      <c r="AG169" s="3" t="s">
        <v>59</v>
      </c>
      <c r="AH169" s="3" t="s">
        <v>59</v>
      </c>
      <c r="AI169" s="3" t="s">
        <v>59</v>
      </c>
      <c r="AJ169" s="3">
        <v>0</v>
      </c>
      <c r="AK169" s="3">
        <v>-1</v>
      </c>
      <c r="AL169" s="3">
        <v>-1</v>
      </c>
      <c r="AM169" s="3">
        <v>-1</v>
      </c>
      <c r="AN169" s="3">
        <v>-1</v>
      </c>
      <c r="AO169" s="3">
        <v>-1</v>
      </c>
      <c r="AP169" s="3">
        <v>-1</v>
      </c>
    </row>
    <row r="170" spans="1:42" x14ac:dyDescent="0.25">
      <c r="A170" s="3">
        <v>168</v>
      </c>
      <c r="B170" s="3" t="str">
        <f>VLOOKUP(E170,[1]recipe!$A$2:$D$500,3,FALSE)</f>
        <v>!!FOOD_ORANGE</v>
      </c>
      <c r="C170" s="3" t="s">
        <v>797</v>
      </c>
      <c r="D170" s="3" t="s">
        <v>773</v>
      </c>
      <c r="E170" s="3">
        <v>10006</v>
      </c>
      <c r="F170" s="3">
        <v>10006</v>
      </c>
      <c r="G170" s="3">
        <v>10006</v>
      </c>
      <c r="H170" s="3" t="str">
        <f>VLOOKUP(G170,[1]building!$A$2:$D$351,3,FALSE)</f>
        <v>!!TREE_NAME_ORANGE</v>
      </c>
      <c r="I170" s="3">
        <v>1</v>
      </c>
      <c r="J170" s="3">
        <v>2</v>
      </c>
      <c r="K170" s="3">
        <v>-1</v>
      </c>
      <c r="L170" s="3">
        <v>-1</v>
      </c>
      <c r="M170" s="3">
        <v>-1</v>
      </c>
      <c r="N170" s="3">
        <v>-1</v>
      </c>
      <c r="O170" s="3">
        <v>-1</v>
      </c>
      <c r="P170" s="3">
        <v>-1</v>
      </c>
      <c r="Q170" s="3">
        <v>-1</v>
      </c>
      <c r="R170" s="3">
        <v>-1</v>
      </c>
      <c r="S170" s="3">
        <v>-1</v>
      </c>
      <c r="T170" s="3">
        <v>-1</v>
      </c>
      <c r="U170" s="3">
        <v>-1</v>
      </c>
      <c r="V170" s="3">
        <v>-1</v>
      </c>
      <c r="W170" s="3">
        <v>0</v>
      </c>
      <c r="X170" s="3" t="s">
        <v>57</v>
      </c>
      <c r="Y170" s="3" t="s">
        <v>790</v>
      </c>
      <c r="Z170" s="3">
        <v>1</v>
      </c>
      <c r="AA170" s="3" t="s">
        <v>797</v>
      </c>
      <c r="AB170" s="3">
        <v>10</v>
      </c>
      <c r="AC170" s="3" t="s">
        <v>59</v>
      </c>
      <c r="AD170" s="3" t="s">
        <v>59</v>
      </c>
      <c r="AE170" s="3" t="s">
        <v>59</v>
      </c>
      <c r="AF170" s="3">
        <v>0</v>
      </c>
      <c r="AG170" s="3" t="s">
        <v>59</v>
      </c>
      <c r="AH170" s="3" t="s">
        <v>59</v>
      </c>
      <c r="AI170" s="3" t="s">
        <v>59</v>
      </c>
      <c r="AJ170" s="3">
        <v>0</v>
      </c>
      <c r="AK170" s="3">
        <v>-1</v>
      </c>
      <c r="AL170" s="3">
        <v>-1</v>
      </c>
      <c r="AM170" s="3">
        <v>-1</v>
      </c>
      <c r="AN170" s="3">
        <v>-1</v>
      </c>
      <c r="AO170" s="3">
        <v>-1</v>
      </c>
      <c r="AP170" s="3">
        <v>-1</v>
      </c>
    </row>
    <row r="171" spans="1:42" x14ac:dyDescent="0.25">
      <c r="A171" s="3">
        <v>169</v>
      </c>
      <c r="B171" s="3" t="str">
        <f>VLOOKUP(E171,[1]recipe!$A$2:$D$500,3,FALSE)</f>
        <v>!!FOOD_PEACH</v>
      </c>
      <c r="C171" s="3" t="s">
        <v>798</v>
      </c>
      <c r="D171" s="3" t="s">
        <v>773</v>
      </c>
      <c r="E171" s="3">
        <v>10007</v>
      </c>
      <c r="F171" s="3">
        <v>10007</v>
      </c>
      <c r="G171" s="3">
        <v>10007</v>
      </c>
      <c r="H171" s="3" t="str">
        <f>VLOOKUP(G171,[1]building!$A$2:$D$351,3,FALSE)</f>
        <v>!!TREE_NAME_PEACH</v>
      </c>
      <c r="I171" s="3">
        <v>1</v>
      </c>
      <c r="J171" s="3">
        <v>2</v>
      </c>
      <c r="K171" s="3">
        <v>-1</v>
      </c>
      <c r="L171" s="3">
        <v>-1</v>
      </c>
      <c r="M171" s="3">
        <v>-1</v>
      </c>
      <c r="N171" s="3">
        <v>-1</v>
      </c>
      <c r="O171" s="3">
        <v>-1</v>
      </c>
      <c r="P171" s="3">
        <v>-1</v>
      </c>
      <c r="Q171" s="3">
        <v>-1</v>
      </c>
      <c r="R171" s="3">
        <v>-1</v>
      </c>
      <c r="S171" s="3">
        <v>-1</v>
      </c>
      <c r="T171" s="3">
        <v>-1</v>
      </c>
      <c r="U171" s="3">
        <v>-1</v>
      </c>
      <c r="V171" s="3">
        <v>-1</v>
      </c>
      <c r="W171" s="3">
        <v>0</v>
      </c>
      <c r="X171" s="3" t="s">
        <v>57</v>
      </c>
      <c r="Y171" s="3" t="s">
        <v>790</v>
      </c>
      <c r="Z171" s="3">
        <v>23</v>
      </c>
      <c r="AA171" s="3" t="s">
        <v>798</v>
      </c>
      <c r="AB171" s="3">
        <v>10</v>
      </c>
      <c r="AC171" s="3" t="s">
        <v>59</v>
      </c>
      <c r="AD171" s="3" t="s">
        <v>59</v>
      </c>
      <c r="AE171" s="3" t="s">
        <v>59</v>
      </c>
      <c r="AF171" s="3">
        <v>0</v>
      </c>
      <c r="AG171" s="3" t="s">
        <v>59</v>
      </c>
      <c r="AH171" s="3" t="s">
        <v>59</v>
      </c>
      <c r="AI171" s="3" t="s">
        <v>59</v>
      </c>
      <c r="AJ171" s="3">
        <v>0</v>
      </c>
      <c r="AK171" s="3">
        <v>-1</v>
      </c>
      <c r="AL171" s="3">
        <v>-1</v>
      </c>
      <c r="AM171" s="3">
        <v>-1</v>
      </c>
      <c r="AN171" s="3">
        <v>-1</v>
      </c>
      <c r="AO171" s="3">
        <v>-1</v>
      </c>
      <c r="AP171" s="3">
        <v>-1</v>
      </c>
    </row>
    <row r="172" spans="1:42" x14ac:dyDescent="0.25">
      <c r="A172" s="3">
        <v>170</v>
      </c>
      <c r="B172" s="3" t="str">
        <f>VLOOKUP(E172,[1]recipe!$A$2:$D$500,3,FALSE)</f>
        <v>!!FOOD_CHESTNUT</v>
      </c>
      <c r="C172" t="s">
        <v>985</v>
      </c>
      <c r="D172" t="s">
        <v>773</v>
      </c>
      <c r="E172" s="2">
        <v>10010</v>
      </c>
      <c r="F172" s="2">
        <v>10010</v>
      </c>
      <c r="G172" s="2">
        <v>10010</v>
      </c>
      <c r="H172" s="3" t="str">
        <f>VLOOKUP(G172,[1]building!$A$2:$D$351,3,FALSE)</f>
        <v>!!TREE_NAME_CHESTNUT</v>
      </c>
      <c r="I172" s="2">
        <v>1</v>
      </c>
      <c r="J172" s="2">
        <v>2</v>
      </c>
      <c r="K172" s="3">
        <v>-1</v>
      </c>
      <c r="L172" s="3">
        <v>-1</v>
      </c>
      <c r="M172" s="3">
        <v>-1</v>
      </c>
      <c r="N172" s="3">
        <v>-1</v>
      </c>
      <c r="O172" s="3">
        <v>-1</v>
      </c>
      <c r="P172" s="3">
        <v>-1</v>
      </c>
      <c r="Q172" s="3">
        <v>-1</v>
      </c>
      <c r="R172" s="3">
        <v>-1</v>
      </c>
      <c r="S172" s="3">
        <v>-1</v>
      </c>
      <c r="T172" s="3">
        <v>-1</v>
      </c>
      <c r="U172" s="3">
        <v>-1</v>
      </c>
      <c r="V172" s="3">
        <v>-1</v>
      </c>
      <c r="W172">
        <v>0</v>
      </c>
      <c r="X172" t="s">
        <v>57</v>
      </c>
      <c r="Y172" t="s">
        <v>790</v>
      </c>
      <c r="Z172">
        <v>-1</v>
      </c>
      <c r="AA172" t="s">
        <v>985</v>
      </c>
      <c r="AB172">
        <v>10</v>
      </c>
      <c r="AC172" s="3" t="s">
        <v>59</v>
      </c>
      <c r="AD172" s="3" t="s">
        <v>59</v>
      </c>
      <c r="AE172" s="3" t="s">
        <v>59</v>
      </c>
      <c r="AF172">
        <v>0</v>
      </c>
      <c r="AG172" s="3" t="s">
        <v>59</v>
      </c>
      <c r="AH172" s="3" t="s">
        <v>59</v>
      </c>
      <c r="AI172" s="3" t="s">
        <v>59</v>
      </c>
      <c r="AJ172">
        <v>0</v>
      </c>
      <c r="AK172" s="3">
        <v>-1</v>
      </c>
      <c r="AL172" s="3">
        <v>-1</v>
      </c>
      <c r="AM172" s="3">
        <v>-1</v>
      </c>
      <c r="AN172" s="3">
        <v>-1</v>
      </c>
      <c r="AO172" s="3">
        <v>-1</v>
      </c>
      <c r="AP172" s="3">
        <v>-1</v>
      </c>
    </row>
    <row r="173" spans="1:42" x14ac:dyDescent="0.25">
      <c r="A173" s="3">
        <v>171</v>
      </c>
      <c r="B173" s="3" t="str">
        <f>VLOOKUP(E173,[1]recipe!$A$2:$D$500,3,FALSE)</f>
        <v>!!FOOD_CRANBERRY</v>
      </c>
      <c r="C173" t="s">
        <v>986</v>
      </c>
      <c r="D173" t="s">
        <v>773</v>
      </c>
      <c r="E173" s="2">
        <v>10011</v>
      </c>
      <c r="F173" s="2">
        <v>10011</v>
      </c>
      <c r="G173" s="2">
        <v>10011</v>
      </c>
      <c r="H173" s="3" t="str">
        <f>VLOOKUP(G173,[1]building!$A$2:$D$351,3,FALSE)</f>
        <v>!!TREE_NAME_CRANBERRY</v>
      </c>
      <c r="I173" s="2">
        <v>1</v>
      </c>
      <c r="J173" s="2">
        <v>2</v>
      </c>
      <c r="K173" s="3">
        <v>-1</v>
      </c>
      <c r="L173" s="3">
        <v>-1</v>
      </c>
      <c r="M173" s="3">
        <v>-1</v>
      </c>
      <c r="N173" s="3">
        <v>-1</v>
      </c>
      <c r="O173" s="3">
        <v>-1</v>
      </c>
      <c r="P173" s="3">
        <v>-1</v>
      </c>
      <c r="Q173" s="3">
        <v>-1</v>
      </c>
      <c r="R173" s="3">
        <v>-1</v>
      </c>
      <c r="S173" s="3">
        <v>-1</v>
      </c>
      <c r="T173" s="3">
        <v>-1</v>
      </c>
      <c r="U173" s="3">
        <v>-1</v>
      </c>
      <c r="V173" s="3">
        <v>-1</v>
      </c>
      <c r="W173">
        <v>0</v>
      </c>
      <c r="X173" t="s">
        <v>57</v>
      </c>
      <c r="Y173" t="s">
        <v>790</v>
      </c>
      <c r="Z173">
        <v>-1</v>
      </c>
      <c r="AA173" t="s">
        <v>986</v>
      </c>
      <c r="AB173">
        <v>10</v>
      </c>
      <c r="AC173" s="3" t="s">
        <v>59</v>
      </c>
      <c r="AD173" s="3" t="s">
        <v>59</v>
      </c>
      <c r="AE173" s="3" t="s">
        <v>59</v>
      </c>
      <c r="AF173">
        <v>0</v>
      </c>
      <c r="AG173" s="3" t="s">
        <v>59</v>
      </c>
      <c r="AH173" s="3" t="s">
        <v>59</v>
      </c>
      <c r="AI173" s="3" t="s">
        <v>59</v>
      </c>
      <c r="AJ173">
        <v>0</v>
      </c>
      <c r="AK173" s="3">
        <v>-1</v>
      </c>
      <c r="AL173" s="3">
        <v>-1</v>
      </c>
      <c r="AM173" s="3">
        <v>-1</v>
      </c>
      <c r="AN173" s="3">
        <v>-1</v>
      </c>
      <c r="AO173" s="3">
        <v>-1</v>
      </c>
      <c r="AP173" s="3">
        <v>-1</v>
      </c>
    </row>
    <row r="174" spans="1:42" customForma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</row>
    <row r="176" spans="1:42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</row>
    <row r="177" spans="1:42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</row>
    <row r="178" spans="1:42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</row>
    <row r="179" spans="1:42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</row>
    <row r="180" spans="1:42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</row>
    <row r="181" spans="1:42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</row>
    <row r="182" spans="1:42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</row>
    <row r="183" spans="1:42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</row>
    <row r="184" spans="1:42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</row>
    <row r="185" spans="1:42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</row>
    <row r="186" spans="1:42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</row>
    <row r="187" spans="1:42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</row>
    <row r="188" spans="1:42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</row>
    <row r="189" spans="1:42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</row>
    <row r="190" spans="1:42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</row>
  </sheetData>
  <sortState ref="A2:BC192">
    <sortCondition ref="G2:G192"/>
    <sortCondition ref="E2:E192"/>
  </sortState>
  <conditionalFormatting sqref="A1:AP499">
    <cfRule type="cellIs" dxfId="35" priority="2" operator="equal">
      <formula>0</formula>
    </cfRule>
    <cfRule type="cellIs" dxfId="34" priority="6" operator="equal">
      <formula>"n/a"</formula>
    </cfRule>
    <cfRule type="cellIs" dxfId="33" priority="7" operator="equal">
      <formula>-1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N49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" sqref="C1:C1048576"/>
    </sheetView>
  </sheetViews>
  <sheetFormatPr defaultRowHeight="15" x14ac:dyDescent="0.25"/>
  <cols>
    <col min="1" max="1" width="4.140625" bestFit="1" customWidth="1"/>
    <col min="2" max="2" width="10.42578125" bestFit="1" customWidth="1"/>
    <col min="3" max="3" width="42" bestFit="1" customWidth="1"/>
    <col min="4" max="4" width="7.5703125" customWidth="1"/>
    <col min="5" max="5" width="9" customWidth="1"/>
    <col min="6" max="6" width="8" customWidth="1"/>
    <col min="7" max="7" width="13.5703125" customWidth="1"/>
    <col min="8" max="8" width="12.28515625" customWidth="1"/>
    <col min="9" max="9" width="12.5703125" customWidth="1"/>
    <col min="10" max="12" width="13" customWidth="1"/>
    <col min="13" max="13" width="12.85546875" customWidth="1"/>
    <col min="14" max="14" width="12.5703125" customWidth="1"/>
    <col min="15" max="22" width="11.28515625" customWidth="1"/>
    <col min="23" max="23" width="11.85546875" customWidth="1"/>
    <col min="24" max="24" width="11.140625" customWidth="1"/>
    <col min="25" max="25" width="11.28515625" customWidth="1"/>
    <col min="26" max="26" width="11" customWidth="1"/>
    <col min="27" max="30" width="10.42578125" customWidth="1"/>
    <col min="31" max="31" width="12.140625" customWidth="1"/>
    <col min="32" max="32" width="9" customWidth="1"/>
    <col min="33" max="34" width="11.140625" customWidth="1"/>
    <col min="35" max="35" width="10.42578125" customWidth="1"/>
    <col min="36" max="36" width="19.85546875" customWidth="1"/>
    <col min="37" max="37" width="10.28515625" customWidth="1"/>
    <col min="38" max="38" width="12.42578125" customWidth="1"/>
    <col min="39" max="42" width="10.7109375" customWidth="1"/>
    <col min="43" max="43" width="9.42578125" customWidth="1"/>
    <col min="44" max="81" width="9.7109375" customWidth="1"/>
    <col min="82" max="83" width="12.140625" customWidth="1"/>
    <col min="84" max="84" width="11.140625" customWidth="1"/>
    <col min="85" max="86" width="12.140625" customWidth="1"/>
    <col min="87" max="88" width="11" customWidth="1"/>
    <col min="89" max="89" width="13" customWidth="1"/>
    <col min="90" max="90" width="9.7109375" customWidth="1"/>
    <col min="91" max="91" width="10.85546875" customWidth="1"/>
    <col min="92" max="92" width="10.28515625" customWidth="1"/>
  </cols>
  <sheetData>
    <row r="1" spans="1:92" s="1" customFormat="1" ht="87.75" customHeight="1" x14ac:dyDescent="0.25">
      <c r="A1" s="1" t="s">
        <v>3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2057</v>
      </c>
      <c r="H1" s="1" t="s">
        <v>2058</v>
      </c>
      <c r="I1" s="1" t="s">
        <v>2059</v>
      </c>
      <c r="J1" s="1" t="s">
        <v>2060</v>
      </c>
      <c r="K1" s="1" t="s">
        <v>2061</v>
      </c>
      <c r="L1" s="1" t="s">
        <v>2062</v>
      </c>
      <c r="M1" s="1" t="s">
        <v>2063</v>
      </c>
      <c r="N1" s="1" t="s">
        <v>2064</v>
      </c>
      <c r="O1" s="1" t="s">
        <v>2065</v>
      </c>
      <c r="P1" s="1" t="s">
        <v>2066</v>
      </c>
      <c r="Q1" s="1" t="s">
        <v>2067</v>
      </c>
      <c r="R1" s="1" t="s">
        <v>2068</v>
      </c>
      <c r="S1" s="1" t="s">
        <v>2069</v>
      </c>
      <c r="T1" s="1" t="s">
        <v>2070</v>
      </c>
      <c r="U1" s="1" t="s">
        <v>2071</v>
      </c>
      <c r="V1" s="1" t="s">
        <v>2072</v>
      </c>
      <c r="W1" s="1" t="s">
        <v>2073</v>
      </c>
      <c r="X1" s="1" t="s">
        <v>2074</v>
      </c>
      <c r="Y1" s="1" t="s">
        <v>2075</v>
      </c>
      <c r="Z1" s="1" t="s">
        <v>2076</v>
      </c>
      <c r="AA1" s="1" t="s">
        <v>2077</v>
      </c>
      <c r="AB1" s="1" t="s">
        <v>2078</v>
      </c>
      <c r="AC1" s="1" t="s">
        <v>2079</v>
      </c>
      <c r="AD1" s="1" t="s">
        <v>2080</v>
      </c>
      <c r="AE1" s="1" t="s">
        <v>2081</v>
      </c>
      <c r="AF1" s="1" t="s">
        <v>2082</v>
      </c>
      <c r="AG1" s="1" t="s">
        <v>2083</v>
      </c>
      <c r="AH1" s="1" t="s">
        <v>2084</v>
      </c>
      <c r="AI1" s="1" t="s">
        <v>2085</v>
      </c>
      <c r="AJ1" s="1" t="s">
        <v>2086</v>
      </c>
      <c r="AK1" s="1" t="s">
        <v>2087</v>
      </c>
      <c r="AL1" s="1" t="s">
        <v>2088</v>
      </c>
      <c r="AM1" s="1" t="s">
        <v>2089</v>
      </c>
      <c r="AN1" s="1" t="s">
        <v>2090</v>
      </c>
      <c r="AO1" s="1" t="s">
        <v>2091</v>
      </c>
      <c r="AP1" s="1" t="s">
        <v>2092</v>
      </c>
      <c r="AQ1" s="1" t="s">
        <v>2093</v>
      </c>
      <c r="AR1" s="1" t="s">
        <v>2094</v>
      </c>
      <c r="AS1" s="1" t="s">
        <v>2095</v>
      </c>
      <c r="AT1" s="1" t="s">
        <v>2096</v>
      </c>
      <c r="AU1" s="1" t="s">
        <v>2097</v>
      </c>
      <c r="AV1" s="1" t="s">
        <v>2098</v>
      </c>
      <c r="AW1" s="1" t="s">
        <v>2099</v>
      </c>
      <c r="AX1" s="1" t="s">
        <v>2100</v>
      </c>
      <c r="AY1" s="1" t="s">
        <v>2101</v>
      </c>
      <c r="AZ1" s="1" t="s">
        <v>2102</v>
      </c>
      <c r="BA1" s="1" t="s">
        <v>2103</v>
      </c>
      <c r="BB1" s="1" t="s">
        <v>2104</v>
      </c>
      <c r="BC1" s="1" t="s">
        <v>2105</v>
      </c>
      <c r="BD1" s="1" t="s">
        <v>2106</v>
      </c>
      <c r="BE1" s="1" t="s">
        <v>2107</v>
      </c>
      <c r="BF1" s="1" t="s">
        <v>2108</v>
      </c>
      <c r="BG1" s="1" t="s">
        <v>2109</v>
      </c>
      <c r="BH1" s="1" t="s">
        <v>2110</v>
      </c>
      <c r="BI1" s="1" t="s">
        <v>2111</v>
      </c>
      <c r="BJ1" s="1" t="s">
        <v>2112</v>
      </c>
      <c r="BK1" s="1" t="s">
        <v>2113</v>
      </c>
      <c r="BL1" s="1" t="s">
        <v>2114</v>
      </c>
      <c r="BM1" s="1" t="s">
        <v>2115</v>
      </c>
      <c r="BN1" s="1" t="s">
        <v>2116</v>
      </c>
      <c r="BO1" s="1" t="s">
        <v>2117</v>
      </c>
      <c r="BP1" s="1" t="s">
        <v>2118</v>
      </c>
      <c r="BQ1" s="1" t="s">
        <v>2119</v>
      </c>
      <c r="BR1" s="1" t="s">
        <v>2120</v>
      </c>
      <c r="BS1" s="1" t="s">
        <v>2121</v>
      </c>
      <c r="BT1" s="1" t="s">
        <v>2122</v>
      </c>
      <c r="BU1" s="1" t="s">
        <v>2123</v>
      </c>
      <c r="BV1" s="1" t="s">
        <v>2124</v>
      </c>
      <c r="BW1" s="1" t="s">
        <v>2125</v>
      </c>
      <c r="BX1" s="1" t="s">
        <v>2126</v>
      </c>
      <c r="BY1" s="1" t="s">
        <v>2127</v>
      </c>
      <c r="BZ1" s="1" t="s">
        <v>2128</v>
      </c>
      <c r="CA1" s="1" t="s">
        <v>2129</v>
      </c>
      <c r="CB1" s="1" t="s">
        <v>2130</v>
      </c>
      <c r="CC1" s="1" t="s">
        <v>2131</v>
      </c>
      <c r="CD1" s="1" t="s">
        <v>2132</v>
      </c>
      <c r="CE1" s="1" t="s">
        <v>2133</v>
      </c>
      <c r="CF1" s="1" t="s">
        <v>2134</v>
      </c>
      <c r="CG1" s="1" t="s">
        <v>2135</v>
      </c>
      <c r="CH1" s="1" t="s">
        <v>2136</v>
      </c>
      <c r="CI1" s="1" t="s">
        <v>2137</v>
      </c>
      <c r="CJ1" s="1" t="s">
        <v>2208</v>
      </c>
      <c r="CK1" s="1" t="s">
        <v>2138</v>
      </c>
      <c r="CL1" s="1" t="s">
        <v>2139</v>
      </c>
      <c r="CM1" s="1" t="s">
        <v>2140</v>
      </c>
      <c r="CN1" s="1" t="s">
        <v>2141</v>
      </c>
    </row>
    <row r="2" spans="1:92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1274</v>
      </c>
      <c r="H2" t="s">
        <v>1297</v>
      </c>
      <c r="I2" t="s">
        <v>1298</v>
      </c>
      <c r="J2" t="s">
        <v>1788</v>
      </c>
      <c r="K2" t="s">
        <v>1789</v>
      </c>
      <c r="L2" t="s">
        <v>1790</v>
      </c>
      <c r="M2" t="s">
        <v>1349</v>
      </c>
      <c r="N2" t="s">
        <v>1350</v>
      </c>
      <c r="O2" t="s">
        <v>1294</v>
      </c>
      <c r="P2" t="s">
        <v>1295</v>
      </c>
      <c r="Q2" t="s">
        <v>1296</v>
      </c>
      <c r="R2" t="s">
        <v>1956</v>
      </c>
      <c r="S2" t="s">
        <v>1957</v>
      </c>
      <c r="T2" t="s">
        <v>1958</v>
      </c>
      <c r="U2" t="s">
        <v>1959</v>
      </c>
      <c r="V2" t="s">
        <v>1960</v>
      </c>
      <c r="W2" t="s">
        <v>1277</v>
      </c>
      <c r="X2" t="s">
        <v>1282</v>
      </c>
      <c r="Y2" t="s">
        <v>1283</v>
      </c>
      <c r="Z2" t="s">
        <v>1944</v>
      </c>
      <c r="AA2" t="s">
        <v>1945</v>
      </c>
      <c r="AB2" t="s">
        <v>1278</v>
      </c>
      <c r="AC2" t="s">
        <v>1279</v>
      </c>
      <c r="AD2" t="s">
        <v>1280</v>
      </c>
      <c r="AE2" t="s">
        <v>1281</v>
      </c>
      <c r="AF2" t="s">
        <v>1940</v>
      </c>
      <c r="AG2" t="s">
        <v>1941</v>
      </c>
      <c r="AH2" t="s">
        <v>1942</v>
      </c>
      <c r="AI2" t="s">
        <v>1348</v>
      </c>
      <c r="AJ2" t="s">
        <v>1943</v>
      </c>
      <c r="AK2" t="s">
        <v>1946</v>
      </c>
      <c r="AM2" t="s">
        <v>1947</v>
      </c>
      <c r="AR2" t="s">
        <v>1948</v>
      </c>
      <c r="BH2" s="2"/>
      <c r="BI2" s="2"/>
      <c r="BJ2" s="2"/>
      <c r="BK2" t="s">
        <v>1948</v>
      </c>
      <c r="CD2" t="s">
        <v>1949</v>
      </c>
      <c r="CE2" t="s">
        <v>1950</v>
      </c>
      <c r="CF2" t="s">
        <v>1951</v>
      </c>
      <c r="CG2" t="s">
        <v>1952</v>
      </c>
      <c r="CH2" t="s">
        <v>1953</v>
      </c>
      <c r="CI2" t="s">
        <v>1954</v>
      </c>
      <c r="CJ2" t="s">
        <v>1955</v>
      </c>
      <c r="CK2" t="s">
        <v>2028</v>
      </c>
      <c r="CL2" t="s">
        <v>2029</v>
      </c>
      <c r="CM2" t="s">
        <v>2033</v>
      </c>
      <c r="CN2" t="s">
        <v>2034</v>
      </c>
    </row>
    <row r="3" spans="1:92" x14ac:dyDescent="0.25">
      <c r="A3">
        <v>1</v>
      </c>
      <c r="B3" t="s">
        <v>1972</v>
      </c>
      <c r="C3" t="s">
        <v>2006</v>
      </c>
      <c r="D3">
        <v>1</v>
      </c>
      <c r="E3">
        <v>25</v>
      </c>
      <c r="F3">
        <v>25</v>
      </c>
      <c r="G3" t="s">
        <v>1356</v>
      </c>
      <c r="H3">
        <v>28</v>
      </c>
      <c r="I3">
        <v>28</v>
      </c>
      <c r="J3">
        <v>3</v>
      </c>
      <c r="K3">
        <v>3</v>
      </c>
      <c r="L3">
        <v>3</v>
      </c>
      <c r="M3">
        <v>0</v>
      </c>
      <c r="N3">
        <v>0</v>
      </c>
      <c r="O3" t="s">
        <v>59</v>
      </c>
      <c r="P3">
        <v>-1</v>
      </c>
      <c r="Q3">
        <v>-1</v>
      </c>
      <c r="R3">
        <v>1</v>
      </c>
      <c r="S3">
        <v>1</v>
      </c>
      <c r="T3">
        <v>1</v>
      </c>
      <c r="U3">
        <v>0</v>
      </c>
      <c r="V3">
        <v>0</v>
      </c>
      <c r="W3" t="s">
        <v>1353</v>
      </c>
      <c r="X3">
        <v>0</v>
      </c>
      <c r="Y3">
        <v>230</v>
      </c>
      <c r="Z3">
        <v>16</v>
      </c>
      <c r="AA3">
        <v>16</v>
      </c>
      <c r="AB3">
        <v>0</v>
      </c>
      <c r="AC3">
        <v>0</v>
      </c>
      <c r="AD3">
        <v>40</v>
      </c>
      <c r="AE3">
        <v>40</v>
      </c>
      <c r="AF3">
        <v>15</v>
      </c>
      <c r="AG3">
        <v>0</v>
      </c>
      <c r="AH3">
        <v>-1</v>
      </c>
      <c r="AI3">
        <v>5</v>
      </c>
      <c r="AJ3" t="s">
        <v>2007</v>
      </c>
      <c r="AK3">
        <v>-1</v>
      </c>
      <c r="AL3">
        <v>4</v>
      </c>
      <c r="AM3" s="2">
        <v>1</v>
      </c>
      <c r="AN3" s="2">
        <v>3</v>
      </c>
      <c r="AO3" s="2">
        <v>107</v>
      </c>
      <c r="AP3" s="2">
        <v>-1</v>
      </c>
      <c r="AQ3">
        <v>19</v>
      </c>
      <c r="AR3" s="2">
        <v>9201</v>
      </c>
      <c r="AS3" s="2">
        <v>9202</v>
      </c>
      <c r="AT3" s="2">
        <v>9203</v>
      </c>
      <c r="AU3" s="2">
        <v>9204</v>
      </c>
      <c r="AV3" s="2">
        <v>9205</v>
      </c>
      <c r="AW3" s="2">
        <v>1</v>
      </c>
      <c r="AX3" s="2">
        <v>46</v>
      </c>
      <c r="AY3" s="2">
        <v>95</v>
      </c>
      <c r="AZ3" s="2">
        <v>92</v>
      </c>
      <c r="BA3" s="2">
        <v>20003</v>
      </c>
      <c r="BB3" s="2">
        <v>30011</v>
      </c>
      <c r="BC3" s="2">
        <v>40006</v>
      </c>
      <c r="BD3" s="2">
        <v>50004</v>
      </c>
      <c r="BE3" s="2">
        <v>60014</v>
      </c>
      <c r="BF3" s="2">
        <v>70002</v>
      </c>
      <c r="BG3" s="2">
        <v>80000</v>
      </c>
      <c r="BH3" s="2">
        <v>-1</v>
      </c>
      <c r="BI3" s="2">
        <v>-1</v>
      </c>
      <c r="BJ3" s="2">
        <v>-1</v>
      </c>
      <c r="BK3" s="2">
        <v>0.12</v>
      </c>
      <c r="BL3" s="2">
        <v>0.12</v>
      </c>
      <c r="BM3" s="2">
        <v>0.12</v>
      </c>
      <c r="BN3" s="2">
        <v>0.12</v>
      </c>
      <c r="BO3" s="2">
        <v>0.12</v>
      </c>
      <c r="BP3" s="2">
        <v>3.5999999999999997E-2</v>
      </c>
      <c r="BQ3" s="2">
        <v>3.5999999999999997E-2</v>
      </c>
      <c r="BR3" s="2">
        <v>3.5999999999999997E-2</v>
      </c>
      <c r="BS3" s="2">
        <v>3.5999999999999997E-2</v>
      </c>
      <c r="BT3" s="2">
        <v>3.5999999999999997E-2</v>
      </c>
      <c r="BU3" s="2">
        <v>3.5999999999999997E-2</v>
      </c>
      <c r="BV3" s="2">
        <v>3.5999999999999997E-2</v>
      </c>
      <c r="BW3" s="2">
        <v>3.6999999999999998E-2</v>
      </c>
      <c r="BX3" s="2">
        <v>3.6999999999999998E-2</v>
      </c>
      <c r="BY3" s="2">
        <v>3.6999999999999998E-2</v>
      </c>
      <c r="BZ3" s="2">
        <v>3.6999999999999998E-2</v>
      </c>
      <c r="CA3" s="2">
        <v>-1</v>
      </c>
      <c r="CB3" s="2">
        <v>-1</v>
      </c>
      <c r="CC3" s="2">
        <v>-1</v>
      </c>
      <c r="CD3">
        <v>1</v>
      </c>
      <c r="CE3">
        <v>3</v>
      </c>
      <c r="CF3">
        <v>120</v>
      </c>
      <c r="CG3">
        <v>16</v>
      </c>
      <c r="CH3">
        <v>26</v>
      </c>
      <c r="CI3">
        <v>10</v>
      </c>
      <c r="CJ3">
        <v>15</v>
      </c>
      <c r="CK3">
        <v>1</v>
      </c>
      <c r="CL3">
        <v>1</v>
      </c>
      <c r="CM3">
        <v>-1</v>
      </c>
      <c r="CN3">
        <v>0</v>
      </c>
    </row>
    <row r="4" spans="1:92" x14ac:dyDescent="0.25">
      <c r="A4">
        <v>2</v>
      </c>
      <c r="B4" t="s">
        <v>1972</v>
      </c>
      <c r="C4" t="s">
        <v>1997</v>
      </c>
      <c r="D4">
        <v>2</v>
      </c>
      <c r="E4">
        <v>25</v>
      </c>
      <c r="F4">
        <v>25</v>
      </c>
      <c r="G4" t="s">
        <v>1356</v>
      </c>
      <c r="H4">
        <v>28</v>
      </c>
      <c r="I4">
        <v>28</v>
      </c>
      <c r="J4">
        <v>2.75</v>
      </c>
      <c r="K4">
        <v>2.75</v>
      </c>
      <c r="L4">
        <v>2.75</v>
      </c>
      <c r="M4">
        <v>0</v>
      </c>
      <c r="N4">
        <v>0</v>
      </c>
      <c r="O4" t="s">
        <v>1356</v>
      </c>
      <c r="P4">
        <v>28</v>
      </c>
      <c r="Q4">
        <v>28</v>
      </c>
      <c r="R4">
        <v>2.75</v>
      </c>
      <c r="S4">
        <v>2.75</v>
      </c>
      <c r="T4">
        <v>2.75</v>
      </c>
      <c r="U4">
        <v>0</v>
      </c>
      <c r="V4">
        <v>0</v>
      </c>
      <c r="W4" t="s">
        <v>1353</v>
      </c>
      <c r="X4">
        <v>0</v>
      </c>
      <c r="Y4">
        <v>265</v>
      </c>
      <c r="Z4">
        <v>16</v>
      </c>
      <c r="AA4">
        <v>16</v>
      </c>
      <c r="AB4">
        <v>0</v>
      </c>
      <c r="AC4">
        <v>0</v>
      </c>
      <c r="AD4">
        <v>40</v>
      </c>
      <c r="AE4">
        <v>40</v>
      </c>
      <c r="AF4">
        <v>12</v>
      </c>
      <c r="AG4">
        <v>0</v>
      </c>
      <c r="AH4">
        <v>25</v>
      </c>
      <c r="AI4">
        <v>5</v>
      </c>
      <c r="AJ4" t="s">
        <v>1998</v>
      </c>
      <c r="AK4">
        <v>3</v>
      </c>
      <c r="AL4">
        <v>-1</v>
      </c>
      <c r="AM4" s="2">
        <v>1</v>
      </c>
      <c r="AN4" s="2">
        <v>26</v>
      </c>
      <c r="AO4" s="2">
        <v>107</v>
      </c>
      <c r="AP4" s="2">
        <v>-1</v>
      </c>
      <c r="AQ4">
        <v>-1</v>
      </c>
      <c r="AR4" s="2">
        <v>9201</v>
      </c>
      <c r="AS4" s="2">
        <v>9202</v>
      </c>
      <c r="AT4" s="2">
        <v>9203</v>
      </c>
      <c r="AU4" s="2">
        <v>9204</v>
      </c>
      <c r="AV4" s="2">
        <v>9205</v>
      </c>
      <c r="AW4" s="2">
        <v>99</v>
      </c>
      <c r="AX4" s="2">
        <v>30006</v>
      </c>
      <c r="AY4" s="2">
        <v>70011</v>
      </c>
      <c r="AZ4" s="2">
        <v>80013</v>
      </c>
      <c r="BA4" s="2">
        <v>80002</v>
      </c>
      <c r="BB4" s="2">
        <v>80008</v>
      </c>
      <c r="BC4" s="2">
        <v>50002</v>
      </c>
      <c r="BD4" s="2">
        <v>50000</v>
      </c>
      <c r="BE4" s="2">
        <v>40004</v>
      </c>
      <c r="BF4" s="2">
        <v>40001</v>
      </c>
      <c r="BG4" s="2">
        <v>-1</v>
      </c>
      <c r="BH4" s="2">
        <v>-1</v>
      </c>
      <c r="BI4" s="2">
        <v>-1</v>
      </c>
      <c r="BJ4" s="2">
        <v>-1</v>
      </c>
      <c r="BK4" s="2">
        <v>0.12</v>
      </c>
      <c r="BL4" s="2">
        <v>0.12</v>
      </c>
      <c r="BM4" s="2">
        <v>0.12</v>
      </c>
      <c r="BN4" s="2">
        <v>0.12</v>
      </c>
      <c r="BO4" s="2">
        <v>0.12</v>
      </c>
      <c r="BP4" s="2">
        <v>0.04</v>
      </c>
      <c r="BQ4" s="2">
        <v>0.04</v>
      </c>
      <c r="BR4" s="2">
        <v>0.04</v>
      </c>
      <c r="BS4" s="2">
        <v>0.04</v>
      </c>
      <c r="BT4" s="2">
        <v>0.04</v>
      </c>
      <c r="BU4" s="2">
        <v>0.04</v>
      </c>
      <c r="BV4" s="2">
        <v>0.04</v>
      </c>
      <c r="BW4" s="2">
        <v>0.04</v>
      </c>
      <c r="BX4" s="2">
        <v>0.04</v>
      </c>
      <c r="BY4" s="2">
        <v>0.04</v>
      </c>
      <c r="BZ4" s="2">
        <v>-1</v>
      </c>
      <c r="CA4" s="2">
        <v>-1</v>
      </c>
      <c r="CB4" s="2">
        <v>-1</v>
      </c>
      <c r="CC4" s="2">
        <v>-1</v>
      </c>
      <c r="CD4">
        <v>1</v>
      </c>
      <c r="CE4">
        <v>3</v>
      </c>
      <c r="CF4">
        <v>120</v>
      </c>
      <c r="CG4">
        <v>18</v>
      </c>
      <c r="CH4">
        <v>26</v>
      </c>
      <c r="CI4">
        <v>8</v>
      </c>
      <c r="CJ4">
        <v>12</v>
      </c>
      <c r="CK4">
        <v>1</v>
      </c>
      <c r="CL4">
        <v>0</v>
      </c>
      <c r="CM4">
        <v>-1</v>
      </c>
      <c r="CN4">
        <v>0</v>
      </c>
    </row>
    <row r="5" spans="1:92" x14ac:dyDescent="0.25">
      <c r="A5">
        <v>3</v>
      </c>
      <c r="B5" t="s">
        <v>1972</v>
      </c>
      <c r="C5" t="s">
        <v>1975</v>
      </c>
      <c r="D5">
        <v>23</v>
      </c>
      <c r="E5">
        <v>25</v>
      </c>
      <c r="F5">
        <v>25</v>
      </c>
      <c r="G5" t="s">
        <v>1356</v>
      </c>
      <c r="H5">
        <v>28</v>
      </c>
      <c r="I5">
        <v>28</v>
      </c>
      <c r="J5">
        <v>3</v>
      </c>
      <c r="K5">
        <v>3</v>
      </c>
      <c r="L5">
        <v>3</v>
      </c>
      <c r="M5">
        <v>0</v>
      </c>
      <c r="N5">
        <v>-10</v>
      </c>
      <c r="O5" t="s">
        <v>1356</v>
      </c>
      <c r="P5">
        <v>28</v>
      </c>
      <c r="Q5">
        <v>28</v>
      </c>
      <c r="R5">
        <v>3</v>
      </c>
      <c r="S5">
        <v>3</v>
      </c>
      <c r="T5">
        <v>3</v>
      </c>
      <c r="U5">
        <v>0</v>
      </c>
      <c r="V5">
        <v>-10</v>
      </c>
      <c r="W5" t="s">
        <v>1353</v>
      </c>
      <c r="X5">
        <v>0</v>
      </c>
      <c r="Y5">
        <v>230</v>
      </c>
      <c r="Z5">
        <v>16</v>
      </c>
      <c r="AA5">
        <v>16</v>
      </c>
      <c r="AB5">
        <v>0</v>
      </c>
      <c r="AC5">
        <v>0</v>
      </c>
      <c r="AD5">
        <v>40</v>
      </c>
      <c r="AE5">
        <v>40</v>
      </c>
      <c r="AF5">
        <v>14</v>
      </c>
      <c r="AG5">
        <v>0</v>
      </c>
      <c r="AH5">
        <v>-1</v>
      </c>
      <c r="AI5">
        <v>5</v>
      </c>
      <c r="AJ5" t="s">
        <v>1976</v>
      </c>
      <c r="AK5">
        <v>-1</v>
      </c>
      <c r="AL5">
        <v>-1</v>
      </c>
      <c r="AM5" s="2">
        <v>1</v>
      </c>
      <c r="AN5" s="2">
        <v>4</v>
      </c>
      <c r="AO5" s="2">
        <v>107</v>
      </c>
      <c r="AP5" s="2">
        <v>-1</v>
      </c>
      <c r="AQ5">
        <v>-1</v>
      </c>
      <c r="AR5" s="2">
        <v>9201</v>
      </c>
      <c r="AS5" s="2">
        <v>9202</v>
      </c>
      <c r="AT5" s="2">
        <v>9203</v>
      </c>
      <c r="AU5" s="2">
        <v>9204</v>
      </c>
      <c r="AV5" s="2">
        <v>9205</v>
      </c>
      <c r="AW5" s="2">
        <v>1</v>
      </c>
      <c r="AX5" s="2">
        <v>95</v>
      </c>
      <c r="AY5" s="2">
        <v>46</v>
      </c>
      <c r="AZ5" s="2">
        <v>92</v>
      </c>
      <c r="BA5" s="2">
        <v>20003</v>
      </c>
      <c r="BB5" s="2">
        <v>30011</v>
      </c>
      <c r="BC5" s="2">
        <v>40006</v>
      </c>
      <c r="BD5" s="2">
        <v>50004</v>
      </c>
      <c r="BE5" s="2">
        <v>60014</v>
      </c>
      <c r="BF5" s="2">
        <v>70009</v>
      </c>
      <c r="BG5" s="2">
        <v>80000</v>
      </c>
      <c r="BH5" s="2">
        <v>-1</v>
      </c>
      <c r="BI5" s="2">
        <v>-1</v>
      </c>
      <c r="BJ5" s="2">
        <v>-1</v>
      </c>
      <c r="BK5" s="2">
        <v>0.12</v>
      </c>
      <c r="BL5" s="2">
        <v>0.12</v>
      </c>
      <c r="BM5" s="2">
        <v>0.12</v>
      </c>
      <c r="BN5" s="2">
        <v>0.12</v>
      </c>
      <c r="BO5" s="2">
        <v>0.12</v>
      </c>
      <c r="BP5" s="2">
        <v>3.5999999999999997E-2</v>
      </c>
      <c r="BQ5" s="2">
        <v>3.5999999999999997E-2</v>
      </c>
      <c r="BR5" s="2">
        <v>3.5999999999999997E-2</v>
      </c>
      <c r="BS5" s="2">
        <v>3.5999999999999997E-2</v>
      </c>
      <c r="BT5" s="2">
        <v>3.5999999999999997E-2</v>
      </c>
      <c r="BU5" s="2">
        <v>3.5999999999999997E-2</v>
      </c>
      <c r="BV5" s="2">
        <v>3.5999999999999997E-2</v>
      </c>
      <c r="BW5" s="2">
        <v>3.6999999999999998E-2</v>
      </c>
      <c r="BX5" s="2">
        <v>3.6999999999999998E-2</v>
      </c>
      <c r="BY5" s="2">
        <v>3.6999999999999998E-2</v>
      </c>
      <c r="BZ5" s="2">
        <v>3.6999999999999998E-2</v>
      </c>
      <c r="CA5" s="2">
        <v>-1</v>
      </c>
      <c r="CB5" s="2">
        <v>-1</v>
      </c>
      <c r="CC5" s="2">
        <v>-1</v>
      </c>
      <c r="CD5">
        <v>1</v>
      </c>
      <c r="CE5">
        <v>3</v>
      </c>
      <c r="CF5">
        <v>120</v>
      </c>
      <c r="CG5">
        <v>15</v>
      </c>
      <c r="CH5">
        <v>30</v>
      </c>
      <c r="CI5">
        <v>15</v>
      </c>
      <c r="CJ5">
        <v>30</v>
      </c>
      <c r="CK5">
        <v>1</v>
      </c>
      <c r="CL5">
        <v>0</v>
      </c>
      <c r="CM5">
        <v>-1</v>
      </c>
      <c r="CN5">
        <v>0</v>
      </c>
    </row>
    <row r="6" spans="1:92" x14ac:dyDescent="0.25">
      <c r="A6">
        <v>4</v>
      </c>
      <c r="B6" t="s">
        <v>1972</v>
      </c>
      <c r="C6" t="s">
        <v>1975</v>
      </c>
      <c r="D6">
        <v>231</v>
      </c>
      <c r="E6">
        <v>25</v>
      </c>
      <c r="F6">
        <v>25</v>
      </c>
      <c r="G6" t="s">
        <v>1356</v>
      </c>
      <c r="H6">
        <v>28</v>
      </c>
      <c r="I6">
        <v>28</v>
      </c>
      <c r="J6">
        <v>3</v>
      </c>
      <c r="K6">
        <v>3</v>
      </c>
      <c r="L6">
        <v>3</v>
      </c>
      <c r="M6">
        <v>0</v>
      </c>
      <c r="N6">
        <v>-10</v>
      </c>
      <c r="O6" t="s">
        <v>1356</v>
      </c>
      <c r="P6">
        <v>28</v>
      </c>
      <c r="Q6">
        <v>28</v>
      </c>
      <c r="R6">
        <v>3</v>
      </c>
      <c r="S6">
        <v>3</v>
      </c>
      <c r="T6">
        <v>3</v>
      </c>
      <c r="U6">
        <v>0</v>
      </c>
      <c r="V6">
        <v>-10</v>
      </c>
      <c r="W6" t="s">
        <v>1353</v>
      </c>
      <c r="X6">
        <v>0</v>
      </c>
      <c r="Y6">
        <v>230</v>
      </c>
      <c r="Z6">
        <v>16</v>
      </c>
      <c r="AA6">
        <v>16</v>
      </c>
      <c r="AB6">
        <v>0</v>
      </c>
      <c r="AC6">
        <v>0</v>
      </c>
      <c r="AD6">
        <v>40</v>
      </c>
      <c r="AE6">
        <v>40</v>
      </c>
      <c r="AF6">
        <v>14</v>
      </c>
      <c r="AG6">
        <v>0</v>
      </c>
      <c r="AH6">
        <v>-1</v>
      </c>
      <c r="AI6">
        <v>5</v>
      </c>
      <c r="AJ6" t="s">
        <v>1976</v>
      </c>
      <c r="AK6">
        <v>-1</v>
      </c>
      <c r="AL6">
        <v>-1</v>
      </c>
      <c r="AM6" s="2">
        <v>1</v>
      </c>
      <c r="AN6" s="2">
        <v>16</v>
      </c>
      <c r="AO6" s="2">
        <v>107</v>
      </c>
      <c r="AP6" s="2">
        <v>-1</v>
      </c>
      <c r="AQ6">
        <v>-1</v>
      </c>
      <c r="AR6" s="2">
        <v>9201</v>
      </c>
      <c r="AS6" s="2">
        <v>9202</v>
      </c>
      <c r="AT6" s="2">
        <v>9203</v>
      </c>
      <c r="AU6" s="2">
        <v>9204</v>
      </c>
      <c r="AV6" s="2">
        <v>9205</v>
      </c>
      <c r="AW6" s="2">
        <v>99</v>
      </c>
      <c r="AX6" s="2">
        <v>97</v>
      </c>
      <c r="AY6" s="2">
        <v>19</v>
      </c>
      <c r="AZ6" s="2">
        <v>20000</v>
      </c>
      <c r="BA6" s="2">
        <v>30004</v>
      </c>
      <c r="BB6" s="2">
        <v>40001</v>
      </c>
      <c r="BC6" s="2">
        <v>50007</v>
      </c>
      <c r="BD6" s="2">
        <v>70007</v>
      </c>
      <c r="BE6" s="2">
        <v>80009</v>
      </c>
      <c r="BF6" s="2">
        <v>80011</v>
      </c>
      <c r="BG6" s="2">
        <v>-1</v>
      </c>
      <c r="BH6" s="2">
        <v>-1</v>
      </c>
      <c r="BI6" s="2">
        <v>-1</v>
      </c>
      <c r="BJ6" s="2">
        <v>-1</v>
      </c>
      <c r="BK6" s="2">
        <v>0.12</v>
      </c>
      <c r="BL6" s="2">
        <v>0.12</v>
      </c>
      <c r="BM6" s="2">
        <v>0.12</v>
      </c>
      <c r="BN6" s="2">
        <v>0.12</v>
      </c>
      <c r="BO6" s="2">
        <v>0.12</v>
      </c>
      <c r="BP6" s="2">
        <v>0.04</v>
      </c>
      <c r="BQ6" s="2">
        <v>0.04</v>
      </c>
      <c r="BR6" s="2">
        <v>0.04</v>
      </c>
      <c r="BS6" s="2">
        <v>0.04</v>
      </c>
      <c r="BT6" s="2">
        <v>0.04</v>
      </c>
      <c r="BU6" s="2">
        <v>0.04</v>
      </c>
      <c r="BV6" s="2">
        <v>0.04</v>
      </c>
      <c r="BW6" s="2">
        <v>0.04</v>
      </c>
      <c r="BX6" s="2">
        <v>0.04</v>
      </c>
      <c r="BY6" s="2">
        <v>0.04</v>
      </c>
      <c r="BZ6" s="2">
        <v>-1</v>
      </c>
      <c r="CA6" s="2">
        <v>-1</v>
      </c>
      <c r="CB6" s="2">
        <v>-1</v>
      </c>
      <c r="CC6" s="2">
        <v>-1</v>
      </c>
      <c r="CD6">
        <v>1</v>
      </c>
      <c r="CE6">
        <v>3</v>
      </c>
      <c r="CF6">
        <v>120</v>
      </c>
      <c r="CG6">
        <v>15</v>
      </c>
      <c r="CH6">
        <v>30</v>
      </c>
      <c r="CI6">
        <v>15</v>
      </c>
      <c r="CJ6">
        <v>30</v>
      </c>
      <c r="CK6">
        <v>1</v>
      </c>
      <c r="CL6">
        <v>0</v>
      </c>
      <c r="CM6">
        <v>-1</v>
      </c>
      <c r="CN6">
        <v>0</v>
      </c>
    </row>
    <row r="7" spans="1:92" x14ac:dyDescent="0.25">
      <c r="A7">
        <v>5</v>
      </c>
      <c r="B7" t="s">
        <v>1972</v>
      </c>
      <c r="C7" t="s">
        <v>1985</v>
      </c>
      <c r="D7">
        <v>3001</v>
      </c>
      <c r="E7">
        <v>25</v>
      </c>
      <c r="F7">
        <v>25</v>
      </c>
      <c r="G7" t="s">
        <v>1356</v>
      </c>
      <c r="H7">
        <v>28</v>
      </c>
      <c r="I7">
        <v>28</v>
      </c>
      <c r="J7">
        <v>3</v>
      </c>
      <c r="K7">
        <v>3</v>
      </c>
      <c r="L7">
        <v>3</v>
      </c>
      <c r="M7">
        <v>0</v>
      </c>
      <c r="N7">
        <v>0</v>
      </c>
      <c r="O7" t="s">
        <v>59</v>
      </c>
      <c r="P7">
        <v>-1</v>
      </c>
      <c r="Q7">
        <v>-1</v>
      </c>
      <c r="R7">
        <v>1</v>
      </c>
      <c r="S7">
        <v>1</v>
      </c>
      <c r="T7">
        <v>1</v>
      </c>
      <c r="U7">
        <v>0</v>
      </c>
      <c r="V7">
        <v>0</v>
      </c>
      <c r="W7" t="s">
        <v>1353</v>
      </c>
      <c r="X7">
        <v>0</v>
      </c>
      <c r="Y7">
        <v>350</v>
      </c>
      <c r="Z7">
        <v>16</v>
      </c>
      <c r="AA7">
        <v>16</v>
      </c>
      <c r="AB7">
        <v>0</v>
      </c>
      <c r="AC7">
        <v>0</v>
      </c>
      <c r="AD7">
        <v>40</v>
      </c>
      <c r="AE7">
        <v>40</v>
      </c>
      <c r="AF7">
        <v>20</v>
      </c>
      <c r="AG7">
        <v>0</v>
      </c>
      <c r="AH7">
        <v>40</v>
      </c>
      <c r="AI7">
        <v>5</v>
      </c>
      <c r="AJ7" t="s">
        <v>1986</v>
      </c>
      <c r="AK7">
        <v>-1</v>
      </c>
      <c r="AL7">
        <v>-1</v>
      </c>
      <c r="AM7" s="2">
        <v>1</v>
      </c>
      <c r="AN7" s="2">
        <v>21</v>
      </c>
      <c r="AO7" s="2">
        <v>107</v>
      </c>
      <c r="AP7" s="2">
        <v>-1</v>
      </c>
      <c r="AQ7">
        <v>-1</v>
      </c>
      <c r="AR7" s="2">
        <v>9201</v>
      </c>
      <c r="AS7" s="2">
        <v>9202</v>
      </c>
      <c r="AT7" s="2">
        <v>9203</v>
      </c>
      <c r="AU7" s="2">
        <v>9204</v>
      </c>
      <c r="AV7" s="2">
        <v>9205</v>
      </c>
      <c r="AW7" s="2">
        <v>32</v>
      </c>
      <c r="AX7" s="2">
        <v>96</v>
      </c>
      <c r="AY7" s="2">
        <v>1</v>
      </c>
      <c r="AZ7" s="2">
        <v>20000</v>
      </c>
      <c r="BA7" s="2">
        <v>30006</v>
      </c>
      <c r="BB7" s="2">
        <v>40001</v>
      </c>
      <c r="BC7" s="2">
        <v>50004</v>
      </c>
      <c r="BD7" s="2">
        <v>60018</v>
      </c>
      <c r="BE7" s="2">
        <v>70009</v>
      </c>
      <c r="BF7" s="2">
        <v>80006</v>
      </c>
      <c r="BG7" s="2">
        <v>-1</v>
      </c>
      <c r="BH7" s="2">
        <v>-1</v>
      </c>
      <c r="BI7" s="2">
        <v>-1</v>
      </c>
      <c r="BJ7" s="2">
        <v>-1</v>
      </c>
      <c r="BK7" s="2">
        <v>0.12</v>
      </c>
      <c r="BL7" s="2">
        <v>0.12</v>
      </c>
      <c r="BM7" s="2">
        <v>0.12</v>
      </c>
      <c r="BN7" s="2">
        <v>0.12</v>
      </c>
      <c r="BO7" s="2">
        <v>0.12</v>
      </c>
      <c r="BP7" s="2">
        <v>0.04</v>
      </c>
      <c r="BQ7" s="2">
        <v>0.04</v>
      </c>
      <c r="BR7" s="2">
        <v>0.04</v>
      </c>
      <c r="BS7" s="2">
        <v>0.04</v>
      </c>
      <c r="BT7" s="2">
        <v>0.04</v>
      </c>
      <c r="BU7" s="2">
        <v>0.04</v>
      </c>
      <c r="BV7" s="2">
        <v>0.04</v>
      </c>
      <c r="BW7" s="2">
        <v>0.04</v>
      </c>
      <c r="BX7" s="2">
        <v>0.04</v>
      </c>
      <c r="BY7" s="2">
        <v>0.04</v>
      </c>
      <c r="BZ7" s="2">
        <v>-1</v>
      </c>
      <c r="CA7" s="2">
        <v>-1</v>
      </c>
      <c r="CB7" s="2">
        <v>-1</v>
      </c>
      <c r="CC7" s="2">
        <v>-1</v>
      </c>
      <c r="CD7">
        <v>1</v>
      </c>
      <c r="CE7">
        <v>3</v>
      </c>
      <c r="CF7">
        <v>120</v>
      </c>
      <c r="CG7">
        <v>15</v>
      </c>
      <c r="CH7">
        <v>30</v>
      </c>
      <c r="CI7">
        <v>3</v>
      </c>
      <c r="CJ7">
        <v>10</v>
      </c>
      <c r="CK7">
        <v>1</v>
      </c>
      <c r="CL7">
        <v>0</v>
      </c>
      <c r="CM7">
        <v>-1</v>
      </c>
      <c r="CN7">
        <v>0</v>
      </c>
    </row>
    <row r="8" spans="1:92" x14ac:dyDescent="0.25">
      <c r="A8">
        <v>6</v>
      </c>
      <c r="B8" t="s">
        <v>1972</v>
      </c>
      <c r="C8" t="s">
        <v>2001</v>
      </c>
      <c r="D8">
        <v>3003</v>
      </c>
      <c r="E8">
        <v>25</v>
      </c>
      <c r="F8">
        <v>25</v>
      </c>
      <c r="G8" t="s">
        <v>1356</v>
      </c>
      <c r="H8">
        <v>28</v>
      </c>
      <c r="I8">
        <v>28</v>
      </c>
      <c r="J8">
        <v>3</v>
      </c>
      <c r="K8">
        <v>3</v>
      </c>
      <c r="L8">
        <v>3</v>
      </c>
      <c r="M8">
        <v>0</v>
      </c>
      <c r="N8">
        <v>0</v>
      </c>
      <c r="O8" t="s">
        <v>1356</v>
      </c>
      <c r="P8">
        <v>28</v>
      </c>
      <c r="Q8">
        <v>28</v>
      </c>
      <c r="R8">
        <v>3</v>
      </c>
      <c r="S8">
        <v>3</v>
      </c>
      <c r="T8">
        <v>3</v>
      </c>
      <c r="U8">
        <v>0</v>
      </c>
      <c r="V8">
        <v>0</v>
      </c>
      <c r="W8" t="s">
        <v>1353</v>
      </c>
      <c r="X8">
        <v>0</v>
      </c>
      <c r="Y8">
        <v>250</v>
      </c>
      <c r="Z8">
        <v>16</v>
      </c>
      <c r="AA8">
        <v>16</v>
      </c>
      <c r="AB8">
        <v>0</v>
      </c>
      <c r="AC8">
        <v>0</v>
      </c>
      <c r="AD8">
        <v>40</v>
      </c>
      <c r="AE8">
        <v>40</v>
      </c>
      <c r="AF8">
        <v>11</v>
      </c>
      <c r="AG8">
        <v>0</v>
      </c>
      <c r="AH8">
        <v>-1</v>
      </c>
      <c r="AI8">
        <v>5</v>
      </c>
      <c r="AJ8" t="s">
        <v>1996</v>
      </c>
      <c r="AK8">
        <v>180</v>
      </c>
      <c r="AL8">
        <v>-1</v>
      </c>
      <c r="AM8" s="2">
        <v>1</v>
      </c>
      <c r="AN8" s="2">
        <v>107</v>
      </c>
      <c r="AO8" s="2">
        <v>-1</v>
      </c>
      <c r="AP8" s="2">
        <v>-1</v>
      </c>
      <c r="AQ8">
        <v>-1</v>
      </c>
      <c r="AR8" s="2">
        <v>9201</v>
      </c>
      <c r="AS8" s="2">
        <v>9202</v>
      </c>
      <c r="AT8" s="2">
        <v>9203</v>
      </c>
      <c r="AU8" s="2">
        <v>9204</v>
      </c>
      <c r="AV8" s="2">
        <v>9205</v>
      </c>
      <c r="AW8" s="2">
        <v>1</v>
      </c>
      <c r="AX8" s="2">
        <v>15</v>
      </c>
      <c r="AY8" s="2">
        <v>16</v>
      </c>
      <c r="AZ8" s="2">
        <v>20000</v>
      </c>
      <c r="BA8" s="2">
        <v>30007</v>
      </c>
      <c r="BB8" s="2">
        <v>40008</v>
      </c>
      <c r="BC8" s="2">
        <v>50003</v>
      </c>
      <c r="BD8" s="2">
        <v>80004</v>
      </c>
      <c r="BE8" s="2">
        <v>80006</v>
      </c>
      <c r="BF8" s="2">
        <v>80009</v>
      </c>
      <c r="BG8" s="2">
        <v>-1</v>
      </c>
      <c r="BH8" s="2">
        <v>-1</v>
      </c>
      <c r="BI8" s="2">
        <v>-1</v>
      </c>
      <c r="BJ8" s="2">
        <v>-1</v>
      </c>
      <c r="BK8" s="2">
        <v>0.12</v>
      </c>
      <c r="BL8" s="2">
        <v>0.12</v>
      </c>
      <c r="BM8" s="2">
        <v>0.12</v>
      </c>
      <c r="BN8" s="2">
        <v>0.12</v>
      </c>
      <c r="BO8" s="2">
        <v>0.12</v>
      </c>
      <c r="BP8" s="2">
        <v>0.04</v>
      </c>
      <c r="BQ8" s="2">
        <v>0.04</v>
      </c>
      <c r="BR8" s="2">
        <v>0.04</v>
      </c>
      <c r="BS8" s="2">
        <v>0.04</v>
      </c>
      <c r="BT8" s="2">
        <v>0.04</v>
      </c>
      <c r="BU8" s="2">
        <v>0.04</v>
      </c>
      <c r="BV8" s="2">
        <v>0.04</v>
      </c>
      <c r="BW8" s="2">
        <v>0.04</v>
      </c>
      <c r="BX8" s="2">
        <v>0.04</v>
      </c>
      <c r="BY8" s="2">
        <v>0.04</v>
      </c>
      <c r="BZ8" s="2">
        <v>-1</v>
      </c>
      <c r="CA8" s="2">
        <v>-1</v>
      </c>
      <c r="CB8" s="2">
        <v>-1</v>
      </c>
      <c r="CC8" s="2">
        <v>-1</v>
      </c>
      <c r="CD8">
        <v>1</v>
      </c>
      <c r="CE8">
        <v>3</v>
      </c>
      <c r="CF8">
        <v>120</v>
      </c>
      <c r="CG8">
        <v>40</v>
      </c>
      <c r="CH8">
        <v>60</v>
      </c>
      <c r="CI8">
        <v>12</v>
      </c>
      <c r="CJ8">
        <v>14</v>
      </c>
      <c r="CK8">
        <v>1</v>
      </c>
      <c r="CL8">
        <v>0</v>
      </c>
      <c r="CM8">
        <v>-1</v>
      </c>
      <c r="CN8">
        <v>0</v>
      </c>
    </row>
    <row r="9" spans="1:92" x14ac:dyDescent="0.25">
      <c r="A9">
        <v>7</v>
      </c>
      <c r="B9" t="s">
        <v>1972</v>
      </c>
      <c r="C9" t="s">
        <v>1999</v>
      </c>
      <c r="D9">
        <v>3004</v>
      </c>
      <c r="E9">
        <v>25</v>
      </c>
      <c r="F9">
        <v>25</v>
      </c>
      <c r="G9" t="s">
        <v>1356</v>
      </c>
      <c r="H9">
        <v>28</v>
      </c>
      <c r="I9">
        <v>28</v>
      </c>
      <c r="J9">
        <v>3</v>
      </c>
      <c r="K9">
        <v>3</v>
      </c>
      <c r="L9">
        <v>3</v>
      </c>
      <c r="M9">
        <v>0</v>
      </c>
      <c r="N9">
        <v>0</v>
      </c>
      <c r="O9" t="s">
        <v>59</v>
      </c>
      <c r="P9">
        <v>-1</v>
      </c>
      <c r="Q9">
        <v>-1</v>
      </c>
      <c r="R9">
        <v>1</v>
      </c>
      <c r="S9">
        <v>1</v>
      </c>
      <c r="T9">
        <v>1</v>
      </c>
      <c r="U9">
        <v>0</v>
      </c>
      <c r="V9">
        <v>0</v>
      </c>
      <c r="W9" t="s">
        <v>1353</v>
      </c>
      <c r="X9">
        <v>0</v>
      </c>
      <c r="Y9">
        <v>290</v>
      </c>
      <c r="Z9">
        <v>16</v>
      </c>
      <c r="AA9">
        <v>16</v>
      </c>
      <c r="AB9">
        <v>0</v>
      </c>
      <c r="AC9">
        <v>0</v>
      </c>
      <c r="AD9">
        <v>40</v>
      </c>
      <c r="AE9">
        <v>40</v>
      </c>
      <c r="AF9">
        <v>12.5</v>
      </c>
      <c r="AG9">
        <v>0</v>
      </c>
      <c r="AH9">
        <v>-1</v>
      </c>
      <c r="AI9">
        <v>5</v>
      </c>
      <c r="AJ9" t="s">
        <v>2000</v>
      </c>
      <c r="AK9">
        <v>-1</v>
      </c>
      <c r="AL9">
        <v>-1</v>
      </c>
      <c r="AM9" s="2">
        <v>1</v>
      </c>
      <c r="AN9" s="2">
        <v>27</v>
      </c>
      <c r="AO9" s="2">
        <v>107</v>
      </c>
      <c r="AP9" s="2">
        <v>-1</v>
      </c>
      <c r="AQ9">
        <v>-1</v>
      </c>
      <c r="AR9" s="2">
        <v>9201</v>
      </c>
      <c r="AS9" s="2">
        <v>9202</v>
      </c>
      <c r="AT9" s="2">
        <v>9203</v>
      </c>
      <c r="AU9" s="2">
        <v>9204</v>
      </c>
      <c r="AV9" s="2">
        <v>9205</v>
      </c>
      <c r="AW9" s="2">
        <v>1</v>
      </c>
      <c r="AX9" s="2">
        <v>46</v>
      </c>
      <c r="AY9" s="2">
        <v>32</v>
      </c>
      <c r="AZ9" s="2">
        <v>96</v>
      </c>
      <c r="BA9" s="2">
        <v>16</v>
      </c>
      <c r="BB9" s="2">
        <v>18</v>
      </c>
      <c r="BC9" s="2">
        <v>20001</v>
      </c>
      <c r="BD9" s="2">
        <v>30003</v>
      </c>
      <c r="BE9" s="2">
        <v>70010</v>
      </c>
      <c r="BF9" s="2">
        <v>50007</v>
      </c>
      <c r="BG9" s="2">
        <v>60018</v>
      </c>
      <c r="BH9" s="2">
        <v>80006</v>
      </c>
      <c r="BI9" s="2">
        <v>-1</v>
      </c>
      <c r="BJ9" s="2">
        <v>-1</v>
      </c>
      <c r="BK9" s="2">
        <v>0.12</v>
      </c>
      <c r="BL9" s="2">
        <v>0.12</v>
      </c>
      <c r="BM9" s="2">
        <v>0.12</v>
      </c>
      <c r="BN9" s="2">
        <v>0.12</v>
      </c>
      <c r="BO9" s="2">
        <v>0.12</v>
      </c>
      <c r="BP9" s="2">
        <v>3.3329999999999999E-2</v>
      </c>
      <c r="BQ9" s="2">
        <v>3.3329999999999999E-2</v>
      </c>
      <c r="BR9" s="2">
        <v>3.3329999999999999E-2</v>
      </c>
      <c r="BS9" s="2">
        <v>3.3329999999999999E-2</v>
      </c>
      <c r="BT9" s="2">
        <v>3.3329999999999999E-2</v>
      </c>
      <c r="BU9" s="2">
        <v>3.3329999999999999E-2</v>
      </c>
      <c r="BV9" s="2">
        <v>3.3329999999999999E-2</v>
      </c>
      <c r="BW9" s="2">
        <v>3.3329999999999999E-2</v>
      </c>
      <c r="BX9" s="2">
        <v>3.3340000000000002E-2</v>
      </c>
      <c r="BY9" s="2">
        <v>3.3340000000000002E-2</v>
      </c>
      <c r="BZ9" s="2">
        <v>3.3340000000000002E-2</v>
      </c>
      <c r="CA9" s="2">
        <v>3.3340000000000002E-2</v>
      </c>
      <c r="CB9" s="2">
        <v>-1</v>
      </c>
      <c r="CC9" s="2">
        <v>-1</v>
      </c>
      <c r="CD9">
        <v>1</v>
      </c>
      <c r="CE9">
        <v>3</v>
      </c>
      <c r="CF9">
        <v>120</v>
      </c>
      <c r="CG9">
        <v>24</v>
      </c>
      <c r="CH9">
        <v>32</v>
      </c>
      <c r="CI9">
        <v>6</v>
      </c>
      <c r="CJ9">
        <v>9</v>
      </c>
      <c r="CK9">
        <v>1</v>
      </c>
      <c r="CL9">
        <v>0</v>
      </c>
      <c r="CM9">
        <v>-1</v>
      </c>
      <c r="CN9">
        <v>0</v>
      </c>
    </row>
    <row r="10" spans="1:92" x14ac:dyDescent="0.25">
      <c r="A10">
        <v>8</v>
      </c>
      <c r="B10" t="s">
        <v>1972</v>
      </c>
      <c r="C10" t="s">
        <v>1993</v>
      </c>
      <c r="D10">
        <v>3005</v>
      </c>
      <c r="E10">
        <v>25</v>
      </c>
      <c r="F10">
        <v>25</v>
      </c>
      <c r="G10" t="s">
        <v>1356</v>
      </c>
      <c r="H10">
        <v>28</v>
      </c>
      <c r="I10">
        <v>28</v>
      </c>
      <c r="J10">
        <v>3</v>
      </c>
      <c r="K10">
        <v>3</v>
      </c>
      <c r="L10">
        <v>3</v>
      </c>
      <c r="M10">
        <v>0</v>
      </c>
      <c r="N10">
        <v>0</v>
      </c>
      <c r="O10" t="s">
        <v>1356</v>
      </c>
      <c r="P10">
        <v>28</v>
      </c>
      <c r="Q10">
        <v>28</v>
      </c>
      <c r="R10">
        <v>3</v>
      </c>
      <c r="S10">
        <v>3</v>
      </c>
      <c r="T10">
        <v>3</v>
      </c>
      <c r="U10">
        <v>0</v>
      </c>
      <c r="V10">
        <v>0</v>
      </c>
      <c r="W10" t="s">
        <v>1353</v>
      </c>
      <c r="X10">
        <v>0</v>
      </c>
      <c r="Y10">
        <v>295</v>
      </c>
      <c r="Z10">
        <v>16</v>
      </c>
      <c r="AA10">
        <v>16</v>
      </c>
      <c r="AB10">
        <v>0</v>
      </c>
      <c r="AC10">
        <v>0</v>
      </c>
      <c r="AD10">
        <v>40</v>
      </c>
      <c r="AE10">
        <v>40</v>
      </c>
      <c r="AF10">
        <v>22</v>
      </c>
      <c r="AG10">
        <v>0</v>
      </c>
      <c r="AH10">
        <v>25</v>
      </c>
      <c r="AI10">
        <v>5</v>
      </c>
      <c r="AJ10" t="s">
        <v>1994</v>
      </c>
      <c r="AK10">
        <v>-1</v>
      </c>
      <c r="AL10">
        <v>-1</v>
      </c>
      <c r="AM10" s="2">
        <v>1</v>
      </c>
      <c r="AN10" s="2">
        <v>2</v>
      </c>
      <c r="AO10" s="2">
        <v>107</v>
      </c>
      <c r="AP10" s="2">
        <v>-1</v>
      </c>
      <c r="AQ10">
        <v>-1</v>
      </c>
      <c r="AR10" s="2">
        <v>9201</v>
      </c>
      <c r="AS10" s="2">
        <v>9202</v>
      </c>
      <c r="AT10" s="2">
        <v>9203</v>
      </c>
      <c r="AU10" s="2">
        <v>9204</v>
      </c>
      <c r="AV10" s="2">
        <v>9205</v>
      </c>
      <c r="AW10" s="2">
        <v>92</v>
      </c>
      <c r="AX10" s="2">
        <v>1</v>
      </c>
      <c r="AY10" s="2">
        <v>46</v>
      </c>
      <c r="AZ10" s="2">
        <v>28</v>
      </c>
      <c r="BA10" s="2">
        <v>31</v>
      </c>
      <c r="BB10" s="2">
        <v>32</v>
      </c>
      <c r="BC10" s="2">
        <v>96</v>
      </c>
      <c r="BD10" s="2">
        <v>80002</v>
      </c>
      <c r="BE10" s="2">
        <v>50002</v>
      </c>
      <c r="BF10" s="2">
        <v>30004</v>
      </c>
      <c r="BG10" s="2">
        <v>80006</v>
      </c>
      <c r="BH10" s="2">
        <v>40007</v>
      </c>
      <c r="BI10" s="2">
        <v>20004</v>
      </c>
      <c r="BJ10" s="2">
        <v>-1</v>
      </c>
      <c r="BK10" s="2">
        <v>0.12</v>
      </c>
      <c r="BL10" s="2">
        <v>0.12</v>
      </c>
      <c r="BM10" s="2">
        <v>0.12</v>
      </c>
      <c r="BN10" s="2">
        <v>0.12</v>
      </c>
      <c r="BO10" s="2">
        <v>0.12</v>
      </c>
      <c r="BP10" s="2">
        <v>0.03</v>
      </c>
      <c r="BQ10" s="2">
        <v>0.03</v>
      </c>
      <c r="BR10" s="2">
        <v>0.03</v>
      </c>
      <c r="BS10" s="2">
        <v>3.1E-2</v>
      </c>
      <c r="BT10" s="2">
        <v>3.1E-2</v>
      </c>
      <c r="BU10" s="2">
        <v>3.1E-2</v>
      </c>
      <c r="BV10" s="2">
        <v>3.1E-2</v>
      </c>
      <c r="BW10" s="2">
        <v>3.1E-2</v>
      </c>
      <c r="BX10" s="2">
        <v>3.1E-2</v>
      </c>
      <c r="BY10" s="2">
        <v>3.1E-2</v>
      </c>
      <c r="BZ10" s="2">
        <v>3.1E-2</v>
      </c>
      <c r="CA10" s="2">
        <v>3.1E-2</v>
      </c>
      <c r="CB10" s="2">
        <v>3.1E-2</v>
      </c>
      <c r="CC10" s="2">
        <v>-1</v>
      </c>
      <c r="CD10">
        <v>1</v>
      </c>
      <c r="CE10">
        <v>3</v>
      </c>
      <c r="CF10">
        <v>180</v>
      </c>
      <c r="CG10">
        <v>5</v>
      </c>
      <c r="CH10">
        <v>15</v>
      </c>
      <c r="CI10">
        <v>5</v>
      </c>
      <c r="CJ10">
        <v>15</v>
      </c>
      <c r="CK10">
        <v>1</v>
      </c>
      <c r="CL10">
        <v>1</v>
      </c>
      <c r="CM10">
        <v>-1</v>
      </c>
      <c r="CN10">
        <v>0</v>
      </c>
    </row>
    <row r="11" spans="1:92" x14ac:dyDescent="0.25">
      <c r="A11">
        <v>9</v>
      </c>
      <c r="B11" t="s">
        <v>1972</v>
      </c>
      <c r="C11" t="s">
        <v>2004</v>
      </c>
      <c r="D11">
        <v>3006</v>
      </c>
      <c r="E11">
        <v>25</v>
      </c>
      <c r="F11">
        <v>25</v>
      </c>
      <c r="G11" t="s">
        <v>1356</v>
      </c>
      <c r="H11">
        <v>28</v>
      </c>
      <c r="I11">
        <v>28</v>
      </c>
      <c r="J11">
        <v>3</v>
      </c>
      <c r="K11">
        <v>3</v>
      </c>
      <c r="L11">
        <v>3</v>
      </c>
      <c r="M11">
        <v>0</v>
      </c>
      <c r="N11">
        <v>0</v>
      </c>
      <c r="O11" t="s">
        <v>59</v>
      </c>
      <c r="P11">
        <v>-1</v>
      </c>
      <c r="Q11">
        <v>-1</v>
      </c>
      <c r="R11">
        <v>1</v>
      </c>
      <c r="S11">
        <v>1</v>
      </c>
      <c r="T11">
        <v>1</v>
      </c>
      <c r="U11">
        <v>0</v>
      </c>
      <c r="V11">
        <v>0</v>
      </c>
      <c r="W11" t="s">
        <v>1353</v>
      </c>
      <c r="X11">
        <v>0</v>
      </c>
      <c r="Y11">
        <v>265</v>
      </c>
      <c r="Z11">
        <v>16</v>
      </c>
      <c r="AA11">
        <v>16</v>
      </c>
      <c r="AB11">
        <v>0</v>
      </c>
      <c r="AC11">
        <v>0</v>
      </c>
      <c r="AD11">
        <v>40</v>
      </c>
      <c r="AE11">
        <v>40</v>
      </c>
      <c r="AF11">
        <v>13.5</v>
      </c>
      <c r="AG11">
        <v>0</v>
      </c>
      <c r="AH11">
        <v>25</v>
      </c>
      <c r="AI11">
        <v>5</v>
      </c>
      <c r="AJ11" t="s">
        <v>2005</v>
      </c>
      <c r="AK11">
        <v>53</v>
      </c>
      <c r="AL11">
        <v>-1</v>
      </c>
      <c r="AM11" s="2">
        <v>1</v>
      </c>
      <c r="AN11" s="2">
        <v>29</v>
      </c>
      <c r="AO11" s="2">
        <v>107</v>
      </c>
      <c r="AP11" s="2">
        <v>-1</v>
      </c>
      <c r="AQ11">
        <v>-1</v>
      </c>
      <c r="AR11" s="2">
        <v>9201</v>
      </c>
      <c r="AS11" s="2">
        <v>9202</v>
      </c>
      <c r="AT11" s="2">
        <v>9203</v>
      </c>
      <c r="AU11" s="2">
        <v>9204</v>
      </c>
      <c r="AV11" s="2">
        <v>9205</v>
      </c>
      <c r="AW11" s="2">
        <v>1</v>
      </c>
      <c r="AX11" s="2">
        <v>46</v>
      </c>
      <c r="AY11" s="2">
        <v>32</v>
      </c>
      <c r="AZ11" s="2">
        <v>96</v>
      </c>
      <c r="BA11" s="2">
        <v>21</v>
      </c>
      <c r="BB11" s="2">
        <v>18</v>
      </c>
      <c r="BC11" s="2">
        <v>20001</v>
      </c>
      <c r="BD11" s="2">
        <v>30000</v>
      </c>
      <c r="BE11" s="2">
        <v>40005</v>
      </c>
      <c r="BF11" s="2">
        <v>50001</v>
      </c>
      <c r="BG11" s="2">
        <v>70005</v>
      </c>
      <c r="BH11" s="2">
        <v>60018</v>
      </c>
      <c r="BI11" s="2">
        <v>80012</v>
      </c>
      <c r="BJ11" s="2">
        <v>-1</v>
      </c>
      <c r="BK11" s="2">
        <v>0.12</v>
      </c>
      <c r="BL11" s="2">
        <v>0.12</v>
      </c>
      <c r="BM11" s="2">
        <v>0.12</v>
      </c>
      <c r="BN11" s="2">
        <v>0.12</v>
      </c>
      <c r="BO11" s="2">
        <v>0.12</v>
      </c>
      <c r="BP11" s="2">
        <v>3.0759999999999999E-2</v>
      </c>
      <c r="BQ11" s="2">
        <v>3.0769999999999999E-2</v>
      </c>
      <c r="BR11" s="2">
        <v>3.0769999999999999E-2</v>
      </c>
      <c r="BS11" s="2">
        <v>3.0769999999999999E-2</v>
      </c>
      <c r="BT11" s="2">
        <v>3.0769999999999999E-2</v>
      </c>
      <c r="BU11" s="2">
        <v>3.0769999999999999E-2</v>
      </c>
      <c r="BV11" s="2">
        <v>3.0769999999999999E-2</v>
      </c>
      <c r="BW11" s="2">
        <v>3.0769999999999999E-2</v>
      </c>
      <c r="BX11" s="2">
        <v>3.0769999999999999E-2</v>
      </c>
      <c r="BY11" s="2">
        <v>3.0769999999999999E-2</v>
      </c>
      <c r="BZ11" s="2">
        <v>3.0769999999999999E-2</v>
      </c>
      <c r="CA11" s="2">
        <v>3.0769999999999999E-2</v>
      </c>
      <c r="CB11" s="2">
        <v>3.0769999999999999E-2</v>
      </c>
      <c r="CC11" s="2">
        <v>-1</v>
      </c>
      <c r="CD11">
        <v>1</v>
      </c>
      <c r="CE11">
        <v>3</v>
      </c>
      <c r="CF11">
        <v>120</v>
      </c>
      <c r="CG11">
        <v>25</v>
      </c>
      <c r="CH11">
        <v>45</v>
      </c>
      <c r="CI11">
        <v>4</v>
      </c>
      <c r="CJ11">
        <v>8</v>
      </c>
      <c r="CK11">
        <v>1</v>
      </c>
      <c r="CL11">
        <v>0</v>
      </c>
      <c r="CM11">
        <v>-1</v>
      </c>
      <c r="CN11">
        <v>0</v>
      </c>
    </row>
    <row r="12" spans="1:92" x14ac:dyDescent="0.25">
      <c r="A12">
        <v>10</v>
      </c>
      <c r="B12" t="s">
        <v>1972</v>
      </c>
      <c r="C12" t="s">
        <v>1973</v>
      </c>
      <c r="D12">
        <v>3008</v>
      </c>
      <c r="E12">
        <v>25</v>
      </c>
      <c r="F12">
        <v>25</v>
      </c>
      <c r="G12" t="s">
        <v>1356</v>
      </c>
      <c r="H12">
        <v>28</v>
      </c>
      <c r="I12">
        <v>28</v>
      </c>
      <c r="J12">
        <v>3</v>
      </c>
      <c r="K12">
        <v>3</v>
      </c>
      <c r="L12">
        <v>3</v>
      </c>
      <c r="M12">
        <v>0</v>
      </c>
      <c r="N12">
        <v>0</v>
      </c>
      <c r="O12" t="s">
        <v>59</v>
      </c>
      <c r="P12">
        <v>-1</v>
      </c>
      <c r="Q12">
        <v>-1</v>
      </c>
      <c r="R12">
        <v>1</v>
      </c>
      <c r="S12">
        <v>1</v>
      </c>
      <c r="T12">
        <v>1</v>
      </c>
      <c r="U12">
        <v>0</v>
      </c>
      <c r="V12">
        <v>0</v>
      </c>
      <c r="W12" t="s">
        <v>1353</v>
      </c>
      <c r="X12">
        <v>0</v>
      </c>
      <c r="Y12">
        <v>255</v>
      </c>
      <c r="Z12">
        <v>16</v>
      </c>
      <c r="AA12">
        <v>16</v>
      </c>
      <c r="AB12">
        <v>0</v>
      </c>
      <c r="AC12">
        <v>0</v>
      </c>
      <c r="AD12">
        <v>40</v>
      </c>
      <c r="AE12">
        <v>40</v>
      </c>
      <c r="AF12">
        <v>14.5</v>
      </c>
      <c r="AG12">
        <v>0</v>
      </c>
      <c r="AH12">
        <v>25</v>
      </c>
      <c r="AI12">
        <v>5</v>
      </c>
      <c r="AJ12" t="s">
        <v>1974</v>
      </c>
      <c r="AK12">
        <v>15</v>
      </c>
      <c r="AL12">
        <v>-1</v>
      </c>
      <c r="AM12" s="2">
        <v>1</v>
      </c>
      <c r="AN12" s="2">
        <v>19</v>
      </c>
      <c r="AO12" s="2">
        <v>107</v>
      </c>
      <c r="AP12" s="2">
        <v>-1</v>
      </c>
      <c r="AQ12">
        <v>-1</v>
      </c>
      <c r="AR12" s="2">
        <v>9201</v>
      </c>
      <c r="AS12" s="2">
        <v>9202</v>
      </c>
      <c r="AT12" s="2">
        <v>9203</v>
      </c>
      <c r="AU12" s="2">
        <v>9204</v>
      </c>
      <c r="AV12" s="2">
        <v>9205</v>
      </c>
      <c r="AW12" s="2">
        <v>1</v>
      </c>
      <c r="AX12" s="2">
        <v>19</v>
      </c>
      <c r="AY12" s="2">
        <v>99</v>
      </c>
      <c r="AZ12" s="2">
        <v>20002</v>
      </c>
      <c r="BA12" s="2">
        <v>30004</v>
      </c>
      <c r="BB12" s="2">
        <v>40002</v>
      </c>
      <c r="BC12" s="2">
        <v>50001</v>
      </c>
      <c r="BD12" s="2">
        <v>60016</v>
      </c>
      <c r="BE12" s="2">
        <v>70008</v>
      </c>
      <c r="BF12" s="2">
        <v>80005</v>
      </c>
      <c r="BG12" s="2">
        <v>-1</v>
      </c>
      <c r="BH12" s="2">
        <v>-1</v>
      </c>
      <c r="BI12" s="2">
        <v>-1</v>
      </c>
      <c r="BJ12" s="2">
        <v>-1</v>
      </c>
      <c r="BK12" s="2">
        <v>0.12</v>
      </c>
      <c r="BL12" s="2">
        <v>0.12</v>
      </c>
      <c r="BM12" s="2">
        <v>0.12</v>
      </c>
      <c r="BN12" s="2">
        <v>0.12</v>
      </c>
      <c r="BO12" s="2">
        <v>0.12</v>
      </c>
      <c r="BP12" s="2">
        <v>0.04</v>
      </c>
      <c r="BQ12" s="2">
        <v>0.04</v>
      </c>
      <c r="BR12" s="2">
        <v>0.04</v>
      </c>
      <c r="BS12" s="2">
        <v>0.04</v>
      </c>
      <c r="BT12" s="2">
        <v>0.04</v>
      </c>
      <c r="BU12" s="2">
        <v>0.04</v>
      </c>
      <c r="BV12" s="2">
        <v>0.04</v>
      </c>
      <c r="BW12" s="2">
        <v>0.04</v>
      </c>
      <c r="BX12" s="2">
        <v>0.04</v>
      </c>
      <c r="BY12" s="2">
        <v>0.04</v>
      </c>
      <c r="BZ12" s="2">
        <v>-1</v>
      </c>
      <c r="CA12" s="2">
        <v>-1</v>
      </c>
      <c r="CB12" s="2">
        <v>-1</v>
      </c>
      <c r="CC12" s="2">
        <v>-1</v>
      </c>
      <c r="CD12">
        <v>1</v>
      </c>
      <c r="CE12">
        <v>3</v>
      </c>
      <c r="CF12">
        <v>120</v>
      </c>
      <c r="CG12">
        <v>5</v>
      </c>
      <c r="CH12">
        <v>10</v>
      </c>
      <c r="CI12">
        <v>15</v>
      </c>
      <c r="CJ12">
        <v>30</v>
      </c>
      <c r="CK12">
        <v>1</v>
      </c>
      <c r="CL12">
        <v>0</v>
      </c>
      <c r="CM12">
        <v>-1</v>
      </c>
      <c r="CN12">
        <v>0</v>
      </c>
    </row>
    <row r="13" spans="1:92" x14ac:dyDescent="0.25">
      <c r="A13">
        <v>11</v>
      </c>
      <c r="B13" t="s">
        <v>1972</v>
      </c>
      <c r="C13" t="s">
        <v>1991</v>
      </c>
      <c r="D13">
        <v>3009</v>
      </c>
      <c r="E13">
        <v>25</v>
      </c>
      <c r="F13">
        <v>25</v>
      </c>
      <c r="G13" t="s">
        <v>1356</v>
      </c>
      <c r="H13">
        <v>28</v>
      </c>
      <c r="I13">
        <v>28</v>
      </c>
      <c r="J13">
        <v>3</v>
      </c>
      <c r="K13">
        <v>3</v>
      </c>
      <c r="L13">
        <v>3</v>
      </c>
      <c r="M13">
        <v>0</v>
      </c>
      <c r="N13">
        <v>0</v>
      </c>
      <c r="O13" t="s">
        <v>59</v>
      </c>
      <c r="P13">
        <v>-1</v>
      </c>
      <c r="Q13">
        <v>-1</v>
      </c>
      <c r="R13">
        <v>1</v>
      </c>
      <c r="S13">
        <v>1</v>
      </c>
      <c r="T13">
        <v>1</v>
      </c>
      <c r="U13">
        <v>0</v>
      </c>
      <c r="V13">
        <v>0</v>
      </c>
      <c r="W13" t="s">
        <v>1353</v>
      </c>
      <c r="X13">
        <v>0</v>
      </c>
      <c r="Y13">
        <v>260</v>
      </c>
      <c r="Z13">
        <v>16</v>
      </c>
      <c r="AA13">
        <v>16</v>
      </c>
      <c r="AB13">
        <v>0</v>
      </c>
      <c r="AC13">
        <v>0</v>
      </c>
      <c r="AD13">
        <v>40</v>
      </c>
      <c r="AE13">
        <v>40</v>
      </c>
      <c r="AF13">
        <v>12</v>
      </c>
      <c r="AG13">
        <v>0</v>
      </c>
      <c r="AH13">
        <v>25</v>
      </c>
      <c r="AI13">
        <v>5</v>
      </c>
      <c r="AJ13" t="s">
        <v>1992</v>
      </c>
      <c r="AK13">
        <v>46</v>
      </c>
      <c r="AL13">
        <v>-1</v>
      </c>
      <c r="AM13" s="2">
        <v>1</v>
      </c>
      <c r="AN13" s="2">
        <v>24</v>
      </c>
      <c r="AO13" s="2">
        <v>107</v>
      </c>
      <c r="AP13" s="2">
        <v>-1</v>
      </c>
      <c r="AQ13">
        <v>-1</v>
      </c>
      <c r="AR13" s="2">
        <v>9201</v>
      </c>
      <c r="AS13" s="2">
        <v>9202</v>
      </c>
      <c r="AT13" s="2">
        <v>9203</v>
      </c>
      <c r="AU13" s="2">
        <v>9204</v>
      </c>
      <c r="AV13" s="2">
        <v>9205</v>
      </c>
      <c r="AW13" s="2">
        <v>32</v>
      </c>
      <c r="AX13" s="2">
        <v>96</v>
      </c>
      <c r="AY13" s="2">
        <v>23</v>
      </c>
      <c r="AZ13" s="2">
        <v>21</v>
      </c>
      <c r="BA13" s="2">
        <v>20000</v>
      </c>
      <c r="BB13" s="2">
        <v>30007</v>
      </c>
      <c r="BC13" s="2">
        <v>40006</v>
      </c>
      <c r="BD13" s="2">
        <v>50003</v>
      </c>
      <c r="BE13" s="2">
        <v>70008</v>
      </c>
      <c r="BF13" s="2">
        <v>80002</v>
      </c>
      <c r="BG13" s="2">
        <v>1</v>
      </c>
      <c r="BH13" s="2">
        <v>-1</v>
      </c>
      <c r="BI13" s="2">
        <v>-1</v>
      </c>
      <c r="BJ13" s="2">
        <v>-1</v>
      </c>
      <c r="BK13" s="2">
        <v>0.12</v>
      </c>
      <c r="BL13" s="2">
        <v>0.12</v>
      </c>
      <c r="BM13" s="2">
        <v>0.12</v>
      </c>
      <c r="BN13" s="2">
        <v>0.12</v>
      </c>
      <c r="BO13" s="2">
        <v>0.12</v>
      </c>
      <c r="BP13" s="2">
        <v>3.6360000000000003E-2</v>
      </c>
      <c r="BQ13" s="2">
        <v>3.6360000000000003E-2</v>
      </c>
      <c r="BR13" s="2">
        <v>3.6360000000000003E-2</v>
      </c>
      <c r="BS13" s="2">
        <v>3.6360000000000003E-2</v>
      </c>
      <c r="BT13" s="2">
        <v>3.6360000000000003E-2</v>
      </c>
      <c r="BU13" s="2">
        <v>3.6360000000000003E-2</v>
      </c>
      <c r="BV13" s="2">
        <v>3.6360000000000003E-2</v>
      </c>
      <c r="BW13" s="2">
        <v>3.637E-2</v>
      </c>
      <c r="BX13" s="2">
        <v>3.637E-2</v>
      </c>
      <c r="BY13" s="2">
        <v>3.637E-2</v>
      </c>
      <c r="BZ13" s="2">
        <v>3.637E-2</v>
      </c>
      <c r="CA13" s="2">
        <v>-1</v>
      </c>
      <c r="CB13" s="2">
        <v>-1</v>
      </c>
      <c r="CC13" s="2">
        <v>-1</v>
      </c>
      <c r="CD13">
        <v>1</v>
      </c>
      <c r="CE13">
        <v>3</v>
      </c>
      <c r="CF13">
        <v>120</v>
      </c>
      <c r="CG13">
        <v>5</v>
      </c>
      <c r="CH13">
        <v>10</v>
      </c>
      <c r="CI13">
        <v>15</v>
      </c>
      <c r="CJ13">
        <v>30</v>
      </c>
      <c r="CK13">
        <v>1</v>
      </c>
      <c r="CL13">
        <v>0</v>
      </c>
      <c r="CM13">
        <v>-1</v>
      </c>
      <c r="CN13">
        <v>0</v>
      </c>
    </row>
    <row r="14" spans="1:92" x14ac:dyDescent="0.25">
      <c r="A14">
        <v>12</v>
      </c>
      <c r="B14" t="s">
        <v>1972</v>
      </c>
      <c r="C14" t="s">
        <v>1989</v>
      </c>
      <c r="D14">
        <v>3010</v>
      </c>
      <c r="E14">
        <v>25</v>
      </c>
      <c r="F14">
        <v>25</v>
      </c>
      <c r="G14" t="s">
        <v>1356</v>
      </c>
      <c r="H14">
        <v>28</v>
      </c>
      <c r="I14">
        <v>28</v>
      </c>
      <c r="J14">
        <v>3</v>
      </c>
      <c r="K14">
        <v>3</v>
      </c>
      <c r="L14">
        <v>3</v>
      </c>
      <c r="M14">
        <v>0</v>
      </c>
      <c r="N14">
        <v>0</v>
      </c>
      <c r="O14" t="s">
        <v>59</v>
      </c>
      <c r="P14">
        <v>-1</v>
      </c>
      <c r="Q14">
        <v>-1</v>
      </c>
      <c r="R14">
        <v>1</v>
      </c>
      <c r="S14">
        <v>1</v>
      </c>
      <c r="T14">
        <v>1</v>
      </c>
      <c r="U14">
        <v>0</v>
      </c>
      <c r="V14">
        <v>0</v>
      </c>
      <c r="W14" t="s">
        <v>1353</v>
      </c>
      <c r="X14">
        <v>0</v>
      </c>
      <c r="Y14">
        <v>310</v>
      </c>
      <c r="Z14">
        <v>16</v>
      </c>
      <c r="AA14">
        <v>16</v>
      </c>
      <c r="AB14">
        <v>0</v>
      </c>
      <c r="AC14">
        <v>0</v>
      </c>
      <c r="AD14">
        <v>40</v>
      </c>
      <c r="AE14">
        <v>40</v>
      </c>
      <c r="AF14">
        <v>13</v>
      </c>
      <c r="AG14">
        <v>0</v>
      </c>
      <c r="AH14">
        <v>30</v>
      </c>
      <c r="AI14">
        <v>5</v>
      </c>
      <c r="AJ14" t="s">
        <v>1990</v>
      </c>
      <c r="AK14">
        <v>17</v>
      </c>
      <c r="AL14">
        <v>-1</v>
      </c>
      <c r="AM14" s="2">
        <v>1</v>
      </c>
      <c r="AN14" s="2">
        <v>23</v>
      </c>
      <c r="AO14" s="2">
        <v>107</v>
      </c>
      <c r="AP14" s="2">
        <v>-1</v>
      </c>
      <c r="AQ14">
        <v>-1</v>
      </c>
      <c r="AR14" s="2">
        <v>9201</v>
      </c>
      <c r="AS14" s="2">
        <v>9202</v>
      </c>
      <c r="AT14" s="2">
        <v>9203</v>
      </c>
      <c r="AU14" s="2">
        <v>9204</v>
      </c>
      <c r="AV14" s="2">
        <v>9205</v>
      </c>
      <c r="AW14" s="2">
        <v>1</v>
      </c>
      <c r="AX14" s="2">
        <v>16</v>
      </c>
      <c r="AY14" s="2">
        <v>28</v>
      </c>
      <c r="AZ14" s="2">
        <v>20001</v>
      </c>
      <c r="BA14" s="2">
        <v>30001</v>
      </c>
      <c r="BB14" s="2">
        <v>40004</v>
      </c>
      <c r="BC14" s="2">
        <v>50000</v>
      </c>
      <c r="BD14" s="2">
        <v>70007</v>
      </c>
      <c r="BE14" s="2">
        <v>80010</v>
      </c>
      <c r="BF14" s="2">
        <v>80005</v>
      </c>
      <c r="BG14" s="2">
        <v>-1</v>
      </c>
      <c r="BH14" s="2">
        <v>-1</v>
      </c>
      <c r="BI14" s="2">
        <v>-1</v>
      </c>
      <c r="BJ14" s="2">
        <v>-1</v>
      </c>
      <c r="BK14" s="2">
        <v>0.12</v>
      </c>
      <c r="BL14" s="2">
        <v>0.12</v>
      </c>
      <c r="BM14" s="2">
        <v>0.12</v>
      </c>
      <c r="BN14" s="2">
        <v>0.12</v>
      </c>
      <c r="BO14" s="2">
        <v>0.12</v>
      </c>
      <c r="BP14" s="2">
        <v>0.04</v>
      </c>
      <c r="BQ14" s="2">
        <v>0.04</v>
      </c>
      <c r="BR14" s="2">
        <v>0.04</v>
      </c>
      <c r="BS14" s="2">
        <v>0.04</v>
      </c>
      <c r="BT14" s="2">
        <v>0.04</v>
      </c>
      <c r="BU14" s="2">
        <v>0.04</v>
      </c>
      <c r="BV14" s="2">
        <v>0.04</v>
      </c>
      <c r="BW14" s="2">
        <v>0.04</v>
      </c>
      <c r="BX14" s="2">
        <v>0.04</v>
      </c>
      <c r="BY14" s="2">
        <v>0.04</v>
      </c>
      <c r="BZ14" s="2">
        <v>-1</v>
      </c>
      <c r="CA14" s="2">
        <v>-1</v>
      </c>
      <c r="CB14" s="2">
        <v>-1</v>
      </c>
      <c r="CC14" s="2">
        <v>-1</v>
      </c>
      <c r="CD14">
        <v>1</v>
      </c>
      <c r="CE14">
        <v>3</v>
      </c>
      <c r="CF14">
        <v>120</v>
      </c>
      <c r="CG14">
        <v>10</v>
      </c>
      <c r="CH14">
        <v>15</v>
      </c>
      <c r="CI14">
        <v>2</v>
      </c>
      <c r="CJ14">
        <v>7</v>
      </c>
      <c r="CK14">
        <v>1</v>
      </c>
      <c r="CL14">
        <v>0</v>
      </c>
      <c r="CM14">
        <v>-1</v>
      </c>
      <c r="CN14">
        <v>0</v>
      </c>
    </row>
    <row r="15" spans="1:92" x14ac:dyDescent="0.25">
      <c r="A15">
        <v>13</v>
      </c>
      <c r="B15" t="s">
        <v>1972</v>
      </c>
      <c r="C15" t="s">
        <v>1981</v>
      </c>
      <c r="D15">
        <v>3011</v>
      </c>
      <c r="E15">
        <v>25</v>
      </c>
      <c r="F15">
        <v>25</v>
      </c>
      <c r="G15" t="s">
        <v>1356</v>
      </c>
      <c r="H15">
        <v>28</v>
      </c>
      <c r="I15">
        <v>28</v>
      </c>
      <c r="J15">
        <v>3</v>
      </c>
      <c r="K15">
        <v>3</v>
      </c>
      <c r="L15">
        <v>3</v>
      </c>
      <c r="M15">
        <v>0</v>
      </c>
      <c r="N15">
        <v>0</v>
      </c>
      <c r="O15" t="s">
        <v>1356</v>
      </c>
      <c r="P15">
        <v>28</v>
      </c>
      <c r="Q15">
        <v>28</v>
      </c>
      <c r="R15">
        <v>3</v>
      </c>
      <c r="S15">
        <v>3</v>
      </c>
      <c r="T15">
        <v>3</v>
      </c>
      <c r="U15">
        <v>0</v>
      </c>
      <c r="V15">
        <v>0</v>
      </c>
      <c r="W15" t="s">
        <v>1353</v>
      </c>
      <c r="X15">
        <v>0</v>
      </c>
      <c r="Y15">
        <v>250</v>
      </c>
      <c r="Z15">
        <v>16</v>
      </c>
      <c r="AA15">
        <v>16</v>
      </c>
      <c r="AB15">
        <v>0</v>
      </c>
      <c r="AC15">
        <v>0</v>
      </c>
      <c r="AD15">
        <v>40</v>
      </c>
      <c r="AE15">
        <v>40</v>
      </c>
      <c r="AF15">
        <v>16</v>
      </c>
      <c r="AG15">
        <v>0</v>
      </c>
      <c r="AH15">
        <v>-1</v>
      </c>
      <c r="AI15">
        <v>5</v>
      </c>
      <c r="AJ15" t="s">
        <v>1982</v>
      </c>
      <c r="AK15">
        <v>22</v>
      </c>
      <c r="AL15">
        <v>-1</v>
      </c>
      <c r="AM15" s="2">
        <v>1</v>
      </c>
      <c r="AN15" s="2">
        <v>107</v>
      </c>
      <c r="AO15" s="2">
        <v>-1</v>
      </c>
      <c r="AP15" s="2">
        <v>-1</v>
      </c>
      <c r="AQ15">
        <v>-1</v>
      </c>
      <c r="AR15" s="2">
        <v>9201</v>
      </c>
      <c r="AS15" s="2">
        <v>9202</v>
      </c>
      <c r="AT15" s="2">
        <v>9203</v>
      </c>
      <c r="AU15" s="2">
        <v>9204</v>
      </c>
      <c r="AV15" s="2">
        <v>9205</v>
      </c>
      <c r="AW15" s="2">
        <v>31</v>
      </c>
      <c r="AX15" s="2">
        <v>27</v>
      </c>
      <c r="AY15" s="2">
        <v>41</v>
      </c>
      <c r="AZ15" s="2">
        <v>20001</v>
      </c>
      <c r="BA15" s="2">
        <v>30008</v>
      </c>
      <c r="BB15" s="2">
        <v>50006</v>
      </c>
      <c r="BC15" s="2">
        <v>50003</v>
      </c>
      <c r="BD15" s="2">
        <v>60016</v>
      </c>
      <c r="BE15" s="2">
        <v>70002</v>
      </c>
      <c r="BF15" s="2">
        <v>80001</v>
      </c>
      <c r="BG15" s="2">
        <v>80000</v>
      </c>
      <c r="BH15" s="2">
        <v>-1</v>
      </c>
      <c r="BI15" s="2">
        <v>-1</v>
      </c>
      <c r="BJ15" s="2">
        <v>-1</v>
      </c>
      <c r="BK15" s="2">
        <v>0.12</v>
      </c>
      <c r="BL15" s="2">
        <v>0.12</v>
      </c>
      <c r="BM15" s="2">
        <v>0.12</v>
      </c>
      <c r="BN15" s="2">
        <v>0.12</v>
      </c>
      <c r="BO15" s="2">
        <v>0.12</v>
      </c>
      <c r="BP15" s="2">
        <v>3.6360000000000003E-2</v>
      </c>
      <c r="BQ15" s="2">
        <v>3.6360000000000003E-2</v>
      </c>
      <c r="BR15" s="2">
        <v>3.6360000000000003E-2</v>
      </c>
      <c r="BS15" s="2">
        <v>3.6360000000000003E-2</v>
      </c>
      <c r="BT15" s="2">
        <v>3.6360000000000003E-2</v>
      </c>
      <c r="BU15" s="2">
        <v>3.6360000000000003E-2</v>
      </c>
      <c r="BV15" s="2">
        <v>3.6360000000000003E-2</v>
      </c>
      <c r="BW15" s="2">
        <v>3.637E-2</v>
      </c>
      <c r="BX15" s="2">
        <v>3.637E-2</v>
      </c>
      <c r="BY15" s="2">
        <v>3.637E-2</v>
      </c>
      <c r="BZ15" s="2">
        <v>3.637E-2</v>
      </c>
      <c r="CA15" s="2">
        <v>-1</v>
      </c>
      <c r="CB15" s="2">
        <v>-1</v>
      </c>
      <c r="CC15" s="2">
        <v>-1</v>
      </c>
      <c r="CD15">
        <v>1</v>
      </c>
      <c r="CE15">
        <v>3</v>
      </c>
      <c r="CF15">
        <v>120</v>
      </c>
      <c r="CG15">
        <v>15</v>
      </c>
      <c r="CH15">
        <v>40</v>
      </c>
      <c r="CI15">
        <v>5</v>
      </c>
      <c r="CJ15">
        <v>20</v>
      </c>
      <c r="CK15">
        <v>1</v>
      </c>
      <c r="CL15">
        <v>0</v>
      </c>
      <c r="CM15">
        <v>-1</v>
      </c>
      <c r="CN15">
        <v>0</v>
      </c>
    </row>
    <row r="16" spans="1:92" x14ac:dyDescent="0.25">
      <c r="A16">
        <v>14</v>
      </c>
      <c r="B16" t="s">
        <v>1972</v>
      </c>
      <c r="C16" t="s">
        <v>1983</v>
      </c>
      <c r="D16">
        <v>3012</v>
      </c>
      <c r="E16">
        <v>25</v>
      </c>
      <c r="F16">
        <v>25</v>
      </c>
      <c r="G16" t="s">
        <v>1356</v>
      </c>
      <c r="H16">
        <v>28</v>
      </c>
      <c r="I16">
        <v>28</v>
      </c>
      <c r="J16">
        <v>3</v>
      </c>
      <c r="K16">
        <v>3</v>
      </c>
      <c r="L16">
        <v>3</v>
      </c>
      <c r="M16">
        <v>0</v>
      </c>
      <c r="N16">
        <v>0</v>
      </c>
      <c r="O16" t="s">
        <v>59</v>
      </c>
      <c r="P16">
        <v>-1</v>
      </c>
      <c r="Q16">
        <v>-1</v>
      </c>
      <c r="R16">
        <v>1</v>
      </c>
      <c r="S16">
        <v>1</v>
      </c>
      <c r="T16">
        <v>1</v>
      </c>
      <c r="U16">
        <v>0</v>
      </c>
      <c r="V16">
        <v>0</v>
      </c>
      <c r="W16" t="s">
        <v>1353</v>
      </c>
      <c r="X16">
        <v>0</v>
      </c>
      <c r="Y16">
        <v>265</v>
      </c>
      <c r="Z16">
        <v>16</v>
      </c>
      <c r="AA16">
        <v>16</v>
      </c>
      <c r="AB16">
        <v>0</v>
      </c>
      <c r="AC16">
        <v>0</v>
      </c>
      <c r="AD16">
        <v>40</v>
      </c>
      <c r="AE16">
        <v>40</v>
      </c>
      <c r="AF16">
        <v>15</v>
      </c>
      <c r="AG16">
        <v>0</v>
      </c>
      <c r="AH16">
        <v>-1</v>
      </c>
      <c r="AI16">
        <v>5</v>
      </c>
      <c r="AJ16" t="s">
        <v>1984</v>
      </c>
      <c r="AK16">
        <v>40</v>
      </c>
      <c r="AL16">
        <v>-1</v>
      </c>
      <c r="AM16" s="2">
        <v>1</v>
      </c>
      <c r="AN16" s="2">
        <v>20</v>
      </c>
      <c r="AO16" s="2">
        <v>107</v>
      </c>
      <c r="AP16" s="2">
        <v>-1</v>
      </c>
      <c r="AQ16">
        <v>-1</v>
      </c>
      <c r="AR16" s="2">
        <v>9201</v>
      </c>
      <c r="AS16" s="2">
        <v>9202</v>
      </c>
      <c r="AT16" s="2">
        <v>9203</v>
      </c>
      <c r="AU16" s="2">
        <v>9204</v>
      </c>
      <c r="AV16" s="2">
        <v>9205</v>
      </c>
      <c r="AW16" s="2">
        <v>22</v>
      </c>
      <c r="AX16" s="2">
        <v>40</v>
      </c>
      <c r="AY16" s="2">
        <v>23</v>
      </c>
      <c r="AZ16" s="2">
        <v>20004</v>
      </c>
      <c r="BA16" s="2">
        <v>30000</v>
      </c>
      <c r="BB16" s="2">
        <v>40005</v>
      </c>
      <c r="BC16" s="2">
        <v>50006</v>
      </c>
      <c r="BD16" s="2">
        <v>60015</v>
      </c>
      <c r="BE16" s="2">
        <v>70002</v>
      </c>
      <c r="BF16" s="2">
        <v>80013</v>
      </c>
      <c r="BG16" s="2">
        <v>-1</v>
      </c>
      <c r="BH16" s="2">
        <v>-1</v>
      </c>
      <c r="BI16" s="2">
        <v>-1</v>
      </c>
      <c r="BJ16" s="2">
        <v>-1</v>
      </c>
      <c r="BK16" s="2">
        <v>0.12</v>
      </c>
      <c r="BL16" s="2">
        <v>0.12</v>
      </c>
      <c r="BM16" s="2">
        <v>0.12</v>
      </c>
      <c r="BN16" s="2">
        <v>0.12</v>
      </c>
      <c r="BO16" s="2">
        <v>0.12</v>
      </c>
      <c r="BP16" s="2">
        <v>0.04</v>
      </c>
      <c r="BQ16" s="2">
        <v>0.04</v>
      </c>
      <c r="BR16" s="2">
        <v>0.04</v>
      </c>
      <c r="BS16" s="2">
        <v>0.04</v>
      </c>
      <c r="BT16" s="2">
        <v>0.04</v>
      </c>
      <c r="BU16" s="2">
        <v>0.04</v>
      </c>
      <c r="BV16" s="2">
        <v>0.04</v>
      </c>
      <c r="BW16" s="2">
        <v>0.04</v>
      </c>
      <c r="BX16" s="2">
        <v>0.04</v>
      </c>
      <c r="BY16" s="2">
        <v>0.04</v>
      </c>
      <c r="BZ16" s="2">
        <v>-1</v>
      </c>
      <c r="CA16" s="2">
        <v>-1</v>
      </c>
      <c r="CB16" s="2">
        <v>-1</v>
      </c>
      <c r="CC16" s="2">
        <v>-1</v>
      </c>
      <c r="CD16">
        <v>1</v>
      </c>
      <c r="CE16">
        <v>3</v>
      </c>
      <c r="CF16">
        <v>120</v>
      </c>
      <c r="CG16">
        <v>20</v>
      </c>
      <c r="CH16">
        <v>60</v>
      </c>
      <c r="CI16">
        <v>5</v>
      </c>
      <c r="CJ16">
        <v>15</v>
      </c>
      <c r="CK16">
        <v>1</v>
      </c>
      <c r="CL16">
        <v>0</v>
      </c>
      <c r="CM16">
        <v>-1</v>
      </c>
      <c r="CN16">
        <v>0</v>
      </c>
    </row>
    <row r="17" spans="1:92" x14ac:dyDescent="0.25">
      <c r="A17">
        <v>15</v>
      </c>
      <c r="B17" t="s">
        <v>1972</v>
      </c>
      <c r="C17" t="s">
        <v>1987</v>
      </c>
      <c r="D17">
        <v>3013</v>
      </c>
      <c r="E17">
        <v>25</v>
      </c>
      <c r="F17">
        <v>25</v>
      </c>
      <c r="G17" t="s">
        <v>1356</v>
      </c>
      <c r="H17">
        <v>28</v>
      </c>
      <c r="I17">
        <v>28</v>
      </c>
      <c r="J17">
        <v>3</v>
      </c>
      <c r="K17">
        <v>3</v>
      </c>
      <c r="L17">
        <v>3</v>
      </c>
      <c r="M17">
        <v>0</v>
      </c>
      <c r="N17">
        <v>0</v>
      </c>
      <c r="O17" t="s">
        <v>1356</v>
      </c>
      <c r="P17">
        <v>28</v>
      </c>
      <c r="Q17">
        <v>28</v>
      </c>
      <c r="R17">
        <v>3</v>
      </c>
      <c r="S17">
        <v>3</v>
      </c>
      <c r="T17">
        <v>3</v>
      </c>
      <c r="U17">
        <v>0</v>
      </c>
      <c r="V17">
        <v>0</v>
      </c>
      <c r="W17" t="s">
        <v>1353</v>
      </c>
      <c r="X17">
        <v>0</v>
      </c>
      <c r="Y17">
        <v>300</v>
      </c>
      <c r="Z17">
        <v>16</v>
      </c>
      <c r="AA17">
        <v>16</v>
      </c>
      <c r="AB17">
        <v>0</v>
      </c>
      <c r="AC17">
        <v>0</v>
      </c>
      <c r="AD17">
        <v>40</v>
      </c>
      <c r="AE17">
        <v>40</v>
      </c>
      <c r="AF17">
        <v>14</v>
      </c>
      <c r="AG17">
        <v>0</v>
      </c>
      <c r="AH17">
        <v>30</v>
      </c>
      <c r="AI17">
        <v>5</v>
      </c>
      <c r="AJ17" t="s">
        <v>1988</v>
      </c>
      <c r="AK17">
        <v>38</v>
      </c>
      <c r="AL17">
        <v>-1</v>
      </c>
      <c r="AM17" s="2">
        <v>1</v>
      </c>
      <c r="AN17" s="2">
        <v>22</v>
      </c>
      <c r="AO17" s="2">
        <v>107</v>
      </c>
      <c r="AP17" s="2">
        <v>-1</v>
      </c>
      <c r="AQ17">
        <v>-1</v>
      </c>
      <c r="AR17" s="2">
        <v>9201</v>
      </c>
      <c r="AS17" s="2">
        <v>9202</v>
      </c>
      <c r="AT17" s="2">
        <v>9203</v>
      </c>
      <c r="AU17" s="2">
        <v>9204</v>
      </c>
      <c r="AV17" s="2">
        <v>9205</v>
      </c>
      <c r="AW17" s="2">
        <v>32</v>
      </c>
      <c r="AX17" s="2">
        <v>96</v>
      </c>
      <c r="AY17" s="2">
        <v>46</v>
      </c>
      <c r="AZ17" s="2">
        <v>31</v>
      </c>
      <c r="BA17" s="2">
        <v>40</v>
      </c>
      <c r="BB17" s="2">
        <v>22</v>
      </c>
      <c r="BC17" s="2">
        <v>20003</v>
      </c>
      <c r="BD17" s="2">
        <v>30000</v>
      </c>
      <c r="BE17" s="2">
        <v>30005</v>
      </c>
      <c r="BF17" s="2">
        <v>80000</v>
      </c>
      <c r="BG17" s="2">
        <v>70002</v>
      </c>
      <c r="BH17" s="2">
        <v>-1</v>
      </c>
      <c r="BI17" s="2">
        <v>-1</v>
      </c>
      <c r="BJ17" s="2">
        <v>-1</v>
      </c>
      <c r="BK17" s="2">
        <v>0.12</v>
      </c>
      <c r="BL17" s="2">
        <v>0.12</v>
      </c>
      <c r="BM17" s="2">
        <v>0.12</v>
      </c>
      <c r="BN17" s="2">
        <v>0.12</v>
      </c>
      <c r="BO17" s="2">
        <v>0.12</v>
      </c>
      <c r="BP17" s="2">
        <v>3.6360000000000003E-2</v>
      </c>
      <c r="BQ17" s="2">
        <v>3.6360000000000003E-2</v>
      </c>
      <c r="BR17" s="2">
        <v>3.6360000000000003E-2</v>
      </c>
      <c r="BS17" s="2">
        <v>3.6360000000000003E-2</v>
      </c>
      <c r="BT17" s="2">
        <v>3.6360000000000003E-2</v>
      </c>
      <c r="BU17" s="2">
        <v>3.6360000000000003E-2</v>
      </c>
      <c r="BV17" s="2">
        <v>3.6360000000000003E-2</v>
      </c>
      <c r="BW17" s="2">
        <v>3.637E-2</v>
      </c>
      <c r="BX17" s="2">
        <v>3.637E-2</v>
      </c>
      <c r="BY17" s="2">
        <v>3.637E-2</v>
      </c>
      <c r="BZ17" s="2">
        <v>3.637E-2</v>
      </c>
      <c r="CA17" s="2">
        <v>-1</v>
      </c>
      <c r="CB17" s="2">
        <v>-1</v>
      </c>
      <c r="CC17" s="2">
        <v>-1</v>
      </c>
      <c r="CD17">
        <v>1</v>
      </c>
      <c r="CE17">
        <v>3</v>
      </c>
      <c r="CF17">
        <v>120</v>
      </c>
      <c r="CG17">
        <v>2</v>
      </c>
      <c r="CH17">
        <v>20</v>
      </c>
      <c r="CI17">
        <v>4</v>
      </c>
      <c r="CJ17">
        <v>10</v>
      </c>
      <c r="CK17">
        <v>1</v>
      </c>
      <c r="CL17">
        <v>0</v>
      </c>
      <c r="CM17">
        <v>-1</v>
      </c>
      <c r="CN17">
        <v>0</v>
      </c>
    </row>
    <row r="18" spans="1:92" x14ac:dyDescent="0.25">
      <c r="A18">
        <v>16</v>
      </c>
      <c r="B18" t="s">
        <v>1972</v>
      </c>
      <c r="C18" t="s">
        <v>1995</v>
      </c>
      <c r="D18">
        <v>3014</v>
      </c>
      <c r="E18">
        <v>25</v>
      </c>
      <c r="F18">
        <v>25</v>
      </c>
      <c r="G18" t="s">
        <v>1356</v>
      </c>
      <c r="H18">
        <v>28</v>
      </c>
      <c r="I18">
        <v>28</v>
      </c>
      <c r="J18">
        <v>3</v>
      </c>
      <c r="K18">
        <v>3</v>
      </c>
      <c r="L18">
        <v>3</v>
      </c>
      <c r="M18">
        <v>0</v>
      </c>
      <c r="N18">
        <v>0</v>
      </c>
      <c r="O18" t="s">
        <v>59</v>
      </c>
      <c r="P18">
        <v>-1</v>
      </c>
      <c r="Q18">
        <v>-1</v>
      </c>
      <c r="R18">
        <v>1</v>
      </c>
      <c r="S18">
        <v>1</v>
      </c>
      <c r="T18">
        <v>1</v>
      </c>
      <c r="U18">
        <v>0</v>
      </c>
      <c r="V18">
        <v>0</v>
      </c>
      <c r="W18" t="s">
        <v>1353</v>
      </c>
      <c r="X18">
        <v>0</v>
      </c>
      <c r="Y18">
        <v>274</v>
      </c>
      <c r="Z18">
        <v>16</v>
      </c>
      <c r="AA18">
        <v>16</v>
      </c>
      <c r="AB18">
        <v>0</v>
      </c>
      <c r="AC18">
        <v>0</v>
      </c>
      <c r="AD18">
        <v>40</v>
      </c>
      <c r="AE18">
        <v>40</v>
      </c>
      <c r="AF18">
        <v>10</v>
      </c>
      <c r="AG18">
        <v>0</v>
      </c>
      <c r="AH18">
        <v>30</v>
      </c>
      <c r="AI18">
        <v>5</v>
      </c>
      <c r="AJ18" t="s">
        <v>1996</v>
      </c>
      <c r="AK18">
        <v>49</v>
      </c>
      <c r="AL18">
        <v>-1</v>
      </c>
      <c r="AM18" s="2">
        <v>1</v>
      </c>
      <c r="AN18" s="2">
        <v>25</v>
      </c>
      <c r="AO18" s="2">
        <v>107</v>
      </c>
      <c r="AP18" s="2">
        <v>-1</v>
      </c>
      <c r="AQ18">
        <v>-1</v>
      </c>
      <c r="AR18" s="2">
        <v>9201</v>
      </c>
      <c r="AS18" s="2">
        <v>9202</v>
      </c>
      <c r="AT18" s="2">
        <v>9203</v>
      </c>
      <c r="AU18" s="2">
        <v>9204</v>
      </c>
      <c r="AV18" s="2">
        <v>9205</v>
      </c>
      <c r="AW18" s="2">
        <v>1</v>
      </c>
      <c r="AX18" s="2">
        <v>46</v>
      </c>
      <c r="AY18" s="2">
        <v>32</v>
      </c>
      <c r="AZ18" s="2">
        <v>96</v>
      </c>
      <c r="BA18" s="2">
        <v>22</v>
      </c>
      <c r="BB18" s="2">
        <v>40</v>
      </c>
      <c r="BC18" s="2">
        <v>20004</v>
      </c>
      <c r="BD18" s="2">
        <v>30001</v>
      </c>
      <c r="BE18" s="2">
        <v>50003</v>
      </c>
      <c r="BF18" s="2">
        <v>60016</v>
      </c>
      <c r="BG18" s="2">
        <v>70005</v>
      </c>
      <c r="BH18" s="2">
        <v>70001</v>
      </c>
      <c r="BI18" s="2">
        <v>80008</v>
      </c>
      <c r="BJ18" s="2">
        <v>80011</v>
      </c>
      <c r="BK18" s="2">
        <v>0.12</v>
      </c>
      <c r="BL18" s="2">
        <v>0.12</v>
      </c>
      <c r="BM18" s="2">
        <v>0.12</v>
      </c>
      <c r="BN18" s="2">
        <v>0.12</v>
      </c>
      <c r="BO18" s="2">
        <v>0.12</v>
      </c>
      <c r="BP18" s="2">
        <v>2.8570000000000002E-2</v>
      </c>
      <c r="BQ18" s="2">
        <v>2.8570000000000002E-2</v>
      </c>
      <c r="BR18" s="2">
        <v>2.8570000000000002E-2</v>
      </c>
      <c r="BS18" s="2">
        <v>2.8570000000000002E-2</v>
      </c>
      <c r="BT18" s="2">
        <v>2.8570000000000002E-2</v>
      </c>
      <c r="BU18" s="2">
        <v>2.8570000000000002E-2</v>
      </c>
      <c r="BV18" s="2">
        <v>2.8570000000000002E-2</v>
      </c>
      <c r="BW18" s="2">
        <v>2.8570000000000002E-2</v>
      </c>
      <c r="BX18" s="2">
        <v>2.8570000000000002E-2</v>
      </c>
      <c r="BY18" s="2">
        <v>2.8570000000000002E-2</v>
      </c>
      <c r="BZ18" s="2">
        <v>2.8570000000000002E-2</v>
      </c>
      <c r="CA18" s="2">
        <v>2.8570000000000002E-2</v>
      </c>
      <c r="CB18" s="2">
        <v>2.8580000000000001E-2</v>
      </c>
      <c r="CC18" s="2">
        <v>2.8580000000000001E-2</v>
      </c>
      <c r="CD18">
        <v>1</v>
      </c>
      <c r="CE18">
        <v>3</v>
      </c>
      <c r="CF18">
        <v>120</v>
      </c>
      <c r="CG18">
        <v>22</v>
      </c>
      <c r="CH18">
        <v>42</v>
      </c>
      <c r="CI18">
        <v>7</v>
      </c>
      <c r="CJ18">
        <v>21</v>
      </c>
      <c r="CK18">
        <v>1</v>
      </c>
      <c r="CL18">
        <v>0</v>
      </c>
      <c r="CM18">
        <v>-1</v>
      </c>
      <c r="CN18">
        <v>0</v>
      </c>
    </row>
    <row r="19" spans="1:92" x14ac:dyDescent="0.25">
      <c r="A19">
        <v>17</v>
      </c>
      <c r="B19" t="s">
        <v>1972</v>
      </c>
      <c r="C19" t="s">
        <v>2002</v>
      </c>
      <c r="D19">
        <v>3015</v>
      </c>
      <c r="E19">
        <v>25</v>
      </c>
      <c r="F19">
        <v>25</v>
      </c>
      <c r="G19" t="s">
        <v>1356</v>
      </c>
      <c r="H19">
        <v>28</v>
      </c>
      <c r="I19">
        <v>28</v>
      </c>
      <c r="J19">
        <v>3</v>
      </c>
      <c r="K19">
        <v>3</v>
      </c>
      <c r="L19">
        <v>3</v>
      </c>
      <c r="M19">
        <v>0</v>
      </c>
      <c r="N19">
        <v>0</v>
      </c>
      <c r="O19" t="s">
        <v>1356</v>
      </c>
      <c r="P19">
        <v>28</v>
      </c>
      <c r="Q19">
        <v>28</v>
      </c>
      <c r="R19">
        <v>3</v>
      </c>
      <c r="S19">
        <v>3</v>
      </c>
      <c r="T19">
        <v>3</v>
      </c>
      <c r="U19">
        <v>0</v>
      </c>
      <c r="V19">
        <v>0</v>
      </c>
      <c r="W19" t="s">
        <v>1353</v>
      </c>
      <c r="X19">
        <v>0</v>
      </c>
      <c r="Y19">
        <v>285</v>
      </c>
      <c r="Z19">
        <v>16</v>
      </c>
      <c r="AA19">
        <v>16</v>
      </c>
      <c r="AB19">
        <v>0</v>
      </c>
      <c r="AC19">
        <v>0</v>
      </c>
      <c r="AD19">
        <v>40</v>
      </c>
      <c r="AE19">
        <v>40</v>
      </c>
      <c r="AF19">
        <v>18</v>
      </c>
      <c r="AG19">
        <v>0</v>
      </c>
      <c r="AH19">
        <v>30</v>
      </c>
      <c r="AI19">
        <v>5</v>
      </c>
      <c r="AJ19" t="s">
        <v>2003</v>
      </c>
      <c r="AK19">
        <v>10</v>
      </c>
      <c r="AL19">
        <v>-1</v>
      </c>
      <c r="AM19" s="2">
        <v>1</v>
      </c>
      <c r="AN19" s="2">
        <v>28</v>
      </c>
      <c r="AO19" s="2">
        <v>107</v>
      </c>
      <c r="AP19" s="2">
        <v>-1</v>
      </c>
      <c r="AQ19">
        <v>-1</v>
      </c>
      <c r="AR19" s="2">
        <v>9201</v>
      </c>
      <c r="AS19" s="2">
        <v>9202</v>
      </c>
      <c r="AT19" s="2">
        <v>9203</v>
      </c>
      <c r="AU19" s="2">
        <v>9204</v>
      </c>
      <c r="AV19" s="2">
        <v>9205</v>
      </c>
      <c r="AW19" s="2">
        <v>21</v>
      </c>
      <c r="AX19" s="2">
        <v>18</v>
      </c>
      <c r="AY19" s="2">
        <v>15</v>
      </c>
      <c r="AZ19" s="2">
        <v>16</v>
      </c>
      <c r="BA19" s="2">
        <v>50007</v>
      </c>
      <c r="BB19" s="2">
        <v>50000</v>
      </c>
      <c r="BC19" s="2">
        <v>70008</v>
      </c>
      <c r="BD19" s="2">
        <v>70011</v>
      </c>
      <c r="BE19" s="2">
        <v>80004</v>
      </c>
      <c r="BF19" s="2">
        <v>80009</v>
      </c>
      <c r="BG19" s="2">
        <v>-1</v>
      </c>
      <c r="BH19" s="2">
        <v>-1</v>
      </c>
      <c r="BI19" s="2">
        <v>-1</v>
      </c>
      <c r="BJ19" s="2">
        <v>-1</v>
      </c>
      <c r="BK19" s="2">
        <v>0.12</v>
      </c>
      <c r="BL19" s="2">
        <v>0.12</v>
      </c>
      <c r="BM19" s="2">
        <v>0.12</v>
      </c>
      <c r="BN19" s="2">
        <v>0.12</v>
      </c>
      <c r="BO19" s="2">
        <v>0.12</v>
      </c>
      <c r="BP19" s="2">
        <v>0.04</v>
      </c>
      <c r="BQ19" s="2">
        <v>0.04</v>
      </c>
      <c r="BR19" s="2">
        <v>0.04</v>
      </c>
      <c r="BS19" s="2">
        <v>0.04</v>
      </c>
      <c r="BT19" s="2">
        <v>0.04</v>
      </c>
      <c r="BU19" s="2">
        <v>0.04</v>
      </c>
      <c r="BV19" s="2">
        <v>0.04</v>
      </c>
      <c r="BW19" s="2">
        <v>0.04</v>
      </c>
      <c r="BX19" s="2">
        <v>0.04</v>
      </c>
      <c r="BY19" s="2">
        <v>0.04</v>
      </c>
      <c r="BZ19" s="2">
        <v>-1</v>
      </c>
      <c r="CA19" s="2">
        <v>-1</v>
      </c>
      <c r="CB19" s="2">
        <v>-1</v>
      </c>
      <c r="CC19" s="2">
        <v>-1</v>
      </c>
      <c r="CD19">
        <v>1</v>
      </c>
      <c r="CE19">
        <v>3</v>
      </c>
      <c r="CF19">
        <v>120</v>
      </c>
      <c r="CG19">
        <v>12</v>
      </c>
      <c r="CH19">
        <v>18</v>
      </c>
      <c r="CI19">
        <v>8</v>
      </c>
      <c r="CJ19">
        <v>12</v>
      </c>
      <c r="CK19">
        <v>1</v>
      </c>
      <c r="CL19">
        <v>0</v>
      </c>
      <c r="CM19">
        <v>-1</v>
      </c>
      <c r="CN19">
        <v>0</v>
      </c>
    </row>
    <row r="20" spans="1:92" x14ac:dyDescent="0.25">
      <c r="A20">
        <v>18</v>
      </c>
      <c r="B20" t="s">
        <v>1972</v>
      </c>
      <c r="C20" t="s">
        <v>2008</v>
      </c>
      <c r="D20">
        <v>3016</v>
      </c>
      <c r="E20">
        <v>25</v>
      </c>
      <c r="F20">
        <v>25</v>
      </c>
      <c r="G20" t="s">
        <v>1356</v>
      </c>
      <c r="H20">
        <v>32</v>
      </c>
      <c r="I20">
        <v>32</v>
      </c>
      <c r="J20">
        <v>3</v>
      </c>
      <c r="K20">
        <v>3</v>
      </c>
      <c r="L20">
        <v>3</v>
      </c>
      <c r="M20">
        <v>0</v>
      </c>
      <c r="N20">
        <v>-10</v>
      </c>
      <c r="O20" t="s">
        <v>59</v>
      </c>
      <c r="P20">
        <v>-1</v>
      </c>
      <c r="Q20">
        <v>-1</v>
      </c>
      <c r="R20">
        <v>1</v>
      </c>
      <c r="S20">
        <v>1</v>
      </c>
      <c r="T20">
        <v>1</v>
      </c>
      <c r="U20">
        <v>0</v>
      </c>
      <c r="V20">
        <v>0</v>
      </c>
      <c r="W20" t="s">
        <v>1353</v>
      </c>
      <c r="X20">
        <v>0</v>
      </c>
      <c r="Y20">
        <v>265</v>
      </c>
      <c r="Z20">
        <v>16</v>
      </c>
      <c r="AA20">
        <v>16</v>
      </c>
      <c r="AB20">
        <v>0</v>
      </c>
      <c r="AC20">
        <v>0</v>
      </c>
      <c r="AD20">
        <v>40</v>
      </c>
      <c r="AE20">
        <v>40</v>
      </c>
      <c r="AF20">
        <v>15</v>
      </c>
      <c r="AG20">
        <v>0</v>
      </c>
      <c r="AH20">
        <v>-1</v>
      </c>
      <c r="AI20">
        <v>5</v>
      </c>
      <c r="AJ20" t="s">
        <v>2009</v>
      </c>
      <c r="AK20">
        <v>720</v>
      </c>
      <c r="AL20">
        <v>-1</v>
      </c>
      <c r="AM20" s="2">
        <v>1</v>
      </c>
      <c r="AN20" s="2">
        <v>13</v>
      </c>
      <c r="AO20" s="2">
        <v>107</v>
      </c>
      <c r="AP20" s="2">
        <v>-1</v>
      </c>
      <c r="AQ20">
        <v>-1</v>
      </c>
      <c r="AR20" s="2">
        <v>9201</v>
      </c>
      <c r="AS20" s="2">
        <v>9202</v>
      </c>
      <c r="AT20" s="2">
        <v>9203</v>
      </c>
      <c r="AU20" s="2">
        <v>9204</v>
      </c>
      <c r="AV20" s="2">
        <v>9205</v>
      </c>
      <c r="AW20" s="2">
        <v>32</v>
      </c>
      <c r="AX20" s="2">
        <v>96</v>
      </c>
      <c r="AY20" s="2">
        <v>15</v>
      </c>
      <c r="AZ20" s="2">
        <v>46</v>
      </c>
      <c r="BA20" s="2">
        <v>28</v>
      </c>
      <c r="BB20" s="2">
        <v>41</v>
      </c>
      <c r="BC20" s="2">
        <v>97</v>
      </c>
      <c r="BD20" s="2">
        <v>20002</v>
      </c>
      <c r="BE20" s="2">
        <v>30002</v>
      </c>
      <c r="BF20" s="2">
        <v>50006</v>
      </c>
      <c r="BG20" s="2">
        <v>60015</v>
      </c>
      <c r="BH20" s="2">
        <v>60016</v>
      </c>
      <c r="BI20" s="2">
        <v>70008</v>
      </c>
      <c r="BJ20" s="2">
        <v>80004</v>
      </c>
      <c r="BK20" s="2">
        <v>0.12</v>
      </c>
      <c r="BL20" s="2">
        <v>0.12</v>
      </c>
      <c r="BM20" s="2">
        <v>0.12</v>
      </c>
      <c r="BN20" s="2">
        <v>0.12</v>
      </c>
      <c r="BO20" s="2">
        <v>0.12</v>
      </c>
      <c r="BP20" s="2">
        <v>2.8570000000000002E-2</v>
      </c>
      <c r="BQ20" s="2">
        <v>2.8570000000000002E-2</v>
      </c>
      <c r="BR20" s="2">
        <v>2.8570000000000002E-2</v>
      </c>
      <c r="BS20" s="2">
        <v>2.8570000000000002E-2</v>
      </c>
      <c r="BT20" s="2">
        <v>2.8570000000000002E-2</v>
      </c>
      <c r="BU20" s="2">
        <v>2.8570000000000002E-2</v>
      </c>
      <c r="BV20" s="2">
        <v>2.8570000000000002E-2</v>
      </c>
      <c r="BW20" s="2">
        <v>2.8570000000000002E-2</v>
      </c>
      <c r="BX20" s="2">
        <v>2.8570000000000002E-2</v>
      </c>
      <c r="BY20" s="2">
        <v>2.8570000000000002E-2</v>
      </c>
      <c r="BZ20" s="2">
        <v>2.8570000000000002E-2</v>
      </c>
      <c r="CA20" s="2">
        <v>2.8570000000000002E-2</v>
      </c>
      <c r="CB20" s="2">
        <v>2.8580000000000001E-2</v>
      </c>
      <c r="CC20" s="2">
        <v>2.8580000000000001E-2</v>
      </c>
      <c r="CD20">
        <v>1</v>
      </c>
      <c r="CE20">
        <v>3</v>
      </c>
      <c r="CF20">
        <v>120</v>
      </c>
      <c r="CG20">
        <v>20</v>
      </c>
      <c r="CH20">
        <v>30</v>
      </c>
      <c r="CI20">
        <v>6</v>
      </c>
      <c r="CJ20">
        <v>12</v>
      </c>
      <c r="CK20">
        <v>1</v>
      </c>
      <c r="CL20">
        <v>0</v>
      </c>
      <c r="CM20">
        <v>-1</v>
      </c>
      <c r="CN20">
        <v>0</v>
      </c>
    </row>
    <row r="21" spans="1:92" x14ac:dyDescent="0.25">
      <c r="A21">
        <v>19</v>
      </c>
      <c r="B21" t="s">
        <v>1972</v>
      </c>
      <c r="C21" t="s">
        <v>2010</v>
      </c>
      <c r="D21">
        <v>3017</v>
      </c>
      <c r="E21">
        <v>25</v>
      </c>
      <c r="F21">
        <v>25</v>
      </c>
      <c r="G21" t="s">
        <v>1356</v>
      </c>
      <c r="H21">
        <v>32</v>
      </c>
      <c r="I21">
        <v>32</v>
      </c>
      <c r="J21">
        <v>3</v>
      </c>
      <c r="K21">
        <v>3</v>
      </c>
      <c r="L21">
        <v>3</v>
      </c>
      <c r="M21">
        <v>0</v>
      </c>
      <c r="N21">
        <v>-10</v>
      </c>
      <c r="O21" t="s">
        <v>59</v>
      </c>
      <c r="P21">
        <v>-1</v>
      </c>
      <c r="Q21">
        <v>-1</v>
      </c>
      <c r="R21">
        <v>1</v>
      </c>
      <c r="S21">
        <v>1</v>
      </c>
      <c r="T21">
        <v>1</v>
      </c>
      <c r="U21">
        <v>0</v>
      </c>
      <c r="V21">
        <v>0</v>
      </c>
      <c r="W21" t="s">
        <v>1353</v>
      </c>
      <c r="X21">
        <v>0</v>
      </c>
      <c r="Y21">
        <v>265</v>
      </c>
      <c r="Z21">
        <v>16</v>
      </c>
      <c r="AA21">
        <v>16</v>
      </c>
      <c r="AB21">
        <v>0</v>
      </c>
      <c r="AC21">
        <v>0</v>
      </c>
      <c r="AD21">
        <v>40</v>
      </c>
      <c r="AE21">
        <v>40</v>
      </c>
      <c r="AF21">
        <v>15.5</v>
      </c>
      <c r="AG21">
        <v>0</v>
      </c>
      <c r="AH21">
        <v>-1</v>
      </c>
      <c r="AI21">
        <v>5</v>
      </c>
      <c r="AJ21" t="s">
        <v>2011</v>
      </c>
      <c r="AK21">
        <v>30</v>
      </c>
      <c r="AL21">
        <v>-1</v>
      </c>
      <c r="AM21" s="2">
        <v>1</v>
      </c>
      <c r="AN21" s="2">
        <v>30</v>
      </c>
      <c r="AO21" s="2">
        <v>107</v>
      </c>
      <c r="AP21" s="2">
        <v>-1</v>
      </c>
      <c r="AQ21">
        <v>-1</v>
      </c>
      <c r="AR21" s="2">
        <v>9201</v>
      </c>
      <c r="AS21" s="2">
        <v>9202</v>
      </c>
      <c r="AT21" s="2">
        <v>9203</v>
      </c>
      <c r="AU21" s="2">
        <v>9204</v>
      </c>
      <c r="AV21" s="2">
        <v>9205</v>
      </c>
      <c r="AW21" s="2">
        <v>32</v>
      </c>
      <c r="AX21" s="2">
        <v>96</v>
      </c>
      <c r="AY21" s="2">
        <v>28</v>
      </c>
      <c r="AZ21" s="2">
        <v>27</v>
      </c>
      <c r="BA21" s="2">
        <v>31</v>
      </c>
      <c r="BB21" s="2">
        <v>20004</v>
      </c>
      <c r="BC21" s="2">
        <v>30006</v>
      </c>
      <c r="BD21" s="2">
        <v>40001</v>
      </c>
      <c r="BE21" s="2">
        <v>70009</v>
      </c>
      <c r="BF21" s="2">
        <v>80006</v>
      </c>
      <c r="BG21" s="2">
        <v>80016</v>
      </c>
      <c r="BH21" s="2">
        <v>1</v>
      </c>
      <c r="BI21" s="2">
        <v>-1</v>
      </c>
      <c r="BJ21" s="2">
        <v>-1</v>
      </c>
      <c r="BK21" s="2">
        <v>0.12</v>
      </c>
      <c r="BL21" s="2">
        <v>0.12</v>
      </c>
      <c r="BM21" s="2">
        <v>0.12</v>
      </c>
      <c r="BN21" s="2">
        <v>0.12</v>
      </c>
      <c r="BO21" s="2">
        <v>0.12</v>
      </c>
      <c r="BP21" s="2">
        <v>3.3329999999999999E-2</v>
      </c>
      <c r="BQ21" s="2">
        <v>3.3329999999999999E-2</v>
      </c>
      <c r="BR21" s="2">
        <v>3.3329999999999999E-2</v>
      </c>
      <c r="BS21" s="2">
        <v>3.3329999999999999E-2</v>
      </c>
      <c r="BT21" s="2">
        <v>3.3329999999999999E-2</v>
      </c>
      <c r="BU21" s="2">
        <v>3.3329999999999999E-2</v>
      </c>
      <c r="BV21" s="2">
        <v>3.3329999999999999E-2</v>
      </c>
      <c r="BW21" s="2">
        <v>3.3329999999999999E-2</v>
      </c>
      <c r="BX21" s="2">
        <v>3.3340000000000002E-2</v>
      </c>
      <c r="BY21" s="2">
        <v>3.3340000000000002E-2</v>
      </c>
      <c r="BZ21" s="2">
        <v>3.3340000000000002E-2</v>
      </c>
      <c r="CA21" s="2">
        <v>3.3340000000000002E-2</v>
      </c>
      <c r="CB21" s="2">
        <v>-1</v>
      </c>
      <c r="CC21" s="2">
        <v>-1</v>
      </c>
      <c r="CD21">
        <v>1</v>
      </c>
      <c r="CE21">
        <v>3</v>
      </c>
      <c r="CF21">
        <v>120</v>
      </c>
      <c r="CG21">
        <v>18</v>
      </c>
      <c r="CH21">
        <v>28</v>
      </c>
      <c r="CI21">
        <v>4</v>
      </c>
      <c r="CJ21">
        <v>10</v>
      </c>
      <c r="CK21">
        <v>1</v>
      </c>
      <c r="CL21">
        <v>0</v>
      </c>
      <c r="CM21">
        <v>-1</v>
      </c>
      <c r="CN21">
        <v>0</v>
      </c>
    </row>
    <row r="22" spans="1:92" x14ac:dyDescent="0.25">
      <c r="A22">
        <v>20</v>
      </c>
      <c r="B22" t="s">
        <v>1972</v>
      </c>
      <c r="C22" t="s">
        <v>1975</v>
      </c>
      <c r="D22">
        <v>3019</v>
      </c>
      <c r="E22">
        <v>25</v>
      </c>
      <c r="F22">
        <v>25</v>
      </c>
      <c r="G22" t="s">
        <v>1356</v>
      </c>
      <c r="H22">
        <v>28</v>
      </c>
      <c r="I22">
        <v>28</v>
      </c>
      <c r="J22">
        <v>3</v>
      </c>
      <c r="K22">
        <v>3</v>
      </c>
      <c r="L22">
        <v>3</v>
      </c>
      <c r="M22">
        <v>0</v>
      </c>
      <c r="N22">
        <v>-10</v>
      </c>
      <c r="O22" t="s">
        <v>1356</v>
      </c>
      <c r="P22">
        <v>28</v>
      </c>
      <c r="Q22">
        <v>28</v>
      </c>
      <c r="R22">
        <v>3</v>
      </c>
      <c r="S22">
        <v>3</v>
      </c>
      <c r="T22">
        <v>3</v>
      </c>
      <c r="U22">
        <v>0</v>
      </c>
      <c r="V22">
        <v>-10</v>
      </c>
      <c r="W22" t="s">
        <v>1353</v>
      </c>
      <c r="X22">
        <v>0</v>
      </c>
      <c r="Y22">
        <v>235</v>
      </c>
      <c r="Z22">
        <v>16</v>
      </c>
      <c r="AA22">
        <v>16</v>
      </c>
      <c r="AB22">
        <v>0</v>
      </c>
      <c r="AC22">
        <v>0</v>
      </c>
      <c r="AD22">
        <v>40</v>
      </c>
      <c r="AE22">
        <v>40</v>
      </c>
      <c r="AF22">
        <v>14</v>
      </c>
      <c r="AG22">
        <v>0</v>
      </c>
      <c r="AH22">
        <v>-1</v>
      </c>
      <c r="AI22">
        <v>5</v>
      </c>
      <c r="AJ22" t="s">
        <v>1976</v>
      </c>
      <c r="AK22">
        <v>-1</v>
      </c>
      <c r="AL22">
        <v>-1</v>
      </c>
      <c r="AM22" s="2">
        <v>1</v>
      </c>
      <c r="AN22" s="2">
        <v>14</v>
      </c>
      <c r="AO22" s="2">
        <v>107</v>
      </c>
      <c r="AP22" s="2">
        <v>-1</v>
      </c>
      <c r="AQ22">
        <v>-1</v>
      </c>
      <c r="AR22" s="2">
        <v>9201</v>
      </c>
      <c r="AS22" s="2">
        <v>9202</v>
      </c>
      <c r="AT22" s="2">
        <v>9203</v>
      </c>
      <c r="AU22" s="2">
        <v>9204</v>
      </c>
      <c r="AV22" s="2">
        <v>9205</v>
      </c>
      <c r="AW22" s="2">
        <v>15</v>
      </c>
      <c r="AX22" s="2">
        <v>41</v>
      </c>
      <c r="AY22" s="2">
        <v>21</v>
      </c>
      <c r="AZ22" s="2">
        <v>20002</v>
      </c>
      <c r="BA22" s="2">
        <v>30004</v>
      </c>
      <c r="BB22" s="2">
        <v>50006</v>
      </c>
      <c r="BC22" s="2">
        <v>70011</v>
      </c>
      <c r="BD22" s="2">
        <v>70009</v>
      </c>
      <c r="BE22" s="2">
        <v>80005</v>
      </c>
      <c r="BF22" s="2">
        <v>80010</v>
      </c>
      <c r="BG22" s="2">
        <v>-1</v>
      </c>
      <c r="BH22" s="2">
        <v>-1</v>
      </c>
      <c r="BI22" s="2">
        <v>-1</v>
      </c>
      <c r="BJ22" s="2">
        <v>-1</v>
      </c>
      <c r="BK22" s="2">
        <v>0.12</v>
      </c>
      <c r="BL22" s="2">
        <v>0.12</v>
      </c>
      <c r="BM22" s="2">
        <v>0.12</v>
      </c>
      <c r="BN22" s="2">
        <v>0.12</v>
      </c>
      <c r="BO22" s="2">
        <v>0.12</v>
      </c>
      <c r="BP22" s="2">
        <v>0.04</v>
      </c>
      <c r="BQ22" s="2">
        <v>0.04</v>
      </c>
      <c r="BR22" s="2">
        <v>0.04</v>
      </c>
      <c r="BS22" s="2">
        <v>0.04</v>
      </c>
      <c r="BT22" s="2">
        <v>0.04</v>
      </c>
      <c r="BU22" s="2">
        <v>0.04</v>
      </c>
      <c r="BV22" s="2">
        <v>0.04</v>
      </c>
      <c r="BW22" s="2">
        <v>0.04</v>
      </c>
      <c r="BX22" s="2">
        <v>0.04</v>
      </c>
      <c r="BY22" s="2">
        <v>0.04</v>
      </c>
      <c r="BZ22" s="2">
        <v>-1</v>
      </c>
      <c r="CA22" s="2">
        <v>-1</v>
      </c>
      <c r="CB22" s="2">
        <v>-1</v>
      </c>
      <c r="CC22" s="2">
        <v>-1</v>
      </c>
      <c r="CD22">
        <v>1</v>
      </c>
      <c r="CE22">
        <v>3</v>
      </c>
      <c r="CF22">
        <v>120</v>
      </c>
      <c r="CG22">
        <v>40</v>
      </c>
      <c r="CH22">
        <v>60</v>
      </c>
      <c r="CI22">
        <v>5</v>
      </c>
      <c r="CJ22">
        <v>10</v>
      </c>
      <c r="CK22">
        <v>1</v>
      </c>
      <c r="CL22">
        <v>0</v>
      </c>
      <c r="CM22">
        <v>-1</v>
      </c>
      <c r="CN22">
        <v>0</v>
      </c>
    </row>
    <row r="23" spans="1:92" x14ac:dyDescent="0.25">
      <c r="A23">
        <v>21</v>
      </c>
      <c r="B23" t="s">
        <v>1972</v>
      </c>
      <c r="C23" t="s">
        <v>1975</v>
      </c>
      <c r="D23">
        <v>3020</v>
      </c>
      <c r="E23">
        <v>25</v>
      </c>
      <c r="F23">
        <v>25</v>
      </c>
      <c r="G23" t="s">
        <v>1356</v>
      </c>
      <c r="H23">
        <v>28</v>
      </c>
      <c r="I23">
        <v>28</v>
      </c>
      <c r="J23">
        <v>3</v>
      </c>
      <c r="K23">
        <v>3</v>
      </c>
      <c r="L23">
        <v>3</v>
      </c>
      <c r="M23">
        <v>0</v>
      </c>
      <c r="N23">
        <v>-10</v>
      </c>
      <c r="O23" t="s">
        <v>1356</v>
      </c>
      <c r="P23">
        <v>28</v>
      </c>
      <c r="Q23">
        <v>28</v>
      </c>
      <c r="R23">
        <v>3</v>
      </c>
      <c r="S23">
        <v>3</v>
      </c>
      <c r="T23">
        <v>3</v>
      </c>
      <c r="U23">
        <v>0</v>
      </c>
      <c r="V23">
        <v>-10</v>
      </c>
      <c r="W23" t="s">
        <v>1353</v>
      </c>
      <c r="X23">
        <v>0</v>
      </c>
      <c r="Y23">
        <v>245</v>
      </c>
      <c r="Z23">
        <v>16</v>
      </c>
      <c r="AA23">
        <v>16</v>
      </c>
      <c r="AB23">
        <v>0</v>
      </c>
      <c r="AC23">
        <v>0</v>
      </c>
      <c r="AD23">
        <v>40</v>
      </c>
      <c r="AE23">
        <v>40</v>
      </c>
      <c r="AF23">
        <v>11</v>
      </c>
      <c r="AG23">
        <v>0</v>
      </c>
      <c r="AH23">
        <v>-1</v>
      </c>
      <c r="AI23">
        <v>5</v>
      </c>
      <c r="AJ23" t="s">
        <v>1976</v>
      </c>
      <c r="AK23">
        <v>-1</v>
      </c>
      <c r="AL23">
        <v>-1</v>
      </c>
      <c r="AM23" s="2">
        <v>1</v>
      </c>
      <c r="AN23" s="2">
        <v>6</v>
      </c>
      <c r="AO23" s="2">
        <v>107</v>
      </c>
      <c r="AP23" s="2">
        <v>-1</v>
      </c>
      <c r="AQ23">
        <v>-1</v>
      </c>
      <c r="AR23" s="2">
        <v>9201</v>
      </c>
      <c r="AS23" s="2">
        <v>9202</v>
      </c>
      <c r="AT23" s="2">
        <v>9203</v>
      </c>
      <c r="AU23" s="2">
        <v>9204</v>
      </c>
      <c r="AV23" s="2">
        <v>9205</v>
      </c>
      <c r="AW23" s="2">
        <v>40</v>
      </c>
      <c r="AX23" s="2">
        <v>95</v>
      </c>
      <c r="AY23" s="2">
        <v>46</v>
      </c>
      <c r="AZ23" s="2">
        <v>28</v>
      </c>
      <c r="BA23" s="2">
        <v>20000</v>
      </c>
      <c r="BB23" s="2">
        <v>30010</v>
      </c>
      <c r="BC23" s="2">
        <v>50005</v>
      </c>
      <c r="BD23" s="2">
        <v>60014</v>
      </c>
      <c r="BE23" s="2">
        <v>60015</v>
      </c>
      <c r="BF23" s="2">
        <v>70000</v>
      </c>
      <c r="BG23" s="2">
        <v>70001</v>
      </c>
      <c r="BH23" s="2">
        <v>80014</v>
      </c>
      <c r="BI23" s="2">
        <v>-1</v>
      </c>
      <c r="BJ23" s="2">
        <v>-1</v>
      </c>
      <c r="BK23" s="2">
        <v>0.12</v>
      </c>
      <c r="BL23" s="2">
        <v>0.12</v>
      </c>
      <c r="BM23" s="2">
        <v>0.12</v>
      </c>
      <c r="BN23" s="2">
        <v>0.12</v>
      </c>
      <c r="BO23" s="2">
        <v>0.12</v>
      </c>
      <c r="BP23" s="2">
        <v>3.3000000000000002E-2</v>
      </c>
      <c r="BQ23" s="2">
        <v>3.3000000000000002E-2</v>
      </c>
      <c r="BR23" s="2">
        <v>3.3000000000000002E-2</v>
      </c>
      <c r="BS23" s="2">
        <v>3.3000000000000002E-2</v>
      </c>
      <c r="BT23" s="2">
        <v>3.3000000000000002E-2</v>
      </c>
      <c r="BU23" s="2">
        <v>3.3000000000000002E-2</v>
      </c>
      <c r="BV23" s="2">
        <v>3.3000000000000002E-2</v>
      </c>
      <c r="BW23" s="2">
        <v>3.3000000000000002E-2</v>
      </c>
      <c r="BX23" s="2">
        <v>3.4000000000000002E-2</v>
      </c>
      <c r="BY23" s="2">
        <v>3.4000000000000002E-2</v>
      </c>
      <c r="BZ23" s="2">
        <v>3.4000000000000002E-2</v>
      </c>
      <c r="CA23" s="2">
        <v>3.4000000000000002E-2</v>
      </c>
      <c r="CB23" s="2">
        <v>-1</v>
      </c>
      <c r="CC23" s="2">
        <v>-1</v>
      </c>
      <c r="CD23">
        <v>1</v>
      </c>
      <c r="CE23">
        <v>3</v>
      </c>
      <c r="CF23">
        <v>120</v>
      </c>
      <c r="CG23">
        <v>20</v>
      </c>
      <c r="CH23">
        <v>40</v>
      </c>
      <c r="CI23">
        <v>10</v>
      </c>
      <c r="CJ23">
        <v>20</v>
      </c>
      <c r="CK23">
        <v>1</v>
      </c>
      <c r="CL23">
        <v>0</v>
      </c>
      <c r="CM23">
        <v>-1</v>
      </c>
      <c r="CN23">
        <v>0</v>
      </c>
    </row>
    <row r="24" spans="1:92" x14ac:dyDescent="0.25">
      <c r="A24">
        <v>22</v>
      </c>
      <c r="B24" t="s">
        <v>1972</v>
      </c>
      <c r="C24" t="s">
        <v>1975</v>
      </c>
      <c r="D24">
        <v>3030</v>
      </c>
      <c r="E24">
        <v>25</v>
      </c>
      <c r="F24">
        <v>25</v>
      </c>
      <c r="G24" t="s">
        <v>1356</v>
      </c>
      <c r="H24">
        <v>28</v>
      </c>
      <c r="I24">
        <v>28</v>
      </c>
      <c r="J24">
        <v>3</v>
      </c>
      <c r="K24">
        <v>3</v>
      </c>
      <c r="L24">
        <v>3</v>
      </c>
      <c r="M24">
        <v>0</v>
      </c>
      <c r="N24">
        <v>-10</v>
      </c>
      <c r="O24" t="s">
        <v>1356</v>
      </c>
      <c r="P24">
        <v>28</v>
      </c>
      <c r="Q24">
        <v>28</v>
      </c>
      <c r="R24">
        <v>3</v>
      </c>
      <c r="S24">
        <v>3</v>
      </c>
      <c r="T24">
        <v>3</v>
      </c>
      <c r="U24">
        <v>0</v>
      </c>
      <c r="V24">
        <v>-10</v>
      </c>
      <c r="W24" t="s">
        <v>1353</v>
      </c>
      <c r="X24">
        <v>0</v>
      </c>
      <c r="Y24">
        <v>235</v>
      </c>
      <c r="Z24">
        <v>16</v>
      </c>
      <c r="AA24">
        <v>16</v>
      </c>
      <c r="AB24">
        <v>0</v>
      </c>
      <c r="AC24">
        <v>0</v>
      </c>
      <c r="AD24">
        <v>40</v>
      </c>
      <c r="AE24">
        <v>40</v>
      </c>
      <c r="AF24">
        <v>15</v>
      </c>
      <c r="AG24">
        <v>0</v>
      </c>
      <c r="AH24">
        <v>-1</v>
      </c>
      <c r="AI24">
        <v>5</v>
      </c>
      <c r="AJ24" t="s">
        <v>1976</v>
      </c>
      <c r="AK24">
        <v>-1</v>
      </c>
      <c r="AL24">
        <v>-1</v>
      </c>
      <c r="AM24" s="2">
        <v>1</v>
      </c>
      <c r="AN24" s="2">
        <v>9</v>
      </c>
      <c r="AO24" s="2">
        <v>107</v>
      </c>
      <c r="AP24" s="2">
        <v>-1</v>
      </c>
      <c r="AQ24">
        <v>-1</v>
      </c>
      <c r="AR24" s="2">
        <v>9201</v>
      </c>
      <c r="AS24" s="2">
        <v>9202</v>
      </c>
      <c r="AT24" s="2">
        <v>9203</v>
      </c>
      <c r="AU24" s="2">
        <v>9204</v>
      </c>
      <c r="AV24" s="2">
        <v>9205</v>
      </c>
      <c r="AW24" s="2">
        <v>32</v>
      </c>
      <c r="AX24" s="2">
        <v>96</v>
      </c>
      <c r="AY24" s="2">
        <v>31</v>
      </c>
      <c r="AZ24" s="2">
        <v>28</v>
      </c>
      <c r="BA24" s="2">
        <v>27</v>
      </c>
      <c r="BB24" s="2">
        <v>22</v>
      </c>
      <c r="BC24" s="2">
        <v>20004</v>
      </c>
      <c r="BD24" s="2">
        <v>60018</v>
      </c>
      <c r="BE24" s="2">
        <v>70002</v>
      </c>
      <c r="BF24" s="2">
        <v>80016</v>
      </c>
      <c r="BG24" s="2">
        <v>80002</v>
      </c>
      <c r="BH24" s="2">
        <v>80008</v>
      </c>
      <c r="BI24" s="2">
        <v>-1</v>
      </c>
      <c r="BJ24" s="2">
        <v>-1</v>
      </c>
      <c r="BK24" s="2">
        <v>0.12</v>
      </c>
      <c r="BL24" s="2">
        <v>0.12</v>
      </c>
      <c r="BM24" s="2">
        <v>0.12</v>
      </c>
      <c r="BN24" s="2">
        <v>0.12</v>
      </c>
      <c r="BO24" s="2">
        <v>0.12</v>
      </c>
      <c r="BP24" s="2">
        <v>3.3329999999999999E-2</v>
      </c>
      <c r="BQ24" s="2">
        <v>3.3329999999999999E-2</v>
      </c>
      <c r="BR24" s="2">
        <v>3.3329999999999999E-2</v>
      </c>
      <c r="BS24" s="2">
        <v>3.3329999999999999E-2</v>
      </c>
      <c r="BT24" s="2">
        <v>3.3329999999999999E-2</v>
      </c>
      <c r="BU24" s="2">
        <v>3.3329999999999999E-2</v>
      </c>
      <c r="BV24" s="2">
        <v>3.3329999999999999E-2</v>
      </c>
      <c r="BW24" s="2">
        <v>3.3329999999999999E-2</v>
      </c>
      <c r="BX24" s="2">
        <v>3.3340000000000002E-2</v>
      </c>
      <c r="BY24" s="2">
        <v>3.3340000000000002E-2</v>
      </c>
      <c r="BZ24" s="2">
        <v>3.3340000000000002E-2</v>
      </c>
      <c r="CA24" s="2">
        <v>3.3340000000000002E-2</v>
      </c>
      <c r="CB24" s="2">
        <v>-1</v>
      </c>
      <c r="CC24" s="2">
        <v>-1</v>
      </c>
      <c r="CD24">
        <v>1</v>
      </c>
      <c r="CE24">
        <v>3</v>
      </c>
      <c r="CF24">
        <v>120</v>
      </c>
      <c r="CG24">
        <v>25</v>
      </c>
      <c r="CH24">
        <v>45</v>
      </c>
      <c r="CI24">
        <v>7</v>
      </c>
      <c r="CJ24">
        <v>14</v>
      </c>
      <c r="CK24">
        <v>1</v>
      </c>
      <c r="CL24">
        <v>0</v>
      </c>
      <c r="CM24">
        <v>-1</v>
      </c>
      <c r="CN24">
        <v>0</v>
      </c>
    </row>
    <row r="25" spans="1:92" x14ac:dyDescent="0.25">
      <c r="A25">
        <v>23</v>
      </c>
      <c r="B25" t="s">
        <v>1972</v>
      </c>
      <c r="C25" t="s">
        <v>1975</v>
      </c>
      <c r="D25">
        <v>3031</v>
      </c>
      <c r="E25">
        <v>25</v>
      </c>
      <c r="F25">
        <v>25</v>
      </c>
      <c r="G25" t="s">
        <v>1356</v>
      </c>
      <c r="H25">
        <v>28</v>
      </c>
      <c r="I25">
        <v>28</v>
      </c>
      <c r="J25">
        <v>3</v>
      </c>
      <c r="K25">
        <v>3</v>
      </c>
      <c r="L25">
        <v>3</v>
      </c>
      <c r="M25">
        <v>0</v>
      </c>
      <c r="N25">
        <v>-10</v>
      </c>
      <c r="O25" t="s">
        <v>1356</v>
      </c>
      <c r="P25">
        <v>28</v>
      </c>
      <c r="Q25">
        <v>28</v>
      </c>
      <c r="R25">
        <v>3</v>
      </c>
      <c r="S25">
        <v>3</v>
      </c>
      <c r="T25">
        <v>3</v>
      </c>
      <c r="U25">
        <v>0</v>
      </c>
      <c r="V25">
        <v>-10</v>
      </c>
      <c r="W25" t="s">
        <v>1353</v>
      </c>
      <c r="X25">
        <v>0</v>
      </c>
      <c r="Y25">
        <v>245</v>
      </c>
      <c r="Z25">
        <v>16</v>
      </c>
      <c r="AA25">
        <v>16</v>
      </c>
      <c r="AB25">
        <v>0</v>
      </c>
      <c r="AC25">
        <v>0</v>
      </c>
      <c r="AD25">
        <v>40</v>
      </c>
      <c r="AE25">
        <v>40</v>
      </c>
      <c r="AF25">
        <v>11</v>
      </c>
      <c r="AG25">
        <v>0</v>
      </c>
      <c r="AH25">
        <v>-1</v>
      </c>
      <c r="AI25">
        <v>5</v>
      </c>
      <c r="AJ25" t="s">
        <v>1976</v>
      </c>
      <c r="AK25">
        <v>-1</v>
      </c>
      <c r="AL25">
        <v>-1</v>
      </c>
      <c r="AM25" s="2">
        <v>1</v>
      </c>
      <c r="AN25" s="2">
        <v>15</v>
      </c>
      <c r="AO25" s="2">
        <v>107</v>
      </c>
      <c r="AP25" s="2">
        <v>-1</v>
      </c>
      <c r="AQ25">
        <v>-1</v>
      </c>
      <c r="AR25" s="2">
        <v>9201</v>
      </c>
      <c r="AS25" s="2">
        <v>9202</v>
      </c>
      <c r="AT25" s="2">
        <v>9203</v>
      </c>
      <c r="AU25" s="2">
        <v>9204</v>
      </c>
      <c r="AV25" s="2">
        <v>9205</v>
      </c>
      <c r="AW25" s="2">
        <v>32</v>
      </c>
      <c r="AX25" s="2">
        <v>96</v>
      </c>
      <c r="AY25" s="2">
        <v>46</v>
      </c>
      <c r="AZ25" s="2">
        <v>40</v>
      </c>
      <c r="BA25" s="2">
        <v>27</v>
      </c>
      <c r="BB25" s="2">
        <v>20001</v>
      </c>
      <c r="BC25" s="2">
        <v>30000</v>
      </c>
      <c r="BD25" s="2">
        <v>40007</v>
      </c>
      <c r="BE25" s="2">
        <v>50000</v>
      </c>
      <c r="BF25" s="2">
        <v>60017</v>
      </c>
      <c r="BG25" s="2">
        <v>60018</v>
      </c>
      <c r="BH25" s="2">
        <v>70010</v>
      </c>
      <c r="BI25" s="2">
        <v>80013</v>
      </c>
      <c r="BJ25" s="2">
        <v>80000</v>
      </c>
      <c r="BK25" s="2">
        <v>0.12</v>
      </c>
      <c r="BL25" s="2">
        <v>0.12</v>
      </c>
      <c r="BM25" s="2">
        <v>0.12</v>
      </c>
      <c r="BN25" s="2">
        <v>0.12</v>
      </c>
      <c r="BO25" s="2">
        <v>0.12</v>
      </c>
      <c r="BP25" s="2">
        <v>2.8570000000000002E-2</v>
      </c>
      <c r="BQ25" s="2">
        <v>2.8570000000000002E-2</v>
      </c>
      <c r="BR25" s="2">
        <v>2.8570000000000002E-2</v>
      </c>
      <c r="BS25" s="2">
        <v>2.8570000000000002E-2</v>
      </c>
      <c r="BT25" s="2">
        <v>2.8570000000000002E-2</v>
      </c>
      <c r="BU25" s="2">
        <v>2.8570000000000002E-2</v>
      </c>
      <c r="BV25" s="2">
        <v>2.8570000000000002E-2</v>
      </c>
      <c r="BW25" s="2">
        <v>2.8570000000000002E-2</v>
      </c>
      <c r="BX25" s="2">
        <v>2.8570000000000002E-2</v>
      </c>
      <c r="BY25" s="2">
        <v>2.8570000000000002E-2</v>
      </c>
      <c r="BZ25" s="2">
        <v>2.8570000000000002E-2</v>
      </c>
      <c r="CA25" s="2">
        <v>2.8570000000000002E-2</v>
      </c>
      <c r="CB25" s="2">
        <v>2.8580000000000001E-2</v>
      </c>
      <c r="CC25" s="2">
        <v>2.8580000000000001E-2</v>
      </c>
      <c r="CD25">
        <v>1</v>
      </c>
      <c r="CE25">
        <v>3</v>
      </c>
      <c r="CF25">
        <v>120</v>
      </c>
      <c r="CG25">
        <v>30</v>
      </c>
      <c r="CH25">
        <v>40</v>
      </c>
      <c r="CI25">
        <v>20</v>
      </c>
      <c r="CJ25">
        <v>30</v>
      </c>
      <c r="CK25">
        <v>1</v>
      </c>
      <c r="CL25">
        <v>0</v>
      </c>
      <c r="CM25">
        <v>-1</v>
      </c>
      <c r="CN25">
        <v>0</v>
      </c>
    </row>
    <row r="26" spans="1:92" x14ac:dyDescent="0.25">
      <c r="A26">
        <v>24</v>
      </c>
      <c r="B26" t="s">
        <v>1972</v>
      </c>
      <c r="C26" t="s">
        <v>1975</v>
      </c>
      <c r="D26">
        <v>3032</v>
      </c>
      <c r="E26">
        <v>25</v>
      </c>
      <c r="F26">
        <v>25</v>
      </c>
      <c r="G26" t="s">
        <v>1356</v>
      </c>
      <c r="H26">
        <v>28</v>
      </c>
      <c r="I26">
        <v>28</v>
      </c>
      <c r="J26">
        <v>3</v>
      </c>
      <c r="K26">
        <v>3</v>
      </c>
      <c r="L26">
        <v>3</v>
      </c>
      <c r="M26">
        <v>0</v>
      </c>
      <c r="N26">
        <v>-10</v>
      </c>
      <c r="O26" t="s">
        <v>1356</v>
      </c>
      <c r="P26">
        <v>28</v>
      </c>
      <c r="Q26">
        <v>28</v>
      </c>
      <c r="R26">
        <v>3</v>
      </c>
      <c r="S26">
        <v>3</v>
      </c>
      <c r="T26">
        <v>3</v>
      </c>
      <c r="U26">
        <v>0</v>
      </c>
      <c r="V26">
        <v>-10</v>
      </c>
      <c r="W26" t="s">
        <v>1353</v>
      </c>
      <c r="X26">
        <v>0</v>
      </c>
      <c r="Y26">
        <v>245</v>
      </c>
      <c r="Z26">
        <v>16</v>
      </c>
      <c r="AA26">
        <v>16</v>
      </c>
      <c r="AB26">
        <v>0</v>
      </c>
      <c r="AC26">
        <v>0</v>
      </c>
      <c r="AD26">
        <v>40</v>
      </c>
      <c r="AE26">
        <v>40</v>
      </c>
      <c r="AF26">
        <v>11</v>
      </c>
      <c r="AG26">
        <v>0</v>
      </c>
      <c r="AH26">
        <v>-1</v>
      </c>
      <c r="AI26">
        <v>5</v>
      </c>
      <c r="AJ26" t="s">
        <v>1976</v>
      </c>
      <c r="AK26">
        <v>-1</v>
      </c>
      <c r="AL26">
        <v>-1</v>
      </c>
      <c r="AM26" s="2">
        <v>1</v>
      </c>
      <c r="AN26" s="2">
        <v>8</v>
      </c>
      <c r="AO26" s="2">
        <v>107</v>
      </c>
      <c r="AP26" s="2">
        <v>-1</v>
      </c>
      <c r="AQ26">
        <v>-1</v>
      </c>
      <c r="AR26" s="2">
        <v>9201</v>
      </c>
      <c r="AS26" s="2">
        <v>9202</v>
      </c>
      <c r="AT26" s="2">
        <v>9203</v>
      </c>
      <c r="AU26" s="2">
        <v>9204</v>
      </c>
      <c r="AV26" s="2">
        <v>9205</v>
      </c>
      <c r="AW26" s="2">
        <v>1</v>
      </c>
      <c r="AX26" s="2">
        <v>16</v>
      </c>
      <c r="AY26" s="2">
        <v>41</v>
      </c>
      <c r="AZ26" s="2">
        <v>20003</v>
      </c>
      <c r="BA26" s="2">
        <v>30003</v>
      </c>
      <c r="BB26" s="2">
        <v>30002</v>
      </c>
      <c r="BC26" s="2">
        <v>50006</v>
      </c>
      <c r="BD26" s="2">
        <v>60016</v>
      </c>
      <c r="BE26" s="2">
        <v>70002</v>
      </c>
      <c r="BF26" s="2">
        <v>80006</v>
      </c>
      <c r="BG26" s="2">
        <v>80009</v>
      </c>
      <c r="BH26" s="2">
        <v>-1</v>
      </c>
      <c r="BI26" s="2">
        <v>-1</v>
      </c>
      <c r="BJ26" s="2">
        <v>-1</v>
      </c>
      <c r="BK26" s="2">
        <v>0.12</v>
      </c>
      <c r="BL26" s="2">
        <v>0.12</v>
      </c>
      <c r="BM26" s="2">
        <v>0.12</v>
      </c>
      <c r="BN26" s="2">
        <v>0.12</v>
      </c>
      <c r="BO26" s="2">
        <v>0.12</v>
      </c>
      <c r="BP26" s="2">
        <v>3.6360000000000003E-2</v>
      </c>
      <c r="BQ26" s="2">
        <v>3.6360000000000003E-2</v>
      </c>
      <c r="BR26" s="2">
        <v>3.6360000000000003E-2</v>
      </c>
      <c r="BS26" s="2">
        <v>3.6360000000000003E-2</v>
      </c>
      <c r="BT26" s="2">
        <v>3.6360000000000003E-2</v>
      </c>
      <c r="BU26" s="2">
        <v>3.6360000000000003E-2</v>
      </c>
      <c r="BV26" s="2">
        <v>3.6360000000000003E-2</v>
      </c>
      <c r="BW26" s="2">
        <v>3.637E-2</v>
      </c>
      <c r="BX26" s="2">
        <v>3.637E-2</v>
      </c>
      <c r="BY26" s="2">
        <v>3.637E-2</v>
      </c>
      <c r="BZ26" s="2">
        <v>3.637E-2</v>
      </c>
      <c r="CA26" s="2">
        <v>-1</v>
      </c>
      <c r="CB26" s="2">
        <v>-1</v>
      </c>
      <c r="CC26" s="2">
        <v>-1</v>
      </c>
      <c r="CD26">
        <v>1</v>
      </c>
      <c r="CE26">
        <v>3</v>
      </c>
      <c r="CF26">
        <v>120</v>
      </c>
      <c r="CG26">
        <v>30</v>
      </c>
      <c r="CH26">
        <v>40</v>
      </c>
      <c r="CI26">
        <v>20</v>
      </c>
      <c r="CJ26">
        <v>30</v>
      </c>
      <c r="CK26">
        <v>1</v>
      </c>
      <c r="CL26">
        <v>0</v>
      </c>
      <c r="CM26">
        <v>-1</v>
      </c>
      <c r="CN26">
        <v>0</v>
      </c>
    </row>
    <row r="27" spans="1:92" x14ac:dyDescent="0.25">
      <c r="A27">
        <v>25</v>
      </c>
      <c r="B27" t="s">
        <v>1972</v>
      </c>
      <c r="C27" t="s">
        <v>1975</v>
      </c>
      <c r="D27">
        <v>3033</v>
      </c>
      <c r="E27">
        <v>25</v>
      </c>
      <c r="F27">
        <v>25</v>
      </c>
      <c r="G27" t="s">
        <v>1356</v>
      </c>
      <c r="H27">
        <v>28</v>
      </c>
      <c r="I27">
        <v>28</v>
      </c>
      <c r="J27">
        <v>3</v>
      </c>
      <c r="K27">
        <v>3</v>
      </c>
      <c r="L27">
        <v>3</v>
      </c>
      <c r="M27">
        <v>0</v>
      </c>
      <c r="N27">
        <v>-10</v>
      </c>
      <c r="O27" t="s">
        <v>1356</v>
      </c>
      <c r="P27">
        <v>28</v>
      </c>
      <c r="Q27">
        <v>28</v>
      </c>
      <c r="R27">
        <v>3</v>
      </c>
      <c r="S27">
        <v>3</v>
      </c>
      <c r="T27">
        <v>3</v>
      </c>
      <c r="U27">
        <v>0</v>
      </c>
      <c r="V27">
        <v>-10</v>
      </c>
      <c r="W27" t="s">
        <v>1353</v>
      </c>
      <c r="X27">
        <v>0</v>
      </c>
      <c r="Y27">
        <v>235</v>
      </c>
      <c r="Z27">
        <v>16</v>
      </c>
      <c r="AA27">
        <v>16</v>
      </c>
      <c r="AB27">
        <v>0</v>
      </c>
      <c r="AC27">
        <v>0</v>
      </c>
      <c r="AD27">
        <v>40</v>
      </c>
      <c r="AE27">
        <v>40</v>
      </c>
      <c r="AF27">
        <v>13</v>
      </c>
      <c r="AG27">
        <v>0</v>
      </c>
      <c r="AH27">
        <v>-1</v>
      </c>
      <c r="AI27">
        <v>5</v>
      </c>
      <c r="AJ27" t="s">
        <v>1976</v>
      </c>
      <c r="AK27">
        <v>-1</v>
      </c>
      <c r="AL27">
        <v>-1</v>
      </c>
      <c r="AM27" s="2">
        <v>1</v>
      </c>
      <c r="AN27" s="2">
        <v>7</v>
      </c>
      <c r="AO27" s="2">
        <v>107</v>
      </c>
      <c r="AP27" s="2">
        <v>-1</v>
      </c>
      <c r="AQ27">
        <v>-1</v>
      </c>
      <c r="AR27" s="2">
        <v>9201</v>
      </c>
      <c r="AS27" s="2">
        <v>9202</v>
      </c>
      <c r="AT27" s="2">
        <v>9203</v>
      </c>
      <c r="AU27" s="2">
        <v>9204</v>
      </c>
      <c r="AV27" s="2">
        <v>9205</v>
      </c>
      <c r="AW27" s="2">
        <v>1</v>
      </c>
      <c r="AX27" s="2">
        <v>22</v>
      </c>
      <c r="AY27" s="2">
        <v>21</v>
      </c>
      <c r="AZ27" s="2">
        <v>20002</v>
      </c>
      <c r="BA27" s="2">
        <v>30009</v>
      </c>
      <c r="BB27" s="2">
        <v>30002</v>
      </c>
      <c r="BC27" s="2">
        <v>50004</v>
      </c>
      <c r="BD27" s="2">
        <v>60014</v>
      </c>
      <c r="BE27" s="2">
        <v>70008</v>
      </c>
      <c r="BF27" s="2">
        <v>80004</v>
      </c>
      <c r="BG27" s="2">
        <v>80001</v>
      </c>
      <c r="BH27" s="2">
        <v>-1</v>
      </c>
      <c r="BI27" s="2">
        <v>-1</v>
      </c>
      <c r="BJ27" s="2">
        <v>-1</v>
      </c>
      <c r="BK27" s="2">
        <v>0.12</v>
      </c>
      <c r="BL27" s="2">
        <v>0.12</v>
      </c>
      <c r="BM27" s="2">
        <v>0.12</v>
      </c>
      <c r="BN27" s="2">
        <v>0.12</v>
      </c>
      <c r="BO27" s="2">
        <v>0.12</v>
      </c>
      <c r="BP27" s="2">
        <v>3.6360000000000003E-2</v>
      </c>
      <c r="BQ27" s="2">
        <v>3.6360000000000003E-2</v>
      </c>
      <c r="BR27" s="2">
        <v>3.6360000000000003E-2</v>
      </c>
      <c r="BS27" s="2">
        <v>3.6360000000000003E-2</v>
      </c>
      <c r="BT27" s="2">
        <v>3.6360000000000003E-2</v>
      </c>
      <c r="BU27" s="2">
        <v>3.6360000000000003E-2</v>
      </c>
      <c r="BV27" s="2">
        <v>3.6360000000000003E-2</v>
      </c>
      <c r="BW27" s="2">
        <v>3.637E-2</v>
      </c>
      <c r="BX27" s="2">
        <v>3.637E-2</v>
      </c>
      <c r="BY27" s="2">
        <v>3.637E-2</v>
      </c>
      <c r="BZ27" s="2">
        <v>3.637E-2</v>
      </c>
      <c r="CA27" s="2">
        <v>-1</v>
      </c>
      <c r="CB27" s="2">
        <v>-1</v>
      </c>
      <c r="CC27" s="2">
        <v>-1</v>
      </c>
      <c r="CD27">
        <v>1</v>
      </c>
      <c r="CE27">
        <v>3</v>
      </c>
      <c r="CF27">
        <v>120</v>
      </c>
      <c r="CG27">
        <v>35</v>
      </c>
      <c r="CH27">
        <v>55</v>
      </c>
      <c r="CI27">
        <v>8</v>
      </c>
      <c r="CJ27">
        <v>16</v>
      </c>
      <c r="CK27">
        <v>1</v>
      </c>
      <c r="CL27">
        <v>0</v>
      </c>
      <c r="CM27">
        <v>-1</v>
      </c>
      <c r="CN27">
        <v>0</v>
      </c>
    </row>
    <row r="28" spans="1:92" x14ac:dyDescent="0.25">
      <c r="A28">
        <v>26</v>
      </c>
      <c r="B28" t="s">
        <v>1972</v>
      </c>
      <c r="C28" t="s">
        <v>1975</v>
      </c>
      <c r="D28">
        <v>3034</v>
      </c>
      <c r="E28">
        <v>25</v>
      </c>
      <c r="F28">
        <v>25</v>
      </c>
      <c r="G28" t="s">
        <v>1356</v>
      </c>
      <c r="H28">
        <v>28</v>
      </c>
      <c r="I28">
        <v>28</v>
      </c>
      <c r="J28">
        <v>3</v>
      </c>
      <c r="K28">
        <v>3</v>
      </c>
      <c r="L28">
        <v>3</v>
      </c>
      <c r="M28">
        <v>0</v>
      </c>
      <c r="N28">
        <v>-10</v>
      </c>
      <c r="O28" t="s">
        <v>1356</v>
      </c>
      <c r="P28">
        <v>28</v>
      </c>
      <c r="Q28">
        <v>28</v>
      </c>
      <c r="R28">
        <v>3</v>
      </c>
      <c r="S28">
        <v>3</v>
      </c>
      <c r="T28">
        <v>3</v>
      </c>
      <c r="U28">
        <v>0</v>
      </c>
      <c r="V28">
        <v>-10</v>
      </c>
      <c r="W28" t="s">
        <v>1353</v>
      </c>
      <c r="X28">
        <v>0</v>
      </c>
      <c r="Y28">
        <v>250</v>
      </c>
      <c r="Z28">
        <v>16</v>
      </c>
      <c r="AA28">
        <v>16</v>
      </c>
      <c r="AB28">
        <v>0</v>
      </c>
      <c r="AC28">
        <v>0</v>
      </c>
      <c r="AD28">
        <v>40</v>
      </c>
      <c r="AE28">
        <v>40</v>
      </c>
      <c r="AF28">
        <v>12</v>
      </c>
      <c r="AG28">
        <v>0</v>
      </c>
      <c r="AH28">
        <v>-1</v>
      </c>
      <c r="AI28">
        <v>5</v>
      </c>
      <c r="AJ28" t="s">
        <v>1976</v>
      </c>
      <c r="AK28">
        <v>-1</v>
      </c>
      <c r="AL28">
        <v>-1</v>
      </c>
      <c r="AM28" s="2">
        <v>1</v>
      </c>
      <c r="AN28" s="2">
        <v>5</v>
      </c>
      <c r="AO28" s="2">
        <v>107</v>
      </c>
      <c r="AP28" s="2">
        <v>-1</v>
      </c>
      <c r="AQ28">
        <v>-1</v>
      </c>
      <c r="AR28" s="2">
        <v>9201</v>
      </c>
      <c r="AS28" s="2">
        <v>9202</v>
      </c>
      <c r="AT28" s="2">
        <v>9203</v>
      </c>
      <c r="AU28" s="2">
        <v>9204</v>
      </c>
      <c r="AV28" s="2">
        <v>9205</v>
      </c>
      <c r="AW28" s="2">
        <v>1</v>
      </c>
      <c r="AX28" s="2">
        <v>46</v>
      </c>
      <c r="AY28" s="2">
        <v>92</v>
      </c>
      <c r="AZ28" s="2">
        <v>20003</v>
      </c>
      <c r="BA28" s="2">
        <v>30010</v>
      </c>
      <c r="BB28" s="2">
        <v>40000</v>
      </c>
      <c r="BC28" s="2">
        <v>50005</v>
      </c>
      <c r="BD28" s="2">
        <v>60015</v>
      </c>
      <c r="BE28" s="2">
        <v>70002</v>
      </c>
      <c r="BF28" s="2">
        <v>80014</v>
      </c>
      <c r="BG28" s="2">
        <v>-1</v>
      </c>
      <c r="BH28" s="2">
        <v>-1</v>
      </c>
      <c r="BI28" s="2">
        <v>-1</v>
      </c>
      <c r="BJ28" s="2">
        <v>-1</v>
      </c>
      <c r="BK28" s="2">
        <v>0.12</v>
      </c>
      <c r="BL28" s="2">
        <v>0.12</v>
      </c>
      <c r="BM28" s="2">
        <v>0.12</v>
      </c>
      <c r="BN28" s="2">
        <v>0.12</v>
      </c>
      <c r="BO28" s="2">
        <v>0.12</v>
      </c>
      <c r="BP28" s="2">
        <v>0.04</v>
      </c>
      <c r="BQ28" s="2">
        <v>0.04</v>
      </c>
      <c r="BR28" s="2">
        <v>0.04</v>
      </c>
      <c r="BS28" s="2">
        <v>0.04</v>
      </c>
      <c r="BT28" s="2">
        <v>0.04</v>
      </c>
      <c r="BU28" s="2">
        <v>0.04</v>
      </c>
      <c r="BV28" s="2">
        <v>0.04</v>
      </c>
      <c r="BW28" s="2">
        <v>0.04</v>
      </c>
      <c r="BX28" s="2">
        <v>0.04</v>
      </c>
      <c r="BY28" s="2">
        <v>0.04</v>
      </c>
      <c r="BZ28" s="2">
        <v>-1</v>
      </c>
      <c r="CA28" s="2">
        <v>-1</v>
      </c>
      <c r="CB28" s="2">
        <v>-1</v>
      </c>
      <c r="CC28" s="2">
        <v>-1</v>
      </c>
      <c r="CD28">
        <v>1</v>
      </c>
      <c r="CE28">
        <v>3</v>
      </c>
      <c r="CF28">
        <v>120</v>
      </c>
      <c r="CG28">
        <v>30</v>
      </c>
      <c r="CH28">
        <v>45</v>
      </c>
      <c r="CI28">
        <v>5</v>
      </c>
      <c r="CJ28">
        <v>15</v>
      </c>
      <c r="CK28">
        <v>1</v>
      </c>
      <c r="CL28">
        <v>0</v>
      </c>
      <c r="CM28">
        <v>-1</v>
      </c>
      <c r="CN28">
        <v>0</v>
      </c>
    </row>
    <row r="29" spans="1:92" x14ac:dyDescent="0.25">
      <c r="A29">
        <v>27</v>
      </c>
      <c r="B29" t="s">
        <v>1972</v>
      </c>
      <c r="C29" t="s">
        <v>1975</v>
      </c>
      <c r="D29">
        <v>3035</v>
      </c>
      <c r="E29">
        <v>25</v>
      </c>
      <c r="F29">
        <v>25</v>
      </c>
      <c r="G29" t="s">
        <v>1356</v>
      </c>
      <c r="H29">
        <v>28</v>
      </c>
      <c r="I29">
        <v>28</v>
      </c>
      <c r="J29">
        <v>3</v>
      </c>
      <c r="K29">
        <v>3</v>
      </c>
      <c r="L29">
        <v>3</v>
      </c>
      <c r="M29">
        <v>0</v>
      </c>
      <c r="N29">
        <v>-10</v>
      </c>
      <c r="O29" t="s">
        <v>1356</v>
      </c>
      <c r="P29">
        <v>28</v>
      </c>
      <c r="Q29">
        <v>28</v>
      </c>
      <c r="R29">
        <v>3</v>
      </c>
      <c r="S29">
        <v>3</v>
      </c>
      <c r="T29">
        <v>3</v>
      </c>
      <c r="U29">
        <v>0</v>
      </c>
      <c r="V29">
        <v>-10</v>
      </c>
      <c r="W29" t="s">
        <v>1353</v>
      </c>
      <c r="X29">
        <v>0</v>
      </c>
      <c r="Y29">
        <v>270</v>
      </c>
      <c r="Z29">
        <v>16</v>
      </c>
      <c r="AA29">
        <v>16</v>
      </c>
      <c r="AB29">
        <v>0</v>
      </c>
      <c r="AC29">
        <v>0</v>
      </c>
      <c r="AD29">
        <v>40</v>
      </c>
      <c r="AE29">
        <v>40</v>
      </c>
      <c r="AF29">
        <v>20</v>
      </c>
      <c r="AG29">
        <v>1</v>
      </c>
      <c r="AH29">
        <v>30</v>
      </c>
      <c r="AI29">
        <v>5</v>
      </c>
      <c r="AJ29" t="s">
        <v>1976</v>
      </c>
      <c r="AK29">
        <v>-1</v>
      </c>
      <c r="AL29">
        <v>-1</v>
      </c>
      <c r="AM29" s="2">
        <v>31</v>
      </c>
      <c r="AN29" s="2">
        <v>100</v>
      </c>
      <c r="AO29" s="2">
        <v>-1</v>
      </c>
      <c r="AP29" s="2">
        <v>-1</v>
      </c>
      <c r="AQ29">
        <v>-1</v>
      </c>
      <c r="AR29" s="2">
        <v>9016</v>
      </c>
      <c r="AS29" s="2">
        <v>9000</v>
      </c>
      <c r="AT29" s="2">
        <v>9001</v>
      </c>
      <c r="AU29" s="2">
        <v>9014</v>
      </c>
      <c r="AV29" s="2">
        <v>9015</v>
      </c>
      <c r="AW29" s="2">
        <v>9018</v>
      </c>
      <c r="AX29" s="2">
        <v>9019</v>
      </c>
      <c r="AY29" s="2">
        <v>-1</v>
      </c>
      <c r="AZ29" s="2">
        <v>-1</v>
      </c>
      <c r="BA29" s="2">
        <v>-1</v>
      </c>
      <c r="BB29" s="2">
        <v>-1</v>
      </c>
      <c r="BC29" s="2">
        <v>-1</v>
      </c>
      <c r="BD29" s="2">
        <v>-1</v>
      </c>
      <c r="BE29" s="2">
        <v>-1</v>
      </c>
      <c r="BF29" s="2">
        <v>-1</v>
      </c>
      <c r="BG29" s="2">
        <v>-1</v>
      </c>
      <c r="BH29" s="2">
        <v>-1</v>
      </c>
      <c r="BI29" s="2">
        <v>-1</v>
      </c>
      <c r="BJ29" s="2">
        <v>-1</v>
      </c>
      <c r="BK29" s="2">
        <v>0.25</v>
      </c>
      <c r="BL29" s="2">
        <v>0.2</v>
      </c>
      <c r="BM29" s="2">
        <v>0.1</v>
      </c>
      <c r="BN29" s="2">
        <v>0.15</v>
      </c>
      <c r="BO29" s="2">
        <v>0.15</v>
      </c>
      <c r="BP29" s="2">
        <v>0.05</v>
      </c>
      <c r="BQ29" s="2">
        <v>0.1</v>
      </c>
      <c r="BR29" s="2">
        <v>-1</v>
      </c>
      <c r="BS29" s="2">
        <v>-1</v>
      </c>
      <c r="BT29" s="2">
        <v>-1</v>
      </c>
      <c r="BU29" s="2">
        <v>-1</v>
      </c>
      <c r="BV29" s="2">
        <v>-1</v>
      </c>
      <c r="BW29" s="2">
        <v>-1</v>
      </c>
      <c r="BX29" s="2">
        <v>-1</v>
      </c>
      <c r="BY29" s="2">
        <v>-1</v>
      </c>
      <c r="BZ29" s="2">
        <v>-1</v>
      </c>
      <c r="CA29" s="2">
        <v>-1</v>
      </c>
      <c r="CB29" s="2">
        <v>-1</v>
      </c>
      <c r="CC29" s="2">
        <v>-1</v>
      </c>
      <c r="CD29">
        <v>1</v>
      </c>
      <c r="CE29">
        <v>3</v>
      </c>
      <c r="CF29">
        <v>120</v>
      </c>
      <c r="CG29">
        <v>25</v>
      </c>
      <c r="CH29">
        <v>45</v>
      </c>
      <c r="CI29">
        <v>7</v>
      </c>
      <c r="CJ29">
        <v>14</v>
      </c>
      <c r="CK29">
        <v>1</v>
      </c>
      <c r="CL29">
        <v>0</v>
      </c>
      <c r="CM29">
        <v>-1</v>
      </c>
      <c r="CN29">
        <v>0</v>
      </c>
    </row>
    <row r="30" spans="1:92" x14ac:dyDescent="0.25">
      <c r="A30">
        <v>28</v>
      </c>
      <c r="B30" t="s">
        <v>1972</v>
      </c>
      <c r="C30" t="s">
        <v>1975</v>
      </c>
      <c r="D30">
        <v>3036</v>
      </c>
      <c r="E30">
        <v>25</v>
      </c>
      <c r="F30">
        <v>25</v>
      </c>
      <c r="G30" t="s">
        <v>1356</v>
      </c>
      <c r="H30">
        <v>28</v>
      </c>
      <c r="I30">
        <v>28</v>
      </c>
      <c r="J30">
        <v>3</v>
      </c>
      <c r="K30">
        <v>3</v>
      </c>
      <c r="L30">
        <v>3</v>
      </c>
      <c r="M30">
        <v>0</v>
      </c>
      <c r="N30">
        <v>-10</v>
      </c>
      <c r="O30" t="s">
        <v>1356</v>
      </c>
      <c r="P30">
        <v>28</v>
      </c>
      <c r="Q30">
        <v>28</v>
      </c>
      <c r="R30">
        <v>3</v>
      </c>
      <c r="S30">
        <v>3</v>
      </c>
      <c r="T30">
        <v>3</v>
      </c>
      <c r="U30">
        <v>0</v>
      </c>
      <c r="V30">
        <v>-10</v>
      </c>
      <c r="W30" t="s">
        <v>1353</v>
      </c>
      <c r="X30">
        <v>0</v>
      </c>
      <c r="Y30">
        <v>260</v>
      </c>
      <c r="Z30">
        <v>16</v>
      </c>
      <c r="AA30">
        <v>16</v>
      </c>
      <c r="AB30">
        <v>0</v>
      </c>
      <c r="AC30">
        <v>0</v>
      </c>
      <c r="AD30">
        <v>40</v>
      </c>
      <c r="AE30">
        <v>40</v>
      </c>
      <c r="AF30">
        <v>18</v>
      </c>
      <c r="AG30">
        <v>1</v>
      </c>
      <c r="AH30">
        <v>30</v>
      </c>
      <c r="AI30">
        <v>5</v>
      </c>
      <c r="AJ30" t="s">
        <v>1976</v>
      </c>
      <c r="AK30">
        <v>-1</v>
      </c>
      <c r="AL30">
        <v>-1</v>
      </c>
      <c r="AM30" s="2">
        <v>100</v>
      </c>
      <c r="AN30" s="2">
        <v>32</v>
      </c>
      <c r="AO30" s="2">
        <v>-1</v>
      </c>
      <c r="AP30" s="2">
        <v>-1</v>
      </c>
      <c r="AQ30">
        <v>-1</v>
      </c>
      <c r="AR30" s="2">
        <v>9016</v>
      </c>
      <c r="AS30" s="2">
        <v>9000</v>
      </c>
      <c r="AT30" s="2">
        <v>9001</v>
      </c>
      <c r="AU30" s="2">
        <v>9014</v>
      </c>
      <c r="AV30" s="2">
        <v>9015</v>
      </c>
      <c r="AW30" s="2">
        <v>9018</v>
      </c>
      <c r="AX30" s="2">
        <v>9019</v>
      </c>
      <c r="AY30" s="2">
        <v>-1</v>
      </c>
      <c r="AZ30" s="2">
        <v>-1</v>
      </c>
      <c r="BA30" s="2">
        <v>-1</v>
      </c>
      <c r="BB30" s="2">
        <v>-1</v>
      </c>
      <c r="BC30" s="2">
        <v>-1</v>
      </c>
      <c r="BD30" s="2">
        <v>-1</v>
      </c>
      <c r="BE30" s="2">
        <v>-1</v>
      </c>
      <c r="BF30" s="2">
        <v>-1</v>
      </c>
      <c r="BG30" s="2">
        <v>-1</v>
      </c>
      <c r="BH30" s="2">
        <v>-1</v>
      </c>
      <c r="BI30" s="2">
        <v>-1</v>
      </c>
      <c r="BJ30" s="2">
        <v>-1</v>
      </c>
      <c r="BK30" s="2">
        <v>0.25</v>
      </c>
      <c r="BL30" s="2">
        <v>0.2</v>
      </c>
      <c r="BM30" s="2">
        <v>0.1</v>
      </c>
      <c r="BN30" s="2">
        <v>0.15</v>
      </c>
      <c r="BO30" s="2">
        <v>0.15</v>
      </c>
      <c r="BP30" s="2">
        <v>0.05</v>
      </c>
      <c r="BQ30" s="2">
        <v>0.1</v>
      </c>
      <c r="BR30" s="2">
        <v>-1</v>
      </c>
      <c r="BS30" s="2">
        <v>-1</v>
      </c>
      <c r="BT30" s="2">
        <v>-1</v>
      </c>
      <c r="BU30" s="2">
        <v>-1</v>
      </c>
      <c r="BV30" s="2">
        <v>-1</v>
      </c>
      <c r="BW30" s="2">
        <v>-1</v>
      </c>
      <c r="BX30" s="2">
        <v>-1</v>
      </c>
      <c r="BY30" s="2">
        <v>-1</v>
      </c>
      <c r="BZ30" s="2">
        <v>-1</v>
      </c>
      <c r="CA30" s="2">
        <v>-1</v>
      </c>
      <c r="CB30" s="2">
        <v>-1</v>
      </c>
      <c r="CC30" s="2">
        <v>-1</v>
      </c>
      <c r="CD30">
        <v>1</v>
      </c>
      <c r="CE30">
        <v>3</v>
      </c>
      <c r="CF30">
        <v>120</v>
      </c>
      <c r="CG30">
        <v>25</v>
      </c>
      <c r="CH30">
        <v>45</v>
      </c>
      <c r="CI30">
        <v>7</v>
      </c>
      <c r="CJ30">
        <v>14</v>
      </c>
      <c r="CK30">
        <v>1</v>
      </c>
      <c r="CL30">
        <v>0</v>
      </c>
      <c r="CM30">
        <v>-1</v>
      </c>
      <c r="CN30">
        <v>0</v>
      </c>
    </row>
    <row r="31" spans="1:92" x14ac:dyDescent="0.25">
      <c r="A31">
        <v>29</v>
      </c>
      <c r="B31" t="s">
        <v>1972</v>
      </c>
      <c r="C31" t="s">
        <v>1975</v>
      </c>
      <c r="D31">
        <v>3037</v>
      </c>
      <c r="E31">
        <v>25</v>
      </c>
      <c r="F31">
        <v>25</v>
      </c>
      <c r="G31" t="s">
        <v>1356</v>
      </c>
      <c r="H31">
        <v>28</v>
      </c>
      <c r="I31">
        <v>28</v>
      </c>
      <c r="J31">
        <v>3</v>
      </c>
      <c r="K31">
        <v>3</v>
      </c>
      <c r="L31">
        <v>3</v>
      </c>
      <c r="M31">
        <v>0</v>
      </c>
      <c r="N31">
        <v>-10</v>
      </c>
      <c r="O31" t="s">
        <v>1356</v>
      </c>
      <c r="P31">
        <v>28</v>
      </c>
      <c r="Q31">
        <v>28</v>
      </c>
      <c r="R31">
        <v>3</v>
      </c>
      <c r="S31">
        <v>3</v>
      </c>
      <c r="T31">
        <v>3</v>
      </c>
      <c r="U31">
        <v>0</v>
      </c>
      <c r="V31">
        <v>-10</v>
      </c>
      <c r="W31" t="s">
        <v>1353</v>
      </c>
      <c r="X31">
        <v>0</v>
      </c>
      <c r="Y31">
        <v>290</v>
      </c>
      <c r="Z31">
        <v>16</v>
      </c>
      <c r="AA31">
        <v>16</v>
      </c>
      <c r="AB31">
        <v>0</v>
      </c>
      <c r="AC31">
        <v>0</v>
      </c>
      <c r="AD31">
        <v>40</v>
      </c>
      <c r="AE31">
        <v>40</v>
      </c>
      <c r="AF31">
        <v>16</v>
      </c>
      <c r="AG31">
        <v>1</v>
      </c>
      <c r="AH31">
        <v>30</v>
      </c>
      <c r="AI31">
        <v>5</v>
      </c>
      <c r="AJ31" t="s">
        <v>1976</v>
      </c>
      <c r="AK31">
        <v>-1</v>
      </c>
      <c r="AL31">
        <v>-1</v>
      </c>
      <c r="AM31" s="2">
        <v>100</v>
      </c>
      <c r="AN31" s="2">
        <v>33</v>
      </c>
      <c r="AO31" s="2">
        <v>-1</v>
      </c>
      <c r="AP31" s="2">
        <v>-1</v>
      </c>
      <c r="AQ31">
        <v>-1</v>
      </c>
      <c r="AR31" s="2">
        <v>9016</v>
      </c>
      <c r="AS31" s="2">
        <v>9000</v>
      </c>
      <c r="AT31" s="2">
        <v>9001</v>
      </c>
      <c r="AU31" s="2">
        <v>9014</v>
      </c>
      <c r="AV31" s="2">
        <v>9015</v>
      </c>
      <c r="AW31" s="2">
        <v>9018</v>
      </c>
      <c r="AX31" s="2">
        <v>9019</v>
      </c>
      <c r="AY31" s="2">
        <v>-1</v>
      </c>
      <c r="AZ31" s="2">
        <v>-1</v>
      </c>
      <c r="BA31" s="2">
        <v>-1</v>
      </c>
      <c r="BB31" s="2">
        <v>-1</v>
      </c>
      <c r="BC31" s="2">
        <v>-1</v>
      </c>
      <c r="BD31" s="2">
        <v>-1</v>
      </c>
      <c r="BE31" s="2">
        <v>-1</v>
      </c>
      <c r="BF31" s="2">
        <v>-1</v>
      </c>
      <c r="BG31" s="2">
        <v>-1</v>
      </c>
      <c r="BH31" s="2">
        <v>-1</v>
      </c>
      <c r="BI31" s="2">
        <v>-1</v>
      </c>
      <c r="BJ31" s="2">
        <v>-1</v>
      </c>
      <c r="BK31" s="2">
        <v>0.25</v>
      </c>
      <c r="BL31" s="2">
        <v>0.2</v>
      </c>
      <c r="BM31" s="2">
        <v>0.1</v>
      </c>
      <c r="BN31" s="2">
        <v>0.15</v>
      </c>
      <c r="BO31" s="2">
        <v>0.15</v>
      </c>
      <c r="BP31" s="2">
        <v>0.05</v>
      </c>
      <c r="BQ31" s="2">
        <v>0.1</v>
      </c>
      <c r="BR31" s="2">
        <v>-1</v>
      </c>
      <c r="BS31" s="2">
        <v>-1</v>
      </c>
      <c r="BT31" s="2">
        <v>-1</v>
      </c>
      <c r="BU31" s="2">
        <v>-1</v>
      </c>
      <c r="BV31" s="2">
        <v>-1</v>
      </c>
      <c r="BW31" s="2">
        <v>-1</v>
      </c>
      <c r="BX31" s="2">
        <v>-1</v>
      </c>
      <c r="BY31" s="2">
        <v>-1</v>
      </c>
      <c r="BZ31" s="2">
        <v>-1</v>
      </c>
      <c r="CA31" s="2">
        <v>-1</v>
      </c>
      <c r="CB31" s="2">
        <v>-1</v>
      </c>
      <c r="CC31" s="2">
        <v>-1</v>
      </c>
      <c r="CD31">
        <v>1</v>
      </c>
      <c r="CE31">
        <v>3</v>
      </c>
      <c r="CF31">
        <v>120</v>
      </c>
      <c r="CG31">
        <v>25</v>
      </c>
      <c r="CH31">
        <v>45</v>
      </c>
      <c r="CI31">
        <v>7</v>
      </c>
      <c r="CJ31">
        <v>14</v>
      </c>
      <c r="CK31">
        <v>1</v>
      </c>
      <c r="CL31">
        <v>0</v>
      </c>
      <c r="CM31">
        <v>-1</v>
      </c>
      <c r="CN31">
        <v>0</v>
      </c>
    </row>
    <row r="32" spans="1:92" x14ac:dyDescent="0.25">
      <c r="A32">
        <v>30</v>
      </c>
      <c r="B32" t="s">
        <v>1972</v>
      </c>
      <c r="C32" t="s">
        <v>1975</v>
      </c>
      <c r="D32">
        <v>3038</v>
      </c>
      <c r="E32">
        <v>25</v>
      </c>
      <c r="F32">
        <v>25</v>
      </c>
      <c r="G32" t="s">
        <v>1356</v>
      </c>
      <c r="H32">
        <v>28</v>
      </c>
      <c r="I32">
        <v>28</v>
      </c>
      <c r="J32">
        <v>3</v>
      </c>
      <c r="K32">
        <v>3</v>
      </c>
      <c r="L32">
        <v>3</v>
      </c>
      <c r="M32">
        <v>0</v>
      </c>
      <c r="N32">
        <v>-10</v>
      </c>
      <c r="O32" t="s">
        <v>1356</v>
      </c>
      <c r="P32">
        <v>28</v>
      </c>
      <c r="Q32">
        <v>28</v>
      </c>
      <c r="R32">
        <v>3</v>
      </c>
      <c r="S32">
        <v>3</v>
      </c>
      <c r="T32">
        <v>3</v>
      </c>
      <c r="U32">
        <v>0</v>
      </c>
      <c r="V32">
        <v>-10</v>
      </c>
      <c r="W32" t="s">
        <v>1353</v>
      </c>
      <c r="X32">
        <v>0</v>
      </c>
      <c r="Y32">
        <v>280</v>
      </c>
      <c r="Z32">
        <v>16</v>
      </c>
      <c r="AA32">
        <v>16</v>
      </c>
      <c r="AB32">
        <v>0</v>
      </c>
      <c r="AC32">
        <v>0</v>
      </c>
      <c r="AD32">
        <v>40</v>
      </c>
      <c r="AE32">
        <v>40</v>
      </c>
      <c r="AF32">
        <v>14</v>
      </c>
      <c r="AG32">
        <v>1</v>
      </c>
      <c r="AH32">
        <v>30</v>
      </c>
      <c r="AI32">
        <v>5</v>
      </c>
      <c r="AJ32" t="s">
        <v>1976</v>
      </c>
      <c r="AK32">
        <v>-1</v>
      </c>
      <c r="AL32">
        <v>-1</v>
      </c>
      <c r="AM32" s="2">
        <v>100</v>
      </c>
      <c r="AN32" s="2">
        <v>34</v>
      </c>
      <c r="AO32" s="2">
        <v>-1</v>
      </c>
      <c r="AP32" s="2">
        <v>-1</v>
      </c>
      <c r="AQ32">
        <v>-1</v>
      </c>
      <c r="AR32" s="2">
        <v>9016</v>
      </c>
      <c r="AS32" s="2">
        <v>9000</v>
      </c>
      <c r="AT32" s="2">
        <v>9001</v>
      </c>
      <c r="AU32" s="2">
        <v>9014</v>
      </c>
      <c r="AV32" s="2">
        <v>9015</v>
      </c>
      <c r="AW32" s="2">
        <v>9018</v>
      </c>
      <c r="AX32" s="2">
        <v>9019</v>
      </c>
      <c r="AY32" s="2">
        <v>-1</v>
      </c>
      <c r="AZ32" s="2">
        <v>-1</v>
      </c>
      <c r="BA32" s="2">
        <v>-1</v>
      </c>
      <c r="BB32" s="2">
        <v>-1</v>
      </c>
      <c r="BC32" s="2">
        <v>-1</v>
      </c>
      <c r="BD32" s="2">
        <v>-1</v>
      </c>
      <c r="BE32" s="2">
        <v>-1</v>
      </c>
      <c r="BF32" s="2">
        <v>-1</v>
      </c>
      <c r="BG32" s="2">
        <v>-1</v>
      </c>
      <c r="BH32" s="2">
        <v>-1</v>
      </c>
      <c r="BI32" s="2">
        <v>-1</v>
      </c>
      <c r="BJ32" s="2">
        <v>-1</v>
      </c>
      <c r="BK32" s="2">
        <v>0.25</v>
      </c>
      <c r="BL32" s="2">
        <v>0.2</v>
      </c>
      <c r="BM32" s="2">
        <v>0.1</v>
      </c>
      <c r="BN32" s="2">
        <v>0.15</v>
      </c>
      <c r="BO32" s="2">
        <v>0.15</v>
      </c>
      <c r="BP32" s="2">
        <v>0.05</v>
      </c>
      <c r="BQ32" s="2">
        <v>0.1</v>
      </c>
      <c r="BR32" s="2">
        <v>-1</v>
      </c>
      <c r="BS32" s="2">
        <v>-1</v>
      </c>
      <c r="BT32" s="2">
        <v>-1</v>
      </c>
      <c r="BU32" s="2">
        <v>-1</v>
      </c>
      <c r="BV32" s="2">
        <v>-1</v>
      </c>
      <c r="BW32" s="2">
        <v>-1</v>
      </c>
      <c r="BX32" s="2">
        <v>-1</v>
      </c>
      <c r="BY32" s="2">
        <v>-1</v>
      </c>
      <c r="BZ32" s="2">
        <v>-1</v>
      </c>
      <c r="CA32" s="2">
        <v>-1</v>
      </c>
      <c r="CB32" s="2">
        <v>-1</v>
      </c>
      <c r="CC32" s="2">
        <v>-1</v>
      </c>
      <c r="CD32">
        <v>1</v>
      </c>
      <c r="CE32">
        <v>3</v>
      </c>
      <c r="CF32">
        <v>120</v>
      </c>
      <c r="CG32">
        <v>25</v>
      </c>
      <c r="CH32">
        <v>45</v>
      </c>
      <c r="CI32">
        <v>7</v>
      </c>
      <c r="CJ32">
        <v>14</v>
      </c>
      <c r="CK32">
        <v>1</v>
      </c>
      <c r="CL32">
        <v>0</v>
      </c>
      <c r="CM32">
        <v>-1</v>
      </c>
      <c r="CN32">
        <v>0</v>
      </c>
    </row>
    <row r="33" spans="1:92" x14ac:dyDescent="0.25">
      <c r="A33">
        <v>31</v>
      </c>
      <c r="B33" t="s">
        <v>1972</v>
      </c>
      <c r="C33" t="s">
        <v>1975</v>
      </c>
      <c r="D33">
        <v>3039</v>
      </c>
      <c r="E33">
        <v>25</v>
      </c>
      <c r="F33">
        <v>25</v>
      </c>
      <c r="G33" t="s">
        <v>1356</v>
      </c>
      <c r="H33">
        <v>28</v>
      </c>
      <c r="I33">
        <v>28</v>
      </c>
      <c r="J33">
        <v>3</v>
      </c>
      <c r="K33">
        <v>3</v>
      </c>
      <c r="L33">
        <v>3</v>
      </c>
      <c r="M33">
        <v>0</v>
      </c>
      <c r="N33">
        <v>-10</v>
      </c>
      <c r="O33" t="s">
        <v>1356</v>
      </c>
      <c r="P33">
        <v>28</v>
      </c>
      <c r="Q33">
        <v>28</v>
      </c>
      <c r="R33">
        <v>3</v>
      </c>
      <c r="S33">
        <v>3</v>
      </c>
      <c r="T33">
        <v>3</v>
      </c>
      <c r="U33">
        <v>0</v>
      </c>
      <c r="V33">
        <v>-10</v>
      </c>
      <c r="W33" t="s">
        <v>1353</v>
      </c>
      <c r="X33">
        <v>0</v>
      </c>
      <c r="Y33">
        <v>235</v>
      </c>
      <c r="Z33">
        <v>16</v>
      </c>
      <c r="AA33">
        <v>16</v>
      </c>
      <c r="AB33">
        <v>0</v>
      </c>
      <c r="AC33">
        <v>0</v>
      </c>
      <c r="AD33">
        <v>40</v>
      </c>
      <c r="AE33">
        <v>40</v>
      </c>
      <c r="AF33">
        <v>18</v>
      </c>
      <c r="AG33">
        <v>1</v>
      </c>
      <c r="AH33">
        <v>30</v>
      </c>
      <c r="AI33">
        <v>5</v>
      </c>
      <c r="AJ33" t="s">
        <v>1976</v>
      </c>
      <c r="AK33">
        <v>-1</v>
      </c>
      <c r="AL33">
        <v>-1</v>
      </c>
      <c r="AM33" s="2">
        <v>100</v>
      </c>
      <c r="AN33" s="2">
        <v>35</v>
      </c>
      <c r="AO33" s="2">
        <v>-1</v>
      </c>
      <c r="AP33" s="2">
        <v>-1</v>
      </c>
      <c r="AQ33">
        <v>-1</v>
      </c>
      <c r="AR33" s="2">
        <v>9016</v>
      </c>
      <c r="AS33" s="2">
        <v>9000</v>
      </c>
      <c r="AT33" s="2">
        <v>9001</v>
      </c>
      <c r="AU33" s="2">
        <v>9014</v>
      </c>
      <c r="AV33" s="2">
        <v>9015</v>
      </c>
      <c r="AW33" s="2">
        <v>9018</v>
      </c>
      <c r="AX33" s="2">
        <v>9019</v>
      </c>
      <c r="AY33" s="2">
        <v>-1</v>
      </c>
      <c r="AZ33" s="2">
        <v>-1</v>
      </c>
      <c r="BA33" s="2">
        <v>-1</v>
      </c>
      <c r="BB33" s="2">
        <v>-1</v>
      </c>
      <c r="BC33" s="2">
        <v>-1</v>
      </c>
      <c r="BD33" s="2">
        <v>-1</v>
      </c>
      <c r="BE33" s="2">
        <v>-1</v>
      </c>
      <c r="BF33" s="2">
        <v>-1</v>
      </c>
      <c r="BG33" s="2">
        <v>-1</v>
      </c>
      <c r="BH33" s="2">
        <v>-1</v>
      </c>
      <c r="BI33" s="2">
        <v>-1</v>
      </c>
      <c r="BJ33" s="2">
        <v>-1</v>
      </c>
      <c r="BK33" s="2">
        <v>0.25</v>
      </c>
      <c r="BL33" s="2">
        <v>0.2</v>
      </c>
      <c r="BM33" s="2">
        <v>0.1</v>
      </c>
      <c r="BN33" s="2">
        <v>0.15</v>
      </c>
      <c r="BO33" s="2">
        <v>0.15</v>
      </c>
      <c r="BP33" s="2">
        <v>0.05</v>
      </c>
      <c r="BQ33" s="2">
        <v>0.1</v>
      </c>
      <c r="BR33" s="2">
        <v>-1</v>
      </c>
      <c r="BS33" s="2">
        <v>-1</v>
      </c>
      <c r="BT33" s="2">
        <v>-1</v>
      </c>
      <c r="BU33" s="2">
        <v>-1</v>
      </c>
      <c r="BV33" s="2">
        <v>-1</v>
      </c>
      <c r="BW33" s="2">
        <v>-1</v>
      </c>
      <c r="BX33" s="2">
        <v>-1</v>
      </c>
      <c r="BY33" s="2">
        <v>-1</v>
      </c>
      <c r="BZ33" s="2">
        <v>-1</v>
      </c>
      <c r="CA33" s="2">
        <v>-1</v>
      </c>
      <c r="CB33" s="2">
        <v>-1</v>
      </c>
      <c r="CC33" s="2">
        <v>-1</v>
      </c>
      <c r="CD33">
        <v>1</v>
      </c>
      <c r="CE33">
        <v>3</v>
      </c>
      <c r="CF33">
        <v>120</v>
      </c>
      <c r="CG33">
        <v>25</v>
      </c>
      <c r="CH33">
        <v>45</v>
      </c>
      <c r="CI33">
        <v>7</v>
      </c>
      <c r="CJ33">
        <v>14</v>
      </c>
      <c r="CK33">
        <v>1</v>
      </c>
      <c r="CL33">
        <v>0</v>
      </c>
      <c r="CM33">
        <v>-1</v>
      </c>
      <c r="CN33">
        <v>0</v>
      </c>
    </row>
    <row r="34" spans="1:92" x14ac:dyDescent="0.25">
      <c r="A34">
        <v>32</v>
      </c>
      <c r="B34" t="s">
        <v>1972</v>
      </c>
      <c r="C34" t="s">
        <v>1975</v>
      </c>
      <c r="D34">
        <v>3040</v>
      </c>
      <c r="E34">
        <v>25</v>
      </c>
      <c r="F34">
        <v>25</v>
      </c>
      <c r="G34" t="s">
        <v>1356</v>
      </c>
      <c r="H34">
        <v>28</v>
      </c>
      <c r="I34">
        <v>28</v>
      </c>
      <c r="J34">
        <v>3</v>
      </c>
      <c r="K34">
        <v>3</v>
      </c>
      <c r="L34">
        <v>3</v>
      </c>
      <c r="M34">
        <v>0</v>
      </c>
      <c r="N34">
        <v>-10</v>
      </c>
      <c r="O34" t="s">
        <v>1356</v>
      </c>
      <c r="P34">
        <v>28</v>
      </c>
      <c r="Q34">
        <v>28</v>
      </c>
      <c r="R34">
        <v>3</v>
      </c>
      <c r="S34">
        <v>3</v>
      </c>
      <c r="T34">
        <v>3</v>
      </c>
      <c r="U34">
        <v>0</v>
      </c>
      <c r="V34">
        <v>-10</v>
      </c>
      <c r="W34" t="s">
        <v>1353</v>
      </c>
      <c r="X34">
        <v>0</v>
      </c>
      <c r="Y34">
        <v>285</v>
      </c>
      <c r="Z34">
        <v>16</v>
      </c>
      <c r="AA34">
        <v>16</v>
      </c>
      <c r="AB34">
        <v>0</v>
      </c>
      <c r="AC34">
        <v>0</v>
      </c>
      <c r="AD34">
        <v>40</v>
      </c>
      <c r="AE34">
        <v>40</v>
      </c>
      <c r="AF34">
        <v>10</v>
      </c>
      <c r="AG34">
        <v>0</v>
      </c>
      <c r="AH34">
        <v>35</v>
      </c>
      <c r="AI34">
        <v>5</v>
      </c>
      <c r="AJ34" t="s">
        <v>1976</v>
      </c>
      <c r="AK34">
        <v>-1</v>
      </c>
      <c r="AL34">
        <v>-1</v>
      </c>
      <c r="AM34" s="2">
        <v>100</v>
      </c>
      <c r="AN34" s="2">
        <v>36</v>
      </c>
      <c r="AO34" s="2">
        <v>-1</v>
      </c>
      <c r="AP34" s="2">
        <v>-1</v>
      </c>
      <c r="AQ34">
        <v>-1</v>
      </c>
      <c r="AR34" s="2">
        <v>9016</v>
      </c>
      <c r="AS34" s="2">
        <v>9000</v>
      </c>
      <c r="AT34" s="2">
        <v>9001</v>
      </c>
      <c r="AU34" s="2">
        <v>9014</v>
      </c>
      <c r="AV34" s="2">
        <v>9015</v>
      </c>
      <c r="AW34" s="2">
        <v>9018</v>
      </c>
      <c r="AX34" s="2">
        <v>9019</v>
      </c>
      <c r="AY34" s="2">
        <v>-1</v>
      </c>
      <c r="AZ34" s="2">
        <v>-1</v>
      </c>
      <c r="BA34" s="2">
        <v>-1</v>
      </c>
      <c r="BB34" s="2">
        <v>-1</v>
      </c>
      <c r="BC34" s="2">
        <v>-1</v>
      </c>
      <c r="BD34" s="2">
        <v>-1</v>
      </c>
      <c r="BE34" s="2">
        <v>-1</v>
      </c>
      <c r="BF34" s="2">
        <v>-1</v>
      </c>
      <c r="BG34" s="2">
        <v>-1</v>
      </c>
      <c r="BH34" s="2">
        <v>-1</v>
      </c>
      <c r="BI34" s="2">
        <v>-1</v>
      </c>
      <c r="BJ34" s="2">
        <v>-1</v>
      </c>
      <c r="BK34" s="2">
        <v>0.25</v>
      </c>
      <c r="BL34" s="2">
        <v>0.2</v>
      </c>
      <c r="BM34" s="2">
        <v>0.1</v>
      </c>
      <c r="BN34" s="2">
        <v>0.15</v>
      </c>
      <c r="BO34" s="2">
        <v>0.15</v>
      </c>
      <c r="BP34" s="2">
        <v>0.05</v>
      </c>
      <c r="BQ34" s="2">
        <v>0.1</v>
      </c>
      <c r="BR34" s="2">
        <v>-1</v>
      </c>
      <c r="BS34" s="2">
        <v>-1</v>
      </c>
      <c r="BT34" s="2">
        <v>-1</v>
      </c>
      <c r="BU34" s="2">
        <v>-1</v>
      </c>
      <c r="BV34" s="2">
        <v>-1</v>
      </c>
      <c r="BW34" s="2">
        <v>-1</v>
      </c>
      <c r="BX34" s="2">
        <v>-1</v>
      </c>
      <c r="BY34" s="2">
        <v>-1</v>
      </c>
      <c r="BZ34" s="2">
        <v>-1</v>
      </c>
      <c r="CA34" s="2">
        <v>-1</v>
      </c>
      <c r="CB34" s="2">
        <v>-1</v>
      </c>
      <c r="CC34" s="2">
        <v>-1</v>
      </c>
      <c r="CD34">
        <v>1</v>
      </c>
      <c r="CE34">
        <v>3</v>
      </c>
      <c r="CF34">
        <v>120</v>
      </c>
      <c r="CG34">
        <v>25</v>
      </c>
      <c r="CH34">
        <v>45</v>
      </c>
      <c r="CI34">
        <v>7</v>
      </c>
      <c r="CJ34">
        <v>14</v>
      </c>
      <c r="CK34">
        <v>1</v>
      </c>
      <c r="CL34">
        <v>0</v>
      </c>
      <c r="CM34">
        <v>-1</v>
      </c>
      <c r="CN34">
        <v>0</v>
      </c>
    </row>
    <row r="35" spans="1:92" x14ac:dyDescent="0.25">
      <c r="A35">
        <v>33</v>
      </c>
      <c r="B35" t="s">
        <v>1972</v>
      </c>
      <c r="C35" t="s">
        <v>1975</v>
      </c>
      <c r="D35">
        <v>3041</v>
      </c>
      <c r="E35">
        <v>25</v>
      </c>
      <c r="F35">
        <v>25</v>
      </c>
      <c r="G35" t="s">
        <v>1356</v>
      </c>
      <c r="H35">
        <v>28</v>
      </c>
      <c r="I35">
        <v>28</v>
      </c>
      <c r="J35">
        <v>3</v>
      </c>
      <c r="K35">
        <v>3</v>
      </c>
      <c r="L35">
        <v>3</v>
      </c>
      <c r="M35">
        <v>0</v>
      </c>
      <c r="N35">
        <v>-10</v>
      </c>
      <c r="O35" t="s">
        <v>1356</v>
      </c>
      <c r="P35">
        <v>28</v>
      </c>
      <c r="Q35">
        <v>28</v>
      </c>
      <c r="R35">
        <v>3</v>
      </c>
      <c r="S35">
        <v>3</v>
      </c>
      <c r="T35">
        <v>3</v>
      </c>
      <c r="U35">
        <v>0</v>
      </c>
      <c r="V35">
        <v>-10</v>
      </c>
      <c r="W35" t="s">
        <v>1353</v>
      </c>
      <c r="X35">
        <v>0</v>
      </c>
      <c r="Y35">
        <v>270</v>
      </c>
      <c r="Z35">
        <v>16</v>
      </c>
      <c r="AA35">
        <v>16</v>
      </c>
      <c r="AB35">
        <v>0</v>
      </c>
      <c r="AC35">
        <v>0</v>
      </c>
      <c r="AD35">
        <v>40</v>
      </c>
      <c r="AE35">
        <v>40</v>
      </c>
      <c r="AF35">
        <v>14</v>
      </c>
      <c r="AG35">
        <v>0</v>
      </c>
      <c r="AH35">
        <v>25</v>
      </c>
      <c r="AI35">
        <v>5</v>
      </c>
      <c r="AJ35" t="s">
        <v>1976</v>
      </c>
      <c r="AK35">
        <v>-1</v>
      </c>
      <c r="AL35">
        <v>-1</v>
      </c>
      <c r="AM35" s="2">
        <v>1</v>
      </c>
      <c r="AN35" s="2">
        <v>38</v>
      </c>
      <c r="AO35" s="2">
        <v>-1</v>
      </c>
      <c r="AP35" s="2">
        <v>-1</v>
      </c>
      <c r="AQ35">
        <v>-1</v>
      </c>
      <c r="AR35" s="2">
        <v>9016</v>
      </c>
      <c r="AS35" s="2">
        <v>9000</v>
      </c>
      <c r="AT35" s="2">
        <v>9001</v>
      </c>
      <c r="AU35" s="2">
        <v>9014</v>
      </c>
      <c r="AV35" s="2">
        <v>9015</v>
      </c>
      <c r="AW35" s="2">
        <v>9018</v>
      </c>
      <c r="AX35" s="2">
        <v>9019</v>
      </c>
      <c r="AY35" s="2">
        <v>1</v>
      </c>
      <c r="AZ35" s="2">
        <v>-1</v>
      </c>
      <c r="BA35" s="2">
        <v>-1</v>
      </c>
      <c r="BB35" s="2">
        <v>-1</v>
      </c>
      <c r="BC35" s="2">
        <v>-1</v>
      </c>
      <c r="BD35" s="2">
        <v>-1</v>
      </c>
      <c r="BE35" s="2">
        <v>-1</v>
      </c>
      <c r="BF35" s="2">
        <v>-1</v>
      </c>
      <c r="BG35" s="2">
        <v>-1</v>
      </c>
      <c r="BH35" s="2">
        <v>-1</v>
      </c>
      <c r="BI35" s="2">
        <v>-1</v>
      </c>
      <c r="BJ35" s="2">
        <v>-1</v>
      </c>
      <c r="BK35" s="2">
        <v>0.2</v>
      </c>
      <c r="BL35" s="2">
        <v>0.2</v>
      </c>
      <c r="BM35" s="2">
        <v>0.1</v>
      </c>
      <c r="BN35" s="2">
        <v>0.15</v>
      </c>
      <c r="BO35" s="2">
        <v>0.15</v>
      </c>
      <c r="BP35" s="2">
        <v>0.05</v>
      </c>
      <c r="BQ35" s="2">
        <v>0.1</v>
      </c>
      <c r="BR35" s="2">
        <v>0.05</v>
      </c>
      <c r="BS35" s="2">
        <v>-1</v>
      </c>
      <c r="BT35" s="2">
        <v>-1</v>
      </c>
      <c r="BU35" s="2">
        <v>-1</v>
      </c>
      <c r="BV35" s="2">
        <v>-1</v>
      </c>
      <c r="BW35" s="2">
        <v>-1</v>
      </c>
      <c r="BX35" s="2">
        <v>-1</v>
      </c>
      <c r="BY35" s="2">
        <v>-1</v>
      </c>
      <c r="BZ35" s="2">
        <v>-1</v>
      </c>
      <c r="CA35" s="2">
        <v>-1</v>
      </c>
      <c r="CB35" s="2">
        <v>-1</v>
      </c>
      <c r="CC35" s="2">
        <v>-1</v>
      </c>
      <c r="CD35">
        <v>1</v>
      </c>
      <c r="CE35">
        <v>3</v>
      </c>
      <c r="CF35">
        <v>120</v>
      </c>
      <c r="CG35">
        <v>25</v>
      </c>
      <c r="CH35">
        <v>45</v>
      </c>
      <c r="CI35">
        <v>7</v>
      </c>
      <c r="CJ35">
        <v>14</v>
      </c>
      <c r="CK35">
        <v>1</v>
      </c>
      <c r="CL35">
        <v>0</v>
      </c>
      <c r="CM35">
        <v>-1</v>
      </c>
      <c r="CN35">
        <v>0</v>
      </c>
    </row>
    <row r="36" spans="1:92" x14ac:dyDescent="0.25">
      <c r="A36">
        <v>34</v>
      </c>
      <c r="B36" t="s">
        <v>1972</v>
      </c>
      <c r="C36" t="s">
        <v>1975</v>
      </c>
      <c r="D36">
        <v>3042</v>
      </c>
      <c r="E36">
        <v>25</v>
      </c>
      <c r="F36">
        <v>25</v>
      </c>
      <c r="G36" t="s">
        <v>1356</v>
      </c>
      <c r="H36">
        <v>28</v>
      </c>
      <c r="I36">
        <v>28</v>
      </c>
      <c r="J36">
        <v>3</v>
      </c>
      <c r="K36">
        <v>3</v>
      </c>
      <c r="L36">
        <v>3</v>
      </c>
      <c r="M36">
        <v>0</v>
      </c>
      <c r="N36">
        <v>-10</v>
      </c>
      <c r="O36" t="s">
        <v>1356</v>
      </c>
      <c r="P36">
        <v>28</v>
      </c>
      <c r="Q36">
        <v>28</v>
      </c>
      <c r="R36">
        <v>3</v>
      </c>
      <c r="S36">
        <v>3</v>
      </c>
      <c r="T36">
        <v>3</v>
      </c>
      <c r="U36">
        <v>0</v>
      </c>
      <c r="V36">
        <v>-10</v>
      </c>
      <c r="W36" t="s">
        <v>1353</v>
      </c>
      <c r="X36">
        <v>0</v>
      </c>
      <c r="Y36">
        <v>270</v>
      </c>
      <c r="Z36">
        <v>16</v>
      </c>
      <c r="AA36">
        <v>16</v>
      </c>
      <c r="AB36">
        <v>0</v>
      </c>
      <c r="AC36">
        <v>0</v>
      </c>
      <c r="AD36">
        <v>40</v>
      </c>
      <c r="AE36">
        <v>40</v>
      </c>
      <c r="AF36">
        <v>14.5</v>
      </c>
      <c r="AG36">
        <v>0</v>
      </c>
      <c r="AH36">
        <v>30</v>
      </c>
      <c r="AI36">
        <v>5</v>
      </c>
      <c r="AJ36" t="s">
        <v>1976</v>
      </c>
      <c r="AK36">
        <v>-1</v>
      </c>
      <c r="AL36">
        <v>-1</v>
      </c>
      <c r="AM36" s="2">
        <v>1</v>
      </c>
      <c r="AN36" s="2">
        <v>-1</v>
      </c>
      <c r="AO36" s="2">
        <v>-1</v>
      </c>
      <c r="AP36" s="2">
        <v>-1</v>
      </c>
      <c r="AQ36">
        <v>-1</v>
      </c>
      <c r="AR36" s="2">
        <v>1</v>
      </c>
      <c r="AS36" s="2">
        <v>46</v>
      </c>
      <c r="AT36" s="2">
        <v>92</v>
      </c>
      <c r="AU36" s="2">
        <v>16</v>
      </c>
      <c r="AV36" s="2">
        <v>20002</v>
      </c>
      <c r="AW36" s="2">
        <v>30003</v>
      </c>
      <c r="AX36" s="2">
        <v>40007</v>
      </c>
      <c r="AY36" s="2">
        <v>50002</v>
      </c>
      <c r="AZ36" s="2">
        <v>80013</v>
      </c>
      <c r="BA36" s="2">
        <v>-1</v>
      </c>
      <c r="BB36" s="2">
        <v>-1</v>
      </c>
      <c r="BC36" s="2">
        <v>-1</v>
      </c>
      <c r="BD36" s="2">
        <v>-1</v>
      </c>
      <c r="BE36" s="2">
        <v>-1</v>
      </c>
      <c r="BF36" s="2">
        <v>-1</v>
      </c>
      <c r="BG36" s="2">
        <v>-1</v>
      </c>
      <c r="BH36" s="2">
        <v>-1</v>
      </c>
      <c r="BI36" s="2">
        <v>-1</v>
      </c>
      <c r="BJ36" s="2">
        <v>-1</v>
      </c>
      <c r="BK36" s="2">
        <v>0.2</v>
      </c>
      <c r="BL36" s="2">
        <v>0.2</v>
      </c>
      <c r="BM36" s="2">
        <v>0.1</v>
      </c>
      <c r="BN36" s="2">
        <v>0.1</v>
      </c>
      <c r="BO36" s="2">
        <v>0.15</v>
      </c>
      <c r="BP36" s="2">
        <v>0.05</v>
      </c>
      <c r="BQ36" s="2">
        <v>0.1</v>
      </c>
      <c r="BR36" s="2">
        <v>0.05</v>
      </c>
      <c r="BS36" s="2">
        <v>0.05</v>
      </c>
      <c r="BT36" s="2">
        <v>-1</v>
      </c>
      <c r="BU36" s="2">
        <v>-1</v>
      </c>
      <c r="BV36" s="2">
        <v>-1</v>
      </c>
      <c r="BW36" s="2">
        <v>-1</v>
      </c>
      <c r="BX36" s="2">
        <v>-1</v>
      </c>
      <c r="BY36" s="2">
        <v>-1</v>
      </c>
      <c r="BZ36" s="2">
        <v>-1</v>
      </c>
      <c r="CA36" s="2">
        <v>-1</v>
      </c>
      <c r="CB36" s="2">
        <v>-1</v>
      </c>
      <c r="CC36" s="2">
        <v>-1</v>
      </c>
      <c r="CD36">
        <v>1</v>
      </c>
      <c r="CE36">
        <v>3</v>
      </c>
      <c r="CF36">
        <v>120</v>
      </c>
      <c r="CG36">
        <v>25</v>
      </c>
      <c r="CH36">
        <v>45</v>
      </c>
      <c r="CI36">
        <v>7</v>
      </c>
      <c r="CJ36">
        <v>14</v>
      </c>
      <c r="CK36">
        <v>1</v>
      </c>
      <c r="CL36">
        <v>0</v>
      </c>
      <c r="CM36">
        <v>-1</v>
      </c>
      <c r="CN36">
        <v>0</v>
      </c>
    </row>
    <row r="37" spans="1:92" x14ac:dyDescent="0.25">
      <c r="A37">
        <v>35</v>
      </c>
      <c r="B37" t="s">
        <v>1972</v>
      </c>
      <c r="C37" t="s">
        <v>1975</v>
      </c>
      <c r="D37">
        <v>3043</v>
      </c>
      <c r="E37">
        <v>25</v>
      </c>
      <c r="F37">
        <v>25</v>
      </c>
      <c r="G37" t="s">
        <v>1356</v>
      </c>
      <c r="H37">
        <v>28</v>
      </c>
      <c r="I37">
        <v>28</v>
      </c>
      <c r="J37">
        <v>3</v>
      </c>
      <c r="K37">
        <v>3</v>
      </c>
      <c r="L37">
        <v>3</v>
      </c>
      <c r="M37">
        <v>0</v>
      </c>
      <c r="N37">
        <v>-10</v>
      </c>
      <c r="O37" t="s">
        <v>1356</v>
      </c>
      <c r="P37">
        <v>28</v>
      </c>
      <c r="Q37">
        <v>28</v>
      </c>
      <c r="R37">
        <v>3</v>
      </c>
      <c r="S37">
        <v>3</v>
      </c>
      <c r="T37">
        <v>3</v>
      </c>
      <c r="U37">
        <v>0</v>
      </c>
      <c r="V37">
        <v>-10</v>
      </c>
      <c r="W37" t="s">
        <v>1353</v>
      </c>
      <c r="X37">
        <v>0</v>
      </c>
      <c r="Y37">
        <v>300</v>
      </c>
      <c r="Z37">
        <v>16</v>
      </c>
      <c r="AA37">
        <v>16</v>
      </c>
      <c r="AB37">
        <v>0</v>
      </c>
      <c r="AC37">
        <v>0</v>
      </c>
      <c r="AD37">
        <v>40</v>
      </c>
      <c r="AE37">
        <v>40</v>
      </c>
      <c r="AF37">
        <v>12</v>
      </c>
      <c r="AG37">
        <v>0</v>
      </c>
      <c r="AH37">
        <v>-1</v>
      </c>
      <c r="AI37">
        <v>5</v>
      </c>
      <c r="AJ37" t="s">
        <v>1976</v>
      </c>
      <c r="AK37">
        <v>-1</v>
      </c>
      <c r="AL37">
        <v>-1</v>
      </c>
      <c r="AM37" s="2">
        <v>1</v>
      </c>
      <c r="AN37" s="2">
        <v>39</v>
      </c>
      <c r="AO37" s="2">
        <v>-1</v>
      </c>
      <c r="AP37" s="2">
        <v>-1</v>
      </c>
      <c r="AQ37">
        <v>-1</v>
      </c>
      <c r="AR37" s="2">
        <v>9016</v>
      </c>
      <c r="AS37" s="2">
        <v>9000</v>
      </c>
      <c r="AT37" s="2">
        <v>9001</v>
      </c>
      <c r="AU37" s="2">
        <v>9014</v>
      </c>
      <c r="AV37" s="2">
        <v>9015</v>
      </c>
      <c r="AW37" s="2">
        <v>9018</v>
      </c>
      <c r="AX37" s="2">
        <v>9019</v>
      </c>
      <c r="AY37" s="2">
        <v>1</v>
      </c>
      <c r="AZ37" s="2">
        <v>-1</v>
      </c>
      <c r="BA37" s="2">
        <v>-1</v>
      </c>
      <c r="BB37" s="2">
        <v>-1</v>
      </c>
      <c r="BC37" s="2">
        <v>-1</v>
      </c>
      <c r="BD37" s="2">
        <v>-1</v>
      </c>
      <c r="BE37" s="2">
        <v>-1</v>
      </c>
      <c r="BF37" s="2">
        <v>-1</v>
      </c>
      <c r="BG37" s="2">
        <v>-1</v>
      </c>
      <c r="BH37" s="2">
        <v>-1</v>
      </c>
      <c r="BI37" s="2">
        <v>-1</v>
      </c>
      <c r="BJ37" s="2">
        <v>-1</v>
      </c>
      <c r="BK37" s="2">
        <v>0.2</v>
      </c>
      <c r="BL37" s="2">
        <v>0.2</v>
      </c>
      <c r="BM37" s="2">
        <v>0.1</v>
      </c>
      <c r="BN37" s="2">
        <v>0.15</v>
      </c>
      <c r="BO37" s="2">
        <v>0.15</v>
      </c>
      <c r="BP37" s="2">
        <v>0.05</v>
      </c>
      <c r="BQ37" s="2">
        <v>0.1</v>
      </c>
      <c r="BR37" s="2">
        <v>0.05</v>
      </c>
      <c r="BS37" s="2">
        <v>-1</v>
      </c>
      <c r="BT37" s="2">
        <v>-1</v>
      </c>
      <c r="BU37" s="2">
        <v>-1</v>
      </c>
      <c r="BV37" s="2">
        <v>-1</v>
      </c>
      <c r="BW37" s="2">
        <v>-1</v>
      </c>
      <c r="BX37" s="2">
        <v>-1</v>
      </c>
      <c r="BY37" s="2">
        <v>-1</v>
      </c>
      <c r="BZ37" s="2">
        <v>-1</v>
      </c>
      <c r="CA37" s="2">
        <v>-1</v>
      </c>
      <c r="CB37" s="2">
        <v>-1</v>
      </c>
      <c r="CC37" s="2">
        <v>-1</v>
      </c>
      <c r="CD37">
        <v>1</v>
      </c>
      <c r="CE37">
        <v>3</v>
      </c>
      <c r="CF37">
        <v>120</v>
      </c>
      <c r="CG37">
        <v>25</v>
      </c>
      <c r="CH37">
        <v>45</v>
      </c>
      <c r="CI37">
        <v>7</v>
      </c>
      <c r="CJ37">
        <v>14</v>
      </c>
      <c r="CK37">
        <v>1</v>
      </c>
      <c r="CL37">
        <v>0</v>
      </c>
      <c r="CM37">
        <v>-1</v>
      </c>
      <c r="CN37">
        <v>0</v>
      </c>
    </row>
    <row r="38" spans="1:92" x14ac:dyDescent="0.25">
      <c r="A38">
        <v>36</v>
      </c>
      <c r="B38" t="s">
        <v>1972</v>
      </c>
      <c r="C38" t="s">
        <v>1979</v>
      </c>
      <c r="D38">
        <v>3044</v>
      </c>
      <c r="E38">
        <v>25</v>
      </c>
      <c r="F38">
        <v>25</v>
      </c>
      <c r="G38" t="s">
        <v>1356</v>
      </c>
      <c r="H38">
        <v>28</v>
      </c>
      <c r="I38">
        <v>28</v>
      </c>
      <c r="J38">
        <v>3</v>
      </c>
      <c r="K38">
        <v>3</v>
      </c>
      <c r="L38">
        <v>3</v>
      </c>
      <c r="M38">
        <v>0</v>
      </c>
      <c r="N38">
        <v>-10</v>
      </c>
      <c r="O38" t="s">
        <v>1356</v>
      </c>
      <c r="P38">
        <v>28</v>
      </c>
      <c r="Q38">
        <v>28</v>
      </c>
      <c r="R38">
        <v>3</v>
      </c>
      <c r="S38">
        <v>3</v>
      </c>
      <c r="T38">
        <v>3</v>
      </c>
      <c r="U38">
        <v>0</v>
      </c>
      <c r="V38">
        <v>-10</v>
      </c>
      <c r="W38" t="s">
        <v>1353</v>
      </c>
      <c r="X38">
        <v>0</v>
      </c>
      <c r="Y38">
        <v>270</v>
      </c>
      <c r="Z38">
        <v>16</v>
      </c>
      <c r="AA38">
        <v>16</v>
      </c>
      <c r="AB38">
        <v>0</v>
      </c>
      <c r="AC38">
        <v>0</v>
      </c>
      <c r="AD38">
        <v>40</v>
      </c>
      <c r="AE38">
        <v>40</v>
      </c>
      <c r="AF38">
        <v>20</v>
      </c>
      <c r="AG38">
        <v>0</v>
      </c>
      <c r="AH38">
        <v>30</v>
      </c>
      <c r="AI38">
        <v>5</v>
      </c>
      <c r="AJ38" t="s">
        <v>1976</v>
      </c>
      <c r="AK38">
        <v>-1</v>
      </c>
      <c r="AL38">
        <v>-1</v>
      </c>
      <c r="AM38" s="2">
        <v>105</v>
      </c>
      <c r="AN38" s="2">
        <v>106</v>
      </c>
      <c r="AO38" s="2">
        <v>-1</v>
      </c>
      <c r="AP38" s="2">
        <v>-1</v>
      </c>
      <c r="AQ38">
        <v>-1</v>
      </c>
      <c r="AR38" s="2">
        <v>9101</v>
      </c>
      <c r="AS38" s="2">
        <v>9102</v>
      </c>
      <c r="AT38" s="2">
        <v>9103</v>
      </c>
      <c r="AU38" s="2">
        <v>9104</v>
      </c>
      <c r="AV38" s="2">
        <v>9105</v>
      </c>
      <c r="AW38" s="2">
        <v>9119</v>
      </c>
      <c r="AX38" s="2">
        <v>9120</v>
      </c>
      <c r="AY38" s="2">
        <v>9121</v>
      </c>
      <c r="AZ38" s="2">
        <v>9122</v>
      </c>
      <c r="BA38" s="2">
        <v>9123</v>
      </c>
      <c r="BB38" s="2">
        <v>9124</v>
      </c>
      <c r="BC38" s="2">
        <v>9125</v>
      </c>
      <c r="BD38" s="2">
        <v>9126</v>
      </c>
      <c r="BE38" s="2">
        <v>9127</v>
      </c>
      <c r="BF38" s="2">
        <v>-1</v>
      </c>
      <c r="BG38" s="2">
        <v>-1</v>
      </c>
      <c r="BH38" s="2">
        <v>-1</v>
      </c>
      <c r="BI38" s="2">
        <v>-1</v>
      </c>
      <c r="BJ38" s="2">
        <v>-1</v>
      </c>
      <c r="BK38" s="2">
        <v>7.1428571428569995E-2</v>
      </c>
      <c r="BL38" s="2">
        <v>7.1428571428569995E-2</v>
      </c>
      <c r="BM38" s="2">
        <v>7.1428571428569995E-2</v>
      </c>
      <c r="BN38" s="2">
        <v>7.1428571428569995E-2</v>
      </c>
      <c r="BO38" s="2">
        <v>7.1428571428569995E-2</v>
      </c>
      <c r="BP38" s="2">
        <v>7.1428571428569995E-2</v>
      </c>
      <c r="BQ38" s="2">
        <v>7.1428571428569995E-2</v>
      </c>
      <c r="BR38" s="2">
        <v>7.1428571428569995E-2</v>
      </c>
      <c r="BS38" s="2">
        <v>7.1428571428569995E-2</v>
      </c>
      <c r="BT38" s="2">
        <v>7.1428571428569995E-2</v>
      </c>
      <c r="BU38" s="2">
        <v>7.1428571428569995E-2</v>
      </c>
      <c r="BV38" s="2">
        <v>7.1428571428569995E-2</v>
      </c>
      <c r="BW38" s="2">
        <v>7.1428571428569995E-2</v>
      </c>
      <c r="BX38" s="2">
        <v>7.1428571428569995E-2</v>
      </c>
      <c r="BY38" s="2">
        <v>-1</v>
      </c>
      <c r="BZ38" s="2">
        <v>-1</v>
      </c>
      <c r="CA38" s="2">
        <v>-1</v>
      </c>
      <c r="CB38" s="2">
        <v>-1</v>
      </c>
      <c r="CC38" s="2">
        <v>-1</v>
      </c>
      <c r="CD38">
        <v>1</v>
      </c>
      <c r="CE38">
        <v>3</v>
      </c>
      <c r="CF38">
        <v>120</v>
      </c>
      <c r="CG38">
        <v>25</v>
      </c>
      <c r="CH38">
        <v>45</v>
      </c>
      <c r="CI38">
        <v>7</v>
      </c>
      <c r="CJ38">
        <v>14</v>
      </c>
      <c r="CK38">
        <v>0</v>
      </c>
      <c r="CL38">
        <v>0</v>
      </c>
      <c r="CM38">
        <v>-1</v>
      </c>
      <c r="CN38">
        <v>0</v>
      </c>
    </row>
    <row r="39" spans="1:92" x14ac:dyDescent="0.25">
      <c r="A39">
        <v>37</v>
      </c>
      <c r="B39" t="s">
        <v>1972</v>
      </c>
      <c r="C39" t="s">
        <v>1980</v>
      </c>
      <c r="D39">
        <v>3045</v>
      </c>
      <c r="E39">
        <v>25</v>
      </c>
      <c r="F39">
        <v>25</v>
      </c>
      <c r="G39" t="s">
        <v>1356</v>
      </c>
      <c r="H39">
        <v>28</v>
      </c>
      <c r="I39">
        <v>28</v>
      </c>
      <c r="J39">
        <v>3</v>
      </c>
      <c r="K39">
        <v>3</v>
      </c>
      <c r="L39">
        <v>3</v>
      </c>
      <c r="M39">
        <v>0</v>
      </c>
      <c r="N39">
        <v>-10</v>
      </c>
      <c r="O39" t="s">
        <v>1356</v>
      </c>
      <c r="P39">
        <v>28</v>
      </c>
      <c r="Q39">
        <v>28</v>
      </c>
      <c r="R39">
        <v>3</v>
      </c>
      <c r="S39">
        <v>3</v>
      </c>
      <c r="T39">
        <v>3</v>
      </c>
      <c r="U39">
        <v>0</v>
      </c>
      <c r="V39">
        <v>-10</v>
      </c>
      <c r="W39" t="s">
        <v>1353</v>
      </c>
      <c r="X39">
        <v>0</v>
      </c>
      <c r="Y39">
        <v>270</v>
      </c>
      <c r="Z39">
        <v>16</v>
      </c>
      <c r="AA39">
        <v>16</v>
      </c>
      <c r="AB39">
        <v>0</v>
      </c>
      <c r="AC39">
        <v>0</v>
      </c>
      <c r="AD39">
        <v>40</v>
      </c>
      <c r="AE39">
        <v>40</v>
      </c>
      <c r="AF39">
        <v>20</v>
      </c>
      <c r="AG39">
        <v>1</v>
      </c>
      <c r="AH39">
        <v>30</v>
      </c>
      <c r="AI39">
        <v>5</v>
      </c>
      <c r="AJ39" t="s">
        <v>1976</v>
      </c>
      <c r="AK39">
        <v>-1</v>
      </c>
      <c r="AL39">
        <v>-1</v>
      </c>
      <c r="AM39" s="2">
        <v>103</v>
      </c>
      <c r="AN39" s="2">
        <v>104</v>
      </c>
      <c r="AO39" s="2">
        <v>105</v>
      </c>
      <c r="AP39" s="2">
        <v>106</v>
      </c>
      <c r="AQ39">
        <v>-1</v>
      </c>
      <c r="AR39" s="2">
        <v>9100</v>
      </c>
      <c r="AS39" s="2">
        <v>9101</v>
      </c>
      <c r="AT39" s="2">
        <v>9102</v>
      </c>
      <c r="AU39" s="2">
        <v>9103</v>
      </c>
      <c r="AV39" s="2">
        <v>9104</v>
      </c>
      <c r="AW39" s="2">
        <v>9105</v>
      </c>
      <c r="AX39" s="2">
        <v>9119</v>
      </c>
      <c r="AY39" s="2">
        <v>9120</v>
      </c>
      <c r="AZ39" s="2">
        <v>9121</v>
      </c>
      <c r="BA39" s="2">
        <v>9122</v>
      </c>
      <c r="BB39" s="2">
        <v>9123</v>
      </c>
      <c r="BC39" s="2">
        <v>9124</v>
      </c>
      <c r="BD39" s="2">
        <v>9125</v>
      </c>
      <c r="BE39" s="2">
        <v>9126</v>
      </c>
      <c r="BF39" s="2">
        <v>9127</v>
      </c>
      <c r="BG39" s="2">
        <v>-1</v>
      </c>
      <c r="BH39" s="2">
        <v>-1</v>
      </c>
      <c r="BI39" s="2">
        <v>-1</v>
      </c>
      <c r="BJ39" s="2">
        <v>-1</v>
      </c>
      <c r="BK39" s="2">
        <v>6.6666666666669996E-2</v>
      </c>
      <c r="BL39" s="2">
        <v>6.6666666666669996E-2</v>
      </c>
      <c r="BM39" s="2">
        <v>6.6666666666669996E-2</v>
      </c>
      <c r="BN39" s="2">
        <v>6.6666666666669996E-2</v>
      </c>
      <c r="BO39" s="2">
        <v>6.6666666666669996E-2</v>
      </c>
      <c r="BP39" s="2">
        <v>6.6666666666669996E-2</v>
      </c>
      <c r="BQ39" s="2">
        <v>6.6666666666669996E-2</v>
      </c>
      <c r="BR39" s="2">
        <v>6.6666666666669996E-2</v>
      </c>
      <c r="BS39" s="2">
        <v>6.6666666666669996E-2</v>
      </c>
      <c r="BT39" s="2">
        <v>6.6666666666669996E-2</v>
      </c>
      <c r="BU39" s="2">
        <v>6.6666666666669996E-2</v>
      </c>
      <c r="BV39" s="2">
        <v>6.6666666666669996E-2</v>
      </c>
      <c r="BW39" s="2">
        <v>6.6666666666669996E-2</v>
      </c>
      <c r="BX39" s="2">
        <v>6.6666666666669996E-2</v>
      </c>
      <c r="BY39" s="2">
        <v>6.6666666666669996E-2</v>
      </c>
      <c r="BZ39" s="2">
        <v>-1</v>
      </c>
      <c r="CA39" s="2">
        <v>-1</v>
      </c>
      <c r="CB39" s="2">
        <v>-1</v>
      </c>
      <c r="CC39" s="2">
        <v>-1</v>
      </c>
      <c r="CD39">
        <v>1</v>
      </c>
      <c r="CE39">
        <v>3</v>
      </c>
      <c r="CF39">
        <v>120</v>
      </c>
      <c r="CG39">
        <v>25</v>
      </c>
      <c r="CH39">
        <v>45</v>
      </c>
      <c r="CI39">
        <v>7</v>
      </c>
      <c r="CJ39">
        <v>14</v>
      </c>
      <c r="CK39">
        <v>0</v>
      </c>
      <c r="CL39">
        <v>0</v>
      </c>
      <c r="CM39">
        <v>-1</v>
      </c>
      <c r="CN39">
        <v>0</v>
      </c>
    </row>
    <row r="40" spans="1:92" x14ac:dyDescent="0.25">
      <c r="A40">
        <v>38</v>
      </c>
      <c r="B40" t="s">
        <v>1972</v>
      </c>
      <c r="C40" t="s">
        <v>1977</v>
      </c>
      <c r="D40">
        <v>3046</v>
      </c>
      <c r="E40">
        <v>25</v>
      </c>
      <c r="F40">
        <v>25</v>
      </c>
      <c r="G40" t="s">
        <v>1356</v>
      </c>
      <c r="H40">
        <v>28</v>
      </c>
      <c r="I40">
        <v>28</v>
      </c>
      <c r="J40">
        <v>3</v>
      </c>
      <c r="K40">
        <v>3</v>
      </c>
      <c r="L40">
        <v>3</v>
      </c>
      <c r="M40">
        <v>0</v>
      </c>
      <c r="N40">
        <v>-10</v>
      </c>
      <c r="O40" t="s">
        <v>1356</v>
      </c>
      <c r="P40">
        <v>28</v>
      </c>
      <c r="Q40">
        <v>28</v>
      </c>
      <c r="R40">
        <v>3</v>
      </c>
      <c r="S40">
        <v>3</v>
      </c>
      <c r="T40">
        <v>3</v>
      </c>
      <c r="U40">
        <v>0</v>
      </c>
      <c r="V40">
        <v>-10</v>
      </c>
      <c r="W40" t="s">
        <v>1353</v>
      </c>
      <c r="X40">
        <v>0</v>
      </c>
      <c r="Y40">
        <v>270</v>
      </c>
      <c r="Z40">
        <v>16</v>
      </c>
      <c r="AA40">
        <v>16</v>
      </c>
      <c r="AB40">
        <v>0</v>
      </c>
      <c r="AC40">
        <v>0</v>
      </c>
      <c r="AD40">
        <v>40</v>
      </c>
      <c r="AE40">
        <v>40</v>
      </c>
      <c r="AF40">
        <v>20</v>
      </c>
      <c r="AG40">
        <v>1</v>
      </c>
      <c r="AH40">
        <v>30</v>
      </c>
      <c r="AI40">
        <v>5</v>
      </c>
      <c r="AJ40" t="s">
        <v>1976</v>
      </c>
      <c r="AK40">
        <v>-1</v>
      </c>
      <c r="AL40">
        <v>-1</v>
      </c>
      <c r="AM40" s="2">
        <v>103</v>
      </c>
      <c r="AN40" s="2">
        <v>104</v>
      </c>
      <c r="AO40" s="2">
        <v>105</v>
      </c>
      <c r="AP40" s="2">
        <v>106</v>
      </c>
      <c r="AQ40">
        <v>-1</v>
      </c>
      <c r="AR40" s="2">
        <v>9100</v>
      </c>
      <c r="AS40" s="2">
        <v>9101</v>
      </c>
      <c r="AT40" s="2">
        <v>9102</v>
      </c>
      <c r="AU40" s="2">
        <v>9103</v>
      </c>
      <c r="AV40" s="2">
        <v>9104</v>
      </c>
      <c r="AW40" s="2">
        <v>9105</v>
      </c>
      <c r="AX40" s="2">
        <v>9119</v>
      </c>
      <c r="AY40" s="2">
        <v>9120</v>
      </c>
      <c r="AZ40" s="2">
        <v>9121</v>
      </c>
      <c r="BA40" s="2">
        <v>9122</v>
      </c>
      <c r="BB40" s="2">
        <v>9123</v>
      </c>
      <c r="BC40" s="2">
        <v>9124</v>
      </c>
      <c r="BD40" s="2">
        <v>9125</v>
      </c>
      <c r="BE40" s="2">
        <v>9126</v>
      </c>
      <c r="BF40" s="2">
        <v>9127</v>
      </c>
      <c r="BG40" s="2">
        <v>-1</v>
      </c>
      <c r="BH40" s="2">
        <v>-1</v>
      </c>
      <c r="BI40" s="2">
        <v>-1</v>
      </c>
      <c r="BJ40" s="2">
        <v>-1</v>
      </c>
      <c r="BK40" s="2">
        <v>6.6666666666669996E-2</v>
      </c>
      <c r="BL40" s="2">
        <v>6.6666666666669996E-2</v>
      </c>
      <c r="BM40" s="2">
        <v>6.6666666666669996E-2</v>
      </c>
      <c r="BN40" s="2">
        <v>6.6666666666669996E-2</v>
      </c>
      <c r="BO40" s="2">
        <v>6.6666666666669996E-2</v>
      </c>
      <c r="BP40" s="2">
        <v>6.6666666666669996E-2</v>
      </c>
      <c r="BQ40" s="2">
        <v>6.6666666666669996E-2</v>
      </c>
      <c r="BR40" s="2">
        <v>6.6666666666669996E-2</v>
      </c>
      <c r="BS40" s="2">
        <v>6.6666666666669996E-2</v>
      </c>
      <c r="BT40" s="2">
        <v>6.6666666666669996E-2</v>
      </c>
      <c r="BU40" s="2">
        <v>6.6666666666669996E-2</v>
      </c>
      <c r="BV40" s="2">
        <v>6.6666666666669996E-2</v>
      </c>
      <c r="BW40" s="2">
        <v>6.6666666666669996E-2</v>
      </c>
      <c r="BX40" s="2">
        <v>6.6666666666669996E-2</v>
      </c>
      <c r="BY40" s="2">
        <v>6.6666666666669996E-2</v>
      </c>
      <c r="BZ40" s="2">
        <v>-1</v>
      </c>
      <c r="CA40" s="2">
        <v>-1</v>
      </c>
      <c r="CB40" s="2">
        <v>-1</v>
      </c>
      <c r="CC40" s="2">
        <v>-1</v>
      </c>
      <c r="CD40">
        <v>1</v>
      </c>
      <c r="CE40">
        <v>3</v>
      </c>
      <c r="CF40">
        <v>120</v>
      </c>
      <c r="CG40">
        <v>25</v>
      </c>
      <c r="CH40">
        <v>45</v>
      </c>
      <c r="CI40">
        <v>7</v>
      </c>
      <c r="CJ40">
        <v>14</v>
      </c>
      <c r="CK40">
        <v>0</v>
      </c>
      <c r="CL40">
        <v>0</v>
      </c>
      <c r="CM40">
        <v>-1</v>
      </c>
      <c r="CN40">
        <v>0</v>
      </c>
    </row>
    <row r="41" spans="1:92" x14ac:dyDescent="0.25">
      <c r="A41">
        <v>39</v>
      </c>
      <c r="B41" t="s">
        <v>1972</v>
      </c>
      <c r="C41" t="s">
        <v>1977</v>
      </c>
      <c r="D41">
        <v>3047</v>
      </c>
      <c r="E41">
        <v>25</v>
      </c>
      <c r="F41">
        <v>25</v>
      </c>
      <c r="G41" t="s">
        <v>1356</v>
      </c>
      <c r="H41">
        <v>28</v>
      </c>
      <c r="I41">
        <v>28</v>
      </c>
      <c r="J41">
        <v>3</v>
      </c>
      <c r="K41">
        <v>3</v>
      </c>
      <c r="L41">
        <v>3</v>
      </c>
      <c r="M41">
        <v>0</v>
      </c>
      <c r="N41">
        <v>-10</v>
      </c>
      <c r="O41" t="s">
        <v>1356</v>
      </c>
      <c r="P41">
        <v>28</v>
      </c>
      <c r="Q41">
        <v>28</v>
      </c>
      <c r="R41">
        <v>3</v>
      </c>
      <c r="S41">
        <v>3</v>
      </c>
      <c r="T41">
        <v>3</v>
      </c>
      <c r="U41">
        <v>0</v>
      </c>
      <c r="V41">
        <v>-10</v>
      </c>
      <c r="W41" t="s">
        <v>1353</v>
      </c>
      <c r="X41">
        <v>0</v>
      </c>
      <c r="Y41">
        <v>270</v>
      </c>
      <c r="Z41">
        <v>16</v>
      </c>
      <c r="AA41">
        <v>16</v>
      </c>
      <c r="AB41">
        <v>0</v>
      </c>
      <c r="AC41">
        <v>0</v>
      </c>
      <c r="AD41">
        <v>40</v>
      </c>
      <c r="AE41">
        <v>40</v>
      </c>
      <c r="AF41">
        <v>20</v>
      </c>
      <c r="AG41">
        <v>1</v>
      </c>
      <c r="AH41">
        <v>30</v>
      </c>
      <c r="AI41">
        <v>5</v>
      </c>
      <c r="AJ41" t="s">
        <v>1976</v>
      </c>
      <c r="AK41">
        <v>-1</v>
      </c>
      <c r="AL41">
        <v>-1</v>
      </c>
      <c r="AM41" s="2">
        <v>103</v>
      </c>
      <c r="AN41" s="2">
        <v>104</v>
      </c>
      <c r="AO41" s="2">
        <v>105</v>
      </c>
      <c r="AP41" s="2">
        <v>106</v>
      </c>
      <c r="AQ41">
        <v>-1</v>
      </c>
      <c r="AR41" s="2">
        <v>9100</v>
      </c>
      <c r="AS41" s="2">
        <v>9101</v>
      </c>
      <c r="AT41" s="2">
        <v>9102</v>
      </c>
      <c r="AU41" s="2">
        <v>9103</v>
      </c>
      <c r="AV41" s="2">
        <v>9104</v>
      </c>
      <c r="AW41" s="2">
        <v>9105</v>
      </c>
      <c r="AX41" s="2">
        <v>9119</v>
      </c>
      <c r="AY41" s="2">
        <v>9120</v>
      </c>
      <c r="AZ41" s="2">
        <v>9121</v>
      </c>
      <c r="BA41" s="2">
        <v>9122</v>
      </c>
      <c r="BB41" s="2">
        <v>9123</v>
      </c>
      <c r="BC41" s="2">
        <v>9124</v>
      </c>
      <c r="BD41" s="2">
        <v>9125</v>
      </c>
      <c r="BE41" s="2">
        <v>9126</v>
      </c>
      <c r="BF41" s="2">
        <v>9127</v>
      </c>
      <c r="BG41" s="2">
        <v>-1</v>
      </c>
      <c r="BH41" s="2">
        <v>-1</v>
      </c>
      <c r="BI41" s="2">
        <v>-1</v>
      </c>
      <c r="BJ41" s="2">
        <v>-1</v>
      </c>
      <c r="BK41" s="2">
        <v>6.6666666666669996E-2</v>
      </c>
      <c r="BL41" s="2">
        <v>6.6666666666669996E-2</v>
      </c>
      <c r="BM41" s="2">
        <v>6.6666666666669996E-2</v>
      </c>
      <c r="BN41" s="2">
        <v>6.6666666666669996E-2</v>
      </c>
      <c r="BO41" s="2">
        <v>6.6666666666669996E-2</v>
      </c>
      <c r="BP41" s="2">
        <v>6.6666666666669996E-2</v>
      </c>
      <c r="BQ41" s="2">
        <v>6.6666666666669996E-2</v>
      </c>
      <c r="BR41" s="2">
        <v>6.6666666666669996E-2</v>
      </c>
      <c r="BS41" s="2">
        <v>6.6666666666669996E-2</v>
      </c>
      <c r="BT41" s="2">
        <v>6.6666666666669996E-2</v>
      </c>
      <c r="BU41" s="2">
        <v>6.6666666666669996E-2</v>
      </c>
      <c r="BV41" s="2">
        <v>6.6666666666669996E-2</v>
      </c>
      <c r="BW41" s="2">
        <v>6.6666666666669996E-2</v>
      </c>
      <c r="BX41" s="2">
        <v>6.6666666666669996E-2</v>
      </c>
      <c r="BY41" s="2">
        <v>6.6666666666669996E-2</v>
      </c>
      <c r="BZ41" s="2">
        <v>-1</v>
      </c>
      <c r="CA41" s="2">
        <v>-1</v>
      </c>
      <c r="CB41" s="2">
        <v>-1</v>
      </c>
      <c r="CC41" s="2">
        <v>-1</v>
      </c>
      <c r="CD41">
        <v>1</v>
      </c>
      <c r="CE41">
        <v>3</v>
      </c>
      <c r="CF41">
        <v>120</v>
      </c>
      <c r="CG41">
        <v>25</v>
      </c>
      <c r="CH41">
        <v>45</v>
      </c>
      <c r="CI41">
        <v>7</v>
      </c>
      <c r="CJ41">
        <v>14</v>
      </c>
      <c r="CK41">
        <v>0</v>
      </c>
      <c r="CL41">
        <v>0</v>
      </c>
      <c r="CM41">
        <v>-1</v>
      </c>
      <c r="CN41">
        <v>0</v>
      </c>
    </row>
    <row r="42" spans="1:92" x14ac:dyDescent="0.25">
      <c r="A42">
        <v>40</v>
      </c>
      <c r="B42" t="s">
        <v>1972</v>
      </c>
      <c r="C42" t="s">
        <v>1977</v>
      </c>
      <c r="D42">
        <v>3048</v>
      </c>
      <c r="E42">
        <v>25</v>
      </c>
      <c r="F42">
        <v>25</v>
      </c>
      <c r="G42" t="s">
        <v>1356</v>
      </c>
      <c r="H42">
        <v>28</v>
      </c>
      <c r="I42">
        <v>28</v>
      </c>
      <c r="J42">
        <v>3</v>
      </c>
      <c r="K42">
        <v>3</v>
      </c>
      <c r="L42">
        <v>3</v>
      </c>
      <c r="M42">
        <v>0</v>
      </c>
      <c r="N42">
        <v>-10</v>
      </c>
      <c r="O42" t="s">
        <v>1356</v>
      </c>
      <c r="P42">
        <v>28</v>
      </c>
      <c r="Q42">
        <v>28</v>
      </c>
      <c r="R42">
        <v>3</v>
      </c>
      <c r="S42">
        <v>3</v>
      </c>
      <c r="T42">
        <v>3</v>
      </c>
      <c r="U42">
        <v>0</v>
      </c>
      <c r="V42">
        <v>-10</v>
      </c>
      <c r="W42" t="s">
        <v>1353</v>
      </c>
      <c r="X42">
        <v>0</v>
      </c>
      <c r="Y42">
        <v>270</v>
      </c>
      <c r="Z42">
        <v>16</v>
      </c>
      <c r="AA42">
        <v>16</v>
      </c>
      <c r="AB42">
        <v>0</v>
      </c>
      <c r="AC42">
        <v>0</v>
      </c>
      <c r="AD42">
        <v>40</v>
      </c>
      <c r="AE42">
        <v>40</v>
      </c>
      <c r="AF42">
        <v>20</v>
      </c>
      <c r="AG42">
        <v>1</v>
      </c>
      <c r="AH42">
        <v>30</v>
      </c>
      <c r="AI42">
        <v>5</v>
      </c>
      <c r="AJ42" t="s">
        <v>1976</v>
      </c>
      <c r="AK42">
        <v>-1</v>
      </c>
      <c r="AL42">
        <v>-1</v>
      </c>
      <c r="AM42" s="2">
        <v>103</v>
      </c>
      <c r="AN42" s="2">
        <v>104</v>
      </c>
      <c r="AO42" s="2">
        <v>105</v>
      </c>
      <c r="AP42" s="2">
        <v>106</v>
      </c>
      <c r="AQ42">
        <v>-1</v>
      </c>
      <c r="AR42" s="2">
        <v>9100</v>
      </c>
      <c r="AS42" s="2">
        <v>9101</v>
      </c>
      <c r="AT42" s="2">
        <v>9102</v>
      </c>
      <c r="AU42" s="2">
        <v>9103</v>
      </c>
      <c r="AV42" s="2">
        <v>9104</v>
      </c>
      <c r="AW42" s="2">
        <v>9105</v>
      </c>
      <c r="AX42" s="2">
        <v>9119</v>
      </c>
      <c r="AY42" s="2">
        <v>9120</v>
      </c>
      <c r="AZ42" s="2">
        <v>9121</v>
      </c>
      <c r="BA42" s="2">
        <v>9122</v>
      </c>
      <c r="BB42" s="2">
        <v>9123</v>
      </c>
      <c r="BC42" s="2">
        <v>9124</v>
      </c>
      <c r="BD42" s="2">
        <v>9125</v>
      </c>
      <c r="BE42" s="2">
        <v>9126</v>
      </c>
      <c r="BF42" s="2">
        <v>9127</v>
      </c>
      <c r="BG42" s="2">
        <v>-1</v>
      </c>
      <c r="BH42" s="2">
        <v>-1</v>
      </c>
      <c r="BI42" s="2">
        <v>-1</v>
      </c>
      <c r="BJ42" s="2">
        <v>-1</v>
      </c>
      <c r="BK42" s="2">
        <v>6.6666666666669996E-2</v>
      </c>
      <c r="BL42" s="2">
        <v>6.6666666666669996E-2</v>
      </c>
      <c r="BM42" s="2">
        <v>6.6666666666669996E-2</v>
      </c>
      <c r="BN42" s="2">
        <v>6.6666666666669996E-2</v>
      </c>
      <c r="BO42" s="2">
        <v>6.6666666666669996E-2</v>
      </c>
      <c r="BP42" s="2">
        <v>6.6666666666669996E-2</v>
      </c>
      <c r="BQ42" s="2">
        <v>6.6666666666669996E-2</v>
      </c>
      <c r="BR42" s="2">
        <v>6.6666666666669996E-2</v>
      </c>
      <c r="BS42" s="2">
        <v>6.6666666666669996E-2</v>
      </c>
      <c r="BT42" s="2">
        <v>6.6666666666669996E-2</v>
      </c>
      <c r="BU42" s="2">
        <v>6.6666666666669996E-2</v>
      </c>
      <c r="BV42" s="2">
        <v>6.6666666666669996E-2</v>
      </c>
      <c r="BW42" s="2">
        <v>6.6666666666669996E-2</v>
      </c>
      <c r="BX42" s="2">
        <v>6.6666666666669996E-2</v>
      </c>
      <c r="BY42" s="2">
        <v>6.6666666666669996E-2</v>
      </c>
      <c r="BZ42" s="2">
        <v>-1</v>
      </c>
      <c r="CA42" s="2">
        <v>-1</v>
      </c>
      <c r="CB42" s="2">
        <v>-1</v>
      </c>
      <c r="CC42" s="2">
        <v>-1</v>
      </c>
      <c r="CD42">
        <v>1</v>
      </c>
      <c r="CE42">
        <v>3</v>
      </c>
      <c r="CF42">
        <v>120</v>
      </c>
      <c r="CG42">
        <v>25</v>
      </c>
      <c r="CH42">
        <v>45</v>
      </c>
      <c r="CI42">
        <v>7</v>
      </c>
      <c r="CJ42">
        <v>14</v>
      </c>
      <c r="CK42">
        <v>0</v>
      </c>
      <c r="CL42">
        <v>0</v>
      </c>
      <c r="CM42">
        <v>-1</v>
      </c>
      <c r="CN42">
        <v>0</v>
      </c>
    </row>
    <row r="43" spans="1:92" x14ac:dyDescent="0.25">
      <c r="A43">
        <v>41</v>
      </c>
      <c r="B43" t="s">
        <v>1972</v>
      </c>
      <c r="C43" t="s">
        <v>1977</v>
      </c>
      <c r="D43">
        <v>3050</v>
      </c>
      <c r="E43">
        <v>25</v>
      </c>
      <c r="F43">
        <v>25</v>
      </c>
      <c r="G43" t="s">
        <v>1356</v>
      </c>
      <c r="H43">
        <v>28</v>
      </c>
      <c r="I43">
        <v>28</v>
      </c>
      <c r="J43">
        <v>3</v>
      </c>
      <c r="K43">
        <v>3</v>
      </c>
      <c r="L43">
        <v>3</v>
      </c>
      <c r="M43">
        <v>0</v>
      </c>
      <c r="N43">
        <v>-10</v>
      </c>
      <c r="O43" t="s">
        <v>1356</v>
      </c>
      <c r="P43">
        <v>28</v>
      </c>
      <c r="Q43">
        <v>28</v>
      </c>
      <c r="R43">
        <v>3</v>
      </c>
      <c r="S43">
        <v>3</v>
      </c>
      <c r="T43">
        <v>3</v>
      </c>
      <c r="U43">
        <v>0</v>
      </c>
      <c r="V43">
        <v>-10</v>
      </c>
      <c r="W43" t="s">
        <v>1353</v>
      </c>
      <c r="X43">
        <v>0</v>
      </c>
      <c r="Y43">
        <v>270</v>
      </c>
      <c r="Z43">
        <v>16</v>
      </c>
      <c r="AA43">
        <v>16</v>
      </c>
      <c r="AB43">
        <v>0</v>
      </c>
      <c r="AC43">
        <v>0</v>
      </c>
      <c r="AD43">
        <v>40</v>
      </c>
      <c r="AE43">
        <v>40</v>
      </c>
      <c r="AF43">
        <v>20</v>
      </c>
      <c r="AG43">
        <v>1</v>
      </c>
      <c r="AH43">
        <v>30</v>
      </c>
      <c r="AI43">
        <v>5</v>
      </c>
      <c r="AJ43" t="s">
        <v>1976</v>
      </c>
      <c r="AK43">
        <v>-1</v>
      </c>
      <c r="AL43">
        <v>-1</v>
      </c>
      <c r="AM43" s="2">
        <v>103</v>
      </c>
      <c r="AN43" s="2">
        <v>104</v>
      </c>
      <c r="AO43" s="2">
        <v>105</v>
      </c>
      <c r="AP43" s="2">
        <v>106</v>
      </c>
      <c r="AQ43">
        <v>-1</v>
      </c>
      <c r="AR43" s="2">
        <v>9100</v>
      </c>
      <c r="AS43" s="2">
        <v>9101</v>
      </c>
      <c r="AT43" s="2">
        <v>9102</v>
      </c>
      <c r="AU43" s="2">
        <v>9103</v>
      </c>
      <c r="AV43" s="2">
        <v>9104</v>
      </c>
      <c r="AW43" s="2">
        <v>9105</v>
      </c>
      <c r="AX43" s="2">
        <v>9119</v>
      </c>
      <c r="AY43" s="2">
        <v>9120</v>
      </c>
      <c r="AZ43" s="2">
        <v>9121</v>
      </c>
      <c r="BA43" s="2">
        <v>9122</v>
      </c>
      <c r="BB43" s="2">
        <v>9123</v>
      </c>
      <c r="BC43" s="2">
        <v>9124</v>
      </c>
      <c r="BD43" s="2">
        <v>9125</v>
      </c>
      <c r="BE43" s="2">
        <v>9126</v>
      </c>
      <c r="BF43" s="2">
        <v>9127</v>
      </c>
      <c r="BG43" s="2">
        <v>-1</v>
      </c>
      <c r="BH43" s="2">
        <v>-1</v>
      </c>
      <c r="BI43" s="2">
        <v>-1</v>
      </c>
      <c r="BJ43" s="2">
        <v>-1</v>
      </c>
      <c r="BK43" s="2">
        <v>6.6666666666669996E-2</v>
      </c>
      <c r="BL43" s="2">
        <v>6.6666666666669996E-2</v>
      </c>
      <c r="BM43" s="2">
        <v>6.6666666666669996E-2</v>
      </c>
      <c r="BN43" s="2">
        <v>6.6666666666669996E-2</v>
      </c>
      <c r="BO43" s="2">
        <v>6.6666666666669996E-2</v>
      </c>
      <c r="BP43" s="2">
        <v>6.6666666666669996E-2</v>
      </c>
      <c r="BQ43" s="2">
        <v>6.6666666666669996E-2</v>
      </c>
      <c r="BR43" s="2">
        <v>6.6666666666669996E-2</v>
      </c>
      <c r="BS43" s="2">
        <v>6.6666666666669996E-2</v>
      </c>
      <c r="BT43" s="2">
        <v>6.6666666666669996E-2</v>
      </c>
      <c r="BU43" s="2">
        <v>6.6666666666669996E-2</v>
      </c>
      <c r="BV43" s="2">
        <v>6.6666666666669996E-2</v>
      </c>
      <c r="BW43" s="2">
        <v>6.6666666666669996E-2</v>
      </c>
      <c r="BX43" s="2">
        <v>6.6666666666669996E-2</v>
      </c>
      <c r="BY43" s="2">
        <v>6.6666666666669996E-2</v>
      </c>
      <c r="BZ43" s="2">
        <v>-1</v>
      </c>
      <c r="CA43" s="2">
        <v>-1</v>
      </c>
      <c r="CB43" s="2">
        <v>-1</v>
      </c>
      <c r="CC43" s="2">
        <v>-1</v>
      </c>
      <c r="CD43">
        <v>1</v>
      </c>
      <c r="CE43">
        <v>3</v>
      </c>
      <c r="CF43">
        <v>120</v>
      </c>
      <c r="CG43">
        <v>25</v>
      </c>
      <c r="CH43">
        <v>45</v>
      </c>
      <c r="CI43">
        <v>7</v>
      </c>
      <c r="CJ43">
        <v>14</v>
      </c>
      <c r="CK43">
        <v>0</v>
      </c>
      <c r="CL43">
        <v>0</v>
      </c>
      <c r="CM43">
        <v>-1</v>
      </c>
      <c r="CN43">
        <v>0</v>
      </c>
    </row>
    <row r="44" spans="1:92" x14ac:dyDescent="0.25">
      <c r="A44">
        <v>42</v>
      </c>
      <c r="B44" t="s">
        <v>1972</v>
      </c>
      <c r="C44" t="s">
        <v>1975</v>
      </c>
      <c r="D44">
        <v>30201</v>
      </c>
      <c r="E44">
        <v>25</v>
      </c>
      <c r="F44">
        <v>25</v>
      </c>
      <c r="G44" t="s">
        <v>1356</v>
      </c>
      <c r="H44">
        <v>28</v>
      </c>
      <c r="I44">
        <v>28</v>
      </c>
      <c r="J44">
        <v>3</v>
      </c>
      <c r="K44">
        <v>3</v>
      </c>
      <c r="L44">
        <v>3</v>
      </c>
      <c r="M44">
        <v>0</v>
      </c>
      <c r="N44">
        <v>-10</v>
      </c>
      <c r="O44" t="s">
        <v>1356</v>
      </c>
      <c r="P44">
        <v>28</v>
      </c>
      <c r="Q44">
        <v>28</v>
      </c>
      <c r="R44">
        <v>3</v>
      </c>
      <c r="S44">
        <v>3</v>
      </c>
      <c r="T44">
        <v>3</v>
      </c>
      <c r="U44">
        <v>0</v>
      </c>
      <c r="V44">
        <v>-10</v>
      </c>
      <c r="W44" t="s">
        <v>1353</v>
      </c>
      <c r="X44">
        <v>0</v>
      </c>
      <c r="Y44">
        <v>245</v>
      </c>
      <c r="Z44">
        <v>16</v>
      </c>
      <c r="AA44">
        <v>16</v>
      </c>
      <c r="AB44">
        <v>0</v>
      </c>
      <c r="AC44">
        <v>0</v>
      </c>
      <c r="AD44">
        <v>40</v>
      </c>
      <c r="AE44">
        <v>40</v>
      </c>
      <c r="AF44">
        <v>11</v>
      </c>
      <c r="AG44">
        <v>0</v>
      </c>
      <c r="AH44">
        <v>-1</v>
      </c>
      <c r="AI44">
        <v>5</v>
      </c>
      <c r="AJ44" t="s">
        <v>1976</v>
      </c>
      <c r="AK44">
        <v>-1</v>
      </c>
      <c r="AL44">
        <v>-1</v>
      </c>
      <c r="AM44" s="2">
        <v>1</v>
      </c>
      <c r="AN44" s="2">
        <v>17</v>
      </c>
      <c r="AO44" s="2">
        <v>107</v>
      </c>
      <c r="AP44" s="2">
        <v>-1</v>
      </c>
      <c r="AQ44">
        <v>-1</v>
      </c>
      <c r="AR44" s="2">
        <v>9201</v>
      </c>
      <c r="AS44" s="2">
        <v>9202</v>
      </c>
      <c r="AT44" s="2">
        <v>9203</v>
      </c>
      <c r="AU44" s="2">
        <v>9204</v>
      </c>
      <c r="AV44" s="2">
        <v>9205</v>
      </c>
      <c r="AW44" s="2">
        <v>97</v>
      </c>
      <c r="AX44" s="2">
        <v>46</v>
      </c>
      <c r="AY44" s="2">
        <v>41</v>
      </c>
      <c r="AZ44" s="2">
        <v>20004</v>
      </c>
      <c r="BA44" s="2">
        <v>30009</v>
      </c>
      <c r="BB44" s="2">
        <v>40000</v>
      </c>
      <c r="BC44" s="2">
        <v>50007</v>
      </c>
      <c r="BD44" s="2">
        <v>60017</v>
      </c>
      <c r="BE44" s="2">
        <v>70006</v>
      </c>
      <c r="BF44" s="2">
        <v>80008</v>
      </c>
      <c r="BG44" s="2">
        <v>-1</v>
      </c>
      <c r="BH44" s="2">
        <v>-1</v>
      </c>
      <c r="BI44" s="2">
        <v>-1</v>
      </c>
      <c r="BJ44" s="2">
        <v>-1</v>
      </c>
      <c r="BK44" s="2">
        <v>0.12</v>
      </c>
      <c r="BL44" s="2">
        <v>0.12</v>
      </c>
      <c r="BM44" s="2">
        <v>0.12</v>
      </c>
      <c r="BN44" s="2">
        <v>0.12</v>
      </c>
      <c r="BO44" s="2">
        <v>0.12</v>
      </c>
      <c r="BP44" s="2">
        <v>0.04</v>
      </c>
      <c r="BQ44" s="2">
        <v>0.04</v>
      </c>
      <c r="BR44" s="2">
        <v>0.04</v>
      </c>
      <c r="BS44" s="2">
        <v>0.04</v>
      </c>
      <c r="BT44" s="2">
        <v>0.04</v>
      </c>
      <c r="BU44" s="2">
        <v>0.04</v>
      </c>
      <c r="BV44" s="2">
        <v>0.04</v>
      </c>
      <c r="BW44" s="2">
        <v>0.04</v>
      </c>
      <c r="BX44" s="2">
        <v>0.04</v>
      </c>
      <c r="BY44" s="2">
        <v>0.04</v>
      </c>
      <c r="BZ44" s="2">
        <v>-1</v>
      </c>
      <c r="CA44" s="2">
        <v>-1</v>
      </c>
      <c r="CB44" s="2">
        <v>-1</v>
      </c>
      <c r="CC44" s="2">
        <v>-1</v>
      </c>
      <c r="CD44">
        <v>1</v>
      </c>
      <c r="CE44">
        <v>3</v>
      </c>
      <c r="CF44">
        <v>120</v>
      </c>
      <c r="CG44">
        <v>20</v>
      </c>
      <c r="CH44">
        <v>40</v>
      </c>
      <c r="CI44">
        <v>10</v>
      </c>
      <c r="CJ44">
        <v>20</v>
      </c>
      <c r="CK44">
        <v>1</v>
      </c>
      <c r="CL44">
        <v>0</v>
      </c>
      <c r="CM44">
        <v>-1</v>
      </c>
      <c r="CN44">
        <v>0</v>
      </c>
    </row>
    <row r="45" spans="1:92" x14ac:dyDescent="0.25">
      <c r="A45">
        <v>43</v>
      </c>
      <c r="B45" t="s">
        <v>1972</v>
      </c>
      <c r="C45" t="s">
        <v>1975</v>
      </c>
      <c r="D45">
        <v>30301</v>
      </c>
      <c r="E45">
        <v>25</v>
      </c>
      <c r="F45">
        <v>25</v>
      </c>
      <c r="G45" t="s">
        <v>1356</v>
      </c>
      <c r="H45">
        <v>28</v>
      </c>
      <c r="I45">
        <v>28</v>
      </c>
      <c r="J45">
        <v>3</v>
      </c>
      <c r="K45">
        <v>3</v>
      </c>
      <c r="L45">
        <v>3</v>
      </c>
      <c r="M45">
        <v>0</v>
      </c>
      <c r="N45">
        <v>-10</v>
      </c>
      <c r="O45" t="s">
        <v>1356</v>
      </c>
      <c r="P45">
        <v>28</v>
      </c>
      <c r="Q45">
        <v>28</v>
      </c>
      <c r="R45">
        <v>3</v>
      </c>
      <c r="S45">
        <v>3</v>
      </c>
      <c r="T45">
        <v>3</v>
      </c>
      <c r="U45">
        <v>0</v>
      </c>
      <c r="V45">
        <v>-10</v>
      </c>
      <c r="W45" t="s">
        <v>1353</v>
      </c>
      <c r="X45">
        <v>0</v>
      </c>
      <c r="Y45">
        <v>235</v>
      </c>
      <c r="Z45">
        <v>16</v>
      </c>
      <c r="AA45">
        <v>16</v>
      </c>
      <c r="AB45">
        <v>0</v>
      </c>
      <c r="AC45">
        <v>0</v>
      </c>
      <c r="AD45">
        <v>40</v>
      </c>
      <c r="AE45">
        <v>40</v>
      </c>
      <c r="AF45">
        <v>15</v>
      </c>
      <c r="AG45">
        <v>0</v>
      </c>
      <c r="AH45">
        <v>-1</v>
      </c>
      <c r="AI45">
        <v>5</v>
      </c>
      <c r="AJ45" t="s">
        <v>1976</v>
      </c>
      <c r="AK45">
        <v>-1</v>
      </c>
      <c r="AL45">
        <v>-1</v>
      </c>
      <c r="AM45" s="2">
        <v>1</v>
      </c>
      <c r="AN45" s="2">
        <v>9</v>
      </c>
      <c r="AO45" s="2">
        <v>107</v>
      </c>
      <c r="AP45" s="2">
        <v>-1</v>
      </c>
      <c r="AQ45">
        <v>-1</v>
      </c>
      <c r="AR45" s="2">
        <v>9201</v>
      </c>
      <c r="AS45" s="2">
        <v>9202</v>
      </c>
      <c r="AT45" s="2">
        <v>9203</v>
      </c>
      <c r="AU45" s="2">
        <v>9204</v>
      </c>
      <c r="AV45" s="2">
        <v>9205</v>
      </c>
      <c r="AW45" s="2">
        <v>32</v>
      </c>
      <c r="AX45" s="2">
        <v>96</v>
      </c>
      <c r="AY45" s="2">
        <v>31</v>
      </c>
      <c r="AZ45" s="2">
        <v>28</v>
      </c>
      <c r="BA45" s="2">
        <v>27</v>
      </c>
      <c r="BB45" s="2">
        <v>22</v>
      </c>
      <c r="BC45" s="2">
        <v>20004</v>
      </c>
      <c r="BD45" s="2">
        <v>60018</v>
      </c>
      <c r="BE45" s="2">
        <v>70002</v>
      </c>
      <c r="BF45" s="2">
        <v>80016</v>
      </c>
      <c r="BG45" s="2">
        <v>80002</v>
      </c>
      <c r="BH45" s="2">
        <v>80008</v>
      </c>
      <c r="BI45" s="2">
        <v>-1</v>
      </c>
      <c r="BJ45" s="2">
        <v>-1</v>
      </c>
      <c r="BK45" s="2">
        <v>0.12</v>
      </c>
      <c r="BL45" s="2">
        <v>0.12</v>
      </c>
      <c r="BM45" s="2">
        <v>0.12</v>
      </c>
      <c r="BN45" s="2">
        <v>0.12</v>
      </c>
      <c r="BO45" s="2">
        <v>0.12</v>
      </c>
      <c r="BP45" s="2">
        <v>3.3329999999999999E-2</v>
      </c>
      <c r="BQ45" s="2">
        <v>3.3329999999999999E-2</v>
      </c>
      <c r="BR45" s="2">
        <v>3.3329999999999999E-2</v>
      </c>
      <c r="BS45" s="2">
        <v>3.3329999999999999E-2</v>
      </c>
      <c r="BT45" s="2">
        <v>3.3329999999999999E-2</v>
      </c>
      <c r="BU45" s="2">
        <v>3.3329999999999999E-2</v>
      </c>
      <c r="BV45" s="2">
        <v>3.3329999999999999E-2</v>
      </c>
      <c r="BW45" s="2">
        <v>3.3329999999999999E-2</v>
      </c>
      <c r="BX45" s="2">
        <v>3.3340000000000002E-2</v>
      </c>
      <c r="BY45" s="2">
        <v>3.3340000000000002E-2</v>
      </c>
      <c r="BZ45" s="2">
        <v>3.3340000000000002E-2</v>
      </c>
      <c r="CA45" s="2">
        <v>3.3340000000000002E-2</v>
      </c>
      <c r="CB45" s="2">
        <v>-1</v>
      </c>
      <c r="CC45" s="2">
        <v>-1</v>
      </c>
      <c r="CD45">
        <v>1</v>
      </c>
      <c r="CE45">
        <v>3</v>
      </c>
      <c r="CF45">
        <v>120</v>
      </c>
      <c r="CG45">
        <v>25</v>
      </c>
      <c r="CH45">
        <v>45</v>
      </c>
      <c r="CI45">
        <v>7</v>
      </c>
      <c r="CJ45">
        <v>14</v>
      </c>
      <c r="CK45">
        <v>1</v>
      </c>
      <c r="CL45">
        <v>0</v>
      </c>
      <c r="CM45">
        <v>-1</v>
      </c>
      <c r="CN45">
        <v>0</v>
      </c>
    </row>
    <row r="46" spans="1:92" x14ac:dyDescent="0.25">
      <c r="A46">
        <v>44</v>
      </c>
      <c r="B46" t="s">
        <v>1972</v>
      </c>
      <c r="C46" t="s">
        <v>1975</v>
      </c>
      <c r="D46">
        <v>30321</v>
      </c>
      <c r="E46">
        <v>25</v>
      </c>
      <c r="F46">
        <v>25</v>
      </c>
      <c r="G46" t="s">
        <v>1356</v>
      </c>
      <c r="H46">
        <v>28</v>
      </c>
      <c r="I46">
        <v>28</v>
      </c>
      <c r="J46">
        <v>3</v>
      </c>
      <c r="K46">
        <v>3</v>
      </c>
      <c r="L46">
        <v>3</v>
      </c>
      <c r="M46">
        <v>0</v>
      </c>
      <c r="N46">
        <v>-10</v>
      </c>
      <c r="O46" t="s">
        <v>1356</v>
      </c>
      <c r="P46">
        <v>28</v>
      </c>
      <c r="Q46">
        <v>28</v>
      </c>
      <c r="R46">
        <v>3</v>
      </c>
      <c r="S46">
        <v>3</v>
      </c>
      <c r="T46">
        <v>3</v>
      </c>
      <c r="U46">
        <v>0</v>
      </c>
      <c r="V46">
        <v>-10</v>
      </c>
      <c r="W46" t="s">
        <v>1353</v>
      </c>
      <c r="X46">
        <v>0</v>
      </c>
      <c r="Y46">
        <v>235</v>
      </c>
      <c r="Z46">
        <v>16</v>
      </c>
      <c r="AA46">
        <v>16</v>
      </c>
      <c r="AB46">
        <v>0</v>
      </c>
      <c r="AC46">
        <v>0</v>
      </c>
      <c r="AD46">
        <v>40</v>
      </c>
      <c r="AE46">
        <v>40</v>
      </c>
      <c r="AF46">
        <v>13</v>
      </c>
      <c r="AG46">
        <v>0</v>
      </c>
      <c r="AH46">
        <v>-1</v>
      </c>
      <c r="AI46">
        <v>5</v>
      </c>
      <c r="AJ46" t="s">
        <v>1976</v>
      </c>
      <c r="AK46">
        <v>-1</v>
      </c>
      <c r="AL46">
        <v>-1</v>
      </c>
      <c r="AM46" s="2">
        <v>1</v>
      </c>
      <c r="AN46" s="2">
        <v>10</v>
      </c>
      <c r="AO46" s="2">
        <v>107</v>
      </c>
      <c r="AP46" s="2">
        <v>-1</v>
      </c>
      <c r="AQ46">
        <v>-1</v>
      </c>
      <c r="AR46" s="2">
        <v>9201</v>
      </c>
      <c r="AS46" s="2">
        <v>9202</v>
      </c>
      <c r="AT46" s="2">
        <v>9203</v>
      </c>
      <c r="AU46" s="2">
        <v>9204</v>
      </c>
      <c r="AV46" s="2">
        <v>9205</v>
      </c>
      <c r="AW46" s="2">
        <v>1</v>
      </c>
      <c r="AX46" s="2">
        <v>19</v>
      </c>
      <c r="AY46" s="2">
        <v>23</v>
      </c>
      <c r="AZ46" s="2">
        <v>95</v>
      </c>
      <c r="BA46" s="2">
        <v>20000</v>
      </c>
      <c r="BB46" s="2">
        <v>30004</v>
      </c>
      <c r="BC46" s="2">
        <v>40003</v>
      </c>
      <c r="BD46" s="2">
        <v>50002</v>
      </c>
      <c r="BE46" s="2">
        <v>80014</v>
      </c>
      <c r="BF46" s="2">
        <v>80004</v>
      </c>
      <c r="BG46" s="2">
        <v>-1</v>
      </c>
      <c r="BH46" s="2">
        <v>-1</v>
      </c>
      <c r="BI46" s="2">
        <v>-1</v>
      </c>
      <c r="BJ46" s="2">
        <v>-1</v>
      </c>
      <c r="BK46" s="2">
        <v>0.12</v>
      </c>
      <c r="BL46" s="2">
        <v>0.12</v>
      </c>
      <c r="BM46" s="2">
        <v>0.12</v>
      </c>
      <c r="BN46" s="2">
        <v>0.12</v>
      </c>
      <c r="BO46" s="2">
        <v>0.12</v>
      </c>
      <c r="BP46" s="2">
        <v>0.04</v>
      </c>
      <c r="BQ46" s="2">
        <v>0.04</v>
      </c>
      <c r="BR46" s="2">
        <v>0.04</v>
      </c>
      <c r="BS46" s="2">
        <v>0.04</v>
      </c>
      <c r="BT46" s="2">
        <v>0.04</v>
      </c>
      <c r="BU46" s="2">
        <v>0.04</v>
      </c>
      <c r="BV46" s="2">
        <v>0.04</v>
      </c>
      <c r="BW46" s="2">
        <v>0.04</v>
      </c>
      <c r="BX46" s="2">
        <v>0.04</v>
      </c>
      <c r="BY46" s="2">
        <v>0.04</v>
      </c>
      <c r="BZ46" s="2">
        <v>-1</v>
      </c>
      <c r="CA46" s="2">
        <v>-1</v>
      </c>
      <c r="CB46" s="2">
        <v>-1</v>
      </c>
      <c r="CC46" s="2">
        <v>-1</v>
      </c>
      <c r="CD46">
        <v>1</v>
      </c>
      <c r="CE46">
        <v>3</v>
      </c>
      <c r="CF46">
        <v>120</v>
      </c>
      <c r="CG46">
        <v>35</v>
      </c>
      <c r="CH46">
        <v>55</v>
      </c>
      <c r="CI46">
        <v>8</v>
      </c>
      <c r="CJ46">
        <v>16</v>
      </c>
      <c r="CK46">
        <v>1</v>
      </c>
      <c r="CL46">
        <v>0</v>
      </c>
      <c r="CM46">
        <v>-1</v>
      </c>
      <c r="CN46">
        <v>0</v>
      </c>
    </row>
    <row r="47" spans="1:92" x14ac:dyDescent="0.25">
      <c r="A47">
        <v>45</v>
      </c>
      <c r="B47" t="s">
        <v>1972</v>
      </c>
      <c r="C47" t="s">
        <v>1975</v>
      </c>
      <c r="D47">
        <v>30341</v>
      </c>
      <c r="E47">
        <v>25</v>
      </c>
      <c r="F47">
        <v>25</v>
      </c>
      <c r="G47" t="s">
        <v>1356</v>
      </c>
      <c r="H47">
        <v>28</v>
      </c>
      <c r="I47">
        <v>28</v>
      </c>
      <c r="J47">
        <v>3</v>
      </c>
      <c r="K47">
        <v>3</v>
      </c>
      <c r="L47">
        <v>3</v>
      </c>
      <c r="M47">
        <v>0</v>
      </c>
      <c r="N47">
        <v>-10</v>
      </c>
      <c r="O47" t="s">
        <v>1356</v>
      </c>
      <c r="P47">
        <v>28</v>
      </c>
      <c r="Q47">
        <v>28</v>
      </c>
      <c r="R47">
        <v>3</v>
      </c>
      <c r="S47">
        <v>3</v>
      </c>
      <c r="T47">
        <v>3</v>
      </c>
      <c r="U47">
        <v>0</v>
      </c>
      <c r="V47">
        <v>-10</v>
      </c>
      <c r="W47" t="s">
        <v>1353</v>
      </c>
      <c r="X47">
        <v>0</v>
      </c>
      <c r="Y47">
        <v>250</v>
      </c>
      <c r="Z47">
        <v>16</v>
      </c>
      <c r="AA47">
        <v>16</v>
      </c>
      <c r="AB47">
        <v>0</v>
      </c>
      <c r="AC47">
        <v>0</v>
      </c>
      <c r="AD47">
        <v>40</v>
      </c>
      <c r="AE47">
        <v>40</v>
      </c>
      <c r="AF47">
        <v>12</v>
      </c>
      <c r="AG47">
        <v>0</v>
      </c>
      <c r="AH47">
        <v>-1</v>
      </c>
      <c r="AI47">
        <v>5</v>
      </c>
      <c r="AJ47" t="s">
        <v>1976</v>
      </c>
      <c r="AK47">
        <v>-1</v>
      </c>
      <c r="AL47">
        <v>-1</v>
      </c>
      <c r="AM47" s="2">
        <v>1</v>
      </c>
      <c r="AN47" s="2">
        <v>18</v>
      </c>
      <c r="AO47" s="2">
        <v>107</v>
      </c>
      <c r="AP47" s="2">
        <v>-1</v>
      </c>
      <c r="AQ47">
        <v>-1</v>
      </c>
      <c r="AR47" s="2">
        <v>9201</v>
      </c>
      <c r="AS47" s="2">
        <v>9202</v>
      </c>
      <c r="AT47" s="2">
        <v>9203</v>
      </c>
      <c r="AU47" s="2">
        <v>9204</v>
      </c>
      <c r="AV47" s="2">
        <v>9205</v>
      </c>
      <c r="AW47" s="2">
        <v>1</v>
      </c>
      <c r="AX47" s="2">
        <v>18</v>
      </c>
      <c r="AY47" s="2">
        <v>22</v>
      </c>
      <c r="AZ47" s="2">
        <v>20003</v>
      </c>
      <c r="BA47" s="2">
        <v>30008</v>
      </c>
      <c r="BB47" s="2">
        <v>40003</v>
      </c>
      <c r="BC47" s="2">
        <v>50005</v>
      </c>
      <c r="BD47" s="2">
        <v>60014</v>
      </c>
      <c r="BE47" s="2">
        <v>70009</v>
      </c>
      <c r="BF47" s="2">
        <v>80009</v>
      </c>
      <c r="BG47" s="2">
        <v>-1</v>
      </c>
      <c r="BH47" s="2">
        <v>-1</v>
      </c>
      <c r="BI47" s="2">
        <v>-1</v>
      </c>
      <c r="BJ47" s="2">
        <v>-1</v>
      </c>
      <c r="BK47" s="2">
        <v>0.12</v>
      </c>
      <c r="BL47" s="2">
        <v>0.12</v>
      </c>
      <c r="BM47" s="2">
        <v>0.12</v>
      </c>
      <c r="BN47" s="2">
        <v>0.12</v>
      </c>
      <c r="BO47" s="2">
        <v>0.12</v>
      </c>
      <c r="BP47" s="2">
        <v>0.04</v>
      </c>
      <c r="BQ47" s="2">
        <v>0.04</v>
      </c>
      <c r="BR47" s="2">
        <v>0.04</v>
      </c>
      <c r="BS47" s="2">
        <v>0.04</v>
      </c>
      <c r="BT47" s="2">
        <v>0.04</v>
      </c>
      <c r="BU47" s="2">
        <v>0.04</v>
      </c>
      <c r="BV47" s="2">
        <v>0.04</v>
      </c>
      <c r="BW47" s="2">
        <v>0.04</v>
      </c>
      <c r="BX47" s="2">
        <v>0.04</v>
      </c>
      <c r="BY47" s="2">
        <v>0.04</v>
      </c>
      <c r="BZ47" s="2">
        <v>-1</v>
      </c>
      <c r="CA47" s="2">
        <v>-1</v>
      </c>
      <c r="CB47" s="2">
        <v>-1</v>
      </c>
      <c r="CC47" s="2">
        <v>-1</v>
      </c>
      <c r="CD47">
        <v>1</v>
      </c>
      <c r="CE47">
        <v>3</v>
      </c>
      <c r="CF47">
        <v>120</v>
      </c>
      <c r="CG47">
        <v>30</v>
      </c>
      <c r="CH47">
        <v>45</v>
      </c>
      <c r="CI47">
        <v>5</v>
      </c>
      <c r="CJ47">
        <v>15</v>
      </c>
      <c r="CK47">
        <v>1</v>
      </c>
      <c r="CL47">
        <v>0</v>
      </c>
      <c r="CM47">
        <v>-1</v>
      </c>
      <c r="CN47">
        <v>0</v>
      </c>
    </row>
    <row r="48" spans="1:92" x14ac:dyDescent="0.25">
      <c r="A48">
        <v>46</v>
      </c>
      <c r="B48" t="s">
        <v>2025</v>
      </c>
      <c r="C48" t="s">
        <v>1975</v>
      </c>
      <c r="D48">
        <v>3049</v>
      </c>
      <c r="E48">
        <v>25</v>
      </c>
      <c r="F48">
        <v>25</v>
      </c>
      <c r="G48" t="s">
        <v>1356</v>
      </c>
      <c r="H48">
        <v>28</v>
      </c>
      <c r="I48">
        <v>28</v>
      </c>
      <c r="J48">
        <v>3</v>
      </c>
      <c r="K48">
        <v>3</v>
      </c>
      <c r="L48">
        <v>3</v>
      </c>
      <c r="M48">
        <v>-5</v>
      </c>
      <c r="N48">
        <v>-40</v>
      </c>
      <c r="O48" t="s">
        <v>1356</v>
      </c>
      <c r="P48">
        <v>28</v>
      </c>
      <c r="Q48">
        <v>28</v>
      </c>
      <c r="R48">
        <v>3</v>
      </c>
      <c r="S48">
        <v>3</v>
      </c>
      <c r="T48">
        <v>1</v>
      </c>
      <c r="U48">
        <v>-5</v>
      </c>
      <c r="V48">
        <v>-40</v>
      </c>
      <c r="W48" t="s">
        <v>1353</v>
      </c>
      <c r="X48">
        <v>0</v>
      </c>
      <c r="Y48">
        <v>300</v>
      </c>
      <c r="Z48">
        <v>16</v>
      </c>
      <c r="AA48">
        <v>16</v>
      </c>
      <c r="AB48">
        <v>0</v>
      </c>
      <c r="AC48">
        <v>0</v>
      </c>
      <c r="AD48">
        <v>40</v>
      </c>
      <c r="AE48">
        <v>40</v>
      </c>
      <c r="AF48">
        <v>7</v>
      </c>
      <c r="AG48">
        <v>0</v>
      </c>
      <c r="AH48">
        <v>30</v>
      </c>
      <c r="AI48">
        <v>-1</v>
      </c>
      <c r="AJ48" t="s">
        <v>1976</v>
      </c>
      <c r="AK48">
        <v>-1</v>
      </c>
      <c r="AL48">
        <v>-1</v>
      </c>
      <c r="AM48">
        <v>-1</v>
      </c>
      <c r="AN48">
        <v>-1</v>
      </c>
      <c r="AO48">
        <v>-1</v>
      </c>
      <c r="AP48">
        <v>-1</v>
      </c>
      <c r="AQ48">
        <v>-1</v>
      </c>
      <c r="AR48" s="2">
        <v>-1</v>
      </c>
      <c r="AS48" s="2">
        <v>-1</v>
      </c>
      <c r="AT48" s="2">
        <v>-1</v>
      </c>
      <c r="AU48" s="2">
        <v>-1</v>
      </c>
      <c r="AV48" s="2">
        <v>-1</v>
      </c>
      <c r="AW48" s="2">
        <v>-1</v>
      </c>
      <c r="AX48" s="2">
        <v>-1</v>
      </c>
      <c r="AY48" s="2">
        <v>-1</v>
      </c>
      <c r="AZ48" s="2">
        <v>-1</v>
      </c>
      <c r="BA48" s="2">
        <v>-1</v>
      </c>
      <c r="BB48" s="2">
        <v>-1</v>
      </c>
      <c r="BC48" s="2">
        <v>-1</v>
      </c>
      <c r="BD48" s="2">
        <v>-1</v>
      </c>
      <c r="BE48" s="2">
        <v>-1</v>
      </c>
      <c r="BF48" s="2">
        <v>-1</v>
      </c>
      <c r="BG48" s="2">
        <v>-1</v>
      </c>
      <c r="BH48" s="2">
        <v>-1</v>
      </c>
      <c r="BI48" s="2">
        <v>-1</v>
      </c>
      <c r="BJ48" s="2">
        <v>-1</v>
      </c>
      <c r="BK48" s="2">
        <v>-1</v>
      </c>
      <c r="BL48" s="2">
        <v>-1</v>
      </c>
      <c r="BM48" s="2">
        <v>-1</v>
      </c>
      <c r="BN48" s="2">
        <v>-1</v>
      </c>
      <c r="BO48" s="2">
        <v>-1</v>
      </c>
      <c r="BP48" s="2">
        <v>-1</v>
      </c>
      <c r="BQ48" s="2">
        <v>-1</v>
      </c>
      <c r="BR48" s="2">
        <v>-1</v>
      </c>
      <c r="BS48" s="2">
        <v>-1</v>
      </c>
      <c r="BT48" s="2">
        <v>-1</v>
      </c>
      <c r="BU48" s="2">
        <v>-1</v>
      </c>
      <c r="BV48" s="2">
        <v>-1</v>
      </c>
      <c r="BW48" s="2">
        <v>-1</v>
      </c>
      <c r="BX48" s="2">
        <v>-1</v>
      </c>
      <c r="BY48" s="2">
        <v>-1</v>
      </c>
      <c r="BZ48" s="2">
        <v>-1</v>
      </c>
      <c r="CA48" s="2">
        <v>-1</v>
      </c>
      <c r="CB48" s="2">
        <v>-1</v>
      </c>
      <c r="CC48" s="2">
        <v>-1</v>
      </c>
      <c r="CD48">
        <v>-1</v>
      </c>
      <c r="CE48">
        <v>-1</v>
      </c>
      <c r="CF48">
        <v>-1</v>
      </c>
      <c r="CG48">
        <v>25</v>
      </c>
      <c r="CH48">
        <v>45</v>
      </c>
      <c r="CI48">
        <v>7</v>
      </c>
      <c r="CJ48">
        <v>14</v>
      </c>
      <c r="CK48">
        <v>1</v>
      </c>
      <c r="CL48">
        <v>0</v>
      </c>
      <c r="CM48">
        <v>1200</v>
      </c>
      <c r="CN48">
        <v>1</v>
      </c>
    </row>
    <row r="49" spans="1:92" x14ac:dyDescent="0.25">
      <c r="A49">
        <v>47</v>
      </c>
      <c r="B49" t="s">
        <v>2026</v>
      </c>
      <c r="C49" t="s">
        <v>2027</v>
      </c>
      <c r="D49">
        <v>0</v>
      </c>
      <c r="E49">
        <v>12</v>
      </c>
      <c r="F49">
        <v>12</v>
      </c>
      <c r="G49" t="s">
        <v>1356</v>
      </c>
      <c r="H49">
        <v>32</v>
      </c>
      <c r="I49">
        <v>32</v>
      </c>
      <c r="J49">
        <v>3</v>
      </c>
      <c r="K49">
        <v>3</v>
      </c>
      <c r="L49">
        <v>3</v>
      </c>
      <c r="M49">
        <v>0</v>
      </c>
      <c r="N49">
        <v>0</v>
      </c>
      <c r="O49" t="s">
        <v>59</v>
      </c>
      <c r="P49">
        <v>-1</v>
      </c>
      <c r="Q49">
        <v>-1</v>
      </c>
      <c r="R49">
        <v>1</v>
      </c>
      <c r="S49">
        <v>1</v>
      </c>
      <c r="T49">
        <v>1</v>
      </c>
      <c r="U49">
        <v>0</v>
      </c>
      <c r="V49">
        <v>0</v>
      </c>
      <c r="W49" t="s">
        <v>1353</v>
      </c>
      <c r="X49">
        <v>0</v>
      </c>
      <c r="Y49">
        <v>100</v>
      </c>
      <c r="Z49">
        <v>-1</v>
      </c>
      <c r="AA49">
        <v>-1</v>
      </c>
      <c r="AB49">
        <v>0</v>
      </c>
      <c r="AC49">
        <v>0</v>
      </c>
      <c r="AD49">
        <v>-1</v>
      </c>
      <c r="AE49">
        <v>-1</v>
      </c>
      <c r="AF49">
        <v>40</v>
      </c>
      <c r="AG49">
        <v>0</v>
      </c>
      <c r="AH49">
        <v>-1</v>
      </c>
      <c r="AI49">
        <v>-1</v>
      </c>
      <c r="AJ49" t="s">
        <v>59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-1</v>
      </c>
      <c r="AR49" s="2">
        <v>-1</v>
      </c>
      <c r="AS49" s="2">
        <v>-1</v>
      </c>
      <c r="AT49" s="2">
        <v>-1</v>
      </c>
      <c r="AU49" s="2">
        <v>-1</v>
      </c>
      <c r="AV49" s="2">
        <v>-1</v>
      </c>
      <c r="AW49" s="2">
        <v>-1</v>
      </c>
      <c r="AX49" s="2">
        <v>-1</v>
      </c>
      <c r="AY49" s="2">
        <v>-1</v>
      </c>
      <c r="AZ49" s="2">
        <v>-1</v>
      </c>
      <c r="BA49" s="2">
        <v>-1</v>
      </c>
      <c r="BB49" s="2">
        <v>-1</v>
      </c>
      <c r="BC49" s="2">
        <v>-1</v>
      </c>
      <c r="BD49" s="2">
        <v>-1</v>
      </c>
      <c r="BE49" s="2">
        <v>-1</v>
      </c>
      <c r="BF49" s="2">
        <v>-1</v>
      </c>
      <c r="BG49" s="2">
        <v>-1</v>
      </c>
      <c r="BH49" s="2">
        <v>-1</v>
      </c>
      <c r="BI49" s="2">
        <v>-1</v>
      </c>
      <c r="BJ49" s="2">
        <v>-1</v>
      </c>
      <c r="BK49" s="2">
        <v>-1</v>
      </c>
      <c r="BL49" s="2">
        <v>-1</v>
      </c>
      <c r="BM49" s="2">
        <v>-1</v>
      </c>
      <c r="BN49" s="2">
        <v>-1</v>
      </c>
      <c r="BO49" s="2">
        <v>-1</v>
      </c>
      <c r="BP49" s="2">
        <v>-1</v>
      </c>
      <c r="BQ49" s="2">
        <v>-1</v>
      </c>
      <c r="BR49" s="2">
        <v>-1</v>
      </c>
      <c r="BS49" s="2">
        <v>-1</v>
      </c>
      <c r="BT49" s="2">
        <v>-1</v>
      </c>
      <c r="BU49" s="2">
        <v>-1</v>
      </c>
      <c r="BV49" s="2">
        <v>-1</v>
      </c>
      <c r="BW49" s="2">
        <v>-1</v>
      </c>
      <c r="BX49" s="2">
        <v>-1</v>
      </c>
      <c r="BY49" s="2">
        <v>-1</v>
      </c>
      <c r="BZ49" s="2">
        <v>-1</v>
      </c>
      <c r="CA49" s="2">
        <v>-1</v>
      </c>
      <c r="CB49" s="2">
        <v>-1</v>
      </c>
      <c r="CC49" s="2">
        <v>-1</v>
      </c>
      <c r="CD49">
        <v>-1</v>
      </c>
      <c r="CE49">
        <v>-1</v>
      </c>
      <c r="CF49">
        <v>-1</v>
      </c>
      <c r="CG49">
        <v>-1</v>
      </c>
      <c r="CH49">
        <v>-1</v>
      </c>
      <c r="CI49">
        <v>-1</v>
      </c>
      <c r="CJ49">
        <v>-1</v>
      </c>
      <c r="CK49">
        <v>1</v>
      </c>
      <c r="CL49">
        <v>0</v>
      </c>
      <c r="CM49">
        <v>-1</v>
      </c>
      <c r="CN49">
        <v>0</v>
      </c>
    </row>
  </sheetData>
  <conditionalFormatting sqref="A1:CN501">
    <cfRule type="cellIs" dxfId="32" priority="1" operator="equal">
      <formula>"n/a"</formula>
    </cfRule>
    <cfRule type="cellIs" dxfId="31" priority="2" operator="equal">
      <formula>-1</formula>
    </cfRule>
    <cfRule type="cellIs" dxfId="30" priority="3" operator="equal">
      <formula>-9999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6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C24" sqref="AC24"/>
    </sheetView>
  </sheetViews>
  <sheetFormatPr defaultRowHeight="15" x14ac:dyDescent="0.25"/>
  <cols>
    <col min="3" max="3" width="43.85546875" bestFit="1" customWidth="1"/>
  </cols>
  <sheetData>
    <row r="1" spans="1:33" s="1" customFormat="1" ht="105" customHeight="1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2146</v>
      </c>
      <c r="H1" s="1" t="s">
        <v>2186</v>
      </c>
      <c r="I1" s="1" t="s">
        <v>2192</v>
      </c>
      <c r="J1" s="1" t="s">
        <v>2195</v>
      </c>
      <c r="K1" s="1" t="s">
        <v>2193</v>
      </c>
      <c r="L1" s="1" t="s">
        <v>2196</v>
      </c>
      <c r="M1" s="1" t="s">
        <v>2187</v>
      </c>
      <c r="N1" s="1" t="s">
        <v>2190</v>
      </c>
      <c r="O1" s="1" t="s">
        <v>2298</v>
      </c>
      <c r="P1" s="1" t="s">
        <v>2299</v>
      </c>
      <c r="Q1" s="1" t="s">
        <v>2300</v>
      </c>
      <c r="R1" s="1" t="s">
        <v>2301</v>
      </c>
      <c r="S1" s="1" t="s">
        <v>2302</v>
      </c>
      <c r="T1" s="1" t="s">
        <v>2303</v>
      </c>
      <c r="U1" s="1" t="s">
        <v>2201</v>
      </c>
      <c r="V1" s="1" t="s">
        <v>2203</v>
      </c>
      <c r="W1" s="1" t="s">
        <v>2209</v>
      </c>
      <c r="X1" s="1" t="s">
        <v>2147</v>
      </c>
      <c r="Y1" s="1" t="s">
        <v>2148</v>
      </c>
      <c r="Z1" s="1" t="s">
        <v>2149</v>
      </c>
      <c r="AA1" s="1" t="s">
        <v>2207</v>
      </c>
      <c r="AB1" s="1" t="s">
        <v>5485</v>
      </c>
      <c r="AC1" s="1" t="s">
        <v>2245</v>
      </c>
      <c r="AD1" s="1" t="s">
        <v>2304</v>
      </c>
      <c r="AE1" s="1" t="s">
        <v>2211</v>
      </c>
      <c r="AF1" s="1" t="s">
        <v>2212</v>
      </c>
      <c r="AG1" s="1" t="s">
        <v>2266</v>
      </c>
    </row>
    <row r="2" spans="1:33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1285</v>
      </c>
      <c r="H2" t="s">
        <v>1271</v>
      </c>
      <c r="I2" t="s">
        <v>1269</v>
      </c>
      <c r="J2" t="s">
        <v>1270</v>
      </c>
      <c r="K2" t="s">
        <v>1272</v>
      </c>
      <c r="L2" t="s">
        <v>1273</v>
      </c>
      <c r="M2" t="s">
        <v>1326</v>
      </c>
      <c r="N2" t="s">
        <v>1286</v>
      </c>
      <c r="P2" t="s">
        <v>1284</v>
      </c>
      <c r="U2" t="s">
        <v>1332</v>
      </c>
      <c r="V2" t="s">
        <v>1334</v>
      </c>
      <c r="W2" t="s">
        <v>1335</v>
      </c>
      <c r="X2" t="s">
        <v>1287</v>
      </c>
      <c r="Y2" t="s">
        <v>1288</v>
      </c>
      <c r="Z2" t="s">
        <v>1289</v>
      </c>
      <c r="AA2" t="s">
        <v>1290</v>
      </c>
      <c r="AD2" t="s">
        <v>1344</v>
      </c>
      <c r="AE2" t="s">
        <v>1291</v>
      </c>
      <c r="AF2" t="s">
        <v>1292</v>
      </c>
      <c r="AG2" t="s">
        <v>1293</v>
      </c>
    </row>
    <row r="3" spans="1:33" x14ac:dyDescent="0.25">
      <c r="A3">
        <v>1</v>
      </c>
      <c r="B3" t="s">
        <v>1248</v>
      </c>
      <c r="C3" t="s">
        <v>1438</v>
      </c>
      <c r="D3">
        <v>9042</v>
      </c>
      <c r="E3">
        <v>40</v>
      </c>
      <c r="F3">
        <v>40</v>
      </c>
      <c r="G3">
        <v>-1</v>
      </c>
      <c r="H3" t="s">
        <v>1437</v>
      </c>
      <c r="I3">
        <v>14400</v>
      </c>
      <c r="J3">
        <v>5</v>
      </c>
      <c r="K3">
        <v>28800</v>
      </c>
      <c r="L3">
        <v>5</v>
      </c>
      <c r="M3">
        <v>1</v>
      </c>
      <c r="N3" t="s">
        <v>1436</v>
      </c>
      <c r="O3">
        <v>5</v>
      </c>
      <c r="P3">
        <v>3044</v>
      </c>
      <c r="Q3">
        <v>-1</v>
      </c>
      <c r="R3">
        <v>-1</v>
      </c>
      <c r="S3">
        <v>-1</v>
      </c>
      <c r="T3">
        <v>-1</v>
      </c>
      <c r="U3" t="s">
        <v>59</v>
      </c>
      <c r="V3">
        <v>1</v>
      </c>
      <c r="W3">
        <v>0</v>
      </c>
      <c r="X3" t="s">
        <v>1358</v>
      </c>
      <c r="Y3">
        <v>-10</v>
      </c>
      <c r="Z3">
        <v>10</v>
      </c>
      <c r="AA3">
        <v>5</v>
      </c>
      <c r="AB3">
        <v>-1</v>
      </c>
      <c r="AC3" t="s">
        <v>130</v>
      </c>
      <c r="AD3">
        <v>-1</v>
      </c>
      <c r="AE3">
        <v>60</v>
      </c>
      <c r="AF3">
        <v>-1</v>
      </c>
      <c r="AG3">
        <v>1</v>
      </c>
    </row>
    <row r="4" spans="1:33" x14ac:dyDescent="0.25">
      <c r="A4">
        <v>2</v>
      </c>
      <c r="B4" t="s">
        <v>1248</v>
      </c>
      <c r="C4" t="s">
        <v>1445</v>
      </c>
      <c r="D4">
        <v>9043</v>
      </c>
      <c r="E4">
        <v>60</v>
      </c>
      <c r="F4">
        <v>60</v>
      </c>
      <c r="G4">
        <v>-1</v>
      </c>
      <c r="H4" t="s">
        <v>1444</v>
      </c>
      <c r="I4">
        <v>86400</v>
      </c>
      <c r="J4">
        <v>5</v>
      </c>
      <c r="K4">
        <v>86400</v>
      </c>
      <c r="L4">
        <v>5</v>
      </c>
      <c r="M4">
        <v>0</v>
      </c>
      <c r="N4" t="s">
        <v>1446</v>
      </c>
      <c r="O4">
        <v>-1</v>
      </c>
      <c r="P4" s="2">
        <v>3045</v>
      </c>
      <c r="Q4" s="2">
        <v>3046</v>
      </c>
      <c r="R4" s="2">
        <v>3047</v>
      </c>
      <c r="S4" s="2">
        <v>3048</v>
      </c>
      <c r="T4" s="2">
        <v>3050</v>
      </c>
      <c r="U4" t="s">
        <v>59</v>
      </c>
      <c r="V4">
        <v>1</v>
      </c>
      <c r="W4">
        <v>0</v>
      </c>
      <c r="X4" t="s">
        <v>1358</v>
      </c>
      <c r="Y4">
        <v>-10</v>
      </c>
      <c r="Z4">
        <v>10</v>
      </c>
      <c r="AA4">
        <v>25</v>
      </c>
      <c r="AB4">
        <v>-1</v>
      </c>
      <c r="AC4" t="s">
        <v>130</v>
      </c>
      <c r="AD4">
        <v>-1</v>
      </c>
      <c r="AE4">
        <v>180</v>
      </c>
      <c r="AF4">
        <v>-1</v>
      </c>
      <c r="AG4">
        <v>1</v>
      </c>
    </row>
    <row r="5" spans="1:33" x14ac:dyDescent="0.25">
      <c r="A5">
        <v>3</v>
      </c>
      <c r="B5" t="s">
        <v>1248</v>
      </c>
      <c r="C5" t="s">
        <v>1536</v>
      </c>
      <c r="D5">
        <v>1015</v>
      </c>
      <c r="E5">
        <v>40</v>
      </c>
      <c r="F5">
        <v>40</v>
      </c>
      <c r="G5">
        <v>1</v>
      </c>
      <c r="H5" t="s">
        <v>1535</v>
      </c>
      <c r="I5">
        <v>1</v>
      </c>
      <c r="J5">
        <v>5</v>
      </c>
      <c r="K5">
        <v>300</v>
      </c>
      <c r="L5">
        <v>5</v>
      </c>
      <c r="M5">
        <v>1</v>
      </c>
      <c r="N5" t="s">
        <v>1436</v>
      </c>
      <c r="O5">
        <v>-1</v>
      </c>
      <c r="P5">
        <v>1</v>
      </c>
      <c r="Q5">
        <v>-1</v>
      </c>
      <c r="R5">
        <v>-1</v>
      </c>
      <c r="S5">
        <v>-1</v>
      </c>
      <c r="T5">
        <v>-1</v>
      </c>
      <c r="U5" t="s">
        <v>1538</v>
      </c>
      <c r="V5">
        <v>1</v>
      </c>
      <c r="W5">
        <v>1</v>
      </c>
      <c r="X5" t="s">
        <v>1358</v>
      </c>
      <c r="Y5">
        <v>-10</v>
      </c>
      <c r="Z5">
        <v>10</v>
      </c>
      <c r="AA5">
        <v>5</v>
      </c>
      <c r="AB5">
        <v>-1</v>
      </c>
      <c r="AC5" t="s">
        <v>130</v>
      </c>
      <c r="AD5">
        <v>-1</v>
      </c>
      <c r="AE5">
        <v>5</v>
      </c>
      <c r="AF5">
        <v>1</v>
      </c>
      <c r="AG5">
        <v>1</v>
      </c>
    </row>
    <row r="6" spans="1:33" x14ac:dyDescent="0.25">
      <c r="A6">
        <v>4</v>
      </c>
      <c r="B6" t="s">
        <v>1248</v>
      </c>
      <c r="C6" t="s">
        <v>1529</v>
      </c>
      <c r="D6">
        <v>1017</v>
      </c>
      <c r="E6">
        <v>40</v>
      </c>
      <c r="F6">
        <v>40</v>
      </c>
      <c r="G6">
        <v>28</v>
      </c>
      <c r="H6" t="s">
        <v>1528</v>
      </c>
      <c r="I6">
        <v>86400</v>
      </c>
      <c r="J6">
        <v>5</v>
      </c>
      <c r="K6">
        <v>43200</v>
      </c>
      <c r="L6">
        <v>5</v>
      </c>
      <c r="M6">
        <v>1</v>
      </c>
      <c r="N6" t="s">
        <v>1531</v>
      </c>
      <c r="O6">
        <v>-1</v>
      </c>
      <c r="P6">
        <v>2</v>
      </c>
      <c r="Q6">
        <v>-1</v>
      </c>
      <c r="R6">
        <v>-1</v>
      </c>
      <c r="S6">
        <v>-1</v>
      </c>
      <c r="T6">
        <v>-1</v>
      </c>
      <c r="U6" t="s">
        <v>59</v>
      </c>
      <c r="V6">
        <v>1</v>
      </c>
      <c r="W6">
        <v>0</v>
      </c>
      <c r="X6" t="s">
        <v>1358</v>
      </c>
      <c r="Y6">
        <v>-20</v>
      </c>
      <c r="Z6">
        <v>10</v>
      </c>
      <c r="AA6">
        <v>25</v>
      </c>
      <c r="AB6">
        <v>3</v>
      </c>
      <c r="AC6" t="s">
        <v>130</v>
      </c>
      <c r="AD6">
        <v>-1</v>
      </c>
      <c r="AE6">
        <v>80</v>
      </c>
      <c r="AF6">
        <v>1</v>
      </c>
      <c r="AG6">
        <v>1</v>
      </c>
    </row>
    <row r="7" spans="1:33" x14ac:dyDescent="0.25">
      <c r="A7">
        <v>5</v>
      </c>
      <c r="B7" t="s">
        <v>1248</v>
      </c>
      <c r="C7" t="s">
        <v>1352</v>
      </c>
      <c r="D7">
        <v>1022</v>
      </c>
      <c r="E7">
        <v>20</v>
      </c>
      <c r="F7">
        <v>40</v>
      </c>
      <c r="G7">
        <v>1</v>
      </c>
      <c r="H7" t="s">
        <v>1351</v>
      </c>
      <c r="I7">
        <v>1</v>
      </c>
      <c r="J7">
        <v>5</v>
      </c>
      <c r="K7">
        <v>1800</v>
      </c>
      <c r="L7">
        <v>5</v>
      </c>
      <c r="M7">
        <v>1</v>
      </c>
      <c r="N7" t="s">
        <v>1357</v>
      </c>
      <c r="O7">
        <v>-1</v>
      </c>
      <c r="P7">
        <v>23</v>
      </c>
      <c r="Q7">
        <v>-1</v>
      </c>
      <c r="R7">
        <v>-1</v>
      </c>
      <c r="S7">
        <v>-1</v>
      </c>
      <c r="T7">
        <v>-1</v>
      </c>
      <c r="U7" t="s">
        <v>59</v>
      </c>
      <c r="V7">
        <v>0</v>
      </c>
      <c r="W7">
        <v>0</v>
      </c>
      <c r="X7" t="s">
        <v>1358</v>
      </c>
      <c r="Y7">
        <v>-20</v>
      </c>
      <c r="Z7">
        <v>10</v>
      </c>
      <c r="AA7">
        <v>25</v>
      </c>
      <c r="AB7">
        <v>-1</v>
      </c>
      <c r="AC7" t="s">
        <v>130</v>
      </c>
      <c r="AD7">
        <v>-1</v>
      </c>
      <c r="AE7">
        <v>10</v>
      </c>
      <c r="AF7">
        <v>1</v>
      </c>
      <c r="AG7">
        <v>1</v>
      </c>
    </row>
    <row r="8" spans="1:33" x14ac:dyDescent="0.25">
      <c r="A8">
        <v>6</v>
      </c>
      <c r="B8" t="s">
        <v>1248</v>
      </c>
      <c r="C8" t="s">
        <v>1378</v>
      </c>
      <c r="D8">
        <v>9004</v>
      </c>
      <c r="E8">
        <v>40</v>
      </c>
      <c r="F8">
        <v>40</v>
      </c>
      <c r="G8">
        <v>24</v>
      </c>
      <c r="H8" t="s">
        <v>1377</v>
      </c>
      <c r="I8">
        <v>86400</v>
      </c>
      <c r="J8">
        <v>5</v>
      </c>
      <c r="K8">
        <v>1800</v>
      </c>
      <c r="L8">
        <v>5</v>
      </c>
      <c r="M8">
        <v>1</v>
      </c>
      <c r="N8" t="s">
        <v>59</v>
      </c>
      <c r="O8">
        <v>-1</v>
      </c>
      <c r="P8">
        <v>231</v>
      </c>
      <c r="Q8">
        <v>-1</v>
      </c>
      <c r="R8">
        <v>-1</v>
      </c>
      <c r="S8">
        <v>-1</v>
      </c>
      <c r="T8">
        <v>-1</v>
      </c>
      <c r="U8" t="s">
        <v>59</v>
      </c>
      <c r="V8">
        <v>0</v>
      </c>
      <c r="W8">
        <v>0</v>
      </c>
      <c r="X8" t="s">
        <v>1358</v>
      </c>
      <c r="Y8">
        <v>-10</v>
      </c>
      <c r="Z8">
        <v>20</v>
      </c>
      <c r="AA8">
        <v>25</v>
      </c>
      <c r="AB8">
        <v>-1</v>
      </c>
      <c r="AC8" t="s">
        <v>130</v>
      </c>
      <c r="AD8">
        <v>-1</v>
      </c>
      <c r="AE8">
        <v>20</v>
      </c>
      <c r="AF8">
        <v>1</v>
      </c>
      <c r="AG8">
        <v>1</v>
      </c>
    </row>
    <row r="9" spans="1:33" x14ac:dyDescent="0.25">
      <c r="A9">
        <v>7</v>
      </c>
      <c r="B9" t="s">
        <v>1248</v>
      </c>
      <c r="C9" t="s">
        <v>1458</v>
      </c>
      <c r="D9">
        <v>1006</v>
      </c>
      <c r="E9">
        <v>80</v>
      </c>
      <c r="F9">
        <v>100</v>
      </c>
      <c r="G9">
        <v>1</v>
      </c>
      <c r="H9" t="s">
        <v>1457</v>
      </c>
      <c r="I9">
        <v>86400</v>
      </c>
      <c r="J9">
        <v>5</v>
      </c>
      <c r="K9">
        <v>10800</v>
      </c>
      <c r="L9">
        <v>5</v>
      </c>
      <c r="M9">
        <v>0</v>
      </c>
      <c r="N9" t="s">
        <v>1460</v>
      </c>
      <c r="O9">
        <v>-1</v>
      </c>
      <c r="P9">
        <v>3001</v>
      </c>
      <c r="Q9">
        <v>-1</v>
      </c>
      <c r="R9">
        <v>-1</v>
      </c>
      <c r="S9">
        <v>-1</v>
      </c>
      <c r="T9">
        <v>-1</v>
      </c>
      <c r="U9" t="s">
        <v>1461</v>
      </c>
      <c r="V9">
        <v>1</v>
      </c>
      <c r="W9">
        <v>0</v>
      </c>
      <c r="X9" t="s">
        <v>1358</v>
      </c>
      <c r="Y9">
        <v>-10</v>
      </c>
      <c r="Z9">
        <v>19</v>
      </c>
      <c r="AA9">
        <v>25</v>
      </c>
      <c r="AB9">
        <v>-1</v>
      </c>
      <c r="AC9" t="s">
        <v>130</v>
      </c>
      <c r="AD9">
        <v>-1</v>
      </c>
      <c r="AE9">
        <v>50</v>
      </c>
      <c r="AF9">
        <v>1</v>
      </c>
      <c r="AG9">
        <v>1</v>
      </c>
    </row>
    <row r="10" spans="1:33" x14ac:dyDescent="0.25">
      <c r="A10">
        <v>8</v>
      </c>
      <c r="B10" t="s">
        <v>1248</v>
      </c>
      <c r="C10" t="s">
        <v>1540</v>
      </c>
      <c r="D10">
        <v>1004</v>
      </c>
      <c r="E10">
        <v>60</v>
      </c>
      <c r="F10">
        <v>60</v>
      </c>
      <c r="G10">
        <v>5</v>
      </c>
      <c r="H10" t="s">
        <v>1539</v>
      </c>
      <c r="I10">
        <v>21600</v>
      </c>
      <c r="J10">
        <v>5</v>
      </c>
      <c r="K10">
        <v>21600</v>
      </c>
      <c r="L10">
        <v>5</v>
      </c>
      <c r="M10">
        <v>0</v>
      </c>
      <c r="N10" t="s">
        <v>1542</v>
      </c>
      <c r="O10">
        <v>-1</v>
      </c>
      <c r="P10">
        <v>3003</v>
      </c>
      <c r="Q10">
        <v>-1</v>
      </c>
      <c r="R10">
        <v>-1</v>
      </c>
      <c r="S10">
        <v>-1</v>
      </c>
      <c r="T10">
        <v>-1</v>
      </c>
      <c r="U10" t="s">
        <v>1543</v>
      </c>
      <c r="V10">
        <v>1</v>
      </c>
      <c r="W10">
        <v>0</v>
      </c>
      <c r="X10" t="s">
        <v>1358</v>
      </c>
      <c r="Y10">
        <v>-20</v>
      </c>
      <c r="Z10">
        <v>20</v>
      </c>
      <c r="AA10">
        <v>25</v>
      </c>
      <c r="AB10">
        <v>-1</v>
      </c>
      <c r="AC10" t="s">
        <v>130</v>
      </c>
      <c r="AD10">
        <v>-1</v>
      </c>
      <c r="AE10">
        <v>50</v>
      </c>
      <c r="AF10">
        <v>1</v>
      </c>
      <c r="AG10">
        <v>1</v>
      </c>
    </row>
    <row r="11" spans="1:33" x14ac:dyDescent="0.25">
      <c r="A11">
        <v>9</v>
      </c>
      <c r="B11" t="s">
        <v>1248</v>
      </c>
      <c r="C11" t="s">
        <v>1519</v>
      </c>
      <c r="D11">
        <v>1013</v>
      </c>
      <c r="E11">
        <v>100</v>
      </c>
      <c r="F11">
        <v>40</v>
      </c>
      <c r="G11">
        <v>1</v>
      </c>
      <c r="H11" t="s">
        <v>1518</v>
      </c>
      <c r="I11">
        <v>43200</v>
      </c>
      <c r="J11">
        <v>5</v>
      </c>
      <c r="K11">
        <v>3600</v>
      </c>
      <c r="L11">
        <v>5</v>
      </c>
      <c r="M11">
        <v>1</v>
      </c>
      <c r="N11" t="s">
        <v>1521</v>
      </c>
      <c r="O11">
        <v>-1</v>
      </c>
      <c r="P11">
        <v>3004</v>
      </c>
      <c r="Q11">
        <v>-1</v>
      </c>
      <c r="R11">
        <v>-1</v>
      </c>
      <c r="S11">
        <v>-1</v>
      </c>
      <c r="T11">
        <v>-1</v>
      </c>
      <c r="U11" t="s">
        <v>1522</v>
      </c>
      <c r="V11">
        <v>1</v>
      </c>
      <c r="W11">
        <v>0</v>
      </c>
      <c r="X11" t="s">
        <v>1358</v>
      </c>
      <c r="Y11">
        <v>-20</v>
      </c>
      <c r="Z11">
        <v>30</v>
      </c>
      <c r="AA11">
        <v>25</v>
      </c>
      <c r="AB11">
        <v>2</v>
      </c>
      <c r="AC11" t="s">
        <v>130</v>
      </c>
      <c r="AD11">
        <v>-1</v>
      </c>
      <c r="AE11">
        <v>15</v>
      </c>
      <c r="AF11">
        <v>1</v>
      </c>
      <c r="AG11">
        <v>1</v>
      </c>
    </row>
    <row r="12" spans="1:33" x14ac:dyDescent="0.25">
      <c r="A12">
        <v>10</v>
      </c>
      <c r="B12" t="s">
        <v>1248</v>
      </c>
      <c r="C12" t="s">
        <v>1574</v>
      </c>
      <c r="D12">
        <v>1019</v>
      </c>
      <c r="E12">
        <v>100</v>
      </c>
      <c r="F12">
        <v>120</v>
      </c>
      <c r="G12">
        <v>1</v>
      </c>
      <c r="H12" t="s">
        <v>1573</v>
      </c>
      <c r="I12">
        <v>86400</v>
      </c>
      <c r="J12">
        <v>5</v>
      </c>
      <c r="K12">
        <v>21600</v>
      </c>
      <c r="L12">
        <v>5</v>
      </c>
      <c r="M12">
        <v>1</v>
      </c>
      <c r="N12" t="s">
        <v>1576</v>
      </c>
      <c r="O12">
        <v>-1</v>
      </c>
      <c r="P12">
        <v>3006</v>
      </c>
      <c r="Q12">
        <v>-1</v>
      </c>
      <c r="R12">
        <v>-1</v>
      </c>
      <c r="S12">
        <v>-1</v>
      </c>
      <c r="T12">
        <v>-1</v>
      </c>
      <c r="U12" t="s">
        <v>1577</v>
      </c>
      <c r="V12">
        <v>1</v>
      </c>
      <c r="W12">
        <v>0</v>
      </c>
      <c r="X12" t="s">
        <v>1358</v>
      </c>
      <c r="Y12">
        <v>-8</v>
      </c>
      <c r="Z12">
        <v>-8</v>
      </c>
      <c r="AA12">
        <v>25</v>
      </c>
      <c r="AB12">
        <v>4</v>
      </c>
      <c r="AC12" t="s">
        <v>130</v>
      </c>
      <c r="AD12">
        <v>-1</v>
      </c>
      <c r="AE12">
        <v>60</v>
      </c>
      <c r="AF12">
        <v>1</v>
      </c>
      <c r="AG12">
        <v>1</v>
      </c>
    </row>
    <row r="13" spans="1:33" x14ac:dyDescent="0.25">
      <c r="A13">
        <v>11</v>
      </c>
      <c r="B13" t="s">
        <v>1248</v>
      </c>
      <c r="C13" t="s">
        <v>1560</v>
      </c>
      <c r="D13">
        <v>1026</v>
      </c>
      <c r="E13">
        <v>40</v>
      </c>
      <c r="F13">
        <v>40</v>
      </c>
      <c r="G13">
        <v>19</v>
      </c>
      <c r="H13" t="s">
        <v>1559</v>
      </c>
      <c r="I13">
        <v>86400</v>
      </c>
      <c r="J13">
        <v>5</v>
      </c>
      <c r="K13">
        <v>86400</v>
      </c>
      <c r="L13">
        <v>5</v>
      </c>
      <c r="M13">
        <v>0</v>
      </c>
      <c r="N13" t="s">
        <v>1562</v>
      </c>
      <c r="O13">
        <v>-1</v>
      </c>
      <c r="P13">
        <v>3008</v>
      </c>
      <c r="Q13">
        <v>-1</v>
      </c>
      <c r="R13">
        <v>-1</v>
      </c>
      <c r="S13">
        <v>-1</v>
      </c>
      <c r="T13">
        <v>-1</v>
      </c>
      <c r="U13" t="s">
        <v>1563</v>
      </c>
      <c r="V13">
        <v>1</v>
      </c>
      <c r="W13">
        <v>0</v>
      </c>
      <c r="X13" t="s">
        <v>1358</v>
      </c>
      <c r="Y13">
        <v>-10</v>
      </c>
      <c r="Z13">
        <v>10</v>
      </c>
      <c r="AA13">
        <v>25</v>
      </c>
      <c r="AB13">
        <v>-1</v>
      </c>
      <c r="AC13" t="s">
        <v>130</v>
      </c>
      <c r="AD13">
        <v>-1</v>
      </c>
      <c r="AE13">
        <v>80</v>
      </c>
      <c r="AF13">
        <v>1</v>
      </c>
      <c r="AG13">
        <v>1</v>
      </c>
    </row>
    <row r="14" spans="1:33" x14ac:dyDescent="0.25">
      <c r="A14">
        <v>12</v>
      </c>
      <c r="B14" t="s">
        <v>1248</v>
      </c>
      <c r="C14" t="s">
        <v>1493</v>
      </c>
      <c r="D14">
        <v>1010</v>
      </c>
      <c r="E14">
        <v>60</v>
      </c>
      <c r="F14">
        <v>40</v>
      </c>
      <c r="G14">
        <v>1</v>
      </c>
      <c r="H14" t="s">
        <v>1492</v>
      </c>
      <c r="I14">
        <v>86400</v>
      </c>
      <c r="J14">
        <v>5</v>
      </c>
      <c r="K14">
        <v>43200</v>
      </c>
      <c r="L14">
        <v>5</v>
      </c>
      <c r="M14">
        <v>0</v>
      </c>
      <c r="N14" t="s">
        <v>1495</v>
      </c>
      <c r="O14">
        <v>-1</v>
      </c>
      <c r="P14">
        <v>3009</v>
      </c>
      <c r="Q14">
        <v>-1</v>
      </c>
      <c r="R14">
        <v>-1</v>
      </c>
      <c r="S14">
        <v>-1</v>
      </c>
      <c r="T14">
        <v>-1</v>
      </c>
      <c r="U14" t="s">
        <v>1496</v>
      </c>
      <c r="V14">
        <v>1</v>
      </c>
      <c r="W14">
        <v>0</v>
      </c>
      <c r="X14" t="s">
        <v>1358</v>
      </c>
      <c r="Y14">
        <v>-10</v>
      </c>
      <c r="Z14">
        <v>40</v>
      </c>
      <c r="AA14">
        <v>25</v>
      </c>
      <c r="AB14">
        <v>-1</v>
      </c>
      <c r="AC14" t="s">
        <v>130</v>
      </c>
      <c r="AD14">
        <v>-1</v>
      </c>
      <c r="AE14">
        <v>80</v>
      </c>
      <c r="AF14">
        <v>1</v>
      </c>
      <c r="AG14">
        <v>1</v>
      </c>
    </row>
    <row r="15" spans="1:33" x14ac:dyDescent="0.25">
      <c r="A15">
        <v>13</v>
      </c>
      <c r="B15" t="s">
        <v>1248</v>
      </c>
      <c r="C15" t="s">
        <v>1501</v>
      </c>
      <c r="D15">
        <v>1002</v>
      </c>
      <c r="E15">
        <v>80</v>
      </c>
      <c r="F15">
        <v>80</v>
      </c>
      <c r="G15">
        <v>23</v>
      </c>
      <c r="H15" t="s">
        <v>1500</v>
      </c>
      <c r="I15">
        <v>86400</v>
      </c>
      <c r="J15">
        <v>5</v>
      </c>
      <c r="K15">
        <v>86400</v>
      </c>
      <c r="L15">
        <v>5</v>
      </c>
      <c r="M15">
        <v>0</v>
      </c>
      <c r="N15" t="s">
        <v>1503</v>
      </c>
      <c r="O15">
        <v>-1</v>
      </c>
      <c r="P15">
        <v>3010</v>
      </c>
      <c r="Q15">
        <v>-1</v>
      </c>
      <c r="R15">
        <v>-1</v>
      </c>
      <c r="S15">
        <v>-1</v>
      </c>
      <c r="T15">
        <v>-1</v>
      </c>
      <c r="U15" t="s">
        <v>1504</v>
      </c>
      <c r="V15">
        <v>1</v>
      </c>
      <c r="W15">
        <v>0</v>
      </c>
      <c r="X15" t="s">
        <v>1358</v>
      </c>
      <c r="Y15">
        <v>-20</v>
      </c>
      <c r="Z15">
        <v>58</v>
      </c>
      <c r="AA15">
        <v>25</v>
      </c>
      <c r="AB15">
        <v>-1</v>
      </c>
      <c r="AC15" t="s">
        <v>130</v>
      </c>
      <c r="AD15">
        <v>-1</v>
      </c>
      <c r="AE15">
        <v>90</v>
      </c>
      <c r="AF15">
        <v>1</v>
      </c>
      <c r="AG15">
        <v>1</v>
      </c>
    </row>
    <row r="16" spans="1:33" x14ac:dyDescent="0.25">
      <c r="A16">
        <v>14</v>
      </c>
      <c r="B16" t="s">
        <v>1248</v>
      </c>
      <c r="C16" t="s">
        <v>1545</v>
      </c>
      <c r="D16">
        <v>1007</v>
      </c>
      <c r="E16">
        <v>40</v>
      </c>
      <c r="F16">
        <v>60</v>
      </c>
      <c r="G16">
        <v>9</v>
      </c>
      <c r="H16" t="s">
        <v>1544</v>
      </c>
      <c r="I16">
        <v>14400</v>
      </c>
      <c r="J16">
        <v>5</v>
      </c>
      <c r="K16">
        <v>28800</v>
      </c>
      <c r="L16">
        <v>5</v>
      </c>
      <c r="M16">
        <v>0</v>
      </c>
      <c r="N16" t="s">
        <v>1546</v>
      </c>
      <c r="O16">
        <v>-1</v>
      </c>
      <c r="P16">
        <v>3011</v>
      </c>
      <c r="Q16">
        <v>-1</v>
      </c>
      <c r="R16">
        <v>-1</v>
      </c>
      <c r="S16">
        <v>-1</v>
      </c>
      <c r="T16">
        <v>-1</v>
      </c>
      <c r="U16" t="s">
        <v>1547</v>
      </c>
      <c r="V16">
        <v>1</v>
      </c>
      <c r="W16">
        <v>0</v>
      </c>
      <c r="X16" t="s">
        <v>1358</v>
      </c>
      <c r="Y16">
        <v>-20</v>
      </c>
      <c r="Z16">
        <v>20</v>
      </c>
      <c r="AA16">
        <v>25</v>
      </c>
      <c r="AB16">
        <v>-1</v>
      </c>
      <c r="AC16" t="s">
        <v>130</v>
      </c>
      <c r="AD16">
        <v>-1</v>
      </c>
      <c r="AE16">
        <v>60</v>
      </c>
      <c r="AF16">
        <v>1</v>
      </c>
      <c r="AG16">
        <v>1</v>
      </c>
    </row>
    <row r="17" spans="1:33" x14ac:dyDescent="0.25">
      <c r="A17">
        <v>15</v>
      </c>
      <c r="B17" t="s">
        <v>1248</v>
      </c>
      <c r="C17" t="s">
        <v>1506</v>
      </c>
      <c r="D17">
        <v>1012</v>
      </c>
      <c r="E17">
        <v>80</v>
      </c>
      <c r="F17">
        <v>80</v>
      </c>
      <c r="G17">
        <v>30</v>
      </c>
      <c r="H17" t="s">
        <v>1505</v>
      </c>
      <c r="I17">
        <v>86400</v>
      </c>
      <c r="J17">
        <v>5</v>
      </c>
      <c r="K17">
        <v>28800</v>
      </c>
      <c r="L17">
        <v>5</v>
      </c>
      <c r="M17">
        <v>0</v>
      </c>
      <c r="N17" t="s">
        <v>1508</v>
      </c>
      <c r="O17">
        <v>-1</v>
      </c>
      <c r="P17">
        <v>3012</v>
      </c>
      <c r="Q17">
        <v>-1</v>
      </c>
      <c r="R17">
        <v>-1</v>
      </c>
      <c r="S17">
        <v>-1</v>
      </c>
      <c r="T17">
        <v>-1</v>
      </c>
      <c r="U17" t="s">
        <v>1509</v>
      </c>
      <c r="V17">
        <v>1</v>
      </c>
      <c r="W17">
        <v>0</v>
      </c>
      <c r="X17" t="s">
        <v>1358</v>
      </c>
      <c r="Y17">
        <v>-20</v>
      </c>
      <c r="Z17">
        <v>40</v>
      </c>
      <c r="AA17">
        <v>25</v>
      </c>
      <c r="AB17">
        <v>-1</v>
      </c>
      <c r="AC17" t="s">
        <v>130</v>
      </c>
      <c r="AD17">
        <v>10</v>
      </c>
      <c r="AE17">
        <v>70</v>
      </c>
      <c r="AF17">
        <v>1</v>
      </c>
      <c r="AG17">
        <v>1</v>
      </c>
    </row>
    <row r="18" spans="1:33" x14ac:dyDescent="0.25">
      <c r="A18">
        <v>16</v>
      </c>
      <c r="B18" t="s">
        <v>1248</v>
      </c>
      <c r="C18" t="s">
        <v>1468</v>
      </c>
      <c r="D18">
        <v>1009</v>
      </c>
      <c r="E18">
        <v>60</v>
      </c>
      <c r="F18">
        <v>60</v>
      </c>
      <c r="G18">
        <v>1</v>
      </c>
      <c r="H18" t="s">
        <v>1467</v>
      </c>
      <c r="I18">
        <v>43200</v>
      </c>
      <c r="J18">
        <v>5</v>
      </c>
      <c r="K18">
        <v>86400</v>
      </c>
      <c r="L18">
        <v>5</v>
      </c>
      <c r="M18">
        <v>0</v>
      </c>
      <c r="N18" t="s">
        <v>1470</v>
      </c>
      <c r="O18">
        <v>-1</v>
      </c>
      <c r="P18">
        <v>3013</v>
      </c>
      <c r="Q18">
        <v>-1</v>
      </c>
      <c r="R18">
        <v>-1</v>
      </c>
      <c r="S18">
        <v>-1</v>
      </c>
      <c r="T18">
        <v>-1</v>
      </c>
      <c r="U18" t="s">
        <v>1471</v>
      </c>
      <c r="V18">
        <v>1</v>
      </c>
      <c r="W18">
        <v>0</v>
      </c>
      <c r="X18" t="s">
        <v>1358</v>
      </c>
      <c r="Y18">
        <v>-20</v>
      </c>
      <c r="Z18">
        <v>19</v>
      </c>
      <c r="AA18">
        <v>25</v>
      </c>
      <c r="AB18">
        <v>-1</v>
      </c>
      <c r="AC18" t="s">
        <v>130</v>
      </c>
      <c r="AD18">
        <v>-1</v>
      </c>
      <c r="AE18">
        <v>100</v>
      </c>
      <c r="AF18">
        <v>1</v>
      </c>
      <c r="AG18">
        <v>1</v>
      </c>
    </row>
    <row r="19" spans="1:33" x14ac:dyDescent="0.25">
      <c r="A19">
        <v>17</v>
      </c>
      <c r="B19" t="s">
        <v>1248</v>
      </c>
      <c r="C19" t="s">
        <v>1524</v>
      </c>
      <c r="D19">
        <v>1003</v>
      </c>
      <c r="E19">
        <v>60</v>
      </c>
      <c r="F19">
        <v>60</v>
      </c>
      <c r="G19">
        <v>1</v>
      </c>
      <c r="H19" t="s">
        <v>1523</v>
      </c>
      <c r="I19">
        <v>43200</v>
      </c>
      <c r="J19">
        <v>5</v>
      </c>
      <c r="K19">
        <v>43200</v>
      </c>
      <c r="L19">
        <v>5</v>
      </c>
      <c r="M19">
        <v>1</v>
      </c>
      <c r="N19" t="s">
        <v>1526</v>
      </c>
      <c r="O19">
        <v>-1</v>
      </c>
      <c r="P19">
        <v>3014</v>
      </c>
      <c r="Q19">
        <v>-1</v>
      </c>
      <c r="R19">
        <v>-1</v>
      </c>
      <c r="S19">
        <v>-1</v>
      </c>
      <c r="T19">
        <v>-1</v>
      </c>
      <c r="U19" t="s">
        <v>1527</v>
      </c>
      <c r="V19">
        <v>1</v>
      </c>
      <c r="W19">
        <v>0</v>
      </c>
      <c r="X19" t="s">
        <v>1358</v>
      </c>
      <c r="Y19">
        <v>-20</v>
      </c>
      <c r="Z19">
        <v>39</v>
      </c>
      <c r="AA19">
        <v>25</v>
      </c>
      <c r="AB19">
        <v>-1</v>
      </c>
      <c r="AC19" t="s">
        <v>130</v>
      </c>
      <c r="AD19">
        <v>-1</v>
      </c>
      <c r="AE19">
        <v>80</v>
      </c>
      <c r="AF19">
        <v>1</v>
      </c>
      <c r="AG19">
        <v>1</v>
      </c>
    </row>
    <row r="20" spans="1:33" x14ac:dyDescent="0.25">
      <c r="A20">
        <v>18</v>
      </c>
      <c r="B20" t="s">
        <v>1248</v>
      </c>
      <c r="C20" t="s">
        <v>1549</v>
      </c>
      <c r="D20">
        <v>1014</v>
      </c>
      <c r="E20">
        <v>40</v>
      </c>
      <c r="F20">
        <v>40</v>
      </c>
      <c r="G20">
        <v>26</v>
      </c>
      <c r="H20" t="s">
        <v>1548</v>
      </c>
      <c r="I20">
        <v>86400</v>
      </c>
      <c r="J20">
        <v>5</v>
      </c>
      <c r="K20">
        <v>43200</v>
      </c>
      <c r="L20">
        <v>5</v>
      </c>
      <c r="M20">
        <v>0</v>
      </c>
      <c r="N20" t="s">
        <v>1551</v>
      </c>
      <c r="O20">
        <v>-1</v>
      </c>
      <c r="P20">
        <v>3015</v>
      </c>
      <c r="Q20">
        <v>-1</v>
      </c>
      <c r="R20">
        <v>-1</v>
      </c>
      <c r="S20">
        <v>-1</v>
      </c>
      <c r="T20">
        <v>-1</v>
      </c>
      <c r="U20" t="s">
        <v>1552</v>
      </c>
      <c r="V20">
        <v>1</v>
      </c>
      <c r="W20">
        <v>0</v>
      </c>
      <c r="X20" t="s">
        <v>1358</v>
      </c>
      <c r="Y20">
        <v>0</v>
      </c>
      <c r="Z20">
        <v>20</v>
      </c>
      <c r="AA20">
        <v>25</v>
      </c>
      <c r="AB20">
        <v>-1</v>
      </c>
      <c r="AC20" t="s">
        <v>130</v>
      </c>
      <c r="AD20">
        <v>-1</v>
      </c>
      <c r="AE20">
        <v>75</v>
      </c>
      <c r="AF20">
        <v>1</v>
      </c>
      <c r="AG20">
        <v>1</v>
      </c>
    </row>
    <row r="21" spans="1:33" x14ac:dyDescent="0.25">
      <c r="A21">
        <v>19</v>
      </c>
      <c r="B21" t="s">
        <v>1248</v>
      </c>
      <c r="C21" t="s">
        <v>1565</v>
      </c>
      <c r="D21">
        <v>1016</v>
      </c>
      <c r="E21">
        <v>40</v>
      </c>
      <c r="F21">
        <v>40</v>
      </c>
      <c r="G21">
        <v>7</v>
      </c>
      <c r="H21" t="s">
        <v>1564</v>
      </c>
      <c r="I21">
        <v>43200</v>
      </c>
      <c r="J21">
        <v>5</v>
      </c>
      <c r="K21">
        <v>3600</v>
      </c>
      <c r="L21">
        <v>5</v>
      </c>
      <c r="M21">
        <v>1</v>
      </c>
      <c r="N21" t="s">
        <v>1567</v>
      </c>
      <c r="O21">
        <v>-1</v>
      </c>
      <c r="P21">
        <v>3016</v>
      </c>
      <c r="Q21">
        <v>-1</v>
      </c>
      <c r="R21">
        <v>-1</v>
      </c>
      <c r="S21">
        <v>-1</v>
      </c>
      <c r="T21">
        <v>-1</v>
      </c>
      <c r="U21" t="s">
        <v>59</v>
      </c>
      <c r="V21">
        <v>1</v>
      </c>
      <c r="W21">
        <v>0</v>
      </c>
      <c r="X21" t="s">
        <v>1358</v>
      </c>
      <c r="Y21">
        <v>-10</v>
      </c>
      <c r="Z21">
        <v>10</v>
      </c>
      <c r="AA21">
        <v>25</v>
      </c>
      <c r="AB21">
        <v>6</v>
      </c>
      <c r="AC21" t="s">
        <v>130</v>
      </c>
      <c r="AD21">
        <v>-1</v>
      </c>
      <c r="AE21">
        <v>25</v>
      </c>
      <c r="AF21">
        <v>1</v>
      </c>
      <c r="AG21">
        <v>1</v>
      </c>
    </row>
    <row r="22" spans="1:33" x14ac:dyDescent="0.25">
      <c r="A22">
        <v>20</v>
      </c>
      <c r="B22" t="s">
        <v>1248</v>
      </c>
      <c r="C22" t="s">
        <v>1569</v>
      </c>
      <c r="D22">
        <v>1025</v>
      </c>
      <c r="E22">
        <v>40</v>
      </c>
      <c r="F22">
        <v>40</v>
      </c>
      <c r="G22">
        <v>1</v>
      </c>
      <c r="H22" t="s">
        <v>1568</v>
      </c>
      <c r="I22">
        <v>43200</v>
      </c>
      <c r="J22">
        <v>5</v>
      </c>
      <c r="K22">
        <v>10800</v>
      </c>
      <c r="L22">
        <v>5</v>
      </c>
      <c r="M22">
        <v>1</v>
      </c>
      <c r="N22" t="s">
        <v>1571</v>
      </c>
      <c r="O22">
        <v>-1</v>
      </c>
      <c r="P22">
        <v>3017</v>
      </c>
      <c r="Q22">
        <v>-1</v>
      </c>
      <c r="R22">
        <v>-1</v>
      </c>
      <c r="S22">
        <v>-1</v>
      </c>
      <c r="T22">
        <v>-1</v>
      </c>
      <c r="U22" t="s">
        <v>1572</v>
      </c>
      <c r="V22">
        <v>1</v>
      </c>
      <c r="W22">
        <v>0</v>
      </c>
      <c r="X22" t="s">
        <v>1358</v>
      </c>
      <c r="Y22">
        <v>-10</v>
      </c>
      <c r="Z22">
        <v>10</v>
      </c>
      <c r="AA22">
        <v>25</v>
      </c>
      <c r="AB22">
        <v>-1</v>
      </c>
      <c r="AC22" t="s">
        <v>130</v>
      </c>
      <c r="AD22">
        <v>-1</v>
      </c>
      <c r="AE22">
        <v>50</v>
      </c>
      <c r="AF22">
        <v>1</v>
      </c>
      <c r="AG22">
        <v>1</v>
      </c>
    </row>
    <row r="23" spans="1:33" x14ac:dyDescent="0.25">
      <c r="A23">
        <v>21</v>
      </c>
      <c r="B23" t="s">
        <v>1248</v>
      </c>
      <c r="C23" t="s">
        <v>1374</v>
      </c>
      <c r="D23">
        <v>9002</v>
      </c>
      <c r="E23">
        <v>40</v>
      </c>
      <c r="F23">
        <v>40</v>
      </c>
      <c r="G23">
        <v>21</v>
      </c>
      <c r="H23" t="s">
        <v>1373</v>
      </c>
      <c r="I23">
        <v>86400</v>
      </c>
      <c r="J23">
        <v>5</v>
      </c>
      <c r="K23">
        <v>10800</v>
      </c>
      <c r="L23">
        <v>5</v>
      </c>
      <c r="M23">
        <v>1</v>
      </c>
      <c r="N23" t="s">
        <v>59</v>
      </c>
      <c r="O23">
        <v>-1</v>
      </c>
      <c r="P23">
        <v>3019</v>
      </c>
      <c r="Q23">
        <v>-1</v>
      </c>
      <c r="R23">
        <v>-1</v>
      </c>
      <c r="S23">
        <v>-1</v>
      </c>
      <c r="T23">
        <v>-1</v>
      </c>
      <c r="U23" t="s">
        <v>59</v>
      </c>
      <c r="V23">
        <v>0</v>
      </c>
      <c r="W23">
        <v>0</v>
      </c>
      <c r="X23" t="s">
        <v>1358</v>
      </c>
      <c r="Y23">
        <v>-10</v>
      </c>
      <c r="Z23">
        <v>20</v>
      </c>
      <c r="AA23">
        <v>25</v>
      </c>
      <c r="AB23">
        <v>-1</v>
      </c>
      <c r="AC23" t="s">
        <v>130</v>
      </c>
      <c r="AD23">
        <v>-1</v>
      </c>
      <c r="AE23">
        <v>50</v>
      </c>
      <c r="AF23">
        <v>1</v>
      </c>
      <c r="AG23">
        <v>1</v>
      </c>
    </row>
    <row r="24" spans="1:33" x14ac:dyDescent="0.25">
      <c r="A24">
        <v>22</v>
      </c>
      <c r="B24" t="s">
        <v>1248</v>
      </c>
      <c r="C24" t="s">
        <v>1360</v>
      </c>
      <c r="D24">
        <v>1023</v>
      </c>
      <c r="E24">
        <v>20</v>
      </c>
      <c r="F24">
        <v>40</v>
      </c>
      <c r="G24">
        <v>3</v>
      </c>
      <c r="H24" t="s">
        <v>1359</v>
      </c>
      <c r="I24">
        <v>900</v>
      </c>
      <c r="J24">
        <v>5</v>
      </c>
      <c r="K24">
        <v>10800</v>
      </c>
      <c r="L24">
        <v>5</v>
      </c>
      <c r="M24">
        <v>1</v>
      </c>
      <c r="N24" t="s">
        <v>1361</v>
      </c>
      <c r="O24">
        <v>-1</v>
      </c>
      <c r="P24">
        <v>3020</v>
      </c>
      <c r="Q24">
        <v>-1</v>
      </c>
      <c r="R24">
        <v>-1</v>
      </c>
      <c r="S24">
        <v>-1</v>
      </c>
      <c r="T24">
        <v>-1</v>
      </c>
      <c r="U24" t="s">
        <v>59</v>
      </c>
      <c r="V24">
        <v>0</v>
      </c>
      <c r="W24">
        <v>0</v>
      </c>
      <c r="X24" t="s">
        <v>1358</v>
      </c>
      <c r="Y24">
        <v>-20</v>
      </c>
      <c r="Z24">
        <v>10</v>
      </c>
      <c r="AA24">
        <v>25</v>
      </c>
      <c r="AB24">
        <v>-1</v>
      </c>
      <c r="AC24" t="s">
        <v>130</v>
      </c>
      <c r="AD24">
        <v>-1</v>
      </c>
      <c r="AE24">
        <v>40</v>
      </c>
      <c r="AF24">
        <v>1</v>
      </c>
      <c r="AG24">
        <v>1</v>
      </c>
    </row>
    <row r="25" spans="1:33" x14ac:dyDescent="0.25">
      <c r="A25">
        <v>23</v>
      </c>
      <c r="B25" t="s">
        <v>1248</v>
      </c>
      <c r="C25" t="s">
        <v>1370</v>
      </c>
      <c r="D25">
        <v>9000</v>
      </c>
      <c r="E25">
        <v>40</v>
      </c>
      <c r="F25">
        <v>40</v>
      </c>
      <c r="G25">
        <v>14</v>
      </c>
      <c r="H25" t="s">
        <v>1369</v>
      </c>
      <c r="I25">
        <v>86400</v>
      </c>
      <c r="J25">
        <v>5</v>
      </c>
      <c r="K25">
        <v>43200</v>
      </c>
      <c r="L25">
        <v>5</v>
      </c>
      <c r="M25">
        <v>1</v>
      </c>
      <c r="N25" t="s">
        <v>59</v>
      </c>
      <c r="O25">
        <v>-1</v>
      </c>
      <c r="P25">
        <v>3030</v>
      </c>
      <c r="Q25">
        <v>-1</v>
      </c>
      <c r="R25">
        <v>-1</v>
      </c>
      <c r="S25">
        <v>-1</v>
      </c>
      <c r="T25">
        <v>-1</v>
      </c>
      <c r="U25" t="s">
        <v>59</v>
      </c>
      <c r="V25">
        <v>0</v>
      </c>
      <c r="W25">
        <v>0</v>
      </c>
      <c r="X25" t="s">
        <v>1358</v>
      </c>
      <c r="Y25">
        <v>-10</v>
      </c>
      <c r="Z25">
        <v>20</v>
      </c>
      <c r="AA25">
        <v>25</v>
      </c>
      <c r="AB25">
        <v>-1</v>
      </c>
      <c r="AC25" t="s">
        <v>130</v>
      </c>
      <c r="AD25">
        <v>-1</v>
      </c>
      <c r="AE25">
        <v>70</v>
      </c>
      <c r="AF25">
        <v>1</v>
      </c>
      <c r="AG25">
        <v>1</v>
      </c>
    </row>
    <row r="26" spans="1:33" x14ac:dyDescent="0.25">
      <c r="A26">
        <v>24</v>
      </c>
      <c r="B26" t="s">
        <v>1248</v>
      </c>
      <c r="C26" t="s">
        <v>1376</v>
      </c>
      <c r="D26">
        <v>9003</v>
      </c>
      <c r="E26">
        <v>40</v>
      </c>
      <c r="F26">
        <v>40</v>
      </c>
      <c r="G26">
        <v>22</v>
      </c>
      <c r="H26" t="s">
        <v>1375</v>
      </c>
      <c r="I26">
        <v>86400</v>
      </c>
      <c r="J26">
        <v>5</v>
      </c>
      <c r="K26">
        <v>1800</v>
      </c>
      <c r="L26">
        <v>5</v>
      </c>
      <c r="M26">
        <v>1</v>
      </c>
      <c r="N26" t="s">
        <v>59</v>
      </c>
      <c r="O26">
        <v>-1</v>
      </c>
      <c r="P26">
        <v>3031</v>
      </c>
      <c r="Q26">
        <v>-1</v>
      </c>
      <c r="R26">
        <v>-1</v>
      </c>
      <c r="S26">
        <v>-1</v>
      </c>
      <c r="T26">
        <v>-1</v>
      </c>
      <c r="U26" t="s">
        <v>59</v>
      </c>
      <c r="V26">
        <v>0</v>
      </c>
      <c r="W26">
        <v>0</v>
      </c>
      <c r="X26" t="s">
        <v>1358</v>
      </c>
      <c r="Y26">
        <v>-20</v>
      </c>
      <c r="Z26">
        <v>10</v>
      </c>
      <c r="AA26">
        <v>25</v>
      </c>
      <c r="AB26">
        <v>-1</v>
      </c>
      <c r="AC26" t="s">
        <v>130</v>
      </c>
      <c r="AD26">
        <v>-1</v>
      </c>
      <c r="AE26">
        <v>15</v>
      </c>
      <c r="AF26">
        <v>1</v>
      </c>
      <c r="AG26">
        <v>1</v>
      </c>
    </row>
    <row r="27" spans="1:33" x14ac:dyDescent="0.25">
      <c r="A27">
        <v>25</v>
      </c>
      <c r="B27" t="s">
        <v>1248</v>
      </c>
      <c r="C27" t="s">
        <v>1382</v>
      </c>
      <c r="D27">
        <v>9006</v>
      </c>
      <c r="E27">
        <v>20</v>
      </c>
      <c r="F27">
        <v>40</v>
      </c>
      <c r="G27">
        <v>12</v>
      </c>
      <c r="H27" t="s">
        <v>1381</v>
      </c>
      <c r="I27">
        <v>86400</v>
      </c>
      <c r="J27">
        <v>5</v>
      </c>
      <c r="K27">
        <v>28800</v>
      </c>
      <c r="L27">
        <v>5</v>
      </c>
      <c r="M27">
        <v>1</v>
      </c>
      <c r="N27" t="s">
        <v>59</v>
      </c>
      <c r="O27">
        <v>-1</v>
      </c>
      <c r="P27">
        <v>3032</v>
      </c>
      <c r="Q27">
        <v>-1</v>
      </c>
      <c r="R27">
        <v>-1</v>
      </c>
      <c r="S27">
        <v>-1</v>
      </c>
      <c r="T27">
        <v>-1</v>
      </c>
      <c r="U27" t="s">
        <v>59</v>
      </c>
      <c r="V27">
        <v>0</v>
      </c>
      <c r="W27">
        <v>0</v>
      </c>
      <c r="X27" t="s">
        <v>1358</v>
      </c>
      <c r="Y27">
        <v>-20</v>
      </c>
      <c r="Z27">
        <v>10</v>
      </c>
      <c r="AA27">
        <v>25</v>
      </c>
      <c r="AB27">
        <v>-1</v>
      </c>
      <c r="AC27" t="s">
        <v>130</v>
      </c>
      <c r="AD27">
        <v>-1</v>
      </c>
      <c r="AE27">
        <v>65</v>
      </c>
      <c r="AF27">
        <v>1</v>
      </c>
      <c r="AG27">
        <v>1</v>
      </c>
    </row>
    <row r="28" spans="1:33" x14ac:dyDescent="0.25">
      <c r="A28">
        <v>26</v>
      </c>
      <c r="B28" t="s">
        <v>1248</v>
      </c>
      <c r="C28" t="s">
        <v>1384</v>
      </c>
      <c r="D28">
        <v>9009</v>
      </c>
      <c r="E28">
        <v>40</v>
      </c>
      <c r="F28">
        <v>40</v>
      </c>
      <c r="G28">
        <v>11</v>
      </c>
      <c r="H28" t="s">
        <v>1383</v>
      </c>
      <c r="I28">
        <v>43200</v>
      </c>
      <c r="J28">
        <v>5</v>
      </c>
      <c r="K28">
        <v>21600</v>
      </c>
      <c r="L28">
        <v>5</v>
      </c>
      <c r="M28">
        <v>1</v>
      </c>
      <c r="N28" t="s">
        <v>1357</v>
      </c>
      <c r="O28">
        <v>-1</v>
      </c>
      <c r="P28">
        <v>3033</v>
      </c>
      <c r="Q28">
        <v>-1</v>
      </c>
      <c r="R28">
        <v>-1</v>
      </c>
      <c r="S28">
        <v>-1</v>
      </c>
      <c r="T28">
        <v>-1</v>
      </c>
      <c r="U28" t="s">
        <v>59</v>
      </c>
      <c r="V28">
        <v>0</v>
      </c>
      <c r="W28">
        <v>0</v>
      </c>
      <c r="X28" t="s">
        <v>1358</v>
      </c>
      <c r="Y28">
        <v>-10</v>
      </c>
      <c r="Z28">
        <v>20</v>
      </c>
      <c r="AA28">
        <v>25</v>
      </c>
      <c r="AB28">
        <v>-1</v>
      </c>
      <c r="AC28" t="s">
        <v>130</v>
      </c>
      <c r="AD28">
        <v>-1</v>
      </c>
      <c r="AE28">
        <v>55</v>
      </c>
      <c r="AF28">
        <v>1</v>
      </c>
      <c r="AG28">
        <v>1</v>
      </c>
    </row>
    <row r="29" spans="1:33" x14ac:dyDescent="0.25">
      <c r="A29">
        <v>27</v>
      </c>
      <c r="B29" t="s">
        <v>1248</v>
      </c>
      <c r="C29" t="s">
        <v>1363</v>
      </c>
      <c r="D29">
        <v>1031</v>
      </c>
      <c r="E29">
        <v>40</v>
      </c>
      <c r="F29">
        <v>40</v>
      </c>
      <c r="G29">
        <v>2</v>
      </c>
      <c r="H29" t="s">
        <v>1362</v>
      </c>
      <c r="I29">
        <v>300</v>
      </c>
      <c r="J29">
        <v>5</v>
      </c>
      <c r="K29">
        <v>3600</v>
      </c>
      <c r="L29">
        <v>5</v>
      </c>
      <c r="M29">
        <v>1</v>
      </c>
      <c r="N29" t="s">
        <v>1361</v>
      </c>
      <c r="O29">
        <v>-1</v>
      </c>
      <c r="P29">
        <v>3034</v>
      </c>
      <c r="Q29">
        <v>-1</v>
      </c>
      <c r="R29">
        <v>-1</v>
      </c>
      <c r="S29">
        <v>-1</v>
      </c>
      <c r="T29">
        <v>-1</v>
      </c>
      <c r="U29" t="s">
        <v>59</v>
      </c>
      <c r="V29">
        <v>0</v>
      </c>
      <c r="W29">
        <v>0</v>
      </c>
      <c r="X29" t="s">
        <v>1358</v>
      </c>
      <c r="Y29">
        <v>-10</v>
      </c>
      <c r="Z29">
        <v>20</v>
      </c>
      <c r="AA29">
        <v>25</v>
      </c>
      <c r="AB29">
        <v>-1</v>
      </c>
      <c r="AC29" t="s">
        <v>130</v>
      </c>
      <c r="AD29">
        <v>-1</v>
      </c>
      <c r="AE29">
        <v>20</v>
      </c>
      <c r="AF29">
        <v>1</v>
      </c>
      <c r="AG29">
        <v>1</v>
      </c>
    </row>
    <row r="30" spans="1:33" x14ac:dyDescent="0.25">
      <c r="A30">
        <v>28</v>
      </c>
      <c r="B30" t="s">
        <v>1248</v>
      </c>
      <c r="C30" t="s">
        <v>1481</v>
      </c>
      <c r="D30">
        <v>9038</v>
      </c>
      <c r="E30">
        <v>40</v>
      </c>
      <c r="F30">
        <v>60</v>
      </c>
      <c r="G30">
        <v>-1</v>
      </c>
      <c r="H30" t="s">
        <v>1480</v>
      </c>
      <c r="I30">
        <v>3600</v>
      </c>
      <c r="J30">
        <v>5</v>
      </c>
      <c r="K30">
        <v>86400</v>
      </c>
      <c r="L30">
        <v>5</v>
      </c>
      <c r="M30">
        <v>1</v>
      </c>
      <c r="N30" t="s">
        <v>1436</v>
      </c>
      <c r="O30">
        <v>-1</v>
      </c>
      <c r="P30">
        <v>3041</v>
      </c>
      <c r="Q30">
        <v>-1</v>
      </c>
      <c r="R30">
        <v>-1</v>
      </c>
      <c r="S30">
        <v>-1</v>
      </c>
      <c r="T30">
        <v>-1</v>
      </c>
      <c r="U30" t="s">
        <v>59</v>
      </c>
      <c r="V30">
        <v>1</v>
      </c>
      <c r="W30">
        <v>0</v>
      </c>
      <c r="X30" t="s">
        <v>1358</v>
      </c>
      <c r="Y30">
        <v>-10</v>
      </c>
      <c r="Z30">
        <v>10</v>
      </c>
      <c r="AA30">
        <v>5</v>
      </c>
      <c r="AB30">
        <v>-1</v>
      </c>
      <c r="AC30" t="s">
        <v>130</v>
      </c>
      <c r="AD30">
        <v>-1</v>
      </c>
      <c r="AE30">
        <v>100</v>
      </c>
      <c r="AF30">
        <v>1</v>
      </c>
      <c r="AG30">
        <v>1</v>
      </c>
    </row>
    <row r="31" spans="1:33" x14ac:dyDescent="0.25">
      <c r="A31">
        <v>29</v>
      </c>
      <c r="B31" t="s">
        <v>1248</v>
      </c>
      <c r="C31" t="s">
        <v>1473</v>
      </c>
      <c r="D31">
        <v>9040</v>
      </c>
      <c r="E31">
        <v>40</v>
      </c>
      <c r="F31">
        <v>60</v>
      </c>
      <c r="G31">
        <v>-1</v>
      </c>
      <c r="H31" t="s">
        <v>1472</v>
      </c>
      <c r="I31">
        <v>86400</v>
      </c>
      <c r="J31">
        <v>5</v>
      </c>
      <c r="K31">
        <v>86400</v>
      </c>
      <c r="L31">
        <v>5</v>
      </c>
      <c r="M31">
        <v>1</v>
      </c>
      <c r="N31" t="s">
        <v>1436</v>
      </c>
      <c r="O31">
        <v>-1</v>
      </c>
      <c r="P31">
        <v>3042</v>
      </c>
      <c r="Q31">
        <v>-1</v>
      </c>
      <c r="R31">
        <v>-1</v>
      </c>
      <c r="S31">
        <v>-1</v>
      </c>
      <c r="T31">
        <v>-1</v>
      </c>
      <c r="U31" t="s">
        <v>59</v>
      </c>
      <c r="V31">
        <v>1</v>
      </c>
      <c r="W31">
        <v>0</v>
      </c>
      <c r="X31" t="s">
        <v>1358</v>
      </c>
      <c r="Y31">
        <v>-10</v>
      </c>
      <c r="Z31">
        <v>10</v>
      </c>
      <c r="AA31">
        <v>5</v>
      </c>
      <c r="AB31">
        <v>-1</v>
      </c>
      <c r="AC31" t="s">
        <v>130</v>
      </c>
      <c r="AD31">
        <v>-1</v>
      </c>
      <c r="AE31">
        <v>100</v>
      </c>
      <c r="AF31">
        <v>1</v>
      </c>
      <c r="AG31">
        <v>1</v>
      </c>
    </row>
    <row r="32" spans="1:33" x14ac:dyDescent="0.25">
      <c r="A32">
        <v>30</v>
      </c>
      <c r="B32" t="s">
        <v>1248</v>
      </c>
      <c r="C32" t="s">
        <v>1486</v>
      </c>
      <c r="D32">
        <v>9039</v>
      </c>
      <c r="E32">
        <v>60</v>
      </c>
      <c r="F32">
        <v>60</v>
      </c>
      <c r="G32">
        <v>1</v>
      </c>
      <c r="H32" t="s">
        <v>1485</v>
      </c>
      <c r="I32">
        <v>86400</v>
      </c>
      <c r="J32">
        <v>5</v>
      </c>
      <c r="K32">
        <v>86400</v>
      </c>
      <c r="L32">
        <v>5</v>
      </c>
      <c r="M32">
        <v>1</v>
      </c>
      <c r="N32" t="s">
        <v>1436</v>
      </c>
      <c r="O32">
        <v>-1</v>
      </c>
      <c r="P32">
        <v>3043</v>
      </c>
      <c r="Q32">
        <v>-1</v>
      </c>
      <c r="R32">
        <v>-1</v>
      </c>
      <c r="S32">
        <v>-1</v>
      </c>
      <c r="T32">
        <v>-1</v>
      </c>
      <c r="U32" t="s">
        <v>59</v>
      </c>
      <c r="V32">
        <v>1</v>
      </c>
      <c r="W32">
        <v>0</v>
      </c>
      <c r="X32" t="s">
        <v>1358</v>
      </c>
      <c r="Y32">
        <v>-10</v>
      </c>
      <c r="Z32">
        <v>10</v>
      </c>
      <c r="AA32">
        <v>5</v>
      </c>
      <c r="AB32">
        <v>-1</v>
      </c>
      <c r="AC32" t="s">
        <v>130</v>
      </c>
      <c r="AD32">
        <v>-1</v>
      </c>
      <c r="AE32">
        <v>100</v>
      </c>
      <c r="AF32">
        <v>1</v>
      </c>
      <c r="AG32">
        <v>1</v>
      </c>
    </row>
    <row r="33" spans="1:33" x14ac:dyDescent="0.25">
      <c r="A33">
        <v>31</v>
      </c>
      <c r="B33" t="s">
        <v>1248</v>
      </c>
      <c r="C33" t="s">
        <v>1380</v>
      </c>
      <c r="D33">
        <v>9005</v>
      </c>
      <c r="E33">
        <v>40</v>
      </c>
      <c r="F33">
        <v>40</v>
      </c>
      <c r="G33">
        <v>27</v>
      </c>
      <c r="H33" t="s">
        <v>1379</v>
      </c>
      <c r="I33">
        <v>86400</v>
      </c>
      <c r="J33">
        <v>5</v>
      </c>
      <c r="K33">
        <v>10800</v>
      </c>
      <c r="L33">
        <v>5</v>
      </c>
      <c r="M33">
        <v>1</v>
      </c>
      <c r="N33" t="s">
        <v>59</v>
      </c>
      <c r="O33">
        <v>-1</v>
      </c>
      <c r="P33">
        <v>30201</v>
      </c>
      <c r="Q33">
        <v>-1</v>
      </c>
      <c r="R33">
        <v>-1</v>
      </c>
      <c r="S33">
        <v>-1</v>
      </c>
      <c r="T33">
        <v>-1</v>
      </c>
      <c r="U33" t="s">
        <v>59</v>
      </c>
      <c r="V33">
        <v>0</v>
      </c>
      <c r="W33">
        <v>0</v>
      </c>
      <c r="X33" t="s">
        <v>1358</v>
      </c>
      <c r="Y33">
        <v>-20</v>
      </c>
      <c r="Z33">
        <v>10</v>
      </c>
      <c r="AA33">
        <v>25</v>
      </c>
      <c r="AB33">
        <v>-1</v>
      </c>
      <c r="AC33" t="s">
        <v>130</v>
      </c>
      <c r="AD33">
        <v>-1</v>
      </c>
      <c r="AE33">
        <v>55</v>
      </c>
      <c r="AF33">
        <v>1</v>
      </c>
      <c r="AG33">
        <v>1</v>
      </c>
    </row>
    <row r="34" spans="1:33" x14ac:dyDescent="0.25">
      <c r="A34">
        <v>32</v>
      </c>
      <c r="B34" t="s">
        <v>1248</v>
      </c>
      <c r="C34" t="s">
        <v>1368</v>
      </c>
      <c r="D34">
        <v>1051</v>
      </c>
      <c r="E34">
        <v>40</v>
      </c>
      <c r="F34">
        <v>40</v>
      </c>
      <c r="G34">
        <v>31</v>
      </c>
      <c r="H34" t="s">
        <v>1367</v>
      </c>
      <c r="I34">
        <v>86400</v>
      </c>
      <c r="J34">
        <v>5</v>
      </c>
      <c r="K34">
        <v>86400</v>
      </c>
      <c r="L34">
        <v>5</v>
      </c>
      <c r="M34">
        <v>1</v>
      </c>
      <c r="N34" t="s">
        <v>59</v>
      </c>
      <c r="O34">
        <v>-1</v>
      </c>
      <c r="P34">
        <v>30301</v>
      </c>
      <c r="Q34">
        <v>-1</v>
      </c>
      <c r="R34">
        <v>-1</v>
      </c>
      <c r="S34">
        <v>-1</v>
      </c>
      <c r="T34">
        <v>-1</v>
      </c>
      <c r="U34" t="s">
        <v>59</v>
      </c>
      <c r="V34">
        <v>0</v>
      </c>
      <c r="W34">
        <v>0</v>
      </c>
      <c r="X34" t="s">
        <v>1358</v>
      </c>
      <c r="Y34">
        <v>-10</v>
      </c>
      <c r="Z34">
        <v>20</v>
      </c>
      <c r="AA34">
        <v>25</v>
      </c>
      <c r="AB34">
        <v>-1</v>
      </c>
      <c r="AC34" t="s">
        <v>130</v>
      </c>
      <c r="AD34">
        <v>-1</v>
      </c>
      <c r="AE34">
        <v>100</v>
      </c>
      <c r="AF34">
        <v>1</v>
      </c>
      <c r="AG34">
        <v>1</v>
      </c>
    </row>
    <row r="35" spans="1:33" x14ac:dyDescent="0.25">
      <c r="A35">
        <v>33</v>
      </c>
      <c r="B35" t="s">
        <v>1248</v>
      </c>
      <c r="C35" t="s">
        <v>1372</v>
      </c>
      <c r="D35">
        <v>9001</v>
      </c>
      <c r="E35">
        <v>40</v>
      </c>
      <c r="F35">
        <v>40</v>
      </c>
      <c r="G35">
        <v>16</v>
      </c>
      <c r="H35" t="s">
        <v>1371</v>
      </c>
      <c r="I35">
        <v>86400</v>
      </c>
      <c r="J35">
        <v>5</v>
      </c>
      <c r="K35">
        <v>10800</v>
      </c>
      <c r="L35">
        <v>5</v>
      </c>
      <c r="M35">
        <v>1</v>
      </c>
      <c r="N35" t="s">
        <v>59</v>
      </c>
      <c r="O35">
        <v>-1</v>
      </c>
      <c r="P35">
        <v>30321</v>
      </c>
      <c r="Q35">
        <v>-1</v>
      </c>
      <c r="R35">
        <v>-1</v>
      </c>
      <c r="S35">
        <v>-1</v>
      </c>
      <c r="T35">
        <v>-1</v>
      </c>
      <c r="U35" t="s">
        <v>59</v>
      </c>
      <c r="V35">
        <v>0</v>
      </c>
      <c r="W35">
        <v>0</v>
      </c>
      <c r="X35" t="s">
        <v>1358</v>
      </c>
      <c r="Y35">
        <v>-20</v>
      </c>
      <c r="Z35">
        <v>10</v>
      </c>
      <c r="AA35">
        <v>25</v>
      </c>
      <c r="AB35">
        <v>-1</v>
      </c>
      <c r="AC35" t="s">
        <v>130</v>
      </c>
      <c r="AD35">
        <v>-1</v>
      </c>
      <c r="AE35">
        <v>45</v>
      </c>
      <c r="AF35">
        <v>1</v>
      </c>
      <c r="AG35">
        <v>1</v>
      </c>
    </row>
    <row r="36" spans="1:33" x14ac:dyDescent="0.25">
      <c r="A36">
        <v>34</v>
      </c>
      <c r="B36" t="s">
        <v>1248</v>
      </c>
      <c r="C36" t="s">
        <v>1366</v>
      </c>
      <c r="D36">
        <v>1050</v>
      </c>
      <c r="E36">
        <v>40</v>
      </c>
      <c r="F36">
        <v>40</v>
      </c>
      <c r="G36">
        <v>29</v>
      </c>
      <c r="H36" t="s">
        <v>1365</v>
      </c>
      <c r="I36">
        <v>86400</v>
      </c>
      <c r="J36">
        <v>5</v>
      </c>
      <c r="K36">
        <v>21600</v>
      </c>
      <c r="L36">
        <v>5</v>
      </c>
      <c r="M36">
        <v>1</v>
      </c>
      <c r="N36" t="s">
        <v>59</v>
      </c>
      <c r="O36">
        <v>-1</v>
      </c>
      <c r="P36">
        <v>30341</v>
      </c>
      <c r="Q36">
        <v>-1</v>
      </c>
      <c r="R36">
        <v>-1</v>
      </c>
      <c r="S36">
        <v>-1</v>
      </c>
      <c r="T36">
        <v>-1</v>
      </c>
      <c r="U36" t="s">
        <v>59</v>
      </c>
      <c r="V36">
        <v>0</v>
      </c>
      <c r="W36">
        <v>0</v>
      </c>
      <c r="X36" t="s">
        <v>1358</v>
      </c>
      <c r="Y36">
        <v>-10</v>
      </c>
      <c r="Z36">
        <v>20</v>
      </c>
      <c r="AA36">
        <v>25</v>
      </c>
      <c r="AB36">
        <v>-1</v>
      </c>
      <c r="AC36" t="s">
        <v>130</v>
      </c>
      <c r="AD36">
        <v>-1</v>
      </c>
      <c r="AE36">
        <v>60</v>
      </c>
      <c r="AF36">
        <v>1</v>
      </c>
      <c r="AG36">
        <v>1</v>
      </c>
    </row>
  </sheetData>
  <conditionalFormatting sqref="A1:AB36 AD1:AG36">
    <cfRule type="cellIs" dxfId="29" priority="2" operator="equal">
      <formula>-9999</formula>
    </cfRule>
  </conditionalFormatting>
  <conditionalFormatting sqref="AC1:AC36">
    <cfRule type="cellIs" dxfId="28" priority="1" operator="equal">
      <formula>-9999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29"/>
  <sheetViews>
    <sheetView zoomScale="60" zoomScaleNormal="60" workbookViewId="0">
      <pane xSplit="3" ySplit="2" topLeftCell="R3" activePane="bottomRight" state="frozen"/>
      <selection pane="topRight" activeCell="D1" sqref="D1"/>
      <selection pane="bottomLeft" activeCell="A3" sqref="A3"/>
      <selection pane="bottomRight" activeCell="AI36" sqref="AI36"/>
    </sheetView>
  </sheetViews>
  <sheetFormatPr defaultRowHeight="15" x14ac:dyDescent="0.25"/>
  <cols>
    <col min="3" max="3" width="47" bestFit="1" customWidth="1"/>
    <col min="19" max="19" width="12" customWidth="1"/>
    <col min="29" max="60" width="10.85546875" customWidth="1"/>
  </cols>
  <sheetData>
    <row r="1" spans="1:60" s="1" customFormat="1" ht="75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2146</v>
      </c>
      <c r="H1" s="1" t="s">
        <v>2186</v>
      </c>
      <c r="I1" s="1" t="s">
        <v>2192</v>
      </c>
      <c r="J1" s="1" t="s">
        <v>2195</v>
      </c>
      <c r="K1" s="1" t="s">
        <v>2193</v>
      </c>
      <c r="L1" s="1" t="s">
        <v>2196</v>
      </c>
      <c r="M1" s="1" t="s">
        <v>2187</v>
      </c>
      <c r="N1" s="1" t="s">
        <v>2190</v>
      </c>
      <c r="O1" s="1" t="s">
        <v>2201</v>
      </c>
      <c r="P1" s="1" t="s">
        <v>2203</v>
      </c>
      <c r="Q1" s="1" t="s">
        <v>2209</v>
      </c>
      <c r="R1" s="1" t="s">
        <v>2206</v>
      </c>
      <c r="S1" s="1" t="s">
        <v>2210</v>
      </c>
      <c r="T1" s="1" t="s">
        <v>2147</v>
      </c>
      <c r="U1" s="1" t="s">
        <v>2148</v>
      </c>
      <c r="V1" s="1" t="s">
        <v>2149</v>
      </c>
      <c r="W1" s="1" t="s">
        <v>2207</v>
      </c>
      <c r="X1" s="1" t="s">
        <v>5485</v>
      </c>
      <c r="Y1" s="1" t="s">
        <v>2245</v>
      </c>
      <c r="Z1" s="1" t="s">
        <v>2211</v>
      </c>
      <c r="AA1" s="1" t="s">
        <v>2212</v>
      </c>
      <c r="AB1" s="1" t="s">
        <v>5484</v>
      </c>
      <c r="AC1" s="1" t="s">
        <v>2213</v>
      </c>
      <c r="AD1" s="1" t="s">
        <v>2214</v>
      </c>
      <c r="AE1" s="1" t="s">
        <v>2215</v>
      </c>
      <c r="AF1" s="1" t="s">
        <v>2216</v>
      </c>
      <c r="AG1" s="1" t="s">
        <v>2217</v>
      </c>
      <c r="AH1" s="1" t="s">
        <v>2218</v>
      </c>
      <c r="AI1" s="1" t="s">
        <v>2219</v>
      </c>
      <c r="AJ1" s="1" t="s">
        <v>2220</v>
      </c>
      <c r="AK1" s="1" t="s">
        <v>2221</v>
      </c>
      <c r="AL1" s="1" t="s">
        <v>2222</v>
      </c>
      <c r="AM1" s="1" t="s">
        <v>2223</v>
      </c>
      <c r="AN1" s="1" t="s">
        <v>2224</v>
      </c>
      <c r="AO1" s="1" t="s">
        <v>2225</v>
      </c>
      <c r="AP1" s="1" t="s">
        <v>2226</v>
      </c>
      <c r="AQ1" s="1" t="s">
        <v>2227</v>
      </c>
      <c r="AR1" s="1" t="s">
        <v>2228</v>
      </c>
      <c r="AS1" s="1" t="s">
        <v>2229</v>
      </c>
      <c r="AT1" s="1" t="s">
        <v>2230</v>
      </c>
      <c r="AU1" s="1" t="s">
        <v>2231</v>
      </c>
      <c r="AV1" s="1" t="s">
        <v>2232</v>
      </c>
      <c r="AW1" s="1" t="s">
        <v>2233</v>
      </c>
      <c r="AX1" s="1" t="s">
        <v>2234</v>
      </c>
      <c r="AY1" s="1" t="s">
        <v>2235</v>
      </c>
      <c r="AZ1" s="1" t="s">
        <v>2236</v>
      </c>
      <c r="BA1" s="1" t="s">
        <v>2237</v>
      </c>
      <c r="BB1" s="1" t="s">
        <v>2238</v>
      </c>
      <c r="BC1" s="1" t="s">
        <v>2239</v>
      </c>
      <c r="BD1" s="1" t="s">
        <v>2240</v>
      </c>
      <c r="BE1" s="1" t="s">
        <v>2241</v>
      </c>
      <c r="BF1" s="1" t="s">
        <v>2242</v>
      </c>
      <c r="BG1" s="1" t="s">
        <v>2243</v>
      </c>
      <c r="BH1" s="1" t="s">
        <v>2244</v>
      </c>
    </row>
    <row r="2" spans="1:60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1285</v>
      </c>
      <c r="H2" t="s">
        <v>1271</v>
      </c>
      <c r="I2" t="s">
        <v>1269</v>
      </c>
      <c r="J2" t="s">
        <v>1270</v>
      </c>
      <c r="K2" t="s">
        <v>1272</v>
      </c>
      <c r="L2" t="s">
        <v>1273</v>
      </c>
      <c r="M2" t="s">
        <v>1326</v>
      </c>
      <c r="N2" t="s">
        <v>1286</v>
      </c>
      <c r="O2" t="s">
        <v>1332</v>
      </c>
      <c r="P2" t="s">
        <v>1334</v>
      </c>
      <c r="Q2" t="s">
        <v>1335</v>
      </c>
      <c r="R2" t="s">
        <v>1342</v>
      </c>
      <c r="S2" t="s">
        <v>1345</v>
      </c>
      <c r="T2" t="s">
        <v>1287</v>
      </c>
      <c r="U2" t="s">
        <v>1288</v>
      </c>
      <c r="V2" t="s">
        <v>1289</v>
      </c>
      <c r="W2" t="s">
        <v>1290</v>
      </c>
      <c r="Z2" t="s">
        <v>1291</v>
      </c>
      <c r="AA2" t="s">
        <v>1292</v>
      </c>
      <c r="AC2" t="s">
        <v>1293</v>
      </c>
      <c r="AE2" t="s">
        <v>1343</v>
      </c>
      <c r="AF2" t="s">
        <v>1339</v>
      </c>
      <c r="AG2" t="s">
        <v>1299</v>
      </c>
      <c r="AH2" t="s">
        <v>1300</v>
      </c>
      <c r="AI2" t="s">
        <v>1301</v>
      </c>
      <c r="AJ2" t="s">
        <v>1302</v>
      </c>
      <c r="AK2" t="s">
        <v>1303</v>
      </c>
      <c r="AL2" t="s">
        <v>1310</v>
      </c>
      <c r="AM2" t="s">
        <v>1313</v>
      </c>
      <c r="AN2" t="s">
        <v>1321</v>
      </c>
      <c r="AO2" t="s">
        <v>1304</v>
      </c>
      <c r="AP2" t="s">
        <v>1305</v>
      </c>
      <c r="AQ2" t="s">
        <v>1306</v>
      </c>
      <c r="AR2" t="s">
        <v>1324</v>
      </c>
      <c r="AS2" t="s">
        <v>1325</v>
      </c>
      <c r="AT2" t="s">
        <v>1320</v>
      </c>
      <c r="AU2" t="s">
        <v>1317</v>
      </c>
      <c r="AV2" t="s">
        <v>1318</v>
      </c>
      <c r="AW2" t="s">
        <v>1319</v>
      </c>
      <c r="AX2" t="s">
        <v>1307</v>
      </c>
      <c r="AY2" t="s">
        <v>1308</v>
      </c>
      <c r="AZ2" t="s">
        <v>1309</v>
      </c>
      <c r="BA2" t="s">
        <v>1311</v>
      </c>
      <c r="BB2" t="s">
        <v>1312</v>
      </c>
      <c r="BC2" t="s">
        <v>1322</v>
      </c>
      <c r="BD2" t="s">
        <v>1323</v>
      </c>
      <c r="BE2" t="s">
        <v>1316</v>
      </c>
      <c r="BF2" t="s">
        <v>1314</v>
      </c>
      <c r="BG2" t="s">
        <v>1315</v>
      </c>
      <c r="BH2" t="s">
        <v>2032</v>
      </c>
    </row>
    <row r="3" spans="1:60" x14ac:dyDescent="0.25">
      <c r="A3">
        <v>1</v>
      </c>
      <c r="B3" t="s">
        <v>1248</v>
      </c>
      <c r="C3" t="s">
        <v>1475</v>
      </c>
      <c r="D3">
        <v>9036</v>
      </c>
      <c r="E3">
        <v>40</v>
      </c>
      <c r="F3">
        <v>40</v>
      </c>
      <c r="G3">
        <v>-1</v>
      </c>
      <c r="H3" t="s">
        <v>1474</v>
      </c>
      <c r="I3">
        <v>86400</v>
      </c>
      <c r="J3">
        <v>5</v>
      </c>
      <c r="K3">
        <v>86400</v>
      </c>
      <c r="L3">
        <v>5</v>
      </c>
      <c r="M3">
        <v>1</v>
      </c>
      <c r="N3" t="s">
        <v>1436</v>
      </c>
      <c r="O3" t="s">
        <v>59</v>
      </c>
      <c r="P3">
        <v>1</v>
      </c>
      <c r="Q3">
        <v>1</v>
      </c>
      <c r="R3">
        <v>1</v>
      </c>
      <c r="S3">
        <v>0</v>
      </c>
      <c r="T3" t="s">
        <v>1358</v>
      </c>
      <c r="U3">
        <v>-10</v>
      </c>
      <c r="V3">
        <v>10</v>
      </c>
      <c r="W3">
        <v>5</v>
      </c>
      <c r="X3">
        <v>-1</v>
      </c>
      <c r="Y3" t="s">
        <v>130</v>
      </c>
      <c r="Z3">
        <v>100</v>
      </c>
      <c r="AA3">
        <v>1</v>
      </c>
      <c r="AB3">
        <v>32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</row>
    <row r="4" spans="1:60" x14ac:dyDescent="0.25">
      <c r="A4">
        <v>2</v>
      </c>
      <c r="B4" t="s">
        <v>1248</v>
      </c>
      <c r="C4" t="s">
        <v>1479</v>
      </c>
      <c r="D4">
        <v>9037</v>
      </c>
      <c r="E4">
        <v>60</v>
      </c>
      <c r="F4">
        <v>60</v>
      </c>
      <c r="G4">
        <v>-1</v>
      </c>
      <c r="H4" t="s">
        <v>1478</v>
      </c>
      <c r="I4">
        <v>86400</v>
      </c>
      <c r="J4">
        <v>5</v>
      </c>
      <c r="K4">
        <v>86400</v>
      </c>
      <c r="L4">
        <v>5</v>
      </c>
      <c r="M4">
        <v>1</v>
      </c>
      <c r="N4" t="s">
        <v>1436</v>
      </c>
      <c r="O4" t="s">
        <v>59</v>
      </c>
      <c r="P4">
        <v>1</v>
      </c>
      <c r="Q4">
        <v>1</v>
      </c>
      <c r="R4">
        <v>1</v>
      </c>
      <c r="S4">
        <v>0</v>
      </c>
      <c r="T4" t="s">
        <v>1358</v>
      </c>
      <c r="U4">
        <v>-10</v>
      </c>
      <c r="V4">
        <v>10</v>
      </c>
      <c r="W4">
        <v>5</v>
      </c>
      <c r="X4">
        <v>-1</v>
      </c>
      <c r="Y4" t="s">
        <v>130</v>
      </c>
      <c r="Z4">
        <v>200</v>
      </c>
      <c r="AA4">
        <v>1</v>
      </c>
      <c r="AB4">
        <v>-1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</row>
    <row r="5" spans="1:60" x14ac:dyDescent="0.25">
      <c r="A5">
        <v>3</v>
      </c>
      <c r="B5" t="s">
        <v>1248</v>
      </c>
      <c r="C5" t="s">
        <v>1440</v>
      </c>
      <c r="D5">
        <v>9047</v>
      </c>
      <c r="E5">
        <v>40</v>
      </c>
      <c r="F5">
        <v>40</v>
      </c>
      <c r="G5">
        <v>-1</v>
      </c>
      <c r="H5" t="s">
        <v>1439</v>
      </c>
      <c r="I5">
        <v>86400</v>
      </c>
      <c r="J5">
        <v>5</v>
      </c>
      <c r="K5">
        <v>86400</v>
      </c>
      <c r="L5">
        <v>5</v>
      </c>
      <c r="M5">
        <v>0</v>
      </c>
      <c r="N5" t="s">
        <v>1441</v>
      </c>
      <c r="O5" t="s">
        <v>59</v>
      </c>
      <c r="P5">
        <v>1</v>
      </c>
      <c r="Q5">
        <v>1</v>
      </c>
      <c r="R5">
        <v>1</v>
      </c>
      <c r="S5">
        <v>0</v>
      </c>
      <c r="T5" t="s">
        <v>1358</v>
      </c>
      <c r="U5">
        <v>-10</v>
      </c>
      <c r="V5">
        <v>10</v>
      </c>
      <c r="W5">
        <v>25</v>
      </c>
      <c r="X5">
        <v>-1</v>
      </c>
      <c r="Y5" t="s">
        <v>130</v>
      </c>
      <c r="Z5">
        <v>200</v>
      </c>
      <c r="AA5">
        <v>-1</v>
      </c>
      <c r="AB5">
        <v>-1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25">
      <c r="A6">
        <v>4</v>
      </c>
      <c r="B6" t="s">
        <v>1248</v>
      </c>
      <c r="C6" t="s">
        <v>1557</v>
      </c>
      <c r="D6">
        <v>1029</v>
      </c>
      <c r="E6">
        <v>40</v>
      </c>
      <c r="F6">
        <v>40</v>
      </c>
      <c r="G6">
        <v>1</v>
      </c>
      <c r="H6" t="s">
        <v>1556</v>
      </c>
      <c r="I6">
        <v>3</v>
      </c>
      <c r="J6">
        <v>5</v>
      </c>
      <c r="K6">
        <v>300</v>
      </c>
      <c r="L6">
        <v>5</v>
      </c>
      <c r="M6">
        <v>1</v>
      </c>
      <c r="N6" t="s">
        <v>59</v>
      </c>
      <c r="O6" t="s">
        <v>59</v>
      </c>
      <c r="P6">
        <v>0</v>
      </c>
      <c r="Q6">
        <v>1</v>
      </c>
      <c r="R6">
        <v>0</v>
      </c>
      <c r="S6">
        <v>1</v>
      </c>
      <c r="T6" t="s">
        <v>1558</v>
      </c>
      <c r="U6">
        <v>-30</v>
      </c>
      <c r="V6">
        <v>10</v>
      </c>
      <c r="W6">
        <v>25</v>
      </c>
      <c r="X6">
        <v>-1</v>
      </c>
      <c r="Y6" t="s">
        <v>130</v>
      </c>
      <c r="Z6">
        <v>10</v>
      </c>
      <c r="AA6">
        <v>1</v>
      </c>
      <c r="AB6">
        <v>-1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</row>
    <row r="7" spans="1:60" x14ac:dyDescent="0.25">
      <c r="A7">
        <v>5</v>
      </c>
      <c r="B7" t="s">
        <v>1248</v>
      </c>
      <c r="C7" t="s">
        <v>1466</v>
      </c>
      <c r="D7">
        <v>9010</v>
      </c>
      <c r="E7">
        <v>40</v>
      </c>
      <c r="F7">
        <v>40</v>
      </c>
      <c r="G7">
        <v>1</v>
      </c>
      <c r="H7" t="s">
        <v>1465</v>
      </c>
      <c r="I7">
        <v>1</v>
      </c>
      <c r="J7">
        <v>5</v>
      </c>
      <c r="K7">
        <v>86400</v>
      </c>
      <c r="L7">
        <v>5</v>
      </c>
      <c r="M7">
        <v>1</v>
      </c>
      <c r="N7" t="s">
        <v>1436</v>
      </c>
      <c r="O7" t="s">
        <v>59</v>
      </c>
      <c r="P7">
        <v>1</v>
      </c>
      <c r="Q7">
        <v>0</v>
      </c>
      <c r="R7">
        <v>1</v>
      </c>
      <c r="S7">
        <v>0</v>
      </c>
      <c r="T7" t="s">
        <v>1358</v>
      </c>
      <c r="U7">
        <v>-10</v>
      </c>
      <c r="V7">
        <v>10</v>
      </c>
      <c r="W7">
        <v>5</v>
      </c>
      <c r="X7">
        <v>-1</v>
      </c>
      <c r="Y7" t="s">
        <v>130</v>
      </c>
      <c r="Z7">
        <v>-1</v>
      </c>
      <c r="AA7">
        <v>-1</v>
      </c>
      <c r="AB7">
        <v>-1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</row>
    <row r="8" spans="1:60" x14ac:dyDescent="0.25">
      <c r="A8">
        <v>6</v>
      </c>
      <c r="B8" t="s">
        <v>1248</v>
      </c>
      <c r="C8" t="s">
        <v>1435</v>
      </c>
      <c r="D8">
        <v>9011</v>
      </c>
      <c r="E8">
        <v>60</v>
      </c>
      <c r="F8">
        <v>60</v>
      </c>
      <c r="G8">
        <v>1</v>
      </c>
      <c r="H8" t="s">
        <v>1434</v>
      </c>
      <c r="I8">
        <v>1</v>
      </c>
      <c r="J8">
        <v>5</v>
      </c>
      <c r="K8">
        <v>86400</v>
      </c>
      <c r="L8">
        <v>5</v>
      </c>
      <c r="M8">
        <v>1</v>
      </c>
      <c r="N8" t="s">
        <v>1436</v>
      </c>
      <c r="O8" t="s">
        <v>59</v>
      </c>
      <c r="P8">
        <v>1</v>
      </c>
      <c r="Q8">
        <v>0</v>
      </c>
      <c r="R8">
        <v>1</v>
      </c>
      <c r="S8">
        <v>0</v>
      </c>
      <c r="T8" t="s">
        <v>1358</v>
      </c>
      <c r="U8">
        <v>-10</v>
      </c>
      <c r="V8">
        <v>10</v>
      </c>
      <c r="W8">
        <v>5</v>
      </c>
      <c r="X8">
        <v>-1</v>
      </c>
      <c r="Y8" t="s">
        <v>130</v>
      </c>
      <c r="Z8">
        <v>-1</v>
      </c>
      <c r="AA8">
        <v>-1</v>
      </c>
      <c r="AB8">
        <v>-1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</row>
    <row r="9" spans="1:60" x14ac:dyDescent="0.25">
      <c r="A9">
        <v>7</v>
      </c>
      <c r="B9" t="s">
        <v>1248</v>
      </c>
      <c r="C9" t="s">
        <v>1477</v>
      </c>
      <c r="D9">
        <v>9041</v>
      </c>
      <c r="E9">
        <v>40</v>
      </c>
      <c r="F9">
        <v>40</v>
      </c>
      <c r="G9">
        <v>1</v>
      </c>
      <c r="H9" t="s">
        <v>1476</v>
      </c>
      <c r="I9">
        <v>86400</v>
      </c>
      <c r="J9">
        <v>5</v>
      </c>
      <c r="K9">
        <v>86400</v>
      </c>
      <c r="L9">
        <v>5</v>
      </c>
      <c r="M9">
        <v>1</v>
      </c>
      <c r="N9" t="s">
        <v>1436</v>
      </c>
      <c r="O9" t="s">
        <v>59</v>
      </c>
      <c r="P9">
        <v>1</v>
      </c>
      <c r="Q9">
        <v>1</v>
      </c>
      <c r="R9">
        <v>1</v>
      </c>
      <c r="S9">
        <v>0</v>
      </c>
      <c r="T9" t="s">
        <v>1358</v>
      </c>
      <c r="U9">
        <v>-10</v>
      </c>
      <c r="V9">
        <v>10</v>
      </c>
      <c r="W9">
        <v>5</v>
      </c>
      <c r="X9">
        <v>-1</v>
      </c>
      <c r="Y9" t="s">
        <v>130</v>
      </c>
      <c r="Z9">
        <v>200</v>
      </c>
      <c r="AA9">
        <v>1</v>
      </c>
      <c r="AB9">
        <v>-1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</row>
    <row r="10" spans="1:60" x14ac:dyDescent="0.25">
      <c r="A10">
        <v>8</v>
      </c>
      <c r="B10" t="s">
        <v>1248</v>
      </c>
      <c r="C10" t="s">
        <v>1488</v>
      </c>
      <c r="D10">
        <v>1001</v>
      </c>
      <c r="E10">
        <v>100</v>
      </c>
      <c r="F10">
        <v>40</v>
      </c>
      <c r="G10">
        <v>18</v>
      </c>
      <c r="H10" t="s">
        <v>1487</v>
      </c>
      <c r="I10">
        <v>86400</v>
      </c>
      <c r="J10">
        <v>5</v>
      </c>
      <c r="K10">
        <v>21600</v>
      </c>
      <c r="L10">
        <v>5</v>
      </c>
      <c r="M10">
        <v>0</v>
      </c>
      <c r="N10" t="s">
        <v>1490</v>
      </c>
      <c r="O10" t="s">
        <v>1491</v>
      </c>
      <c r="P10">
        <v>0</v>
      </c>
      <c r="Q10">
        <v>1</v>
      </c>
      <c r="R10">
        <v>1</v>
      </c>
      <c r="S10">
        <v>0</v>
      </c>
      <c r="T10" t="s">
        <v>1358</v>
      </c>
      <c r="U10">
        <v>-10</v>
      </c>
      <c r="V10">
        <v>40</v>
      </c>
      <c r="W10">
        <v>25</v>
      </c>
      <c r="X10">
        <v>-1</v>
      </c>
      <c r="Y10" t="s">
        <v>130</v>
      </c>
      <c r="Z10">
        <v>75</v>
      </c>
      <c r="AA10">
        <v>1</v>
      </c>
      <c r="AB10">
        <v>-1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</row>
    <row r="11" spans="1:60" x14ac:dyDescent="0.25">
      <c r="A11">
        <v>9</v>
      </c>
      <c r="B11" t="s">
        <v>1248</v>
      </c>
      <c r="C11" t="s">
        <v>1386</v>
      </c>
      <c r="D11">
        <v>9015</v>
      </c>
      <c r="E11">
        <v>20</v>
      </c>
      <c r="F11">
        <v>40</v>
      </c>
      <c r="G11">
        <v>5</v>
      </c>
      <c r="H11" t="s">
        <v>1385</v>
      </c>
      <c r="I11">
        <v>3600</v>
      </c>
      <c r="J11">
        <v>5</v>
      </c>
      <c r="K11">
        <v>1800</v>
      </c>
      <c r="L11">
        <v>5</v>
      </c>
      <c r="M11">
        <v>1</v>
      </c>
      <c r="N11" t="s">
        <v>1357</v>
      </c>
      <c r="O11" t="s">
        <v>59</v>
      </c>
      <c r="P11">
        <v>0</v>
      </c>
      <c r="Q11">
        <v>1</v>
      </c>
      <c r="R11">
        <v>1</v>
      </c>
      <c r="S11">
        <v>0</v>
      </c>
      <c r="T11" t="s">
        <v>1358</v>
      </c>
      <c r="U11">
        <v>-20</v>
      </c>
      <c r="V11">
        <v>10</v>
      </c>
      <c r="W11">
        <v>25</v>
      </c>
      <c r="X11">
        <v>-1</v>
      </c>
      <c r="Y11" t="s">
        <v>130</v>
      </c>
      <c r="Z11">
        <v>20</v>
      </c>
      <c r="AA11">
        <v>1</v>
      </c>
      <c r="AB11">
        <v>-1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2</v>
      </c>
      <c r="AI11">
        <v>3</v>
      </c>
      <c r="AJ11">
        <v>3</v>
      </c>
      <c r="AK11">
        <v>3</v>
      </c>
      <c r="AL11">
        <v>3</v>
      </c>
      <c r="AM11">
        <v>3</v>
      </c>
      <c r="AN11">
        <v>3</v>
      </c>
      <c r="AO11">
        <v>3</v>
      </c>
      <c r="AP11">
        <v>3</v>
      </c>
      <c r="AQ11">
        <v>3</v>
      </c>
      <c r="AR11">
        <v>3</v>
      </c>
      <c r="AS11">
        <v>3</v>
      </c>
      <c r="AT11">
        <v>3</v>
      </c>
      <c r="AU11">
        <v>3</v>
      </c>
      <c r="AV11">
        <v>3</v>
      </c>
      <c r="AW11">
        <v>3</v>
      </c>
      <c r="AX11">
        <v>3</v>
      </c>
      <c r="AY11">
        <v>3</v>
      </c>
      <c r="AZ11">
        <v>3</v>
      </c>
      <c r="BA11">
        <v>3</v>
      </c>
      <c r="BB11">
        <v>3</v>
      </c>
      <c r="BC11">
        <v>3</v>
      </c>
      <c r="BD11">
        <v>3</v>
      </c>
      <c r="BE11">
        <v>3</v>
      </c>
      <c r="BF11">
        <v>3</v>
      </c>
      <c r="BG11">
        <v>3</v>
      </c>
      <c r="BH11">
        <v>3</v>
      </c>
    </row>
    <row r="12" spans="1:60" x14ac:dyDescent="0.25">
      <c r="A12">
        <v>10</v>
      </c>
      <c r="B12" t="s">
        <v>1248</v>
      </c>
      <c r="C12" t="s">
        <v>1398</v>
      </c>
      <c r="D12">
        <v>9022</v>
      </c>
      <c r="E12">
        <v>40</v>
      </c>
      <c r="F12">
        <v>40</v>
      </c>
      <c r="G12">
        <v>6</v>
      </c>
      <c r="H12" t="s">
        <v>1397</v>
      </c>
      <c r="I12">
        <v>7200</v>
      </c>
      <c r="J12">
        <v>5</v>
      </c>
      <c r="K12">
        <v>3600</v>
      </c>
      <c r="L12">
        <v>5</v>
      </c>
      <c r="M12">
        <v>1</v>
      </c>
      <c r="N12" t="s">
        <v>1361</v>
      </c>
      <c r="O12" t="s">
        <v>59</v>
      </c>
      <c r="P12">
        <v>0</v>
      </c>
      <c r="Q12">
        <v>1</v>
      </c>
      <c r="R12">
        <v>1</v>
      </c>
      <c r="S12">
        <v>0</v>
      </c>
      <c r="T12" t="s">
        <v>1358</v>
      </c>
      <c r="U12">
        <v>-10</v>
      </c>
      <c r="V12">
        <v>20</v>
      </c>
      <c r="W12">
        <v>25</v>
      </c>
      <c r="X12">
        <v>7</v>
      </c>
      <c r="Y12" t="s">
        <v>130</v>
      </c>
      <c r="Z12">
        <v>30</v>
      </c>
      <c r="AA12">
        <v>1</v>
      </c>
      <c r="AB12">
        <v>-1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1</v>
      </c>
      <c r="AI12">
        <v>2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P12">
        <v>3</v>
      </c>
      <c r="AQ12">
        <v>3</v>
      </c>
      <c r="AR12">
        <v>3</v>
      </c>
      <c r="AS12">
        <v>3</v>
      </c>
      <c r="AT12">
        <v>3</v>
      </c>
      <c r="AU12">
        <v>3</v>
      </c>
      <c r="AV12">
        <v>3</v>
      </c>
      <c r="AW12">
        <v>3</v>
      </c>
      <c r="AX12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</row>
    <row r="13" spans="1:60" x14ac:dyDescent="0.25">
      <c r="A13">
        <v>11</v>
      </c>
      <c r="B13" t="s">
        <v>1248</v>
      </c>
      <c r="C13" t="s">
        <v>1388</v>
      </c>
      <c r="D13">
        <v>9017</v>
      </c>
      <c r="E13">
        <v>20</v>
      </c>
      <c r="F13">
        <v>40</v>
      </c>
      <c r="G13">
        <v>7</v>
      </c>
      <c r="H13" t="s">
        <v>1387</v>
      </c>
      <c r="I13">
        <v>1800</v>
      </c>
      <c r="J13">
        <v>5</v>
      </c>
      <c r="K13">
        <v>1800</v>
      </c>
      <c r="L13">
        <v>5</v>
      </c>
      <c r="M13">
        <v>1</v>
      </c>
      <c r="N13" t="s">
        <v>1357</v>
      </c>
      <c r="O13" t="s">
        <v>59</v>
      </c>
      <c r="P13">
        <v>0</v>
      </c>
      <c r="Q13">
        <v>1</v>
      </c>
      <c r="R13">
        <v>1</v>
      </c>
      <c r="S13">
        <v>0</v>
      </c>
      <c r="T13" t="s">
        <v>1358</v>
      </c>
      <c r="U13">
        <v>-20</v>
      </c>
      <c r="V13">
        <v>10</v>
      </c>
      <c r="W13">
        <v>25</v>
      </c>
      <c r="X13">
        <v>-1</v>
      </c>
      <c r="Y13" t="s">
        <v>130</v>
      </c>
      <c r="Z13">
        <v>25</v>
      </c>
      <c r="AA13">
        <v>1</v>
      </c>
      <c r="AB13">
        <v>-1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1</v>
      </c>
      <c r="AJ13">
        <v>2</v>
      </c>
      <c r="AK13">
        <v>3</v>
      </c>
      <c r="AL13">
        <v>3</v>
      </c>
      <c r="AM13">
        <v>3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U13">
        <v>3</v>
      </c>
      <c r="AV13">
        <v>3</v>
      </c>
      <c r="AW13">
        <v>3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3</v>
      </c>
      <c r="BG13">
        <v>3</v>
      </c>
      <c r="BH13">
        <v>3</v>
      </c>
    </row>
    <row r="14" spans="1:60" x14ac:dyDescent="0.25">
      <c r="A14">
        <v>12</v>
      </c>
      <c r="B14" t="s">
        <v>1248</v>
      </c>
      <c r="C14" t="s">
        <v>1394</v>
      </c>
      <c r="D14">
        <v>9020</v>
      </c>
      <c r="E14">
        <v>40</v>
      </c>
      <c r="F14">
        <v>40</v>
      </c>
      <c r="G14">
        <v>8</v>
      </c>
      <c r="H14" t="s">
        <v>1393</v>
      </c>
      <c r="I14">
        <v>86400</v>
      </c>
      <c r="J14">
        <v>5</v>
      </c>
      <c r="K14">
        <v>10800</v>
      </c>
      <c r="L14">
        <v>5</v>
      </c>
      <c r="M14">
        <v>1</v>
      </c>
      <c r="N14" t="s">
        <v>1361</v>
      </c>
      <c r="O14" t="s">
        <v>59</v>
      </c>
      <c r="P14">
        <v>0</v>
      </c>
      <c r="Q14">
        <v>1</v>
      </c>
      <c r="R14">
        <v>1</v>
      </c>
      <c r="S14">
        <v>0</v>
      </c>
      <c r="T14" t="s">
        <v>1358</v>
      </c>
      <c r="U14">
        <v>-10</v>
      </c>
      <c r="V14">
        <v>20</v>
      </c>
      <c r="W14">
        <v>25</v>
      </c>
      <c r="X14">
        <v>7</v>
      </c>
      <c r="Y14" t="s">
        <v>130</v>
      </c>
      <c r="Z14">
        <v>60</v>
      </c>
      <c r="AA14">
        <v>1</v>
      </c>
      <c r="AB14">
        <v>-1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2</v>
      </c>
      <c r="AL14">
        <v>3</v>
      </c>
      <c r="AM14">
        <v>3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3</v>
      </c>
      <c r="AT14">
        <v>3</v>
      </c>
      <c r="AU14">
        <v>3</v>
      </c>
      <c r="AV14">
        <v>3</v>
      </c>
      <c r="AW14">
        <v>3</v>
      </c>
      <c r="AX14">
        <v>3</v>
      </c>
      <c r="AY14">
        <v>3</v>
      </c>
      <c r="AZ14">
        <v>3</v>
      </c>
      <c r="BA14">
        <v>3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</row>
    <row r="15" spans="1:60" x14ac:dyDescent="0.25">
      <c r="A15">
        <v>13</v>
      </c>
      <c r="B15" t="s">
        <v>1248</v>
      </c>
      <c r="C15" t="s">
        <v>1400</v>
      </c>
      <c r="D15">
        <v>9023</v>
      </c>
      <c r="E15">
        <v>40</v>
      </c>
      <c r="F15">
        <v>40</v>
      </c>
      <c r="G15">
        <v>9</v>
      </c>
      <c r="H15" t="s">
        <v>1399</v>
      </c>
      <c r="I15">
        <v>86400</v>
      </c>
      <c r="J15">
        <v>5</v>
      </c>
      <c r="K15">
        <v>21600</v>
      </c>
      <c r="L15">
        <v>5</v>
      </c>
      <c r="M15">
        <v>1</v>
      </c>
      <c r="N15" t="s">
        <v>59</v>
      </c>
      <c r="O15" t="s">
        <v>59</v>
      </c>
      <c r="P15">
        <v>0</v>
      </c>
      <c r="Q15">
        <v>1</v>
      </c>
      <c r="R15">
        <v>1</v>
      </c>
      <c r="S15">
        <v>0</v>
      </c>
      <c r="T15" t="s">
        <v>1358</v>
      </c>
      <c r="U15">
        <v>-20</v>
      </c>
      <c r="V15">
        <v>10</v>
      </c>
      <c r="W15">
        <v>25</v>
      </c>
      <c r="X15">
        <v>-1</v>
      </c>
      <c r="Y15" t="s">
        <v>130</v>
      </c>
      <c r="Z15">
        <v>70</v>
      </c>
      <c r="AA15">
        <v>1</v>
      </c>
      <c r="AB15">
        <v>-1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2</v>
      </c>
      <c r="AM15">
        <v>3</v>
      </c>
      <c r="AN15">
        <v>3</v>
      </c>
      <c r="AO15">
        <v>3</v>
      </c>
      <c r="AP15">
        <v>3</v>
      </c>
      <c r="AQ15">
        <v>3</v>
      </c>
      <c r="AR15">
        <v>3</v>
      </c>
      <c r="AS15">
        <v>3</v>
      </c>
      <c r="AT15">
        <v>3</v>
      </c>
      <c r="AU15">
        <v>3</v>
      </c>
      <c r="AV15">
        <v>3</v>
      </c>
      <c r="AW15">
        <v>3</v>
      </c>
      <c r="AX15">
        <v>3</v>
      </c>
      <c r="AY15">
        <v>3</v>
      </c>
      <c r="AZ15">
        <v>3</v>
      </c>
      <c r="BA15">
        <v>3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</row>
    <row r="16" spans="1:60" x14ac:dyDescent="0.25">
      <c r="A16">
        <v>14</v>
      </c>
      <c r="B16" t="s">
        <v>1248</v>
      </c>
      <c r="C16" t="s">
        <v>1410</v>
      </c>
      <c r="D16">
        <v>9028</v>
      </c>
      <c r="E16">
        <v>40</v>
      </c>
      <c r="F16">
        <v>40</v>
      </c>
      <c r="G16">
        <v>11</v>
      </c>
      <c r="H16" t="s">
        <v>1409</v>
      </c>
      <c r="I16">
        <v>86400</v>
      </c>
      <c r="J16">
        <v>5</v>
      </c>
      <c r="K16">
        <v>3600</v>
      </c>
      <c r="L16">
        <v>5</v>
      </c>
      <c r="M16">
        <v>1</v>
      </c>
      <c r="N16" t="s">
        <v>59</v>
      </c>
      <c r="O16" t="s">
        <v>59</v>
      </c>
      <c r="P16">
        <v>0</v>
      </c>
      <c r="Q16">
        <v>1</v>
      </c>
      <c r="R16">
        <v>1</v>
      </c>
      <c r="S16">
        <v>0</v>
      </c>
      <c r="T16" t="s">
        <v>1358</v>
      </c>
      <c r="U16">
        <v>-10</v>
      </c>
      <c r="V16">
        <v>20</v>
      </c>
      <c r="W16">
        <v>25</v>
      </c>
      <c r="X16">
        <v>-1</v>
      </c>
      <c r="Y16" t="s">
        <v>130</v>
      </c>
      <c r="Z16">
        <v>35</v>
      </c>
      <c r="AA16">
        <v>1</v>
      </c>
      <c r="AB16">
        <v>-1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2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3</v>
      </c>
      <c r="AZ16">
        <v>3</v>
      </c>
      <c r="BA16">
        <v>3</v>
      </c>
      <c r="BB16">
        <v>3</v>
      </c>
      <c r="BC16">
        <v>3</v>
      </c>
      <c r="BD16">
        <v>3</v>
      </c>
      <c r="BE16">
        <v>3</v>
      </c>
      <c r="BF16">
        <v>3</v>
      </c>
      <c r="BG16">
        <v>3</v>
      </c>
      <c r="BH16">
        <v>3</v>
      </c>
    </row>
    <row r="17" spans="1:60" x14ac:dyDescent="0.25">
      <c r="A17">
        <v>15</v>
      </c>
      <c r="B17" t="s">
        <v>1248</v>
      </c>
      <c r="C17" t="s">
        <v>1390</v>
      </c>
      <c r="D17">
        <v>9018</v>
      </c>
      <c r="E17">
        <v>20</v>
      </c>
      <c r="F17">
        <v>40</v>
      </c>
      <c r="G17">
        <v>13</v>
      </c>
      <c r="H17" t="s">
        <v>1389</v>
      </c>
      <c r="I17">
        <v>86400</v>
      </c>
      <c r="J17">
        <v>5</v>
      </c>
      <c r="K17">
        <v>28800</v>
      </c>
      <c r="L17">
        <v>5</v>
      </c>
      <c r="M17">
        <v>1</v>
      </c>
      <c r="N17" t="s">
        <v>1357</v>
      </c>
      <c r="O17" t="s">
        <v>59</v>
      </c>
      <c r="P17">
        <v>0</v>
      </c>
      <c r="Q17">
        <v>1</v>
      </c>
      <c r="R17">
        <v>1</v>
      </c>
      <c r="S17">
        <v>0</v>
      </c>
      <c r="T17" t="s">
        <v>1358</v>
      </c>
      <c r="U17">
        <v>-20</v>
      </c>
      <c r="V17">
        <v>10</v>
      </c>
      <c r="W17">
        <v>25</v>
      </c>
      <c r="X17">
        <v>-1</v>
      </c>
      <c r="Y17" t="s">
        <v>130</v>
      </c>
      <c r="Z17">
        <v>80</v>
      </c>
      <c r="AA17">
        <v>1</v>
      </c>
      <c r="AB17">
        <v>-1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2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3</v>
      </c>
      <c r="BB17">
        <v>3</v>
      </c>
      <c r="BC17">
        <v>3</v>
      </c>
      <c r="BD17">
        <v>3</v>
      </c>
      <c r="BE17">
        <v>3</v>
      </c>
      <c r="BF17">
        <v>3</v>
      </c>
      <c r="BG17">
        <v>3</v>
      </c>
      <c r="BH17">
        <v>3</v>
      </c>
    </row>
    <row r="18" spans="1:60" x14ac:dyDescent="0.25">
      <c r="A18">
        <v>16</v>
      </c>
      <c r="B18" t="s">
        <v>1248</v>
      </c>
      <c r="C18" t="s">
        <v>1420</v>
      </c>
      <c r="D18">
        <v>9033</v>
      </c>
      <c r="E18">
        <v>40</v>
      </c>
      <c r="F18">
        <v>40</v>
      </c>
      <c r="G18">
        <v>15</v>
      </c>
      <c r="H18" t="s">
        <v>1419</v>
      </c>
      <c r="I18">
        <v>86400</v>
      </c>
      <c r="J18">
        <v>5</v>
      </c>
      <c r="K18">
        <v>43200</v>
      </c>
      <c r="L18">
        <v>5</v>
      </c>
      <c r="M18">
        <v>1</v>
      </c>
      <c r="N18" t="s">
        <v>59</v>
      </c>
      <c r="O18" t="s">
        <v>59</v>
      </c>
      <c r="P18">
        <v>0</v>
      </c>
      <c r="Q18">
        <v>1</v>
      </c>
      <c r="R18">
        <v>1</v>
      </c>
      <c r="S18">
        <v>0</v>
      </c>
      <c r="T18" t="s">
        <v>1358</v>
      </c>
      <c r="U18">
        <v>-10</v>
      </c>
      <c r="V18">
        <v>20</v>
      </c>
      <c r="W18">
        <v>25</v>
      </c>
      <c r="X18">
        <v>-1</v>
      </c>
      <c r="Y18" t="s">
        <v>130</v>
      </c>
      <c r="Z18">
        <v>90</v>
      </c>
      <c r="AA18">
        <v>1</v>
      </c>
      <c r="AB18">
        <v>-1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1</v>
      </c>
      <c r="AR18">
        <v>2</v>
      </c>
      <c r="AS18">
        <v>3</v>
      </c>
      <c r="AT18">
        <v>3</v>
      </c>
      <c r="AU18">
        <v>3</v>
      </c>
      <c r="AV18">
        <v>3</v>
      </c>
      <c r="AW18">
        <v>3</v>
      </c>
      <c r="AX18">
        <v>3</v>
      </c>
      <c r="AY18">
        <v>3</v>
      </c>
      <c r="AZ18">
        <v>3</v>
      </c>
      <c r="BA18">
        <v>3</v>
      </c>
      <c r="BB18">
        <v>3</v>
      </c>
      <c r="BC18">
        <v>3</v>
      </c>
      <c r="BD18">
        <v>3</v>
      </c>
      <c r="BE18">
        <v>3</v>
      </c>
      <c r="BF18">
        <v>3</v>
      </c>
      <c r="BG18">
        <v>3</v>
      </c>
      <c r="BH18">
        <v>3</v>
      </c>
    </row>
    <row r="19" spans="1:60" x14ac:dyDescent="0.25">
      <c r="A19">
        <v>17</v>
      </c>
      <c r="B19" t="s">
        <v>1248</v>
      </c>
      <c r="C19" t="s">
        <v>1414</v>
      </c>
      <c r="D19">
        <v>9030</v>
      </c>
      <c r="E19">
        <v>40</v>
      </c>
      <c r="F19">
        <v>40</v>
      </c>
      <c r="G19">
        <v>16</v>
      </c>
      <c r="H19" t="s">
        <v>1413</v>
      </c>
      <c r="I19">
        <v>86400</v>
      </c>
      <c r="J19">
        <v>5</v>
      </c>
      <c r="K19">
        <v>10800</v>
      </c>
      <c r="L19">
        <v>5</v>
      </c>
      <c r="M19">
        <v>1</v>
      </c>
      <c r="N19" t="s">
        <v>59</v>
      </c>
      <c r="O19" t="s">
        <v>59</v>
      </c>
      <c r="P19">
        <v>0</v>
      </c>
      <c r="Q19">
        <v>1</v>
      </c>
      <c r="R19">
        <v>1</v>
      </c>
      <c r="S19">
        <v>0</v>
      </c>
      <c r="T19" t="s">
        <v>1358</v>
      </c>
      <c r="U19">
        <v>-10</v>
      </c>
      <c r="V19">
        <v>20</v>
      </c>
      <c r="W19">
        <v>25</v>
      </c>
      <c r="X19">
        <v>-1</v>
      </c>
      <c r="Y19" t="s">
        <v>130</v>
      </c>
      <c r="Z19">
        <v>65</v>
      </c>
      <c r="AA19">
        <v>1</v>
      </c>
      <c r="AB19">
        <v>-1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</v>
      </c>
      <c r="AS19">
        <v>2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</row>
    <row r="20" spans="1:60" x14ac:dyDescent="0.25">
      <c r="A20">
        <v>18</v>
      </c>
      <c r="B20" t="s">
        <v>1248</v>
      </c>
      <c r="C20" t="s">
        <v>1422</v>
      </c>
      <c r="D20">
        <v>9034</v>
      </c>
      <c r="E20">
        <v>40</v>
      </c>
      <c r="F20">
        <v>40</v>
      </c>
      <c r="G20">
        <v>17</v>
      </c>
      <c r="H20" t="s">
        <v>1421</v>
      </c>
      <c r="I20">
        <v>86400</v>
      </c>
      <c r="J20">
        <v>5</v>
      </c>
      <c r="K20">
        <v>86400</v>
      </c>
      <c r="L20">
        <v>5</v>
      </c>
      <c r="M20">
        <v>1</v>
      </c>
      <c r="N20" t="s">
        <v>59</v>
      </c>
      <c r="O20" t="s">
        <v>59</v>
      </c>
      <c r="P20">
        <v>0</v>
      </c>
      <c r="Q20">
        <v>1</v>
      </c>
      <c r="R20">
        <v>1</v>
      </c>
      <c r="S20">
        <v>0</v>
      </c>
      <c r="T20" t="s">
        <v>1358</v>
      </c>
      <c r="U20">
        <v>-10</v>
      </c>
      <c r="V20">
        <v>20</v>
      </c>
      <c r="W20">
        <v>25</v>
      </c>
      <c r="X20">
        <v>-1</v>
      </c>
      <c r="Y20" t="s">
        <v>130</v>
      </c>
      <c r="Z20">
        <v>120</v>
      </c>
      <c r="AA20">
        <v>1</v>
      </c>
      <c r="AB20">
        <v>-1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1</v>
      </c>
      <c r="AT20">
        <v>2</v>
      </c>
      <c r="AU20">
        <v>3</v>
      </c>
      <c r="AV20">
        <v>3</v>
      </c>
      <c r="AW20">
        <v>3</v>
      </c>
      <c r="AX20">
        <v>3</v>
      </c>
      <c r="AY20">
        <v>3</v>
      </c>
      <c r="AZ20">
        <v>3</v>
      </c>
      <c r="BA20">
        <v>3</v>
      </c>
      <c r="BB20">
        <v>3</v>
      </c>
      <c r="BC20">
        <v>3</v>
      </c>
      <c r="BD20">
        <v>3</v>
      </c>
      <c r="BE20">
        <v>3</v>
      </c>
      <c r="BF20">
        <v>3</v>
      </c>
      <c r="BG20">
        <v>3</v>
      </c>
      <c r="BH20">
        <v>3</v>
      </c>
    </row>
    <row r="21" spans="1:60" x14ac:dyDescent="0.25">
      <c r="A21">
        <v>19</v>
      </c>
      <c r="B21" t="s">
        <v>1248</v>
      </c>
      <c r="C21" t="s">
        <v>1408</v>
      </c>
      <c r="D21">
        <v>9027</v>
      </c>
      <c r="E21">
        <v>40</v>
      </c>
      <c r="F21">
        <v>40</v>
      </c>
      <c r="G21">
        <v>18</v>
      </c>
      <c r="H21" t="s">
        <v>1407</v>
      </c>
      <c r="I21">
        <v>86400</v>
      </c>
      <c r="J21">
        <v>5</v>
      </c>
      <c r="K21">
        <v>1800</v>
      </c>
      <c r="L21">
        <v>5</v>
      </c>
      <c r="M21">
        <v>1</v>
      </c>
      <c r="N21" t="s">
        <v>1361</v>
      </c>
      <c r="O21" t="s">
        <v>59</v>
      </c>
      <c r="P21">
        <v>0</v>
      </c>
      <c r="Q21">
        <v>1</v>
      </c>
      <c r="R21">
        <v>1</v>
      </c>
      <c r="S21">
        <v>0</v>
      </c>
      <c r="T21" t="s">
        <v>1358</v>
      </c>
      <c r="U21">
        <v>-10</v>
      </c>
      <c r="V21">
        <v>20</v>
      </c>
      <c r="W21">
        <v>25</v>
      </c>
      <c r="X21">
        <v>7</v>
      </c>
      <c r="Y21" t="s">
        <v>130</v>
      </c>
      <c r="Z21">
        <v>30</v>
      </c>
      <c r="AA21">
        <v>1</v>
      </c>
      <c r="AB21">
        <v>-1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1</v>
      </c>
      <c r="AU21">
        <v>2</v>
      </c>
      <c r="AV21">
        <v>3</v>
      </c>
      <c r="AW21">
        <v>3</v>
      </c>
      <c r="AX21">
        <v>3</v>
      </c>
      <c r="AY21">
        <v>3</v>
      </c>
      <c r="AZ21">
        <v>3</v>
      </c>
      <c r="BA21">
        <v>3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</row>
    <row r="22" spans="1:60" x14ac:dyDescent="0.25">
      <c r="A22">
        <v>20</v>
      </c>
      <c r="B22" t="s">
        <v>1248</v>
      </c>
      <c r="C22" t="s">
        <v>1406</v>
      </c>
      <c r="D22">
        <v>9026</v>
      </c>
      <c r="E22">
        <v>40</v>
      </c>
      <c r="F22">
        <v>40</v>
      </c>
      <c r="G22">
        <v>19</v>
      </c>
      <c r="H22" t="s">
        <v>1405</v>
      </c>
      <c r="I22">
        <v>86400</v>
      </c>
      <c r="J22">
        <v>5</v>
      </c>
      <c r="K22">
        <v>3600</v>
      </c>
      <c r="L22">
        <v>5</v>
      </c>
      <c r="M22">
        <v>1</v>
      </c>
      <c r="N22" t="s">
        <v>59</v>
      </c>
      <c r="O22" t="s">
        <v>59</v>
      </c>
      <c r="P22">
        <v>0</v>
      </c>
      <c r="Q22">
        <v>1</v>
      </c>
      <c r="R22">
        <v>1</v>
      </c>
      <c r="S22">
        <v>0</v>
      </c>
      <c r="T22" t="s">
        <v>1358</v>
      </c>
      <c r="U22">
        <v>-20</v>
      </c>
      <c r="V22">
        <v>10</v>
      </c>
      <c r="W22">
        <v>25</v>
      </c>
      <c r="X22">
        <v>-1</v>
      </c>
      <c r="Y22" t="s">
        <v>130</v>
      </c>
      <c r="Z22">
        <v>40</v>
      </c>
      <c r="AA22">
        <v>1</v>
      </c>
      <c r="AB22">
        <v>-1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1</v>
      </c>
      <c r="AV22">
        <v>2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3</v>
      </c>
      <c r="BG22">
        <v>3</v>
      </c>
      <c r="BH22">
        <v>3</v>
      </c>
    </row>
    <row r="23" spans="1:60" x14ac:dyDescent="0.25">
      <c r="A23">
        <v>21</v>
      </c>
      <c r="B23" t="s">
        <v>1248</v>
      </c>
      <c r="C23" t="s">
        <v>1418</v>
      </c>
      <c r="D23">
        <v>9032</v>
      </c>
      <c r="E23">
        <v>40</v>
      </c>
      <c r="F23">
        <v>40</v>
      </c>
      <c r="G23">
        <v>21</v>
      </c>
      <c r="H23" t="s">
        <v>1417</v>
      </c>
      <c r="I23">
        <v>86400</v>
      </c>
      <c r="J23">
        <v>5</v>
      </c>
      <c r="K23">
        <v>28800</v>
      </c>
      <c r="L23">
        <v>5</v>
      </c>
      <c r="M23">
        <v>1</v>
      </c>
      <c r="N23" t="s">
        <v>59</v>
      </c>
      <c r="O23" t="s">
        <v>59</v>
      </c>
      <c r="P23">
        <v>0</v>
      </c>
      <c r="Q23">
        <v>1</v>
      </c>
      <c r="R23">
        <v>1</v>
      </c>
      <c r="S23">
        <v>0</v>
      </c>
      <c r="T23" t="s">
        <v>1358</v>
      </c>
      <c r="U23">
        <v>-10</v>
      </c>
      <c r="V23">
        <v>20</v>
      </c>
      <c r="W23">
        <v>25</v>
      </c>
      <c r="X23">
        <v>-1</v>
      </c>
      <c r="Y23" t="s">
        <v>130</v>
      </c>
      <c r="Z23">
        <v>85</v>
      </c>
      <c r="AA23">
        <v>1</v>
      </c>
      <c r="AB23">
        <v>-1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1</v>
      </c>
      <c r="AX23">
        <v>2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3</v>
      </c>
    </row>
    <row r="24" spans="1:60" x14ac:dyDescent="0.25">
      <c r="A24">
        <v>22</v>
      </c>
      <c r="B24" t="s">
        <v>1248</v>
      </c>
      <c r="C24" t="s">
        <v>1392</v>
      </c>
      <c r="D24">
        <v>9019</v>
      </c>
      <c r="E24">
        <v>40</v>
      </c>
      <c r="F24">
        <v>40</v>
      </c>
      <c r="G24">
        <v>22</v>
      </c>
      <c r="H24" t="s">
        <v>1391</v>
      </c>
      <c r="I24">
        <v>86400</v>
      </c>
      <c r="J24">
        <v>5</v>
      </c>
      <c r="K24">
        <v>3600</v>
      </c>
      <c r="L24">
        <v>5</v>
      </c>
      <c r="M24">
        <v>1</v>
      </c>
      <c r="N24" t="s">
        <v>59</v>
      </c>
      <c r="O24" t="s">
        <v>59</v>
      </c>
      <c r="P24">
        <v>0</v>
      </c>
      <c r="Q24">
        <v>1</v>
      </c>
      <c r="R24">
        <v>1</v>
      </c>
      <c r="S24">
        <v>0</v>
      </c>
      <c r="T24" t="s">
        <v>1358</v>
      </c>
      <c r="U24">
        <v>-10</v>
      </c>
      <c r="V24">
        <v>20</v>
      </c>
      <c r="W24">
        <v>25</v>
      </c>
      <c r="X24">
        <v>-1</v>
      </c>
      <c r="Y24" t="s">
        <v>130</v>
      </c>
      <c r="Z24">
        <v>45</v>
      </c>
      <c r="AA24">
        <v>1</v>
      </c>
      <c r="AB24">
        <v>-1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2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3</v>
      </c>
      <c r="BH24">
        <v>3</v>
      </c>
    </row>
    <row r="25" spans="1:60" x14ac:dyDescent="0.25">
      <c r="A25">
        <v>23</v>
      </c>
      <c r="B25" t="s">
        <v>1248</v>
      </c>
      <c r="C25" t="s">
        <v>1396</v>
      </c>
      <c r="D25">
        <v>9021</v>
      </c>
      <c r="E25">
        <v>40</v>
      </c>
      <c r="F25">
        <v>40</v>
      </c>
      <c r="G25">
        <v>24</v>
      </c>
      <c r="H25" t="s">
        <v>1395</v>
      </c>
      <c r="I25">
        <v>86400</v>
      </c>
      <c r="J25">
        <v>5</v>
      </c>
      <c r="K25">
        <v>3600</v>
      </c>
      <c r="L25">
        <v>5</v>
      </c>
      <c r="M25">
        <v>1</v>
      </c>
      <c r="N25" t="s">
        <v>1361</v>
      </c>
      <c r="O25" t="s">
        <v>59</v>
      </c>
      <c r="P25">
        <v>0</v>
      </c>
      <c r="Q25">
        <v>1</v>
      </c>
      <c r="R25">
        <v>1</v>
      </c>
      <c r="S25">
        <v>0</v>
      </c>
      <c r="T25" t="s">
        <v>1358</v>
      </c>
      <c r="U25">
        <v>-10</v>
      </c>
      <c r="V25">
        <v>20</v>
      </c>
      <c r="W25">
        <v>25</v>
      </c>
      <c r="X25">
        <v>7</v>
      </c>
      <c r="Y25" t="s">
        <v>130</v>
      </c>
      <c r="Z25">
        <v>50</v>
      </c>
      <c r="AA25">
        <v>1</v>
      </c>
      <c r="AB25">
        <v>-1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1</v>
      </c>
      <c r="BA25">
        <v>2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</row>
    <row r="26" spans="1:60" x14ac:dyDescent="0.25">
      <c r="A26">
        <v>24</v>
      </c>
      <c r="B26" t="s">
        <v>1248</v>
      </c>
      <c r="C26" t="s">
        <v>1412</v>
      </c>
      <c r="D26">
        <v>9029</v>
      </c>
      <c r="E26">
        <v>40</v>
      </c>
      <c r="F26">
        <v>40</v>
      </c>
      <c r="G26">
        <v>26</v>
      </c>
      <c r="H26" t="s">
        <v>1411</v>
      </c>
      <c r="I26">
        <v>86400</v>
      </c>
      <c r="J26">
        <v>5</v>
      </c>
      <c r="K26">
        <v>28800</v>
      </c>
      <c r="L26">
        <v>5</v>
      </c>
      <c r="M26">
        <v>1</v>
      </c>
      <c r="N26" t="s">
        <v>59</v>
      </c>
      <c r="O26" t="s">
        <v>59</v>
      </c>
      <c r="P26">
        <v>0</v>
      </c>
      <c r="Q26">
        <v>1</v>
      </c>
      <c r="R26">
        <v>1</v>
      </c>
      <c r="S26">
        <v>0</v>
      </c>
      <c r="T26" t="s">
        <v>1358</v>
      </c>
      <c r="U26">
        <v>-10</v>
      </c>
      <c r="V26">
        <v>20</v>
      </c>
      <c r="W26">
        <v>25</v>
      </c>
      <c r="X26">
        <v>-1</v>
      </c>
      <c r="Y26" t="s">
        <v>130</v>
      </c>
      <c r="Z26">
        <v>90</v>
      </c>
      <c r="AA26">
        <v>1</v>
      </c>
      <c r="AB26">
        <v>-1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1</v>
      </c>
      <c r="BC26">
        <v>2</v>
      </c>
      <c r="BD26">
        <v>3</v>
      </c>
      <c r="BE26">
        <v>3</v>
      </c>
      <c r="BF26">
        <v>3</v>
      </c>
      <c r="BG26">
        <v>3</v>
      </c>
      <c r="BH26">
        <v>3</v>
      </c>
    </row>
    <row r="27" spans="1:60" x14ac:dyDescent="0.25">
      <c r="A27">
        <v>25</v>
      </c>
      <c r="B27" t="s">
        <v>1248</v>
      </c>
      <c r="C27" t="s">
        <v>1416</v>
      </c>
      <c r="D27">
        <v>9031</v>
      </c>
      <c r="E27">
        <v>40</v>
      </c>
      <c r="F27">
        <v>40</v>
      </c>
      <c r="G27">
        <v>28</v>
      </c>
      <c r="H27" t="s">
        <v>1415</v>
      </c>
      <c r="I27">
        <v>86400</v>
      </c>
      <c r="J27">
        <v>5</v>
      </c>
      <c r="K27">
        <v>86400</v>
      </c>
      <c r="L27">
        <v>5</v>
      </c>
      <c r="M27">
        <v>1</v>
      </c>
      <c r="N27" t="s">
        <v>59</v>
      </c>
      <c r="O27" t="s">
        <v>59</v>
      </c>
      <c r="P27">
        <v>0</v>
      </c>
      <c r="Q27">
        <v>1</v>
      </c>
      <c r="R27">
        <v>1</v>
      </c>
      <c r="S27">
        <v>0</v>
      </c>
      <c r="T27" t="s">
        <v>1358</v>
      </c>
      <c r="U27">
        <v>-10</v>
      </c>
      <c r="V27">
        <v>20</v>
      </c>
      <c r="W27">
        <v>25</v>
      </c>
      <c r="X27">
        <v>-1</v>
      </c>
      <c r="Y27" t="s">
        <v>130</v>
      </c>
      <c r="Z27">
        <v>130</v>
      </c>
      <c r="AA27">
        <v>1</v>
      </c>
      <c r="AB27">
        <v>-1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1</v>
      </c>
      <c r="BE27">
        <v>2</v>
      </c>
      <c r="BF27">
        <v>3</v>
      </c>
      <c r="BG27">
        <v>3</v>
      </c>
      <c r="BH27">
        <v>3</v>
      </c>
    </row>
    <row r="28" spans="1:60" x14ac:dyDescent="0.25">
      <c r="A28">
        <v>26</v>
      </c>
      <c r="B28" t="s">
        <v>1248</v>
      </c>
      <c r="C28" t="s">
        <v>1404</v>
      </c>
      <c r="D28">
        <v>9025</v>
      </c>
      <c r="E28">
        <v>20</v>
      </c>
      <c r="F28">
        <v>40</v>
      </c>
      <c r="G28">
        <v>29</v>
      </c>
      <c r="H28" t="s">
        <v>1403</v>
      </c>
      <c r="I28">
        <v>86400</v>
      </c>
      <c r="J28">
        <v>5</v>
      </c>
      <c r="K28">
        <v>43200</v>
      </c>
      <c r="L28">
        <v>5</v>
      </c>
      <c r="M28">
        <v>1</v>
      </c>
      <c r="N28" t="s">
        <v>1357</v>
      </c>
      <c r="O28" t="s">
        <v>59</v>
      </c>
      <c r="P28">
        <v>0</v>
      </c>
      <c r="Q28">
        <v>1</v>
      </c>
      <c r="R28">
        <v>1</v>
      </c>
      <c r="S28">
        <v>0</v>
      </c>
      <c r="T28" t="s">
        <v>1358</v>
      </c>
      <c r="U28">
        <v>-20</v>
      </c>
      <c r="V28">
        <v>10</v>
      </c>
      <c r="W28">
        <v>25</v>
      </c>
      <c r="X28">
        <v>-1</v>
      </c>
      <c r="Y28" t="s">
        <v>130</v>
      </c>
      <c r="Z28">
        <v>100</v>
      </c>
      <c r="AA28">
        <v>1</v>
      </c>
      <c r="AB28">
        <v>-1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1</v>
      </c>
      <c r="BF28">
        <v>2</v>
      </c>
      <c r="BG28">
        <v>3</v>
      </c>
      <c r="BH28">
        <v>3</v>
      </c>
    </row>
    <row r="29" spans="1:60" x14ac:dyDescent="0.25">
      <c r="A29">
        <v>27</v>
      </c>
      <c r="B29" t="s">
        <v>1248</v>
      </c>
      <c r="C29" t="s">
        <v>1402</v>
      </c>
      <c r="D29">
        <v>9024</v>
      </c>
      <c r="E29">
        <v>40</v>
      </c>
      <c r="F29">
        <v>40</v>
      </c>
      <c r="G29">
        <v>30</v>
      </c>
      <c r="H29" t="s">
        <v>1401</v>
      </c>
      <c r="I29">
        <v>86400</v>
      </c>
      <c r="J29">
        <v>5</v>
      </c>
      <c r="K29">
        <v>21600</v>
      </c>
      <c r="L29">
        <v>5</v>
      </c>
      <c r="M29">
        <v>1</v>
      </c>
      <c r="N29" t="s">
        <v>59</v>
      </c>
      <c r="O29" t="s">
        <v>59</v>
      </c>
      <c r="P29">
        <v>0</v>
      </c>
      <c r="Q29">
        <v>1</v>
      </c>
      <c r="R29">
        <v>1</v>
      </c>
      <c r="S29">
        <v>0</v>
      </c>
      <c r="T29" t="s">
        <v>1358</v>
      </c>
      <c r="U29">
        <v>-20</v>
      </c>
      <c r="V29">
        <v>10</v>
      </c>
      <c r="W29">
        <v>25</v>
      </c>
      <c r="X29">
        <v>-1</v>
      </c>
      <c r="Y29" t="s">
        <v>130</v>
      </c>
      <c r="Z29">
        <v>80</v>
      </c>
      <c r="AA29">
        <v>1</v>
      </c>
      <c r="AB29">
        <v>-1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2</v>
      </c>
      <c r="BH29">
        <v>2</v>
      </c>
    </row>
  </sheetData>
  <conditionalFormatting sqref="A1:W29 Z1:BH29">
    <cfRule type="cellIs" dxfId="27" priority="4" operator="equal">
      <formula>-9999</formula>
    </cfRule>
  </conditionalFormatting>
  <conditionalFormatting sqref="AC3:BH29">
    <cfRule type="colorScale" priority="3">
      <colorScale>
        <cfvo type="min"/>
        <cfvo type="max"/>
        <color rgb="FFFCFCFF"/>
        <color rgb="FF63BE7B"/>
      </colorScale>
    </cfRule>
  </conditionalFormatting>
  <conditionalFormatting sqref="Y1:Y29">
    <cfRule type="cellIs" dxfId="26" priority="2" operator="equal">
      <formula>-9999</formula>
    </cfRule>
  </conditionalFormatting>
  <conditionalFormatting sqref="X1:X36">
    <cfRule type="cellIs" dxfId="25" priority="1" operator="equal">
      <formula>-9999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3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defaultRowHeight="15" x14ac:dyDescent="0.25"/>
  <cols>
    <col min="3" max="3" width="29.28515625" bestFit="1" customWidth="1"/>
  </cols>
  <sheetData>
    <row r="1" spans="1:32" s="1" customFormat="1" ht="75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2146</v>
      </c>
      <c r="I1" s="1" t="s">
        <v>2186</v>
      </c>
      <c r="J1" s="1" t="s">
        <v>2192</v>
      </c>
      <c r="K1" s="1" t="s">
        <v>2195</v>
      </c>
      <c r="L1" s="1" t="s">
        <v>2193</v>
      </c>
      <c r="M1" s="1" t="s">
        <v>2196</v>
      </c>
      <c r="N1" s="1" t="s">
        <v>2187</v>
      </c>
      <c r="O1" s="1" t="s">
        <v>2190</v>
      </c>
      <c r="P1" s="1" t="s">
        <v>2194</v>
      </c>
      <c r="Q1" s="1" t="s">
        <v>2197</v>
      </c>
      <c r="R1" s="1" t="s">
        <v>2198</v>
      </c>
      <c r="S1" s="1" t="s">
        <v>2199</v>
      </c>
      <c r="T1" s="1" t="s">
        <v>2200</v>
      </c>
      <c r="U1" s="1" t="s">
        <v>2201</v>
      </c>
      <c r="V1" s="1" t="s">
        <v>2202</v>
      </c>
      <c r="W1" s="1" t="s">
        <v>2203</v>
      </c>
      <c r="X1" s="1" t="s">
        <v>2204</v>
      </c>
      <c r="Y1" s="1" t="s">
        <v>2205</v>
      </c>
      <c r="Z1" s="1" t="s">
        <v>2206</v>
      </c>
      <c r="AA1" s="1" t="s">
        <v>2147</v>
      </c>
      <c r="AB1" s="1" t="s">
        <v>2148</v>
      </c>
      <c r="AC1" s="1" t="s">
        <v>2149</v>
      </c>
      <c r="AD1" s="1" t="s">
        <v>2207</v>
      </c>
      <c r="AE1" s="1" t="s">
        <v>5485</v>
      </c>
      <c r="AF1" s="1" t="s">
        <v>2245</v>
      </c>
    </row>
    <row r="2" spans="1:32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1285</v>
      </c>
      <c r="I2" t="s">
        <v>1271</v>
      </c>
      <c r="J2" t="s">
        <v>1269</v>
      </c>
      <c r="K2" t="s">
        <v>1270</v>
      </c>
      <c r="L2" t="s">
        <v>1272</v>
      </c>
      <c r="M2" t="s">
        <v>1273</v>
      </c>
      <c r="N2" t="s">
        <v>1326</v>
      </c>
      <c r="O2" t="s">
        <v>1286</v>
      </c>
      <c r="P2" t="s">
        <v>1284</v>
      </c>
      <c r="Q2" t="s">
        <v>1328</v>
      </c>
      <c r="R2" t="s">
        <v>1330</v>
      </c>
      <c r="S2" t="s">
        <v>1327</v>
      </c>
      <c r="T2" t="s">
        <v>1329</v>
      </c>
      <c r="U2" t="s">
        <v>1332</v>
      </c>
      <c r="V2" t="s">
        <v>1333</v>
      </c>
      <c r="W2" t="s">
        <v>1334</v>
      </c>
      <c r="X2" t="s">
        <v>1336</v>
      </c>
      <c r="Y2" t="s">
        <v>1337</v>
      </c>
      <c r="Z2" t="s">
        <v>1342</v>
      </c>
      <c r="AA2" t="s">
        <v>1287</v>
      </c>
      <c r="AB2" t="s">
        <v>1288</v>
      </c>
      <c r="AC2" t="s">
        <v>1289</v>
      </c>
      <c r="AD2" t="s">
        <v>1290</v>
      </c>
    </row>
    <row r="3" spans="1:32" x14ac:dyDescent="0.25">
      <c r="A3">
        <v>1</v>
      </c>
      <c r="B3" t="s">
        <v>1248</v>
      </c>
      <c r="C3" t="s">
        <v>1483</v>
      </c>
      <c r="D3">
        <v>9035</v>
      </c>
      <c r="E3">
        <v>60</v>
      </c>
      <c r="F3">
        <v>40</v>
      </c>
      <c r="G3">
        <v>-1</v>
      </c>
      <c r="H3">
        <v>-1</v>
      </c>
      <c r="I3" t="s">
        <v>1482</v>
      </c>
      <c r="J3">
        <v>43200</v>
      </c>
      <c r="K3">
        <v>5</v>
      </c>
      <c r="L3">
        <v>-1</v>
      </c>
      <c r="M3">
        <v>-1</v>
      </c>
      <c r="N3">
        <v>1</v>
      </c>
      <c r="O3" t="s">
        <v>59</v>
      </c>
      <c r="P3">
        <v>-1</v>
      </c>
      <c r="Q3">
        <v>9</v>
      </c>
      <c r="R3">
        <v>5</v>
      </c>
      <c r="S3" t="s">
        <v>59</v>
      </c>
      <c r="T3" t="s">
        <v>1484</v>
      </c>
      <c r="U3" t="s">
        <v>59</v>
      </c>
      <c r="V3">
        <v>-1</v>
      </c>
      <c r="W3">
        <v>0</v>
      </c>
      <c r="X3">
        <v>3040</v>
      </c>
      <c r="Y3">
        <v>0</v>
      </c>
      <c r="Z3">
        <v>1</v>
      </c>
      <c r="AA3" t="s">
        <v>1358</v>
      </c>
      <c r="AB3">
        <v>-10</v>
      </c>
      <c r="AC3">
        <v>20</v>
      </c>
      <c r="AD3">
        <v>25</v>
      </c>
      <c r="AE3">
        <v>-1</v>
      </c>
      <c r="AF3" t="s">
        <v>130</v>
      </c>
    </row>
    <row r="4" spans="1:32" x14ac:dyDescent="0.25">
      <c r="A4">
        <v>1</v>
      </c>
      <c r="B4" t="s">
        <v>1248</v>
      </c>
      <c r="C4" t="s">
        <v>1514</v>
      </c>
      <c r="D4">
        <v>1018</v>
      </c>
      <c r="E4">
        <v>100</v>
      </c>
      <c r="F4">
        <v>60</v>
      </c>
      <c r="G4">
        <v>-1</v>
      </c>
      <c r="H4">
        <v>1</v>
      </c>
      <c r="I4" t="s">
        <v>1513</v>
      </c>
      <c r="J4">
        <v>45</v>
      </c>
      <c r="K4">
        <v>5</v>
      </c>
      <c r="L4">
        <v>-1</v>
      </c>
      <c r="M4">
        <v>-1</v>
      </c>
      <c r="N4">
        <v>0</v>
      </c>
      <c r="O4" t="s">
        <v>59</v>
      </c>
      <c r="P4">
        <v>3005</v>
      </c>
      <c r="Q4">
        <v>1</v>
      </c>
      <c r="R4">
        <v>5</v>
      </c>
      <c r="S4" t="s">
        <v>59</v>
      </c>
      <c r="T4" t="s">
        <v>1516</v>
      </c>
      <c r="U4" t="s">
        <v>1517</v>
      </c>
      <c r="V4">
        <v>-1</v>
      </c>
      <c r="W4">
        <v>1</v>
      </c>
      <c r="X4">
        <v>-1</v>
      </c>
      <c r="Y4">
        <v>0</v>
      </c>
      <c r="Z4">
        <v>0</v>
      </c>
      <c r="AA4" t="s">
        <v>1358</v>
      </c>
      <c r="AB4">
        <v>-20</v>
      </c>
      <c r="AC4">
        <v>40</v>
      </c>
      <c r="AD4">
        <v>25</v>
      </c>
      <c r="AE4">
        <v>-1</v>
      </c>
      <c r="AF4" t="s">
        <v>130</v>
      </c>
    </row>
    <row r="5" spans="1:32" x14ac:dyDescent="0.25">
      <c r="A5">
        <v>1</v>
      </c>
      <c r="B5" t="s">
        <v>1248</v>
      </c>
      <c r="C5" t="s">
        <v>1430</v>
      </c>
      <c r="D5">
        <v>1021</v>
      </c>
      <c r="E5">
        <v>80</v>
      </c>
      <c r="F5">
        <v>60</v>
      </c>
      <c r="G5">
        <v>-1</v>
      </c>
      <c r="H5">
        <v>-1</v>
      </c>
      <c r="I5" t="s">
        <v>1429</v>
      </c>
      <c r="J5">
        <v>10800</v>
      </c>
      <c r="K5">
        <v>5</v>
      </c>
      <c r="L5">
        <v>1200</v>
      </c>
      <c r="M5">
        <v>5</v>
      </c>
      <c r="N5">
        <v>0</v>
      </c>
      <c r="O5" t="s">
        <v>1432</v>
      </c>
      <c r="P5">
        <v>-1</v>
      </c>
      <c r="Q5">
        <v>-1</v>
      </c>
      <c r="R5">
        <v>-1</v>
      </c>
      <c r="S5" t="s">
        <v>59</v>
      </c>
      <c r="T5" t="s">
        <v>59</v>
      </c>
      <c r="U5" t="s">
        <v>1433</v>
      </c>
      <c r="V5">
        <v>1</v>
      </c>
      <c r="W5">
        <v>0</v>
      </c>
      <c r="X5">
        <v>-1</v>
      </c>
      <c r="Y5">
        <v>0</v>
      </c>
      <c r="Z5">
        <v>1</v>
      </c>
      <c r="AA5" t="s">
        <v>1358</v>
      </c>
      <c r="AB5">
        <v>-10</v>
      </c>
      <c r="AC5">
        <v>20</v>
      </c>
      <c r="AD5">
        <v>25</v>
      </c>
      <c r="AE5">
        <v>-1</v>
      </c>
      <c r="AF5" t="s">
        <v>130</v>
      </c>
    </row>
    <row r="6" spans="1:32" x14ac:dyDescent="0.25">
      <c r="A6">
        <v>1</v>
      </c>
      <c r="B6" t="s">
        <v>1248</v>
      </c>
      <c r="C6" t="s">
        <v>1424</v>
      </c>
      <c r="D6">
        <v>1024</v>
      </c>
      <c r="E6">
        <v>60</v>
      </c>
      <c r="F6">
        <v>60</v>
      </c>
      <c r="G6">
        <v>-1</v>
      </c>
      <c r="H6">
        <v>-1</v>
      </c>
      <c r="I6" t="s">
        <v>1423</v>
      </c>
      <c r="J6">
        <v>600</v>
      </c>
      <c r="K6">
        <v>5</v>
      </c>
      <c r="L6">
        <v>-1</v>
      </c>
      <c r="M6">
        <v>-1</v>
      </c>
      <c r="N6">
        <v>0</v>
      </c>
      <c r="O6" t="s">
        <v>1426</v>
      </c>
      <c r="P6">
        <v>-1</v>
      </c>
      <c r="Q6">
        <v>3</v>
      </c>
      <c r="R6">
        <v>5</v>
      </c>
      <c r="S6" t="s">
        <v>1427</v>
      </c>
      <c r="T6" t="s">
        <v>1425</v>
      </c>
      <c r="U6" t="s">
        <v>1428</v>
      </c>
      <c r="V6">
        <v>-1</v>
      </c>
      <c r="W6">
        <v>0</v>
      </c>
      <c r="X6">
        <v>-1</v>
      </c>
      <c r="Y6">
        <v>0</v>
      </c>
      <c r="Z6">
        <v>1</v>
      </c>
      <c r="AA6" t="s">
        <v>1358</v>
      </c>
      <c r="AB6">
        <v>-20</v>
      </c>
      <c r="AC6">
        <v>10</v>
      </c>
      <c r="AD6">
        <v>25</v>
      </c>
      <c r="AE6">
        <v>7</v>
      </c>
      <c r="AF6" t="s">
        <v>130</v>
      </c>
    </row>
    <row r="7" spans="1:32" x14ac:dyDescent="0.25">
      <c r="A7">
        <v>1</v>
      </c>
      <c r="B7" t="s">
        <v>1248</v>
      </c>
      <c r="C7" t="s">
        <v>1554</v>
      </c>
      <c r="D7">
        <v>1102</v>
      </c>
      <c r="E7">
        <v>100</v>
      </c>
      <c r="F7">
        <v>60</v>
      </c>
      <c r="G7">
        <v>-1</v>
      </c>
      <c r="H7">
        <v>1</v>
      </c>
      <c r="I7" t="s">
        <v>1553</v>
      </c>
      <c r="J7">
        <v>7200</v>
      </c>
      <c r="K7">
        <v>5</v>
      </c>
      <c r="L7">
        <v>-1</v>
      </c>
      <c r="M7">
        <v>-1</v>
      </c>
      <c r="N7">
        <v>0</v>
      </c>
      <c r="O7" t="s">
        <v>59</v>
      </c>
      <c r="P7">
        <v>-1</v>
      </c>
      <c r="Q7">
        <v>2</v>
      </c>
      <c r="R7">
        <v>5</v>
      </c>
      <c r="S7" t="s">
        <v>59</v>
      </c>
      <c r="T7" t="s">
        <v>1453</v>
      </c>
      <c r="U7" t="s">
        <v>1555</v>
      </c>
      <c r="V7">
        <v>-1</v>
      </c>
      <c r="W7">
        <v>0</v>
      </c>
      <c r="X7">
        <v>-1</v>
      </c>
      <c r="Y7">
        <v>1</v>
      </c>
      <c r="Z7">
        <v>0</v>
      </c>
      <c r="AA7" t="s">
        <v>1358</v>
      </c>
      <c r="AB7">
        <v>0</v>
      </c>
      <c r="AC7">
        <v>0</v>
      </c>
      <c r="AD7">
        <v>5</v>
      </c>
      <c r="AE7">
        <v>-1</v>
      </c>
      <c r="AF7" t="s">
        <v>130</v>
      </c>
    </row>
    <row r="8" spans="1:32" x14ac:dyDescent="0.25">
      <c r="A8">
        <v>1</v>
      </c>
      <c r="B8" t="s">
        <v>1248</v>
      </c>
      <c r="C8" t="s">
        <v>1448</v>
      </c>
      <c r="D8">
        <v>9046</v>
      </c>
      <c r="E8">
        <v>40</v>
      </c>
      <c r="F8">
        <v>40</v>
      </c>
      <c r="G8">
        <v>-1</v>
      </c>
      <c r="H8">
        <v>4</v>
      </c>
      <c r="I8" t="s">
        <v>1447</v>
      </c>
      <c r="J8">
        <v>21600</v>
      </c>
      <c r="K8">
        <v>5</v>
      </c>
      <c r="L8">
        <v>-1</v>
      </c>
      <c r="M8">
        <v>-1</v>
      </c>
      <c r="N8">
        <v>0</v>
      </c>
      <c r="O8" t="s">
        <v>59</v>
      </c>
      <c r="P8">
        <v>-1</v>
      </c>
      <c r="Q8">
        <v>11</v>
      </c>
      <c r="R8">
        <v>5</v>
      </c>
      <c r="S8" t="s">
        <v>59</v>
      </c>
      <c r="T8" t="s">
        <v>1449</v>
      </c>
      <c r="U8" t="s">
        <v>973</v>
      </c>
      <c r="V8">
        <v>-1</v>
      </c>
      <c r="W8">
        <v>0</v>
      </c>
      <c r="X8">
        <v>-1</v>
      </c>
      <c r="Y8">
        <v>0</v>
      </c>
      <c r="Z8">
        <v>1</v>
      </c>
      <c r="AA8" t="s">
        <v>1358</v>
      </c>
      <c r="AB8">
        <v>-10</v>
      </c>
      <c r="AC8">
        <v>20</v>
      </c>
      <c r="AD8">
        <v>5</v>
      </c>
      <c r="AE8">
        <v>-1</v>
      </c>
      <c r="AF8" t="s">
        <v>130</v>
      </c>
    </row>
    <row r="9" spans="1:32" x14ac:dyDescent="0.25">
      <c r="A9">
        <v>1</v>
      </c>
      <c r="B9" t="s">
        <v>1248</v>
      </c>
      <c r="C9" t="s">
        <v>1443</v>
      </c>
      <c r="D9">
        <v>9045</v>
      </c>
      <c r="E9">
        <v>60</v>
      </c>
      <c r="F9">
        <v>60</v>
      </c>
      <c r="G9">
        <v>-1</v>
      </c>
      <c r="H9">
        <v>5</v>
      </c>
      <c r="I9" t="s">
        <v>1442</v>
      </c>
      <c r="J9">
        <v>43200</v>
      </c>
      <c r="K9">
        <v>5</v>
      </c>
      <c r="L9">
        <v>3600</v>
      </c>
      <c r="M9">
        <v>5</v>
      </c>
      <c r="N9">
        <v>0</v>
      </c>
      <c r="O9" t="s">
        <v>1432</v>
      </c>
      <c r="P9">
        <v>-1</v>
      </c>
      <c r="Q9">
        <v>-1</v>
      </c>
      <c r="R9">
        <v>-1</v>
      </c>
      <c r="S9" t="s">
        <v>59</v>
      </c>
      <c r="T9" t="s">
        <v>59</v>
      </c>
      <c r="U9" t="s">
        <v>1174</v>
      </c>
      <c r="V9">
        <v>2</v>
      </c>
      <c r="W9">
        <v>0</v>
      </c>
      <c r="X9">
        <v>-1</v>
      </c>
      <c r="Y9">
        <v>0</v>
      </c>
      <c r="Z9">
        <v>1</v>
      </c>
      <c r="AA9" t="s">
        <v>1358</v>
      </c>
      <c r="AB9">
        <v>-10</v>
      </c>
      <c r="AC9">
        <v>20</v>
      </c>
      <c r="AD9">
        <v>5</v>
      </c>
      <c r="AE9">
        <v>-1</v>
      </c>
      <c r="AF9" t="s">
        <v>130</v>
      </c>
    </row>
    <row r="10" spans="1:32" x14ac:dyDescent="0.25">
      <c r="A10">
        <v>1</v>
      </c>
      <c r="B10" t="s">
        <v>1248</v>
      </c>
      <c r="C10" t="s">
        <v>1511</v>
      </c>
      <c r="D10">
        <v>1054</v>
      </c>
      <c r="E10">
        <v>60</v>
      </c>
      <c r="F10">
        <v>60</v>
      </c>
      <c r="G10">
        <v>-1</v>
      </c>
      <c r="H10">
        <v>10</v>
      </c>
      <c r="I10" t="s">
        <v>1510</v>
      </c>
      <c r="J10">
        <v>86400</v>
      </c>
      <c r="K10">
        <v>5</v>
      </c>
      <c r="L10">
        <v>-1</v>
      </c>
      <c r="M10">
        <v>-1</v>
      </c>
      <c r="N10">
        <v>0</v>
      </c>
      <c r="O10" t="s">
        <v>59</v>
      </c>
      <c r="P10">
        <v>-1</v>
      </c>
      <c r="Q10">
        <v>5</v>
      </c>
      <c r="R10">
        <v>5</v>
      </c>
      <c r="S10" t="s">
        <v>59</v>
      </c>
      <c r="T10" t="s">
        <v>1512</v>
      </c>
      <c r="U10" t="s">
        <v>59</v>
      </c>
      <c r="V10">
        <v>-1</v>
      </c>
      <c r="W10">
        <v>0</v>
      </c>
      <c r="X10">
        <v>-1</v>
      </c>
      <c r="Y10">
        <v>0</v>
      </c>
      <c r="Z10">
        <v>1</v>
      </c>
      <c r="AA10" t="s">
        <v>1358</v>
      </c>
      <c r="AB10">
        <v>-10</v>
      </c>
      <c r="AC10">
        <v>20</v>
      </c>
      <c r="AD10">
        <v>25</v>
      </c>
      <c r="AE10">
        <v>-1</v>
      </c>
      <c r="AF10" t="s">
        <v>130</v>
      </c>
    </row>
    <row r="11" spans="1:32" x14ac:dyDescent="0.25">
      <c r="A11">
        <v>1</v>
      </c>
      <c r="B11" t="s">
        <v>1248</v>
      </c>
      <c r="C11" t="s">
        <v>1455</v>
      </c>
      <c r="D11">
        <v>1055</v>
      </c>
      <c r="E11">
        <v>60</v>
      </c>
      <c r="F11">
        <v>40</v>
      </c>
      <c r="G11">
        <v>-1</v>
      </c>
      <c r="H11">
        <v>13</v>
      </c>
      <c r="I11" t="s">
        <v>1454</v>
      </c>
      <c r="J11">
        <v>86400</v>
      </c>
      <c r="K11">
        <v>5</v>
      </c>
      <c r="L11">
        <v>-1</v>
      </c>
      <c r="M11">
        <v>-1</v>
      </c>
      <c r="N11">
        <v>0</v>
      </c>
      <c r="O11" t="s">
        <v>59</v>
      </c>
      <c r="P11">
        <v>-1</v>
      </c>
      <c r="Q11">
        <v>6</v>
      </c>
      <c r="R11">
        <v>5</v>
      </c>
      <c r="S11" t="s">
        <v>59</v>
      </c>
      <c r="T11" t="s">
        <v>1456</v>
      </c>
      <c r="U11" t="s">
        <v>59</v>
      </c>
      <c r="V11">
        <v>-1</v>
      </c>
      <c r="W11">
        <v>0</v>
      </c>
      <c r="X11">
        <v>-1</v>
      </c>
      <c r="Y11">
        <v>0</v>
      </c>
      <c r="Z11">
        <v>1</v>
      </c>
      <c r="AA11" t="s">
        <v>1358</v>
      </c>
      <c r="AB11">
        <v>-10</v>
      </c>
      <c r="AC11">
        <v>20</v>
      </c>
      <c r="AD11">
        <v>25</v>
      </c>
      <c r="AE11">
        <v>-1</v>
      </c>
      <c r="AF11" t="s">
        <v>130</v>
      </c>
    </row>
    <row r="12" spans="1:32" x14ac:dyDescent="0.25">
      <c r="A12">
        <v>1</v>
      </c>
      <c r="B12" t="s">
        <v>1248</v>
      </c>
      <c r="C12" t="s">
        <v>1498</v>
      </c>
      <c r="D12">
        <v>1056</v>
      </c>
      <c r="E12">
        <v>40</v>
      </c>
      <c r="F12">
        <v>40</v>
      </c>
      <c r="G12">
        <v>-1</v>
      </c>
      <c r="H12">
        <v>20</v>
      </c>
      <c r="I12" t="s">
        <v>1497</v>
      </c>
      <c r="J12">
        <v>86400</v>
      </c>
      <c r="K12">
        <v>5</v>
      </c>
      <c r="L12">
        <v>-1</v>
      </c>
      <c r="M12">
        <v>-1</v>
      </c>
      <c r="N12">
        <v>0</v>
      </c>
      <c r="O12" t="s">
        <v>59</v>
      </c>
      <c r="P12">
        <v>-1</v>
      </c>
      <c r="Q12">
        <v>7</v>
      </c>
      <c r="R12">
        <v>5</v>
      </c>
      <c r="S12" t="s">
        <v>59</v>
      </c>
      <c r="T12" t="s">
        <v>1499</v>
      </c>
      <c r="U12" t="s">
        <v>59</v>
      </c>
      <c r="V12">
        <v>-1</v>
      </c>
      <c r="W12">
        <v>0</v>
      </c>
      <c r="X12">
        <v>-1</v>
      </c>
      <c r="Y12">
        <v>0</v>
      </c>
      <c r="Z12">
        <v>1</v>
      </c>
      <c r="AA12" t="s">
        <v>1358</v>
      </c>
      <c r="AB12">
        <v>-10</v>
      </c>
      <c r="AC12">
        <v>20</v>
      </c>
      <c r="AD12">
        <v>25</v>
      </c>
      <c r="AE12">
        <v>-1</v>
      </c>
      <c r="AF12" t="s">
        <v>130</v>
      </c>
    </row>
    <row r="13" spans="1:32" x14ac:dyDescent="0.25">
      <c r="A13">
        <v>1</v>
      </c>
      <c r="B13" t="s">
        <v>1248</v>
      </c>
      <c r="C13" t="s">
        <v>1533</v>
      </c>
      <c r="D13">
        <v>1057</v>
      </c>
      <c r="E13">
        <v>40</v>
      </c>
      <c r="F13">
        <v>40</v>
      </c>
      <c r="G13">
        <v>-1</v>
      </c>
      <c r="H13">
        <v>25</v>
      </c>
      <c r="I13" t="s">
        <v>1532</v>
      </c>
      <c r="J13">
        <v>86400</v>
      </c>
      <c r="K13">
        <v>5</v>
      </c>
      <c r="L13">
        <v>-1</v>
      </c>
      <c r="M13">
        <v>-1</v>
      </c>
      <c r="N13">
        <v>0</v>
      </c>
      <c r="O13" t="s">
        <v>59</v>
      </c>
      <c r="P13">
        <v>-1</v>
      </c>
      <c r="Q13">
        <v>8</v>
      </c>
      <c r="R13">
        <v>5</v>
      </c>
      <c r="S13" t="s">
        <v>59</v>
      </c>
      <c r="T13" t="s">
        <v>1534</v>
      </c>
      <c r="U13" t="s">
        <v>59</v>
      </c>
      <c r="V13">
        <v>-1</v>
      </c>
      <c r="W13">
        <v>0</v>
      </c>
      <c r="X13">
        <v>-1</v>
      </c>
      <c r="Y13">
        <v>0</v>
      </c>
      <c r="Z13">
        <v>1</v>
      </c>
      <c r="AA13" t="s">
        <v>1358</v>
      </c>
      <c r="AB13">
        <v>-10</v>
      </c>
      <c r="AC13">
        <v>20</v>
      </c>
      <c r="AD13">
        <v>25</v>
      </c>
      <c r="AE13">
        <v>-1</v>
      </c>
      <c r="AF13" t="s">
        <v>130</v>
      </c>
    </row>
  </sheetData>
  <conditionalFormatting sqref="A1:AD13">
    <cfRule type="cellIs" dxfId="24" priority="3" operator="equal">
      <formula>-9999</formula>
    </cfRule>
  </conditionalFormatting>
  <conditionalFormatting sqref="AF1:AF13">
    <cfRule type="cellIs" dxfId="23" priority="2" operator="equal">
      <formula>-9999</formula>
    </cfRule>
  </conditionalFormatting>
  <conditionalFormatting sqref="AE1:AE36">
    <cfRule type="cellIs" dxfId="22" priority="1" operator="equal">
      <formula>-9999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4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0" sqref="G20"/>
    </sheetView>
  </sheetViews>
  <sheetFormatPr defaultRowHeight="15" x14ac:dyDescent="0.25"/>
  <cols>
    <col min="3" max="3" width="33" bestFit="1" customWidth="1"/>
  </cols>
  <sheetData>
    <row r="1" spans="1:55" s="1" customFormat="1" ht="75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2146</v>
      </c>
      <c r="I1" s="1" t="s">
        <v>2186</v>
      </c>
      <c r="J1" s="1" t="s">
        <v>2192</v>
      </c>
      <c r="K1" s="1" t="s">
        <v>2195</v>
      </c>
      <c r="L1" s="1" t="s">
        <v>2193</v>
      </c>
      <c r="M1" s="1" t="s">
        <v>2191</v>
      </c>
      <c r="N1" s="1" t="s">
        <v>2194</v>
      </c>
      <c r="O1" s="1" t="s">
        <v>2246</v>
      </c>
      <c r="P1" s="1" t="s">
        <v>2247</v>
      </c>
      <c r="Q1" s="1" t="s">
        <v>2206</v>
      </c>
      <c r="R1" s="1" t="s">
        <v>2147</v>
      </c>
      <c r="S1" s="1" t="s">
        <v>2148</v>
      </c>
      <c r="T1" s="1" t="s">
        <v>2149</v>
      </c>
      <c r="U1" s="1" t="s">
        <v>2207</v>
      </c>
      <c r="V1" s="1" t="s">
        <v>2245</v>
      </c>
      <c r="W1" s="1" t="s">
        <v>5484</v>
      </c>
      <c r="X1" s="1" t="s">
        <v>2213</v>
      </c>
      <c r="Y1" s="1" t="s">
        <v>2214</v>
      </c>
      <c r="Z1" s="1" t="s">
        <v>2215</v>
      </c>
      <c r="AA1" s="1" t="s">
        <v>2216</v>
      </c>
      <c r="AB1" s="1" t="s">
        <v>2217</v>
      </c>
      <c r="AC1" s="1" t="s">
        <v>2218</v>
      </c>
      <c r="AD1" s="1" t="s">
        <v>2219</v>
      </c>
      <c r="AE1" s="1" t="s">
        <v>2220</v>
      </c>
      <c r="AF1" s="1" t="s">
        <v>2221</v>
      </c>
      <c r="AG1" s="1" t="s">
        <v>2222</v>
      </c>
      <c r="AH1" s="1" t="s">
        <v>2223</v>
      </c>
      <c r="AI1" s="1" t="s">
        <v>2224</v>
      </c>
      <c r="AJ1" s="1" t="s">
        <v>2225</v>
      </c>
      <c r="AK1" s="1" t="s">
        <v>2226</v>
      </c>
      <c r="AL1" s="1" t="s">
        <v>2227</v>
      </c>
      <c r="AM1" s="1" t="s">
        <v>2228</v>
      </c>
      <c r="AN1" s="1" t="s">
        <v>2229</v>
      </c>
      <c r="AO1" s="1" t="s">
        <v>2230</v>
      </c>
      <c r="AP1" s="1" t="s">
        <v>2231</v>
      </c>
      <c r="AQ1" s="1" t="s">
        <v>2232</v>
      </c>
      <c r="AR1" s="1" t="s">
        <v>2233</v>
      </c>
      <c r="AS1" s="1" t="s">
        <v>2234</v>
      </c>
      <c r="AT1" s="1" t="s">
        <v>2235</v>
      </c>
      <c r="AU1" s="1" t="s">
        <v>2236</v>
      </c>
      <c r="AV1" s="1" t="s">
        <v>2237</v>
      </c>
      <c r="AW1" s="1" t="s">
        <v>2238</v>
      </c>
      <c r="AX1" s="1" t="s">
        <v>2239</v>
      </c>
      <c r="AY1" s="1" t="s">
        <v>2240</v>
      </c>
      <c r="AZ1" s="1" t="s">
        <v>2241</v>
      </c>
      <c r="BA1" s="1" t="s">
        <v>2242</v>
      </c>
      <c r="BB1" s="1" t="s">
        <v>2243</v>
      </c>
      <c r="BC1" s="1" t="s">
        <v>2244</v>
      </c>
    </row>
    <row r="2" spans="1:55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1285</v>
      </c>
      <c r="I2" t="s">
        <v>1271</v>
      </c>
      <c r="J2" t="s">
        <v>1269</v>
      </c>
      <c r="K2" t="s">
        <v>1270</v>
      </c>
      <c r="L2" t="s">
        <v>1272</v>
      </c>
      <c r="M2" t="s">
        <v>1341</v>
      </c>
      <c r="N2" t="s">
        <v>1284</v>
      </c>
      <c r="O2" t="s">
        <v>1338</v>
      </c>
      <c r="P2" t="s">
        <v>1340</v>
      </c>
      <c r="Q2" t="s">
        <v>1342</v>
      </c>
      <c r="R2" t="s">
        <v>1287</v>
      </c>
      <c r="S2" t="s">
        <v>1288</v>
      </c>
      <c r="T2" t="s">
        <v>1289</v>
      </c>
      <c r="U2" t="s">
        <v>1290</v>
      </c>
      <c r="X2" t="s">
        <v>1293</v>
      </c>
      <c r="Z2" t="s">
        <v>1343</v>
      </c>
      <c r="AA2" t="s">
        <v>1339</v>
      </c>
      <c r="AB2" t="s">
        <v>1299</v>
      </c>
      <c r="AC2" t="s">
        <v>1300</v>
      </c>
      <c r="AD2" t="s">
        <v>1301</v>
      </c>
      <c r="AE2" t="s">
        <v>1302</v>
      </c>
      <c r="AF2" t="s">
        <v>1303</v>
      </c>
      <c r="AG2" t="s">
        <v>1310</v>
      </c>
      <c r="AH2" t="s">
        <v>1313</v>
      </c>
      <c r="AI2" t="s">
        <v>1321</v>
      </c>
      <c r="AJ2" t="s">
        <v>1304</v>
      </c>
      <c r="AK2" t="s">
        <v>1305</v>
      </c>
      <c r="AL2" t="s">
        <v>1306</v>
      </c>
      <c r="AM2" t="s">
        <v>1324</v>
      </c>
      <c r="AN2" t="s">
        <v>1325</v>
      </c>
      <c r="AO2" t="s">
        <v>1320</v>
      </c>
      <c r="AP2" t="s">
        <v>1317</v>
      </c>
      <c r="AQ2" t="s">
        <v>1318</v>
      </c>
      <c r="AR2" t="s">
        <v>1319</v>
      </c>
      <c r="AS2" t="s">
        <v>1307</v>
      </c>
      <c r="AT2" t="s">
        <v>1308</v>
      </c>
      <c r="AU2" t="s">
        <v>1309</v>
      </c>
      <c r="AV2" t="s">
        <v>1311</v>
      </c>
      <c r="AW2" t="s">
        <v>1312</v>
      </c>
      <c r="AX2" t="s">
        <v>1322</v>
      </c>
      <c r="AY2" t="s">
        <v>1323</v>
      </c>
      <c r="AZ2" t="s">
        <v>1316</v>
      </c>
      <c r="BA2" t="s">
        <v>1314</v>
      </c>
      <c r="BB2" t="s">
        <v>1315</v>
      </c>
      <c r="BC2" t="s">
        <v>2032</v>
      </c>
    </row>
    <row r="3" spans="1:55" x14ac:dyDescent="0.25">
      <c r="A3">
        <v>1</v>
      </c>
      <c r="B3" t="s">
        <v>1450</v>
      </c>
      <c r="C3" t="s">
        <v>1462</v>
      </c>
      <c r="D3">
        <v>1027</v>
      </c>
      <c r="E3">
        <v>20</v>
      </c>
      <c r="F3">
        <v>20</v>
      </c>
      <c r="G3">
        <v>0</v>
      </c>
      <c r="H3">
        <v>1</v>
      </c>
      <c r="I3" t="s">
        <v>1451</v>
      </c>
      <c r="J3">
        <v>0</v>
      </c>
      <c r="K3">
        <v>5</v>
      </c>
      <c r="L3">
        <v>-1</v>
      </c>
      <c r="M3" t="s">
        <v>1464</v>
      </c>
      <c r="N3">
        <v>-1</v>
      </c>
      <c r="O3">
        <v>-1</v>
      </c>
      <c r="P3" t="s">
        <v>1463</v>
      </c>
      <c r="Q3">
        <v>0</v>
      </c>
      <c r="R3" t="s">
        <v>1358</v>
      </c>
      <c r="S3">
        <v>0</v>
      </c>
      <c r="T3">
        <v>0</v>
      </c>
      <c r="U3">
        <v>5</v>
      </c>
      <c r="V3" t="s">
        <v>130</v>
      </c>
      <c r="W3">
        <v>32</v>
      </c>
      <c r="X3">
        <v>3</v>
      </c>
      <c r="Y3">
        <v>3</v>
      </c>
      <c r="Z3">
        <v>4</v>
      </c>
      <c r="AA3">
        <v>4</v>
      </c>
      <c r="AB3">
        <v>4</v>
      </c>
      <c r="AC3">
        <v>4</v>
      </c>
      <c r="AD3">
        <v>4</v>
      </c>
      <c r="AE3">
        <v>4</v>
      </c>
      <c r="AF3">
        <v>4</v>
      </c>
      <c r="AG3">
        <v>4</v>
      </c>
      <c r="AH3">
        <v>4</v>
      </c>
      <c r="AI3">
        <v>4</v>
      </c>
      <c r="AJ3">
        <v>4</v>
      </c>
      <c r="AK3">
        <v>4</v>
      </c>
      <c r="AL3">
        <v>5</v>
      </c>
      <c r="AM3">
        <v>5</v>
      </c>
      <c r="AN3">
        <v>5</v>
      </c>
      <c r="AO3">
        <v>5</v>
      </c>
      <c r="AP3">
        <v>5</v>
      </c>
      <c r="AQ3">
        <v>5</v>
      </c>
      <c r="AR3">
        <v>5</v>
      </c>
      <c r="AS3">
        <v>5</v>
      </c>
      <c r="AT3">
        <v>5</v>
      </c>
      <c r="AU3">
        <v>5</v>
      </c>
      <c r="AV3">
        <v>6</v>
      </c>
      <c r="AW3">
        <v>6</v>
      </c>
      <c r="AX3">
        <v>6</v>
      </c>
      <c r="AY3">
        <v>6</v>
      </c>
      <c r="AZ3">
        <v>6</v>
      </c>
      <c r="BA3">
        <v>7</v>
      </c>
      <c r="BB3">
        <v>7</v>
      </c>
      <c r="BC3">
        <v>7</v>
      </c>
    </row>
    <row r="4" spans="1:55" x14ac:dyDescent="0.25">
      <c r="A4">
        <v>2</v>
      </c>
      <c r="B4" t="s">
        <v>1450</v>
      </c>
      <c r="C4" t="s">
        <v>1452</v>
      </c>
      <c r="D4">
        <v>1104</v>
      </c>
      <c r="E4">
        <v>20</v>
      </c>
      <c r="F4">
        <v>20</v>
      </c>
      <c r="G4">
        <v>0</v>
      </c>
      <c r="H4">
        <v>1</v>
      </c>
      <c r="I4" t="s">
        <v>1451</v>
      </c>
      <c r="J4">
        <v>0</v>
      </c>
      <c r="K4">
        <v>5</v>
      </c>
      <c r="L4">
        <v>-1</v>
      </c>
      <c r="M4" t="s">
        <v>59</v>
      </c>
      <c r="N4">
        <v>-1</v>
      </c>
      <c r="O4">
        <v>1055</v>
      </c>
      <c r="P4" t="s">
        <v>59</v>
      </c>
      <c r="Q4">
        <v>1</v>
      </c>
      <c r="R4" t="s">
        <v>1358</v>
      </c>
      <c r="S4">
        <v>0</v>
      </c>
      <c r="T4">
        <v>0</v>
      </c>
      <c r="U4">
        <v>5</v>
      </c>
      <c r="V4" t="s">
        <v>130</v>
      </c>
      <c r="W4">
        <v>-1</v>
      </c>
      <c r="X4">
        <v>3</v>
      </c>
      <c r="Y4">
        <v>3</v>
      </c>
      <c r="Z4">
        <v>3</v>
      </c>
      <c r="AA4">
        <v>4</v>
      </c>
      <c r="AB4">
        <v>4</v>
      </c>
      <c r="AC4">
        <v>4</v>
      </c>
      <c r="AD4">
        <v>5</v>
      </c>
      <c r="AE4">
        <v>5</v>
      </c>
      <c r="AF4">
        <v>6</v>
      </c>
      <c r="AG4">
        <v>6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6</v>
      </c>
      <c r="AP4">
        <v>6</v>
      </c>
      <c r="AQ4">
        <v>6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</row>
  </sheetData>
  <conditionalFormatting sqref="A1:BC4">
    <cfRule type="cellIs" dxfId="21" priority="1" operator="equal">
      <formula>-9999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12"/>
  <sheetViews>
    <sheetView zoomScale="60" zoomScaleNormal="60" workbookViewId="0">
      <pane xSplit="3" ySplit="2" topLeftCell="AR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5" x14ac:dyDescent="0.25"/>
  <cols>
    <col min="3" max="3" width="33.28515625" bestFit="1" customWidth="1"/>
    <col min="24" max="40" width="12.7109375" customWidth="1"/>
  </cols>
  <sheetData>
    <row r="1" spans="1:74" s="1" customFormat="1" ht="90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2146</v>
      </c>
      <c r="I1" s="1" t="s">
        <v>2186</v>
      </c>
      <c r="J1" s="1" t="s">
        <v>2192</v>
      </c>
      <c r="K1" s="1" t="s">
        <v>2195</v>
      </c>
      <c r="L1" s="1" t="s">
        <v>2193</v>
      </c>
      <c r="M1" s="1" t="s">
        <v>2196</v>
      </c>
      <c r="N1" s="1" t="s">
        <v>2187</v>
      </c>
      <c r="O1" s="1" t="s">
        <v>2190</v>
      </c>
      <c r="P1" s="1" t="s">
        <v>2191</v>
      </c>
      <c r="Q1" s="1" t="s">
        <v>2197</v>
      </c>
      <c r="R1" s="1" t="s">
        <v>2198</v>
      </c>
      <c r="S1" s="1" t="s">
        <v>2147</v>
      </c>
      <c r="T1" s="1" t="s">
        <v>2148</v>
      </c>
      <c r="U1" s="1" t="s">
        <v>2149</v>
      </c>
      <c r="V1" s="1" t="s">
        <v>2207</v>
      </c>
      <c r="W1" s="1" t="s">
        <v>2245</v>
      </c>
      <c r="X1" s="1" t="s">
        <v>2248</v>
      </c>
      <c r="Y1" s="1" t="s">
        <v>2249</v>
      </c>
      <c r="Z1" s="1" t="s">
        <v>2250</v>
      </c>
      <c r="AA1" s="1" t="s">
        <v>2251</v>
      </c>
      <c r="AB1" s="1" t="s">
        <v>2252</v>
      </c>
      <c r="AC1" s="1" t="s">
        <v>2253</v>
      </c>
      <c r="AD1" s="1" t="s">
        <v>2254</v>
      </c>
      <c r="AE1" s="1" t="s">
        <v>2255</v>
      </c>
      <c r="AF1" s="1" t="s">
        <v>2256</v>
      </c>
      <c r="AG1" s="1" t="s">
        <v>2257</v>
      </c>
      <c r="AH1" s="1" t="s">
        <v>2258</v>
      </c>
      <c r="AI1" s="1" t="s">
        <v>2259</v>
      </c>
      <c r="AJ1" s="1" t="s">
        <v>2260</v>
      </c>
      <c r="AK1" s="1" t="s">
        <v>2261</v>
      </c>
      <c r="AL1" s="1" t="s">
        <v>2262</v>
      </c>
      <c r="AM1" s="1" t="s">
        <v>2263</v>
      </c>
      <c r="AN1" s="1" t="s">
        <v>2264</v>
      </c>
      <c r="AO1" s="1" t="s">
        <v>2265</v>
      </c>
      <c r="AP1" s="1" t="s">
        <v>5484</v>
      </c>
      <c r="AQ1" s="1" t="s">
        <v>2266</v>
      </c>
      <c r="AR1" s="1" t="s">
        <v>5486</v>
      </c>
      <c r="AS1" s="1" t="s">
        <v>2267</v>
      </c>
      <c r="AT1" s="1" t="s">
        <v>2268</v>
      </c>
      <c r="AU1" s="1" t="s">
        <v>2269</v>
      </c>
      <c r="AV1" s="1" t="s">
        <v>2270</v>
      </c>
      <c r="AW1" s="1" t="s">
        <v>2271</v>
      </c>
      <c r="AX1" s="1" t="s">
        <v>2272</v>
      </c>
      <c r="AY1" s="1" t="s">
        <v>2273</v>
      </c>
      <c r="AZ1" s="1" t="s">
        <v>2274</v>
      </c>
      <c r="BA1" s="1" t="s">
        <v>2275</v>
      </c>
      <c r="BB1" s="1" t="s">
        <v>2276</v>
      </c>
      <c r="BC1" s="1" t="s">
        <v>2277</v>
      </c>
      <c r="BD1" s="1" t="s">
        <v>2278</v>
      </c>
      <c r="BE1" s="1" t="s">
        <v>2279</v>
      </c>
      <c r="BF1" s="1" t="s">
        <v>2280</v>
      </c>
      <c r="BG1" s="1" t="s">
        <v>2281</v>
      </c>
      <c r="BH1" s="1" t="s">
        <v>2282</v>
      </c>
      <c r="BI1" s="1" t="s">
        <v>2283</v>
      </c>
      <c r="BJ1" s="1" t="s">
        <v>2284</v>
      </c>
      <c r="BK1" s="1" t="s">
        <v>2285</v>
      </c>
      <c r="BL1" s="1" t="s">
        <v>2286</v>
      </c>
      <c r="BM1" s="1" t="s">
        <v>2287</v>
      </c>
      <c r="BN1" s="1" t="s">
        <v>2288</v>
      </c>
      <c r="BO1" s="1" t="s">
        <v>2289</v>
      </c>
      <c r="BP1" s="1" t="s">
        <v>2290</v>
      </c>
      <c r="BQ1" s="1" t="s">
        <v>2291</v>
      </c>
      <c r="BR1" s="1" t="s">
        <v>2292</v>
      </c>
      <c r="BS1" s="1" t="s">
        <v>2293</v>
      </c>
      <c r="BT1" s="1" t="s">
        <v>2294</v>
      </c>
      <c r="BU1" s="1" t="s">
        <v>2295</v>
      </c>
      <c r="BV1" s="1" t="s">
        <v>2296</v>
      </c>
    </row>
    <row r="2" spans="1:74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1285</v>
      </c>
      <c r="I2" t="s">
        <v>1271</v>
      </c>
      <c r="J2" t="s">
        <v>1269</v>
      </c>
      <c r="K2" t="s">
        <v>1270</v>
      </c>
      <c r="L2" t="s">
        <v>1272</v>
      </c>
      <c r="M2" t="s">
        <v>1273</v>
      </c>
      <c r="N2" t="s">
        <v>1326</v>
      </c>
      <c r="O2" t="s">
        <v>1286</v>
      </c>
      <c r="P2" t="s">
        <v>1341</v>
      </c>
      <c r="Q2" t="s">
        <v>1328</v>
      </c>
      <c r="R2" t="s">
        <v>1330</v>
      </c>
      <c r="S2" t="s">
        <v>1287</v>
      </c>
      <c r="T2" t="s">
        <v>1288</v>
      </c>
      <c r="U2" t="s">
        <v>1289</v>
      </c>
      <c r="V2" t="s">
        <v>1290</v>
      </c>
      <c r="AO2" t="s">
        <v>2031</v>
      </c>
      <c r="AQ2" t="s">
        <v>1293</v>
      </c>
      <c r="AS2" t="s">
        <v>1343</v>
      </c>
      <c r="AT2" t="s">
        <v>1339</v>
      </c>
      <c r="AU2" t="s">
        <v>1299</v>
      </c>
      <c r="AV2" t="s">
        <v>1300</v>
      </c>
      <c r="AW2" t="s">
        <v>1301</v>
      </c>
      <c r="AX2" t="s">
        <v>1302</v>
      </c>
      <c r="AY2" t="s">
        <v>1303</v>
      </c>
      <c r="AZ2" t="s">
        <v>1310</v>
      </c>
      <c r="BA2" t="s">
        <v>1313</v>
      </c>
      <c r="BB2" t="s">
        <v>1321</v>
      </c>
      <c r="BC2" t="s">
        <v>1304</v>
      </c>
      <c r="BD2" t="s">
        <v>1305</v>
      </c>
      <c r="BE2" t="s">
        <v>1306</v>
      </c>
      <c r="BF2" t="s">
        <v>1324</v>
      </c>
      <c r="BG2" t="s">
        <v>1325</v>
      </c>
      <c r="BH2" t="s">
        <v>1320</v>
      </c>
      <c r="BI2" t="s">
        <v>1317</v>
      </c>
      <c r="BJ2" t="s">
        <v>1318</v>
      </c>
      <c r="BK2" t="s">
        <v>1319</v>
      </c>
      <c r="BL2" t="s">
        <v>1307</v>
      </c>
      <c r="BM2" t="s">
        <v>1308</v>
      </c>
      <c r="BN2" t="s">
        <v>1309</v>
      </c>
      <c r="BO2" t="s">
        <v>1311</v>
      </c>
      <c r="BP2" t="s">
        <v>1312</v>
      </c>
      <c r="BQ2" t="s">
        <v>1322</v>
      </c>
      <c r="BR2" t="s">
        <v>1323</v>
      </c>
      <c r="BS2" t="s">
        <v>1316</v>
      </c>
      <c r="BT2" t="s">
        <v>1314</v>
      </c>
      <c r="BU2" t="s">
        <v>1315</v>
      </c>
      <c r="BV2" t="s">
        <v>2032</v>
      </c>
    </row>
    <row r="3" spans="1:74" x14ac:dyDescent="0.25">
      <c r="A3">
        <v>1</v>
      </c>
      <c r="B3" t="s">
        <v>1248</v>
      </c>
      <c r="C3" t="s">
        <v>2017</v>
      </c>
      <c r="D3">
        <v>10010</v>
      </c>
      <c r="E3">
        <v>20</v>
      </c>
      <c r="F3">
        <v>20</v>
      </c>
      <c r="G3">
        <v>0</v>
      </c>
      <c r="H3">
        <v>-1</v>
      </c>
      <c r="I3" t="s">
        <v>2040</v>
      </c>
      <c r="J3">
        <v>0</v>
      </c>
      <c r="K3">
        <v>5</v>
      </c>
      <c r="L3">
        <v>1800</v>
      </c>
      <c r="M3">
        <v>5</v>
      </c>
      <c r="N3">
        <v>0</v>
      </c>
      <c r="O3" t="s">
        <v>2036</v>
      </c>
      <c r="P3" t="s">
        <v>2037</v>
      </c>
      <c r="Q3">
        <v>4</v>
      </c>
      <c r="R3">
        <v>5</v>
      </c>
      <c r="S3" t="s">
        <v>1358</v>
      </c>
      <c r="T3">
        <v>-10</v>
      </c>
      <c r="U3">
        <v>10</v>
      </c>
      <c r="V3">
        <v>1</v>
      </c>
      <c r="W3" t="s">
        <v>130</v>
      </c>
      <c r="X3">
        <v>10010</v>
      </c>
      <c r="Y3">
        <v>5</v>
      </c>
      <c r="Z3" s="2">
        <v>0.5</v>
      </c>
      <c r="AA3" s="2">
        <v>0.25</v>
      </c>
      <c r="AB3" s="2">
        <v>0.15</v>
      </c>
      <c r="AC3" s="2">
        <v>0.1</v>
      </c>
      <c r="AD3" s="2">
        <v>-1</v>
      </c>
      <c r="AE3" s="2">
        <v>6</v>
      </c>
      <c r="AF3" s="2">
        <v>7</v>
      </c>
      <c r="AG3" s="2">
        <v>8</v>
      </c>
      <c r="AH3" s="2">
        <v>9</v>
      </c>
      <c r="AI3" s="2">
        <v>-1</v>
      </c>
      <c r="AJ3" s="2">
        <v>1</v>
      </c>
      <c r="AK3" s="2">
        <v>1</v>
      </c>
      <c r="AL3" s="2">
        <v>1</v>
      </c>
      <c r="AM3" s="2">
        <v>1</v>
      </c>
      <c r="AN3" s="2">
        <v>-1</v>
      </c>
      <c r="AO3">
        <v>3</v>
      </c>
      <c r="AP3">
        <v>32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2</v>
      </c>
      <c r="BA3">
        <v>2</v>
      </c>
      <c r="BB3">
        <v>3</v>
      </c>
      <c r="BC3">
        <v>3</v>
      </c>
      <c r="BD3">
        <v>4</v>
      </c>
      <c r="BE3">
        <v>4</v>
      </c>
      <c r="BF3">
        <v>5</v>
      </c>
      <c r="BG3">
        <v>5</v>
      </c>
      <c r="BH3">
        <v>6</v>
      </c>
      <c r="BI3">
        <v>6</v>
      </c>
      <c r="BJ3">
        <v>6</v>
      </c>
      <c r="BK3">
        <v>6</v>
      </c>
      <c r="BL3">
        <v>6</v>
      </c>
      <c r="BM3">
        <v>6</v>
      </c>
      <c r="BN3">
        <v>6</v>
      </c>
      <c r="BO3">
        <v>6</v>
      </c>
      <c r="BP3">
        <v>6</v>
      </c>
      <c r="BQ3">
        <v>6</v>
      </c>
      <c r="BR3">
        <v>6</v>
      </c>
      <c r="BS3">
        <v>6</v>
      </c>
      <c r="BT3">
        <v>6</v>
      </c>
      <c r="BU3">
        <v>6</v>
      </c>
      <c r="BV3">
        <v>6</v>
      </c>
    </row>
    <row r="4" spans="1:74" x14ac:dyDescent="0.25">
      <c r="A4">
        <v>2</v>
      </c>
      <c r="B4" t="s">
        <v>1248</v>
      </c>
      <c r="C4" t="s">
        <v>2018</v>
      </c>
      <c r="D4">
        <v>10011</v>
      </c>
      <c r="E4">
        <v>20</v>
      </c>
      <c r="F4">
        <v>20</v>
      </c>
      <c r="G4">
        <v>0</v>
      </c>
      <c r="H4">
        <v>-1</v>
      </c>
      <c r="I4" t="s">
        <v>2019</v>
      </c>
      <c r="J4">
        <v>0</v>
      </c>
      <c r="K4">
        <v>5</v>
      </c>
      <c r="L4">
        <v>1800</v>
      </c>
      <c r="M4">
        <v>5</v>
      </c>
      <c r="N4">
        <v>0</v>
      </c>
      <c r="O4" t="s">
        <v>2036</v>
      </c>
      <c r="P4" t="s">
        <v>2037</v>
      </c>
      <c r="Q4">
        <v>4</v>
      </c>
      <c r="R4">
        <v>5</v>
      </c>
      <c r="S4" t="s">
        <v>1358</v>
      </c>
      <c r="T4">
        <v>-10</v>
      </c>
      <c r="U4">
        <v>10</v>
      </c>
      <c r="V4">
        <v>1</v>
      </c>
      <c r="W4" t="s">
        <v>130</v>
      </c>
      <c r="X4">
        <v>10011</v>
      </c>
      <c r="Y4">
        <v>-1</v>
      </c>
      <c r="Z4" s="2">
        <v>0.75</v>
      </c>
      <c r="AA4" s="2">
        <v>0.25</v>
      </c>
      <c r="AB4" s="2">
        <v>-1</v>
      </c>
      <c r="AC4" s="2">
        <v>-1</v>
      </c>
      <c r="AD4" s="2">
        <v>-1</v>
      </c>
      <c r="AE4" s="2">
        <v>3</v>
      </c>
      <c r="AF4" s="2">
        <v>4</v>
      </c>
      <c r="AG4" s="2">
        <v>-1</v>
      </c>
      <c r="AH4" s="2">
        <v>-1</v>
      </c>
      <c r="AI4" s="2">
        <v>-1</v>
      </c>
      <c r="AJ4" s="2">
        <v>1</v>
      </c>
      <c r="AK4" s="2">
        <v>1</v>
      </c>
      <c r="AL4" s="2">
        <v>-1</v>
      </c>
      <c r="AM4" s="2">
        <v>-1</v>
      </c>
      <c r="AN4" s="2">
        <v>-1</v>
      </c>
      <c r="AO4">
        <v>3</v>
      </c>
      <c r="AP4">
        <v>-1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2</v>
      </c>
      <c r="BA4">
        <v>2</v>
      </c>
      <c r="BB4">
        <v>3</v>
      </c>
      <c r="BC4">
        <v>3</v>
      </c>
      <c r="BD4">
        <v>4</v>
      </c>
      <c r="BE4">
        <v>4</v>
      </c>
      <c r="BF4">
        <v>5</v>
      </c>
      <c r="BG4">
        <v>5</v>
      </c>
      <c r="BH4">
        <v>6</v>
      </c>
      <c r="BI4">
        <v>6</v>
      </c>
      <c r="BJ4">
        <v>6</v>
      </c>
      <c r="BK4">
        <v>6</v>
      </c>
      <c r="BL4">
        <v>6</v>
      </c>
      <c r="BM4">
        <v>6</v>
      </c>
      <c r="BN4">
        <v>6</v>
      </c>
      <c r="BO4">
        <v>6</v>
      </c>
      <c r="BP4">
        <v>6</v>
      </c>
      <c r="BQ4">
        <v>6</v>
      </c>
      <c r="BR4">
        <v>6</v>
      </c>
      <c r="BS4">
        <v>6</v>
      </c>
      <c r="BT4">
        <v>6</v>
      </c>
      <c r="BU4">
        <v>6</v>
      </c>
      <c r="BV4">
        <v>6</v>
      </c>
    </row>
    <row r="5" spans="1:74" x14ac:dyDescent="0.25">
      <c r="A5">
        <v>3</v>
      </c>
      <c r="B5" t="s">
        <v>1248</v>
      </c>
      <c r="C5" t="s">
        <v>2015</v>
      </c>
      <c r="D5">
        <v>10000</v>
      </c>
      <c r="E5">
        <v>20</v>
      </c>
      <c r="F5">
        <v>20</v>
      </c>
      <c r="G5">
        <v>0</v>
      </c>
      <c r="H5">
        <v>8</v>
      </c>
      <c r="I5" t="s">
        <v>2038</v>
      </c>
      <c r="J5">
        <v>0</v>
      </c>
      <c r="K5">
        <v>5</v>
      </c>
      <c r="L5">
        <v>1800</v>
      </c>
      <c r="M5">
        <v>5</v>
      </c>
      <c r="N5">
        <v>0</v>
      </c>
      <c r="O5" t="s">
        <v>2036</v>
      </c>
      <c r="P5" t="s">
        <v>2037</v>
      </c>
      <c r="Q5">
        <v>4</v>
      </c>
      <c r="R5">
        <v>5</v>
      </c>
      <c r="S5" t="s">
        <v>1358</v>
      </c>
      <c r="T5">
        <v>-10</v>
      </c>
      <c r="U5">
        <v>10</v>
      </c>
      <c r="V5">
        <v>1</v>
      </c>
      <c r="W5" t="s">
        <v>130</v>
      </c>
      <c r="X5">
        <v>10000</v>
      </c>
      <c r="Y5">
        <v>-1</v>
      </c>
      <c r="Z5" s="2">
        <v>0.45</v>
      </c>
      <c r="AA5" s="2">
        <v>0.25</v>
      </c>
      <c r="AB5" s="2">
        <v>0.15</v>
      </c>
      <c r="AC5" s="2">
        <v>0.1</v>
      </c>
      <c r="AD5" s="2">
        <v>0.05</v>
      </c>
      <c r="AE5" s="2">
        <v>2</v>
      </c>
      <c r="AF5" s="2">
        <v>3</v>
      </c>
      <c r="AG5" s="2">
        <v>4</v>
      </c>
      <c r="AH5" s="2">
        <v>5</v>
      </c>
      <c r="AI5" s="2">
        <v>6</v>
      </c>
      <c r="AJ5" s="2">
        <v>1</v>
      </c>
      <c r="AK5" s="2">
        <v>1</v>
      </c>
      <c r="AL5" s="2">
        <v>1</v>
      </c>
      <c r="AM5" s="2">
        <v>1</v>
      </c>
      <c r="AN5" s="2">
        <v>1</v>
      </c>
      <c r="AO5">
        <v>3</v>
      </c>
      <c r="AP5">
        <v>-1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1</v>
      </c>
      <c r="AY5">
        <v>1</v>
      </c>
      <c r="AZ5">
        <v>2</v>
      </c>
      <c r="BA5">
        <v>2</v>
      </c>
      <c r="BB5">
        <v>3</v>
      </c>
      <c r="BC5">
        <v>3</v>
      </c>
      <c r="BD5">
        <v>4</v>
      </c>
      <c r="BE5">
        <v>4</v>
      </c>
      <c r="BF5">
        <v>5</v>
      </c>
      <c r="BG5">
        <v>5</v>
      </c>
      <c r="BH5">
        <v>6</v>
      </c>
      <c r="BI5">
        <v>6</v>
      </c>
      <c r="BJ5">
        <v>6</v>
      </c>
      <c r="BK5">
        <v>6</v>
      </c>
      <c r="BL5">
        <v>6</v>
      </c>
      <c r="BM5">
        <v>6</v>
      </c>
      <c r="BN5">
        <v>6</v>
      </c>
      <c r="BO5">
        <v>6</v>
      </c>
      <c r="BP5">
        <v>6</v>
      </c>
      <c r="BQ5">
        <v>6</v>
      </c>
      <c r="BR5">
        <v>6</v>
      </c>
      <c r="BS5">
        <v>6</v>
      </c>
      <c r="BT5">
        <v>6</v>
      </c>
      <c r="BU5">
        <v>6</v>
      </c>
      <c r="BV5">
        <v>6</v>
      </c>
    </row>
    <row r="6" spans="1:74" x14ac:dyDescent="0.25">
      <c r="A6">
        <v>4</v>
      </c>
      <c r="B6" t="s">
        <v>1248</v>
      </c>
      <c r="C6" t="s">
        <v>2023</v>
      </c>
      <c r="D6">
        <v>10006</v>
      </c>
      <c r="E6">
        <v>20</v>
      </c>
      <c r="F6">
        <v>20</v>
      </c>
      <c r="G6">
        <v>0</v>
      </c>
      <c r="H6">
        <v>10</v>
      </c>
      <c r="I6" t="s">
        <v>2044</v>
      </c>
      <c r="J6">
        <v>0</v>
      </c>
      <c r="K6">
        <v>5</v>
      </c>
      <c r="L6">
        <v>1200</v>
      </c>
      <c r="M6">
        <v>5</v>
      </c>
      <c r="N6">
        <v>0</v>
      </c>
      <c r="O6" t="s">
        <v>2036</v>
      </c>
      <c r="P6" t="s">
        <v>2037</v>
      </c>
      <c r="Q6">
        <v>4</v>
      </c>
      <c r="R6">
        <v>5</v>
      </c>
      <c r="S6" t="s">
        <v>1358</v>
      </c>
      <c r="T6">
        <v>-10</v>
      </c>
      <c r="U6">
        <v>10</v>
      </c>
      <c r="V6">
        <v>1</v>
      </c>
      <c r="W6" t="s">
        <v>130</v>
      </c>
      <c r="X6">
        <v>10006</v>
      </c>
      <c r="Y6">
        <v>-1</v>
      </c>
      <c r="Z6" s="2">
        <v>0.45</v>
      </c>
      <c r="AA6" s="2">
        <v>0.25</v>
      </c>
      <c r="AB6" s="2">
        <v>0.15</v>
      </c>
      <c r="AC6" s="2">
        <v>0.1</v>
      </c>
      <c r="AD6" s="2">
        <v>0.05</v>
      </c>
      <c r="AE6" s="2">
        <v>2</v>
      </c>
      <c r="AF6" s="2">
        <v>3</v>
      </c>
      <c r="AG6" s="2">
        <v>4</v>
      </c>
      <c r="AH6" s="2">
        <v>5</v>
      </c>
      <c r="AI6" s="2">
        <v>6</v>
      </c>
      <c r="AJ6" s="2">
        <v>1</v>
      </c>
      <c r="AK6" s="2">
        <v>1</v>
      </c>
      <c r="AL6" s="2">
        <v>1</v>
      </c>
      <c r="AM6" s="2">
        <v>1</v>
      </c>
      <c r="AN6" s="2">
        <v>1</v>
      </c>
      <c r="AO6">
        <v>3</v>
      </c>
      <c r="AP6">
        <v>-1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</v>
      </c>
      <c r="BA6">
        <v>1</v>
      </c>
      <c r="BB6">
        <v>2</v>
      </c>
      <c r="BC6">
        <v>2</v>
      </c>
      <c r="BD6">
        <v>3</v>
      </c>
      <c r="BE6">
        <v>3</v>
      </c>
      <c r="BF6">
        <v>4</v>
      </c>
      <c r="BG6">
        <v>4</v>
      </c>
      <c r="BH6">
        <v>5</v>
      </c>
      <c r="BI6">
        <v>5</v>
      </c>
      <c r="BJ6">
        <v>6</v>
      </c>
      <c r="BK6">
        <v>6</v>
      </c>
      <c r="BL6">
        <v>6</v>
      </c>
      <c r="BM6">
        <v>6</v>
      </c>
      <c r="BN6">
        <v>6</v>
      </c>
      <c r="BO6">
        <v>6</v>
      </c>
      <c r="BP6">
        <v>6</v>
      </c>
      <c r="BQ6">
        <v>6</v>
      </c>
      <c r="BR6">
        <v>6</v>
      </c>
      <c r="BS6">
        <v>6</v>
      </c>
      <c r="BT6">
        <v>6</v>
      </c>
      <c r="BU6">
        <v>6</v>
      </c>
      <c r="BV6">
        <v>6</v>
      </c>
    </row>
    <row r="7" spans="1:74" x14ac:dyDescent="0.25">
      <c r="A7">
        <v>5</v>
      </c>
      <c r="B7" t="s">
        <v>1248</v>
      </c>
      <c r="C7" t="s">
        <v>2016</v>
      </c>
      <c r="D7">
        <v>10002</v>
      </c>
      <c r="E7">
        <v>20</v>
      </c>
      <c r="F7">
        <v>20</v>
      </c>
      <c r="G7">
        <v>0</v>
      </c>
      <c r="H7">
        <v>12</v>
      </c>
      <c r="I7" t="s">
        <v>2039</v>
      </c>
      <c r="J7">
        <v>0</v>
      </c>
      <c r="K7">
        <v>5</v>
      </c>
      <c r="L7">
        <v>3600</v>
      </c>
      <c r="M7">
        <v>5</v>
      </c>
      <c r="N7">
        <v>0</v>
      </c>
      <c r="O7" t="s">
        <v>2036</v>
      </c>
      <c r="P7" t="s">
        <v>2037</v>
      </c>
      <c r="Q7">
        <v>4</v>
      </c>
      <c r="R7">
        <v>5</v>
      </c>
      <c r="S7" t="s">
        <v>1358</v>
      </c>
      <c r="T7">
        <v>-10</v>
      </c>
      <c r="U7">
        <v>10</v>
      </c>
      <c r="V7">
        <v>1</v>
      </c>
      <c r="W7" t="s">
        <v>130</v>
      </c>
      <c r="X7">
        <v>10002</v>
      </c>
      <c r="Y7">
        <v>-1</v>
      </c>
      <c r="Z7" s="2">
        <v>0.45</v>
      </c>
      <c r="AA7" s="2">
        <v>0.25</v>
      </c>
      <c r="AB7" s="2">
        <v>0.15</v>
      </c>
      <c r="AC7" s="2">
        <v>0.1</v>
      </c>
      <c r="AD7" s="2">
        <v>0.05</v>
      </c>
      <c r="AE7" s="2">
        <v>2</v>
      </c>
      <c r="AF7" s="2">
        <v>3</v>
      </c>
      <c r="AG7" s="2">
        <v>4</v>
      </c>
      <c r="AH7" s="2">
        <v>5</v>
      </c>
      <c r="AI7" s="2">
        <v>6</v>
      </c>
      <c r="AJ7" s="2">
        <v>1</v>
      </c>
      <c r="AK7" s="2">
        <v>1</v>
      </c>
      <c r="AL7" s="2">
        <v>1</v>
      </c>
      <c r="AM7" s="2">
        <v>1</v>
      </c>
      <c r="AN7" s="2">
        <v>1</v>
      </c>
      <c r="AO7">
        <v>3</v>
      </c>
      <c r="AP7">
        <v>-1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2</v>
      </c>
      <c r="BE7">
        <v>2</v>
      </c>
      <c r="BF7">
        <v>3</v>
      </c>
      <c r="BG7">
        <v>3</v>
      </c>
      <c r="BH7">
        <v>4</v>
      </c>
      <c r="BI7">
        <v>4</v>
      </c>
      <c r="BJ7">
        <v>5</v>
      </c>
      <c r="BK7">
        <v>5</v>
      </c>
      <c r="BL7">
        <v>6</v>
      </c>
      <c r="BM7">
        <v>6</v>
      </c>
      <c r="BN7">
        <v>6</v>
      </c>
      <c r="BO7">
        <v>6</v>
      </c>
      <c r="BP7">
        <v>6</v>
      </c>
      <c r="BQ7">
        <v>6</v>
      </c>
      <c r="BR7">
        <v>6</v>
      </c>
      <c r="BS7">
        <v>6</v>
      </c>
      <c r="BT7">
        <v>6</v>
      </c>
      <c r="BU7">
        <v>6</v>
      </c>
      <c r="BV7">
        <v>6</v>
      </c>
    </row>
    <row r="8" spans="1:74" x14ac:dyDescent="0.25">
      <c r="A8">
        <v>6</v>
      </c>
      <c r="B8" t="s">
        <v>1248</v>
      </c>
      <c r="C8" t="s">
        <v>2014</v>
      </c>
      <c r="D8">
        <v>10001</v>
      </c>
      <c r="E8">
        <v>20</v>
      </c>
      <c r="F8">
        <v>20</v>
      </c>
      <c r="G8">
        <v>0</v>
      </c>
      <c r="H8">
        <v>14</v>
      </c>
      <c r="I8" t="s">
        <v>2035</v>
      </c>
      <c r="J8">
        <v>0</v>
      </c>
      <c r="K8">
        <v>5</v>
      </c>
      <c r="L8">
        <v>10800</v>
      </c>
      <c r="M8">
        <v>5</v>
      </c>
      <c r="N8">
        <v>0</v>
      </c>
      <c r="O8" t="s">
        <v>2036</v>
      </c>
      <c r="P8" t="s">
        <v>2037</v>
      </c>
      <c r="Q8">
        <v>4</v>
      </c>
      <c r="R8">
        <v>5</v>
      </c>
      <c r="S8" t="s">
        <v>1358</v>
      </c>
      <c r="T8">
        <v>-10</v>
      </c>
      <c r="U8">
        <v>10</v>
      </c>
      <c r="V8">
        <v>1</v>
      </c>
      <c r="W8" t="s">
        <v>130</v>
      </c>
      <c r="X8">
        <v>10001</v>
      </c>
      <c r="Y8">
        <v>-1</v>
      </c>
      <c r="Z8" s="2">
        <v>0.45</v>
      </c>
      <c r="AA8" s="2">
        <v>0.25</v>
      </c>
      <c r="AB8" s="2">
        <v>0.15</v>
      </c>
      <c r="AC8" s="2">
        <v>0.1</v>
      </c>
      <c r="AD8" s="2">
        <v>0.05</v>
      </c>
      <c r="AE8" s="2">
        <v>2</v>
      </c>
      <c r="AF8" s="2">
        <v>3</v>
      </c>
      <c r="AG8" s="2">
        <v>4</v>
      </c>
      <c r="AH8" s="2">
        <v>5</v>
      </c>
      <c r="AI8" s="2">
        <v>6</v>
      </c>
      <c r="AJ8" s="2">
        <v>1</v>
      </c>
      <c r="AK8" s="2">
        <v>1</v>
      </c>
      <c r="AL8" s="2">
        <v>1</v>
      </c>
      <c r="AM8" s="2">
        <v>1</v>
      </c>
      <c r="AN8" s="2">
        <v>1</v>
      </c>
      <c r="AO8">
        <v>3</v>
      </c>
      <c r="AP8">
        <v>-1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</v>
      </c>
      <c r="BE8">
        <v>1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5</v>
      </c>
      <c r="BM8">
        <v>5</v>
      </c>
      <c r="BN8">
        <v>6</v>
      </c>
      <c r="BO8">
        <v>6</v>
      </c>
      <c r="BP8">
        <v>6</v>
      </c>
      <c r="BQ8">
        <v>6</v>
      </c>
      <c r="BR8">
        <v>6</v>
      </c>
      <c r="BS8">
        <v>6</v>
      </c>
      <c r="BT8">
        <v>6</v>
      </c>
      <c r="BU8">
        <v>6</v>
      </c>
      <c r="BV8">
        <v>6</v>
      </c>
    </row>
    <row r="9" spans="1:74" x14ac:dyDescent="0.25">
      <c r="A9">
        <v>7</v>
      </c>
      <c r="B9" t="s">
        <v>1248</v>
      </c>
      <c r="C9" t="s">
        <v>2021</v>
      </c>
      <c r="D9">
        <v>10004</v>
      </c>
      <c r="E9">
        <v>20</v>
      </c>
      <c r="F9">
        <v>20</v>
      </c>
      <c r="G9">
        <v>0</v>
      </c>
      <c r="H9">
        <v>17</v>
      </c>
      <c r="I9" t="s">
        <v>2042</v>
      </c>
      <c r="J9">
        <v>0</v>
      </c>
      <c r="K9">
        <v>5</v>
      </c>
      <c r="L9">
        <v>21600</v>
      </c>
      <c r="M9">
        <v>5</v>
      </c>
      <c r="N9">
        <v>0</v>
      </c>
      <c r="O9" t="s">
        <v>2036</v>
      </c>
      <c r="P9" t="s">
        <v>2037</v>
      </c>
      <c r="Q9">
        <v>4</v>
      </c>
      <c r="R9">
        <v>5</v>
      </c>
      <c r="S9" t="s">
        <v>1358</v>
      </c>
      <c r="T9">
        <v>-10</v>
      </c>
      <c r="U9">
        <v>10</v>
      </c>
      <c r="V9">
        <v>1</v>
      </c>
      <c r="W9" t="s">
        <v>130</v>
      </c>
      <c r="X9">
        <v>10004</v>
      </c>
      <c r="Y9">
        <v>-1</v>
      </c>
      <c r="Z9" s="2">
        <v>0.45</v>
      </c>
      <c r="AA9" s="2">
        <v>0.25</v>
      </c>
      <c r="AB9" s="2">
        <v>0.15</v>
      </c>
      <c r="AC9" s="2">
        <v>0.1</v>
      </c>
      <c r="AD9" s="2">
        <v>0.05</v>
      </c>
      <c r="AE9" s="2">
        <v>2</v>
      </c>
      <c r="AF9" s="2">
        <v>3</v>
      </c>
      <c r="AG9" s="2">
        <v>4</v>
      </c>
      <c r="AH9" s="2">
        <v>5</v>
      </c>
      <c r="AI9" s="2">
        <v>6</v>
      </c>
      <c r="AJ9" s="2">
        <v>1</v>
      </c>
      <c r="AK9" s="2">
        <v>1</v>
      </c>
      <c r="AL9" s="2">
        <v>1</v>
      </c>
      <c r="AM9" s="2">
        <v>1</v>
      </c>
      <c r="AN9" s="2">
        <v>1</v>
      </c>
      <c r="AO9">
        <v>3</v>
      </c>
      <c r="AP9">
        <v>-1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1</v>
      </c>
      <c r="BI9">
        <v>2</v>
      </c>
      <c r="BJ9">
        <v>2</v>
      </c>
      <c r="BK9">
        <v>3</v>
      </c>
      <c r="BL9">
        <v>3</v>
      </c>
      <c r="BM9">
        <v>4</v>
      </c>
      <c r="BN9">
        <v>4</v>
      </c>
      <c r="BO9">
        <v>5</v>
      </c>
      <c r="BP9">
        <v>5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</row>
    <row r="10" spans="1:74" x14ac:dyDescent="0.25">
      <c r="A10">
        <v>8</v>
      </c>
      <c r="B10" t="s">
        <v>1248</v>
      </c>
      <c r="C10" t="s">
        <v>2022</v>
      </c>
      <c r="D10">
        <v>10005</v>
      </c>
      <c r="E10">
        <v>20</v>
      </c>
      <c r="F10">
        <v>20</v>
      </c>
      <c r="G10">
        <v>0</v>
      </c>
      <c r="H10">
        <v>19</v>
      </c>
      <c r="I10" t="s">
        <v>2043</v>
      </c>
      <c r="J10">
        <v>0</v>
      </c>
      <c r="K10">
        <v>5</v>
      </c>
      <c r="L10">
        <v>36000</v>
      </c>
      <c r="M10">
        <v>5</v>
      </c>
      <c r="N10">
        <v>0</v>
      </c>
      <c r="O10" t="s">
        <v>2036</v>
      </c>
      <c r="P10" t="s">
        <v>2037</v>
      </c>
      <c r="Q10">
        <v>4</v>
      </c>
      <c r="R10">
        <v>5</v>
      </c>
      <c r="S10" t="s">
        <v>1358</v>
      </c>
      <c r="T10">
        <v>-10</v>
      </c>
      <c r="U10">
        <v>10</v>
      </c>
      <c r="V10">
        <v>1</v>
      </c>
      <c r="W10" t="s">
        <v>130</v>
      </c>
      <c r="X10">
        <v>10005</v>
      </c>
      <c r="Y10">
        <v>-1</v>
      </c>
      <c r="Z10" s="2">
        <v>0.45</v>
      </c>
      <c r="AA10" s="2">
        <v>0.25</v>
      </c>
      <c r="AB10" s="2">
        <v>0.15</v>
      </c>
      <c r="AC10" s="2">
        <v>0.1</v>
      </c>
      <c r="AD10" s="2">
        <v>0.05</v>
      </c>
      <c r="AE10" s="2">
        <v>2</v>
      </c>
      <c r="AF10" s="2">
        <v>3</v>
      </c>
      <c r="AG10" s="2">
        <v>4</v>
      </c>
      <c r="AH10" s="2">
        <v>5</v>
      </c>
      <c r="AI10" s="2">
        <v>6</v>
      </c>
      <c r="AJ10" s="2">
        <v>1</v>
      </c>
      <c r="AK10" s="2">
        <v>1</v>
      </c>
      <c r="AL10" s="2">
        <v>1</v>
      </c>
      <c r="AM10" s="2">
        <v>1</v>
      </c>
      <c r="AN10" s="2">
        <v>1</v>
      </c>
      <c r="AO10">
        <v>3</v>
      </c>
      <c r="AP10">
        <v>-1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1</v>
      </c>
      <c r="BJ10">
        <v>1</v>
      </c>
      <c r="BK10">
        <v>2</v>
      </c>
      <c r="BL10">
        <v>2</v>
      </c>
      <c r="BM10">
        <v>3</v>
      </c>
      <c r="BN10">
        <v>3</v>
      </c>
      <c r="BO10">
        <v>4</v>
      </c>
      <c r="BP10">
        <v>4</v>
      </c>
      <c r="BQ10">
        <v>5</v>
      </c>
      <c r="BR10">
        <v>5</v>
      </c>
      <c r="BS10">
        <v>6</v>
      </c>
      <c r="BT10">
        <v>6</v>
      </c>
      <c r="BU10">
        <v>6</v>
      </c>
      <c r="BV10">
        <v>6</v>
      </c>
    </row>
    <row r="11" spans="1:74" x14ac:dyDescent="0.25">
      <c r="A11">
        <v>9</v>
      </c>
      <c r="B11" t="s">
        <v>1248</v>
      </c>
      <c r="C11" t="s">
        <v>2020</v>
      </c>
      <c r="D11">
        <v>10003</v>
      </c>
      <c r="E11">
        <v>20</v>
      </c>
      <c r="F11">
        <v>20</v>
      </c>
      <c r="G11">
        <v>0</v>
      </c>
      <c r="H11">
        <v>22</v>
      </c>
      <c r="I11" t="s">
        <v>2041</v>
      </c>
      <c r="J11">
        <v>0</v>
      </c>
      <c r="K11">
        <v>5</v>
      </c>
      <c r="L11">
        <v>43200</v>
      </c>
      <c r="M11">
        <v>5</v>
      </c>
      <c r="N11">
        <v>0</v>
      </c>
      <c r="O11" t="s">
        <v>2036</v>
      </c>
      <c r="P11" t="s">
        <v>2037</v>
      </c>
      <c r="Q11">
        <v>4</v>
      </c>
      <c r="R11">
        <v>5</v>
      </c>
      <c r="S11" t="s">
        <v>1358</v>
      </c>
      <c r="T11">
        <v>-10</v>
      </c>
      <c r="U11">
        <v>10</v>
      </c>
      <c r="V11">
        <v>1</v>
      </c>
      <c r="W11" t="s">
        <v>130</v>
      </c>
      <c r="X11">
        <v>10003</v>
      </c>
      <c r="Y11">
        <v>-1</v>
      </c>
      <c r="Z11" s="2">
        <v>0.45</v>
      </c>
      <c r="AA11" s="2">
        <v>0.25</v>
      </c>
      <c r="AB11" s="2">
        <v>0.15</v>
      </c>
      <c r="AC11" s="2">
        <v>0.1</v>
      </c>
      <c r="AD11" s="2">
        <v>0.05</v>
      </c>
      <c r="AE11" s="2">
        <v>2</v>
      </c>
      <c r="AF11" s="2">
        <v>3</v>
      </c>
      <c r="AG11" s="2">
        <v>4</v>
      </c>
      <c r="AH11" s="2">
        <v>5</v>
      </c>
      <c r="AI11" s="2">
        <v>6</v>
      </c>
      <c r="AJ11" s="2">
        <v>1</v>
      </c>
      <c r="AK11" s="2">
        <v>1</v>
      </c>
      <c r="AL11" s="2">
        <v>1</v>
      </c>
      <c r="AM11" s="2">
        <v>1</v>
      </c>
      <c r="AN11" s="2">
        <v>1</v>
      </c>
      <c r="AO11">
        <v>3</v>
      </c>
      <c r="AP11">
        <v>-1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2</v>
      </c>
      <c r="BO11">
        <v>2</v>
      </c>
      <c r="BP11">
        <v>3</v>
      </c>
      <c r="BQ11">
        <v>3</v>
      </c>
      <c r="BR11">
        <v>4</v>
      </c>
      <c r="BS11">
        <v>4</v>
      </c>
      <c r="BT11">
        <v>5</v>
      </c>
      <c r="BU11">
        <v>5</v>
      </c>
      <c r="BV11">
        <v>6</v>
      </c>
    </row>
    <row r="12" spans="1:74" x14ac:dyDescent="0.25">
      <c r="A12">
        <v>10</v>
      </c>
      <c r="B12" t="s">
        <v>1248</v>
      </c>
      <c r="C12" t="s">
        <v>2024</v>
      </c>
      <c r="D12">
        <v>10007</v>
      </c>
      <c r="E12">
        <v>20</v>
      </c>
      <c r="F12">
        <v>20</v>
      </c>
      <c r="G12">
        <v>0</v>
      </c>
      <c r="H12">
        <v>26</v>
      </c>
      <c r="I12" t="s">
        <v>2045</v>
      </c>
      <c r="J12">
        <v>0</v>
      </c>
      <c r="K12">
        <v>5</v>
      </c>
      <c r="L12">
        <v>86400</v>
      </c>
      <c r="M12">
        <v>5</v>
      </c>
      <c r="N12">
        <v>0</v>
      </c>
      <c r="O12" t="s">
        <v>2036</v>
      </c>
      <c r="P12" t="s">
        <v>2037</v>
      </c>
      <c r="Q12">
        <v>4</v>
      </c>
      <c r="R12">
        <v>5</v>
      </c>
      <c r="S12" t="s">
        <v>1358</v>
      </c>
      <c r="T12">
        <v>-10</v>
      </c>
      <c r="U12">
        <v>10</v>
      </c>
      <c r="V12">
        <v>1</v>
      </c>
      <c r="W12" t="s">
        <v>130</v>
      </c>
      <c r="X12">
        <v>10007</v>
      </c>
      <c r="Y12">
        <v>-1</v>
      </c>
      <c r="Z12" s="2">
        <v>0.45</v>
      </c>
      <c r="AA12" s="2">
        <v>0.25</v>
      </c>
      <c r="AB12" s="2">
        <v>0.15</v>
      </c>
      <c r="AC12" s="2">
        <v>0.1</v>
      </c>
      <c r="AD12" s="2">
        <v>0.05</v>
      </c>
      <c r="AE12" s="2">
        <v>2</v>
      </c>
      <c r="AF12" s="2">
        <v>3</v>
      </c>
      <c r="AG12" s="2">
        <v>4</v>
      </c>
      <c r="AH12" s="2">
        <v>5</v>
      </c>
      <c r="AI12" s="2">
        <v>6</v>
      </c>
      <c r="AJ12" s="2">
        <v>1</v>
      </c>
      <c r="AK12" s="2">
        <v>1</v>
      </c>
      <c r="AL12" s="2">
        <v>1</v>
      </c>
      <c r="AM12" s="2">
        <v>1</v>
      </c>
      <c r="AN12" s="2">
        <v>1</v>
      </c>
      <c r="AO12">
        <v>3</v>
      </c>
      <c r="AP12">
        <v>-1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</v>
      </c>
      <c r="BQ12">
        <v>2</v>
      </c>
      <c r="BR12">
        <v>3</v>
      </c>
      <c r="BS12">
        <v>4</v>
      </c>
      <c r="BT12">
        <v>5</v>
      </c>
      <c r="BU12">
        <v>6</v>
      </c>
      <c r="BV12">
        <v>6</v>
      </c>
    </row>
  </sheetData>
  <conditionalFormatting sqref="Y3:Z4 AD6 AB7:AD7 AA4:AD4 AA3:AT3 AU3:BV12 Y5:Y12 X1:BV2 AR3:AR12 AE4:AT12 A1:V12">
    <cfRule type="cellIs" dxfId="20" priority="3" operator="equal">
      <formula>-9999</formula>
    </cfRule>
  </conditionalFormatting>
  <conditionalFormatting sqref="W1:W12">
    <cfRule type="cellIs" dxfId="19" priority="1" operator="equal">
      <formula>-9999</formula>
    </cfRule>
  </conditionalFormatting>
  <conditionalFormatting sqref="AQ3:BV12">
    <cfRule type="colorScale" priority="19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5"/>
  <sheetViews>
    <sheetView tabSelected="1" topLeftCell="O1" zoomScale="60" zoomScaleNormal="60" workbookViewId="0">
      <selection activeCell="AK18" sqref="AK18"/>
    </sheetView>
  </sheetViews>
  <sheetFormatPr defaultRowHeight="15" x14ac:dyDescent="0.25"/>
  <cols>
    <col min="1" max="1" width="4.7109375" bestFit="1" customWidth="1"/>
    <col min="2" max="2" width="9.7109375" bestFit="1" customWidth="1"/>
    <col min="3" max="3" width="42.28515625" bestFit="1" customWidth="1"/>
    <col min="4" max="4" width="7.5703125" bestFit="1" customWidth="1"/>
    <col min="5" max="5" width="9" bestFit="1" customWidth="1"/>
    <col min="6" max="6" width="8" bestFit="1" customWidth="1"/>
    <col min="7" max="7" width="11.5703125" customWidth="1"/>
    <col min="8" max="8" width="11.140625" customWidth="1"/>
    <col min="9" max="10" width="8" customWidth="1"/>
    <col min="11" max="11" width="8.42578125" customWidth="1"/>
    <col min="12" max="12" width="9.85546875" customWidth="1"/>
    <col min="13" max="14" width="8.5703125" customWidth="1"/>
    <col min="15" max="40" width="11.85546875" customWidth="1"/>
  </cols>
  <sheetData>
    <row r="1" spans="1:40" s="1" customFormat="1" ht="62.25" customHeight="1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2085</v>
      </c>
      <c r="I1" s="1" t="s">
        <v>2144</v>
      </c>
      <c r="J1" s="1" t="s">
        <v>2145</v>
      </c>
      <c r="K1" s="1" t="s">
        <v>2146</v>
      </c>
      <c r="L1" s="1" t="s">
        <v>2147</v>
      </c>
      <c r="M1" s="1" t="s">
        <v>2148</v>
      </c>
      <c r="N1" s="1" t="s">
        <v>2149</v>
      </c>
      <c r="O1" s="1" t="s">
        <v>2151</v>
      </c>
      <c r="P1" s="1" t="s">
        <v>2152</v>
      </c>
      <c r="Q1" s="1" t="s">
        <v>5488</v>
      </c>
      <c r="R1" s="1" t="s">
        <v>2153</v>
      </c>
      <c r="S1" s="1" t="s">
        <v>2154</v>
      </c>
      <c r="T1" s="1" t="s">
        <v>2155</v>
      </c>
      <c r="U1" s="1" t="s">
        <v>2156</v>
      </c>
      <c r="V1" s="1" t="s">
        <v>2157</v>
      </c>
      <c r="W1" s="1" t="s">
        <v>2158</v>
      </c>
      <c r="X1" s="1" t="s">
        <v>2159</v>
      </c>
      <c r="Y1" s="1" t="s">
        <v>2160</v>
      </c>
      <c r="Z1" s="1" t="s">
        <v>2161</v>
      </c>
      <c r="AA1" s="1" t="s">
        <v>2162</v>
      </c>
      <c r="AB1" s="1" t="s">
        <v>2163</v>
      </c>
      <c r="AC1" s="1" t="s">
        <v>5487</v>
      </c>
      <c r="AD1" s="1" t="s">
        <v>2164</v>
      </c>
      <c r="AE1" s="1" t="s">
        <v>2165</v>
      </c>
      <c r="AF1" s="1" t="s">
        <v>2166</v>
      </c>
      <c r="AG1" s="1" t="s">
        <v>2167</v>
      </c>
      <c r="AH1" s="1" t="s">
        <v>2168</v>
      </c>
      <c r="AI1" s="1" t="s">
        <v>5489</v>
      </c>
      <c r="AJ1" s="1" t="s">
        <v>5490</v>
      </c>
      <c r="AK1" s="1" t="s">
        <v>5491</v>
      </c>
      <c r="AL1" s="1" t="s">
        <v>5492</v>
      </c>
      <c r="AM1" s="1" t="s">
        <v>5493</v>
      </c>
      <c r="AN1" s="1" t="s">
        <v>2297</v>
      </c>
    </row>
    <row r="2" spans="1:40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1348</v>
      </c>
      <c r="I2" t="s">
        <v>1347</v>
      </c>
      <c r="J2" t="s">
        <v>2030</v>
      </c>
      <c r="K2" t="s">
        <v>1285</v>
      </c>
      <c r="L2" t="s">
        <v>1287</v>
      </c>
      <c r="M2" t="s">
        <v>1288</v>
      </c>
      <c r="N2" t="s">
        <v>1289</v>
      </c>
    </row>
    <row r="3" spans="1:40" x14ac:dyDescent="0.25">
      <c r="A3">
        <v>1</v>
      </c>
      <c r="B3" t="s">
        <v>2012</v>
      </c>
      <c r="C3" t="s">
        <v>2013</v>
      </c>
      <c r="D3">
        <v>20000</v>
      </c>
      <c r="E3">
        <v>20</v>
      </c>
      <c r="F3">
        <v>30</v>
      </c>
      <c r="G3">
        <v>1</v>
      </c>
      <c r="H3">
        <v>5</v>
      </c>
      <c r="I3">
        <v>2</v>
      </c>
      <c r="J3">
        <v>0</v>
      </c>
      <c r="K3">
        <v>1</v>
      </c>
      <c r="L3" t="s">
        <v>1358</v>
      </c>
      <c r="M3">
        <v>-1</v>
      </c>
      <c r="N3">
        <v>-1</v>
      </c>
      <c r="O3">
        <v>2</v>
      </c>
      <c r="P3">
        <v>5</v>
      </c>
      <c r="Q3">
        <v>2</v>
      </c>
      <c r="R3">
        <v>0</v>
      </c>
      <c r="S3">
        <v>1</v>
      </c>
      <c r="T3">
        <v>2</v>
      </c>
      <c r="U3">
        <v>3</v>
      </c>
      <c r="V3">
        <v>10</v>
      </c>
      <c r="W3">
        <v>0.5</v>
      </c>
      <c r="X3">
        <v>0.25</v>
      </c>
      <c r="Y3">
        <v>0.15</v>
      </c>
      <c r="Z3">
        <v>0.1</v>
      </c>
      <c r="AA3">
        <v>0.01</v>
      </c>
      <c r="AB3">
        <v>5</v>
      </c>
      <c r="AC3">
        <v>5</v>
      </c>
      <c r="AD3">
        <v>5</v>
      </c>
      <c r="AE3">
        <v>10</v>
      </c>
      <c r="AF3">
        <v>15</v>
      </c>
      <c r="AG3">
        <v>20</v>
      </c>
      <c r="AH3">
        <v>25</v>
      </c>
      <c r="AI3">
        <v>0.25</v>
      </c>
      <c r="AJ3">
        <v>0.25</v>
      </c>
      <c r="AK3">
        <v>0.25</v>
      </c>
      <c r="AL3">
        <v>0.15</v>
      </c>
      <c r="AM3">
        <v>0.1</v>
      </c>
      <c r="AN3" t="s">
        <v>130</v>
      </c>
    </row>
    <row r="4" spans="1:40" x14ac:dyDescent="0.25">
      <c r="A4">
        <v>2</v>
      </c>
      <c r="B4" t="s">
        <v>2012</v>
      </c>
      <c r="C4" t="s">
        <v>2013</v>
      </c>
      <c r="D4">
        <v>26666</v>
      </c>
      <c r="E4">
        <v>20</v>
      </c>
      <c r="F4">
        <v>30</v>
      </c>
      <c r="G4">
        <v>1</v>
      </c>
      <c r="H4">
        <v>5</v>
      </c>
      <c r="I4">
        <v>2</v>
      </c>
      <c r="J4">
        <v>1</v>
      </c>
      <c r="K4">
        <v>1</v>
      </c>
      <c r="L4" t="s">
        <v>1358</v>
      </c>
      <c r="M4">
        <v>-1</v>
      </c>
      <c r="N4">
        <v>-1</v>
      </c>
      <c r="O4">
        <v>-1</v>
      </c>
      <c r="P4">
        <v>-1</v>
      </c>
      <c r="Q4">
        <v>9004</v>
      </c>
      <c r="R4">
        <v>1</v>
      </c>
      <c r="S4">
        <v>2</v>
      </c>
      <c r="T4">
        <v>3</v>
      </c>
      <c r="U4">
        <v>4</v>
      </c>
      <c r="V4">
        <v>5</v>
      </c>
      <c r="W4">
        <v>0.25</v>
      </c>
      <c r="X4">
        <v>0.25</v>
      </c>
      <c r="Y4">
        <v>0.25</v>
      </c>
      <c r="Z4">
        <v>0.15</v>
      </c>
      <c r="AA4">
        <v>0.1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-1</v>
      </c>
      <c r="AH4">
        <v>-1</v>
      </c>
      <c r="AI4">
        <v>-1</v>
      </c>
      <c r="AJ4">
        <v>-1</v>
      </c>
      <c r="AK4">
        <v>-1</v>
      </c>
      <c r="AL4">
        <v>-1</v>
      </c>
      <c r="AM4">
        <v>-1</v>
      </c>
      <c r="AN4" t="s">
        <v>130</v>
      </c>
    </row>
    <row r="5" spans="1:40" x14ac:dyDescent="0.25">
      <c r="A5">
        <v>3</v>
      </c>
      <c r="B5" t="s">
        <v>2012</v>
      </c>
      <c r="C5" t="s">
        <v>2013</v>
      </c>
      <c r="D5">
        <v>26667</v>
      </c>
      <c r="E5">
        <v>20</v>
      </c>
      <c r="F5">
        <v>30</v>
      </c>
      <c r="G5">
        <v>1</v>
      </c>
      <c r="H5">
        <v>5</v>
      </c>
      <c r="I5">
        <v>2</v>
      </c>
      <c r="J5">
        <v>1</v>
      </c>
      <c r="K5">
        <v>1</v>
      </c>
      <c r="L5" t="s">
        <v>1358</v>
      </c>
      <c r="M5">
        <v>-1</v>
      </c>
      <c r="N5">
        <v>-1</v>
      </c>
      <c r="O5">
        <v>-1</v>
      </c>
      <c r="P5">
        <v>-1</v>
      </c>
      <c r="Q5">
        <v>9001</v>
      </c>
      <c r="R5">
        <v>4</v>
      </c>
      <c r="S5">
        <v>-1</v>
      </c>
      <c r="T5">
        <v>-1</v>
      </c>
      <c r="U5">
        <v>-1</v>
      </c>
      <c r="V5">
        <v>-1</v>
      </c>
      <c r="W5">
        <v>1</v>
      </c>
      <c r="X5">
        <v>-1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-1</v>
      </c>
      <c r="AH5">
        <v>-1</v>
      </c>
      <c r="AI5">
        <v>-1</v>
      </c>
      <c r="AJ5">
        <v>-1</v>
      </c>
      <c r="AK5">
        <v>-1</v>
      </c>
      <c r="AL5">
        <v>-1</v>
      </c>
      <c r="AM5">
        <v>-1</v>
      </c>
      <c r="AN5" t="s">
        <v>130</v>
      </c>
    </row>
  </sheetData>
  <conditionalFormatting sqref="AO3:XFD5 A6:XFD1048576 A3:AM5 A1:XFD2">
    <cfRule type="cellIs" dxfId="18" priority="2" operator="equal">
      <formula>-9999</formula>
    </cfRule>
  </conditionalFormatting>
  <conditionalFormatting sqref="AN3:AN5">
    <cfRule type="cellIs" dxfId="17" priority="1" operator="equal">
      <formula>-9999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workbookViewId="0">
      <selection activeCell="C17" sqref="C17"/>
    </sheetView>
  </sheetViews>
  <sheetFormatPr defaultRowHeight="15" x14ac:dyDescent="0.25"/>
  <cols>
    <col min="1" max="1" width="4" bestFit="1" customWidth="1"/>
    <col min="2" max="2" width="15.7109375" bestFit="1" customWidth="1"/>
    <col min="3" max="3" width="21.5703125" bestFit="1" customWidth="1"/>
    <col min="4" max="4" width="23.7109375" bestFit="1" customWidth="1"/>
    <col min="5" max="5" width="8.5703125" customWidth="1"/>
    <col min="6" max="6" width="9.5703125" bestFit="1" customWidth="1"/>
    <col min="7" max="7" width="9.85546875" bestFit="1" customWidth="1"/>
  </cols>
  <sheetData>
    <row r="1" spans="1:7" s="1" customFormat="1" ht="30" x14ac:dyDescent="0.25">
      <c r="A1" s="1" t="s">
        <v>2142</v>
      </c>
      <c r="B1" s="1" t="s">
        <v>2651</v>
      </c>
      <c r="C1" s="1" t="s">
        <v>2652</v>
      </c>
      <c r="D1" s="1" t="s">
        <v>2653</v>
      </c>
      <c r="E1" s="1" t="s">
        <v>2654</v>
      </c>
      <c r="F1" s="1" t="s">
        <v>2655</v>
      </c>
      <c r="G1" s="1" t="s">
        <v>2656</v>
      </c>
    </row>
    <row r="3" spans="1:7" x14ac:dyDescent="0.25">
      <c r="A3">
        <v>1</v>
      </c>
      <c r="B3">
        <v>26666</v>
      </c>
      <c r="C3" t="s">
        <v>2648</v>
      </c>
      <c r="D3" t="s">
        <v>1050</v>
      </c>
      <c r="E3" s="2">
        <v>1</v>
      </c>
      <c r="F3" s="2">
        <v>600</v>
      </c>
      <c r="G3" s="2">
        <v>14400</v>
      </c>
    </row>
    <row r="4" spans="1:7" x14ac:dyDescent="0.25">
      <c r="A4">
        <v>2</v>
      </c>
      <c r="B4">
        <v>26667</v>
      </c>
      <c r="C4" t="s">
        <v>2649</v>
      </c>
      <c r="D4" t="s">
        <v>1051</v>
      </c>
      <c r="E4" s="2">
        <v>1</v>
      </c>
      <c r="F4" s="2">
        <v>10</v>
      </c>
      <c r="G4" s="2">
        <v>20</v>
      </c>
    </row>
    <row r="5" spans="1:7" x14ac:dyDescent="0.25">
      <c r="A5">
        <v>3</v>
      </c>
      <c r="B5">
        <v>20000</v>
      </c>
      <c r="C5" t="s">
        <v>2650</v>
      </c>
      <c r="D5" t="s">
        <v>1053</v>
      </c>
      <c r="E5" s="2">
        <v>1</v>
      </c>
      <c r="F5" s="2">
        <v>57600</v>
      </c>
      <c r="G5" s="2">
        <v>129600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"/>
  <sheetViews>
    <sheetView topLeftCell="H1" workbookViewId="0">
      <selection activeCell="M1" sqref="M1:M1048576"/>
    </sheetView>
  </sheetViews>
  <sheetFormatPr defaultRowHeight="15" x14ac:dyDescent="0.25"/>
  <cols>
    <col min="1" max="1" width="4" bestFit="1" customWidth="1"/>
    <col min="2" max="2" width="8.5703125" bestFit="1" customWidth="1"/>
    <col min="3" max="3" width="9" bestFit="1" customWidth="1"/>
    <col min="8" max="10" width="9.5703125" customWidth="1"/>
    <col min="11" max="11" width="10" customWidth="1"/>
    <col min="12" max="12" width="12.42578125" bestFit="1" customWidth="1"/>
    <col min="13" max="14" width="11" customWidth="1"/>
  </cols>
  <sheetData>
    <row r="1" spans="1:21" s="1" customFormat="1" ht="45" x14ac:dyDescent="0.25">
      <c r="A1" s="1" t="s">
        <v>2142</v>
      </c>
      <c r="B1" s="1" t="s">
        <v>4055</v>
      </c>
      <c r="C1" s="1" t="s">
        <v>4056</v>
      </c>
      <c r="D1" s="1" t="s">
        <v>4057</v>
      </c>
      <c r="E1" s="1" t="s">
        <v>4058</v>
      </c>
      <c r="F1" s="1" t="s">
        <v>4059</v>
      </c>
      <c r="G1" s="1" t="s">
        <v>4060</v>
      </c>
      <c r="H1" s="1" t="s">
        <v>4061</v>
      </c>
      <c r="I1" s="1" t="s">
        <v>4062</v>
      </c>
      <c r="J1" s="1" t="s">
        <v>4063</v>
      </c>
      <c r="K1" s="1" t="s">
        <v>4064</v>
      </c>
      <c r="L1" s="1" t="s">
        <v>4065</v>
      </c>
      <c r="M1" s="1" t="s">
        <v>4067</v>
      </c>
      <c r="N1" s="1" t="s">
        <v>4066</v>
      </c>
      <c r="O1" s="1" t="s">
        <v>4068</v>
      </c>
      <c r="P1" s="1" t="s">
        <v>4069</v>
      </c>
      <c r="Q1" s="1" t="s">
        <v>4070</v>
      </c>
      <c r="R1" s="1" t="s">
        <v>4071</v>
      </c>
      <c r="S1" s="1" t="s">
        <v>4072</v>
      </c>
      <c r="T1" s="1" t="s">
        <v>4073</v>
      </c>
      <c r="U1" s="1" t="s">
        <v>4074</v>
      </c>
    </row>
    <row r="3" spans="1:21" x14ac:dyDescent="0.25">
      <c r="A3">
        <v>0</v>
      </c>
      <c r="B3" s="2">
        <v>11</v>
      </c>
      <c r="C3" s="2">
        <v>11</v>
      </c>
      <c r="D3" s="2">
        <v>5</v>
      </c>
      <c r="E3" s="2">
        <v>9</v>
      </c>
      <c r="F3" s="2">
        <v>3</v>
      </c>
      <c r="G3" s="2">
        <v>10</v>
      </c>
      <c r="H3" s="2">
        <v>6</v>
      </c>
      <c r="I3" s="2">
        <v>102</v>
      </c>
      <c r="J3" s="2">
        <v>103</v>
      </c>
      <c r="K3" s="2">
        <v>5</v>
      </c>
      <c r="L3" s="2">
        <v>2</v>
      </c>
      <c r="M3">
        <v>8</v>
      </c>
      <c r="N3" s="2">
        <v>1</v>
      </c>
      <c r="O3" s="2">
        <v>10</v>
      </c>
      <c r="P3" s="2">
        <v>50</v>
      </c>
      <c r="Q3" s="2">
        <v>160</v>
      </c>
      <c r="R3" s="2">
        <v>240</v>
      </c>
      <c r="S3" s="2">
        <v>400</v>
      </c>
      <c r="T3" s="2">
        <v>700</v>
      </c>
      <c r="U3" s="2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3"/>
  <sheetViews>
    <sheetView workbookViewId="0">
      <selection activeCell="E5" sqref="E5"/>
    </sheetView>
  </sheetViews>
  <sheetFormatPr defaultRowHeight="15" x14ac:dyDescent="0.25"/>
  <cols>
    <col min="1" max="1" width="4" bestFit="1" customWidth="1"/>
    <col min="2" max="2" width="8.85546875" bestFit="1" customWidth="1"/>
    <col min="3" max="4" width="9.5703125" customWidth="1"/>
  </cols>
  <sheetData>
    <row r="1" spans="1:4" s="1" customFormat="1" ht="30" x14ac:dyDescent="0.25">
      <c r="A1" s="1" t="s">
        <v>2142</v>
      </c>
      <c r="B1" s="1" t="s">
        <v>4075</v>
      </c>
      <c r="C1" s="1" t="s">
        <v>2629</v>
      </c>
      <c r="D1" s="1" t="s">
        <v>2630</v>
      </c>
    </row>
    <row r="2" spans="1:4" x14ac:dyDescent="0.25">
      <c r="A2">
        <v>1</v>
      </c>
      <c r="B2" s="2">
        <v>4</v>
      </c>
      <c r="C2" s="2">
        <v>48</v>
      </c>
      <c r="D2" s="2">
        <v>36</v>
      </c>
    </row>
    <row r="3" spans="1:4" x14ac:dyDescent="0.25">
      <c r="A3">
        <v>2</v>
      </c>
      <c r="B3" s="2">
        <v>4</v>
      </c>
      <c r="C3" s="2">
        <v>49</v>
      </c>
      <c r="D3" s="2">
        <v>36</v>
      </c>
    </row>
    <row r="4" spans="1:4" x14ac:dyDescent="0.25">
      <c r="A4">
        <v>3</v>
      </c>
      <c r="B4" s="2">
        <v>4</v>
      </c>
      <c r="C4" s="2">
        <v>50</v>
      </c>
      <c r="D4" s="2">
        <v>36</v>
      </c>
    </row>
    <row r="5" spans="1:4" x14ac:dyDescent="0.25">
      <c r="A5">
        <v>4</v>
      </c>
      <c r="B5" s="2">
        <v>4</v>
      </c>
      <c r="C5" s="2">
        <v>51</v>
      </c>
      <c r="D5" s="2">
        <v>36</v>
      </c>
    </row>
    <row r="6" spans="1:4" x14ac:dyDescent="0.25">
      <c r="A6">
        <v>5</v>
      </c>
      <c r="B6" s="2">
        <v>4</v>
      </c>
      <c r="C6" s="2">
        <v>52</v>
      </c>
      <c r="D6" s="2">
        <v>36</v>
      </c>
    </row>
    <row r="7" spans="1:4" x14ac:dyDescent="0.25">
      <c r="A7">
        <v>6</v>
      </c>
      <c r="B7" s="2">
        <v>4</v>
      </c>
      <c r="C7" s="2">
        <v>53</v>
      </c>
      <c r="D7" s="2">
        <v>36</v>
      </c>
    </row>
    <row r="8" spans="1:4" x14ac:dyDescent="0.25">
      <c r="A8">
        <v>7</v>
      </c>
      <c r="B8" s="2">
        <v>4</v>
      </c>
      <c r="C8" s="2">
        <v>54</v>
      </c>
      <c r="D8" s="2">
        <v>36</v>
      </c>
    </row>
    <row r="9" spans="1:4" x14ac:dyDescent="0.25">
      <c r="A9">
        <v>8</v>
      </c>
      <c r="B9" s="2">
        <v>4</v>
      </c>
      <c r="C9" s="2">
        <v>55</v>
      </c>
      <c r="D9" s="2">
        <v>36</v>
      </c>
    </row>
    <row r="10" spans="1:4" x14ac:dyDescent="0.25">
      <c r="A10">
        <v>9</v>
      </c>
      <c r="B10" s="2">
        <v>4</v>
      </c>
      <c r="C10" s="2">
        <v>56</v>
      </c>
      <c r="D10" s="2">
        <v>36</v>
      </c>
    </row>
    <row r="11" spans="1:4" x14ac:dyDescent="0.25">
      <c r="A11">
        <v>10</v>
      </c>
      <c r="B11" s="2">
        <v>4</v>
      </c>
      <c r="C11" s="2">
        <v>57</v>
      </c>
      <c r="D11" s="2">
        <v>36</v>
      </c>
    </row>
    <row r="12" spans="1:4" x14ac:dyDescent="0.25">
      <c r="A12">
        <v>11</v>
      </c>
      <c r="B12" s="2">
        <v>4</v>
      </c>
      <c r="C12" s="2">
        <v>58</v>
      </c>
      <c r="D12" s="2">
        <v>36</v>
      </c>
    </row>
    <row r="13" spans="1:4" x14ac:dyDescent="0.25">
      <c r="A13">
        <v>12</v>
      </c>
      <c r="B13" s="2">
        <v>4</v>
      </c>
      <c r="C13" s="2">
        <v>59</v>
      </c>
      <c r="D13" s="2">
        <v>36</v>
      </c>
    </row>
    <row r="14" spans="1:4" x14ac:dyDescent="0.25">
      <c r="A14">
        <v>13</v>
      </c>
      <c r="B14" s="2">
        <v>4</v>
      </c>
      <c r="C14" s="2">
        <v>48</v>
      </c>
      <c r="D14" s="2">
        <v>37</v>
      </c>
    </row>
    <row r="15" spans="1:4" x14ac:dyDescent="0.25">
      <c r="A15">
        <v>14</v>
      </c>
      <c r="B15" s="2">
        <v>4</v>
      </c>
      <c r="C15" s="2">
        <v>49</v>
      </c>
      <c r="D15" s="2">
        <v>37</v>
      </c>
    </row>
    <row r="16" spans="1:4" x14ac:dyDescent="0.25">
      <c r="A16">
        <v>15</v>
      </c>
      <c r="B16" s="2">
        <v>4</v>
      </c>
      <c r="C16" s="2">
        <v>50</v>
      </c>
      <c r="D16" s="2">
        <v>37</v>
      </c>
    </row>
    <row r="17" spans="1:4" x14ac:dyDescent="0.25">
      <c r="A17">
        <v>16</v>
      </c>
      <c r="B17" s="2">
        <v>4</v>
      </c>
      <c r="C17" s="2">
        <v>51</v>
      </c>
      <c r="D17" s="2">
        <v>37</v>
      </c>
    </row>
    <row r="18" spans="1:4" x14ac:dyDescent="0.25">
      <c r="A18">
        <v>17</v>
      </c>
      <c r="B18" s="2">
        <v>4</v>
      </c>
      <c r="C18" s="2">
        <v>52</v>
      </c>
      <c r="D18" s="2">
        <v>37</v>
      </c>
    </row>
    <row r="19" spans="1:4" x14ac:dyDescent="0.25">
      <c r="A19">
        <v>18</v>
      </c>
      <c r="B19" s="2">
        <v>4</v>
      </c>
      <c r="C19" s="2">
        <v>53</v>
      </c>
      <c r="D19" s="2">
        <v>37</v>
      </c>
    </row>
    <row r="20" spans="1:4" x14ac:dyDescent="0.25">
      <c r="A20">
        <v>19</v>
      </c>
      <c r="B20" s="2">
        <v>4</v>
      </c>
      <c r="C20" s="2">
        <v>54</v>
      </c>
      <c r="D20" s="2">
        <v>37</v>
      </c>
    </row>
    <row r="21" spans="1:4" x14ac:dyDescent="0.25">
      <c r="A21">
        <v>20</v>
      </c>
      <c r="B21" s="2">
        <v>4</v>
      </c>
      <c r="C21" s="2">
        <v>55</v>
      </c>
      <c r="D21" s="2">
        <v>37</v>
      </c>
    </row>
    <row r="22" spans="1:4" x14ac:dyDescent="0.25">
      <c r="A22">
        <v>21</v>
      </c>
      <c r="B22" s="2">
        <v>4</v>
      </c>
      <c r="C22" s="2">
        <v>56</v>
      </c>
      <c r="D22" s="2">
        <v>37</v>
      </c>
    </row>
    <row r="23" spans="1:4" x14ac:dyDescent="0.25">
      <c r="A23">
        <v>22</v>
      </c>
      <c r="B23" s="2">
        <v>4</v>
      </c>
      <c r="C23" s="2">
        <v>57</v>
      </c>
      <c r="D23" s="2">
        <v>37</v>
      </c>
    </row>
    <row r="24" spans="1:4" x14ac:dyDescent="0.25">
      <c r="A24">
        <v>23</v>
      </c>
      <c r="B24" s="2">
        <v>4</v>
      </c>
      <c r="C24" s="2">
        <v>58</v>
      </c>
      <c r="D24" s="2">
        <v>37</v>
      </c>
    </row>
    <row r="25" spans="1:4" x14ac:dyDescent="0.25">
      <c r="A25">
        <v>24</v>
      </c>
      <c r="B25" s="2">
        <v>4</v>
      </c>
      <c r="C25" s="2">
        <v>59</v>
      </c>
      <c r="D25" s="2">
        <v>37</v>
      </c>
    </row>
    <row r="26" spans="1:4" x14ac:dyDescent="0.25">
      <c r="A26">
        <v>25</v>
      </c>
      <c r="B26" s="2">
        <v>4</v>
      </c>
      <c r="C26" s="2">
        <v>48</v>
      </c>
      <c r="D26" s="2">
        <v>38</v>
      </c>
    </row>
    <row r="27" spans="1:4" x14ac:dyDescent="0.25">
      <c r="A27">
        <v>26</v>
      </c>
      <c r="B27" s="2">
        <v>4</v>
      </c>
      <c r="C27" s="2">
        <v>49</v>
      </c>
      <c r="D27" s="2">
        <v>38</v>
      </c>
    </row>
    <row r="28" spans="1:4" x14ac:dyDescent="0.25">
      <c r="A28">
        <v>27</v>
      </c>
      <c r="B28" s="2">
        <v>4</v>
      </c>
      <c r="C28" s="2">
        <v>50</v>
      </c>
      <c r="D28" s="2">
        <v>38</v>
      </c>
    </row>
    <row r="29" spans="1:4" x14ac:dyDescent="0.25">
      <c r="A29">
        <v>28</v>
      </c>
      <c r="B29" s="2">
        <v>4</v>
      </c>
      <c r="C29" s="2">
        <v>51</v>
      </c>
      <c r="D29" s="2">
        <v>38</v>
      </c>
    </row>
    <row r="30" spans="1:4" x14ac:dyDescent="0.25">
      <c r="A30">
        <v>29</v>
      </c>
      <c r="B30" s="2">
        <v>4</v>
      </c>
      <c r="C30" s="2">
        <v>52</v>
      </c>
      <c r="D30" s="2">
        <v>38</v>
      </c>
    </row>
    <row r="31" spans="1:4" x14ac:dyDescent="0.25">
      <c r="A31">
        <v>30</v>
      </c>
      <c r="B31" s="2">
        <v>4</v>
      </c>
      <c r="C31" s="2">
        <v>53</v>
      </c>
      <c r="D31" s="2">
        <v>38</v>
      </c>
    </row>
    <row r="32" spans="1:4" x14ac:dyDescent="0.25">
      <c r="A32">
        <v>31</v>
      </c>
      <c r="B32" s="2">
        <v>4</v>
      </c>
      <c r="C32" s="2">
        <v>54</v>
      </c>
      <c r="D32" s="2">
        <v>38</v>
      </c>
    </row>
    <row r="33" spans="1:4" x14ac:dyDescent="0.25">
      <c r="A33">
        <v>32</v>
      </c>
      <c r="B33" s="2">
        <v>4</v>
      </c>
      <c r="C33" s="2">
        <v>55</v>
      </c>
      <c r="D33" s="2">
        <v>38</v>
      </c>
    </row>
    <row r="34" spans="1:4" x14ac:dyDescent="0.25">
      <c r="A34">
        <v>33</v>
      </c>
      <c r="B34" s="2">
        <v>4</v>
      </c>
      <c r="C34" s="2">
        <v>56</v>
      </c>
      <c r="D34" s="2">
        <v>38</v>
      </c>
    </row>
    <row r="35" spans="1:4" x14ac:dyDescent="0.25">
      <c r="A35">
        <v>34</v>
      </c>
      <c r="B35" s="2">
        <v>4</v>
      </c>
      <c r="C35" s="2">
        <v>57</v>
      </c>
      <c r="D35" s="2">
        <v>38</v>
      </c>
    </row>
    <row r="36" spans="1:4" x14ac:dyDescent="0.25">
      <c r="A36">
        <v>35</v>
      </c>
      <c r="B36" s="2">
        <v>4</v>
      </c>
      <c r="C36" s="2">
        <v>58</v>
      </c>
      <c r="D36" s="2">
        <v>38</v>
      </c>
    </row>
    <row r="37" spans="1:4" x14ac:dyDescent="0.25">
      <c r="A37">
        <v>36</v>
      </c>
      <c r="B37" s="2">
        <v>4</v>
      </c>
      <c r="C37" s="2">
        <v>59</v>
      </c>
      <c r="D37" s="2">
        <v>38</v>
      </c>
    </row>
    <row r="38" spans="1:4" x14ac:dyDescent="0.25">
      <c r="A38">
        <v>37</v>
      </c>
      <c r="B38" s="2">
        <v>4</v>
      </c>
      <c r="C38" s="2">
        <v>48</v>
      </c>
      <c r="D38" s="2">
        <v>39</v>
      </c>
    </row>
    <row r="39" spans="1:4" x14ac:dyDescent="0.25">
      <c r="A39">
        <v>38</v>
      </c>
      <c r="B39" s="2">
        <v>4</v>
      </c>
      <c r="C39" s="2">
        <v>49</v>
      </c>
      <c r="D39" s="2">
        <v>39</v>
      </c>
    </row>
    <row r="40" spans="1:4" x14ac:dyDescent="0.25">
      <c r="A40">
        <v>39</v>
      </c>
      <c r="B40" s="2">
        <v>4</v>
      </c>
      <c r="C40" s="2">
        <v>50</v>
      </c>
      <c r="D40" s="2">
        <v>39</v>
      </c>
    </row>
    <row r="41" spans="1:4" x14ac:dyDescent="0.25">
      <c r="A41">
        <v>40</v>
      </c>
      <c r="B41" s="2">
        <v>4</v>
      </c>
      <c r="C41" s="2">
        <v>51</v>
      </c>
      <c r="D41" s="2">
        <v>39</v>
      </c>
    </row>
    <row r="42" spans="1:4" x14ac:dyDescent="0.25">
      <c r="A42">
        <v>41</v>
      </c>
      <c r="B42" s="2">
        <v>4</v>
      </c>
      <c r="C42" s="2">
        <v>52</v>
      </c>
      <c r="D42" s="2">
        <v>39</v>
      </c>
    </row>
    <row r="43" spans="1:4" x14ac:dyDescent="0.25">
      <c r="A43">
        <v>42</v>
      </c>
      <c r="B43" s="2">
        <v>4</v>
      </c>
      <c r="C43" s="2">
        <v>53</v>
      </c>
      <c r="D43" s="2">
        <v>39</v>
      </c>
    </row>
    <row r="44" spans="1:4" x14ac:dyDescent="0.25">
      <c r="A44">
        <v>43</v>
      </c>
      <c r="B44" s="2">
        <v>4</v>
      </c>
      <c r="C44" s="2">
        <v>54</v>
      </c>
      <c r="D44" s="2">
        <v>39</v>
      </c>
    </row>
    <row r="45" spans="1:4" x14ac:dyDescent="0.25">
      <c r="A45">
        <v>44</v>
      </c>
      <c r="B45" s="2">
        <v>4</v>
      </c>
      <c r="C45" s="2">
        <v>55</v>
      </c>
      <c r="D45" s="2">
        <v>39</v>
      </c>
    </row>
    <row r="46" spans="1:4" x14ac:dyDescent="0.25">
      <c r="A46">
        <v>45</v>
      </c>
      <c r="B46" s="2">
        <v>4</v>
      </c>
      <c r="C46" s="2">
        <v>56</v>
      </c>
      <c r="D46" s="2">
        <v>39</v>
      </c>
    </row>
    <row r="47" spans="1:4" x14ac:dyDescent="0.25">
      <c r="A47">
        <v>46</v>
      </c>
      <c r="B47" s="2">
        <v>4</v>
      </c>
      <c r="C47" s="2">
        <v>57</v>
      </c>
      <c r="D47" s="2">
        <v>39</v>
      </c>
    </row>
    <row r="48" spans="1:4" x14ac:dyDescent="0.25">
      <c r="A48">
        <v>47</v>
      </c>
      <c r="B48" s="2">
        <v>4</v>
      </c>
      <c r="C48" s="2">
        <v>58</v>
      </c>
      <c r="D48" s="2">
        <v>39</v>
      </c>
    </row>
    <row r="49" spans="1:4" x14ac:dyDescent="0.25">
      <c r="A49">
        <v>48</v>
      </c>
      <c r="B49" s="2">
        <v>4</v>
      </c>
      <c r="C49" s="2">
        <v>59</v>
      </c>
      <c r="D49" s="2">
        <v>39</v>
      </c>
    </row>
    <row r="50" spans="1:4" x14ac:dyDescent="0.25">
      <c r="A50">
        <v>49</v>
      </c>
      <c r="B50" s="2">
        <v>4</v>
      </c>
      <c r="C50" s="2">
        <v>48</v>
      </c>
      <c r="D50" s="2">
        <v>40</v>
      </c>
    </row>
    <row r="51" spans="1:4" x14ac:dyDescent="0.25">
      <c r="A51">
        <v>50</v>
      </c>
      <c r="B51" s="2">
        <v>4</v>
      </c>
      <c r="C51" s="2">
        <v>49</v>
      </c>
      <c r="D51" s="2">
        <v>40</v>
      </c>
    </row>
    <row r="52" spans="1:4" x14ac:dyDescent="0.25">
      <c r="A52">
        <v>51</v>
      </c>
      <c r="B52" s="2">
        <v>4</v>
      </c>
      <c r="C52" s="2">
        <v>50</v>
      </c>
      <c r="D52" s="2">
        <v>40</v>
      </c>
    </row>
    <row r="53" spans="1:4" x14ac:dyDescent="0.25">
      <c r="A53">
        <v>52</v>
      </c>
      <c r="B53" s="2">
        <v>4</v>
      </c>
      <c r="C53" s="2">
        <v>51</v>
      </c>
      <c r="D53" s="2">
        <v>40</v>
      </c>
    </row>
    <row r="54" spans="1:4" x14ac:dyDescent="0.25">
      <c r="A54">
        <v>53</v>
      </c>
      <c r="B54" s="2">
        <v>4</v>
      </c>
      <c r="C54" s="2">
        <v>52</v>
      </c>
      <c r="D54" s="2">
        <v>40</v>
      </c>
    </row>
    <row r="55" spans="1:4" x14ac:dyDescent="0.25">
      <c r="A55">
        <v>54</v>
      </c>
      <c r="B55" s="2">
        <v>4</v>
      </c>
      <c r="C55" s="2">
        <v>53</v>
      </c>
      <c r="D55" s="2">
        <v>40</v>
      </c>
    </row>
    <row r="56" spans="1:4" x14ac:dyDescent="0.25">
      <c r="A56">
        <v>55</v>
      </c>
      <c r="B56" s="2">
        <v>4</v>
      </c>
      <c r="C56" s="2">
        <v>54</v>
      </c>
      <c r="D56" s="2">
        <v>40</v>
      </c>
    </row>
    <row r="57" spans="1:4" x14ac:dyDescent="0.25">
      <c r="A57">
        <v>56</v>
      </c>
      <c r="B57" s="2">
        <v>4</v>
      </c>
      <c r="C57" s="2">
        <v>55</v>
      </c>
      <c r="D57" s="2">
        <v>40</v>
      </c>
    </row>
    <row r="58" spans="1:4" x14ac:dyDescent="0.25">
      <c r="A58">
        <v>57</v>
      </c>
      <c r="B58" s="2">
        <v>4</v>
      </c>
      <c r="C58" s="2">
        <v>56</v>
      </c>
      <c r="D58" s="2">
        <v>40</v>
      </c>
    </row>
    <row r="59" spans="1:4" x14ac:dyDescent="0.25">
      <c r="A59">
        <v>58</v>
      </c>
      <c r="B59" s="2">
        <v>4</v>
      </c>
      <c r="C59" s="2">
        <v>57</v>
      </c>
      <c r="D59" s="2">
        <v>40</v>
      </c>
    </row>
    <row r="60" spans="1:4" x14ac:dyDescent="0.25">
      <c r="A60">
        <v>59</v>
      </c>
      <c r="B60" s="2">
        <v>4</v>
      </c>
      <c r="C60" s="2">
        <v>58</v>
      </c>
      <c r="D60" s="2">
        <v>40</v>
      </c>
    </row>
    <row r="61" spans="1:4" x14ac:dyDescent="0.25">
      <c r="A61">
        <v>60</v>
      </c>
      <c r="B61" s="2">
        <v>4</v>
      </c>
      <c r="C61" s="2">
        <v>59</v>
      </c>
      <c r="D61" s="2">
        <v>40</v>
      </c>
    </row>
    <row r="62" spans="1:4" x14ac:dyDescent="0.25">
      <c r="A62">
        <v>61</v>
      </c>
      <c r="B62" s="2">
        <v>4</v>
      </c>
      <c r="C62" s="2">
        <v>48</v>
      </c>
      <c r="D62" s="2">
        <v>41</v>
      </c>
    </row>
    <row r="63" spans="1:4" x14ac:dyDescent="0.25">
      <c r="A63">
        <v>62</v>
      </c>
      <c r="B63" s="2">
        <v>4</v>
      </c>
      <c r="C63" s="2">
        <v>49</v>
      </c>
      <c r="D63" s="2">
        <v>41</v>
      </c>
    </row>
    <row r="64" spans="1:4" x14ac:dyDescent="0.25">
      <c r="A64">
        <v>63</v>
      </c>
      <c r="B64" s="2">
        <v>4</v>
      </c>
      <c r="C64" s="2">
        <v>50</v>
      </c>
      <c r="D64" s="2">
        <v>41</v>
      </c>
    </row>
    <row r="65" spans="1:4" x14ac:dyDescent="0.25">
      <c r="A65">
        <v>64</v>
      </c>
      <c r="B65" s="2">
        <v>4</v>
      </c>
      <c r="C65" s="2">
        <v>51</v>
      </c>
      <c r="D65" s="2">
        <v>41</v>
      </c>
    </row>
    <row r="66" spans="1:4" x14ac:dyDescent="0.25">
      <c r="A66">
        <v>65</v>
      </c>
      <c r="B66" s="2">
        <v>4</v>
      </c>
      <c r="C66" s="2">
        <v>52</v>
      </c>
      <c r="D66" s="2">
        <v>41</v>
      </c>
    </row>
    <row r="67" spans="1:4" x14ac:dyDescent="0.25">
      <c r="A67">
        <v>66</v>
      </c>
      <c r="B67" s="2">
        <v>4</v>
      </c>
      <c r="C67" s="2">
        <v>53</v>
      </c>
      <c r="D67" s="2">
        <v>41</v>
      </c>
    </row>
    <row r="68" spans="1:4" x14ac:dyDescent="0.25">
      <c r="A68">
        <v>67</v>
      </c>
      <c r="B68" s="2">
        <v>4</v>
      </c>
      <c r="C68" s="2">
        <v>54</v>
      </c>
      <c r="D68" s="2">
        <v>41</v>
      </c>
    </row>
    <row r="69" spans="1:4" x14ac:dyDescent="0.25">
      <c r="A69">
        <v>68</v>
      </c>
      <c r="B69" s="2">
        <v>4</v>
      </c>
      <c r="C69" s="2">
        <v>55</v>
      </c>
      <c r="D69" s="2">
        <v>41</v>
      </c>
    </row>
    <row r="70" spans="1:4" x14ac:dyDescent="0.25">
      <c r="A70">
        <v>69</v>
      </c>
      <c r="B70" s="2">
        <v>4</v>
      </c>
      <c r="C70" s="2">
        <v>56</v>
      </c>
      <c r="D70" s="2">
        <v>41</v>
      </c>
    </row>
    <row r="71" spans="1:4" x14ac:dyDescent="0.25">
      <c r="A71">
        <v>70</v>
      </c>
      <c r="B71" s="2">
        <v>4</v>
      </c>
      <c r="C71" s="2">
        <v>57</v>
      </c>
      <c r="D71" s="2">
        <v>41</v>
      </c>
    </row>
    <row r="72" spans="1:4" x14ac:dyDescent="0.25">
      <c r="A72">
        <v>71</v>
      </c>
      <c r="B72" s="2">
        <v>4</v>
      </c>
      <c r="C72" s="2">
        <v>58</v>
      </c>
      <c r="D72" s="2">
        <v>41</v>
      </c>
    </row>
    <row r="73" spans="1:4" x14ac:dyDescent="0.25">
      <c r="A73">
        <v>72</v>
      </c>
      <c r="B73" s="2">
        <v>4</v>
      </c>
      <c r="C73" s="2">
        <v>59</v>
      </c>
      <c r="D73" s="2">
        <v>41</v>
      </c>
    </row>
    <row r="74" spans="1:4" x14ac:dyDescent="0.25">
      <c r="A74">
        <v>73</v>
      </c>
      <c r="B74" s="2">
        <v>4</v>
      </c>
      <c r="C74" s="2">
        <v>48</v>
      </c>
      <c r="D74" s="2">
        <v>42</v>
      </c>
    </row>
    <row r="75" spans="1:4" x14ac:dyDescent="0.25">
      <c r="A75">
        <v>74</v>
      </c>
      <c r="B75" s="2">
        <v>4</v>
      </c>
      <c r="C75" s="2">
        <v>49</v>
      </c>
      <c r="D75" s="2">
        <v>42</v>
      </c>
    </row>
    <row r="76" spans="1:4" x14ac:dyDescent="0.25">
      <c r="A76">
        <v>75</v>
      </c>
      <c r="B76" s="2">
        <v>4</v>
      </c>
      <c r="C76" s="2">
        <v>50</v>
      </c>
      <c r="D76" s="2">
        <v>42</v>
      </c>
    </row>
    <row r="77" spans="1:4" x14ac:dyDescent="0.25">
      <c r="A77">
        <v>76</v>
      </c>
      <c r="B77" s="2">
        <v>4</v>
      </c>
      <c r="C77" s="2">
        <v>51</v>
      </c>
      <c r="D77" s="2">
        <v>42</v>
      </c>
    </row>
    <row r="78" spans="1:4" x14ac:dyDescent="0.25">
      <c r="A78">
        <v>77</v>
      </c>
      <c r="B78" s="2">
        <v>4</v>
      </c>
      <c r="C78" s="2">
        <v>52</v>
      </c>
      <c r="D78" s="2">
        <v>42</v>
      </c>
    </row>
    <row r="79" spans="1:4" x14ac:dyDescent="0.25">
      <c r="A79">
        <v>78</v>
      </c>
      <c r="B79" s="2">
        <v>4</v>
      </c>
      <c r="C79" s="2">
        <v>53</v>
      </c>
      <c r="D79" s="2">
        <v>42</v>
      </c>
    </row>
    <row r="80" spans="1:4" x14ac:dyDescent="0.25">
      <c r="A80">
        <v>79</v>
      </c>
      <c r="B80" s="2">
        <v>4</v>
      </c>
      <c r="C80" s="2">
        <v>54</v>
      </c>
      <c r="D80" s="2">
        <v>42</v>
      </c>
    </row>
    <row r="81" spans="1:4" x14ac:dyDescent="0.25">
      <c r="A81">
        <v>80</v>
      </c>
      <c r="B81" s="2">
        <v>4</v>
      </c>
      <c r="C81" s="2">
        <v>55</v>
      </c>
      <c r="D81" s="2">
        <v>42</v>
      </c>
    </row>
    <row r="82" spans="1:4" x14ac:dyDescent="0.25">
      <c r="A82">
        <v>81</v>
      </c>
      <c r="B82" s="2">
        <v>4</v>
      </c>
      <c r="C82" s="2">
        <v>56</v>
      </c>
      <c r="D82" s="2">
        <v>42</v>
      </c>
    </row>
    <row r="83" spans="1:4" x14ac:dyDescent="0.25">
      <c r="A83">
        <v>82</v>
      </c>
      <c r="B83" s="2">
        <v>4</v>
      </c>
      <c r="C83" s="2">
        <v>57</v>
      </c>
      <c r="D83" s="2">
        <v>42</v>
      </c>
    </row>
    <row r="84" spans="1:4" x14ac:dyDescent="0.25">
      <c r="A84">
        <v>83</v>
      </c>
      <c r="B84" s="2">
        <v>4</v>
      </c>
      <c r="C84" s="2">
        <v>58</v>
      </c>
      <c r="D84" s="2">
        <v>42</v>
      </c>
    </row>
    <row r="85" spans="1:4" x14ac:dyDescent="0.25">
      <c r="A85">
        <v>84</v>
      </c>
      <c r="B85" s="2">
        <v>4</v>
      </c>
      <c r="C85" s="2">
        <v>59</v>
      </c>
      <c r="D85" s="2">
        <v>42</v>
      </c>
    </row>
    <row r="86" spans="1:4" x14ac:dyDescent="0.25">
      <c r="A86">
        <v>85</v>
      </c>
      <c r="B86" s="2">
        <v>4</v>
      </c>
      <c r="C86" s="2">
        <v>48</v>
      </c>
      <c r="D86" s="2">
        <v>43</v>
      </c>
    </row>
    <row r="87" spans="1:4" x14ac:dyDescent="0.25">
      <c r="A87">
        <v>86</v>
      </c>
      <c r="B87" s="2">
        <v>4</v>
      </c>
      <c r="C87" s="2">
        <v>49</v>
      </c>
      <c r="D87" s="2">
        <v>43</v>
      </c>
    </row>
    <row r="88" spans="1:4" x14ac:dyDescent="0.25">
      <c r="A88">
        <v>87</v>
      </c>
      <c r="B88" s="2">
        <v>4</v>
      </c>
      <c r="C88" s="2">
        <v>50</v>
      </c>
      <c r="D88" s="2">
        <v>43</v>
      </c>
    </row>
    <row r="89" spans="1:4" x14ac:dyDescent="0.25">
      <c r="A89">
        <v>88</v>
      </c>
      <c r="B89" s="2">
        <v>4</v>
      </c>
      <c r="C89" s="2">
        <v>51</v>
      </c>
      <c r="D89" s="2">
        <v>43</v>
      </c>
    </row>
    <row r="90" spans="1:4" x14ac:dyDescent="0.25">
      <c r="A90">
        <v>89</v>
      </c>
      <c r="B90" s="2">
        <v>4</v>
      </c>
      <c r="C90" s="2">
        <v>52</v>
      </c>
      <c r="D90" s="2">
        <v>43</v>
      </c>
    </row>
    <row r="91" spans="1:4" x14ac:dyDescent="0.25">
      <c r="A91">
        <v>90</v>
      </c>
      <c r="B91" s="2">
        <v>4</v>
      </c>
      <c r="C91" s="2">
        <v>53</v>
      </c>
      <c r="D91" s="2">
        <v>43</v>
      </c>
    </row>
    <row r="92" spans="1:4" x14ac:dyDescent="0.25">
      <c r="A92">
        <v>91</v>
      </c>
      <c r="B92" s="2">
        <v>4</v>
      </c>
      <c r="C92" s="2">
        <v>54</v>
      </c>
      <c r="D92" s="2">
        <v>43</v>
      </c>
    </row>
    <row r="93" spans="1:4" x14ac:dyDescent="0.25">
      <c r="A93">
        <v>92</v>
      </c>
      <c r="B93" s="2">
        <v>4</v>
      </c>
      <c r="C93" s="2">
        <v>55</v>
      </c>
      <c r="D93" s="2">
        <v>43</v>
      </c>
    </row>
    <row r="94" spans="1:4" x14ac:dyDescent="0.25">
      <c r="A94">
        <v>93</v>
      </c>
      <c r="B94" s="2">
        <v>4</v>
      </c>
      <c r="C94" s="2">
        <v>56</v>
      </c>
      <c r="D94" s="2">
        <v>43</v>
      </c>
    </row>
    <row r="95" spans="1:4" x14ac:dyDescent="0.25">
      <c r="A95">
        <v>94</v>
      </c>
      <c r="B95" s="2">
        <v>4</v>
      </c>
      <c r="C95" s="2">
        <v>57</v>
      </c>
      <c r="D95" s="2">
        <v>43</v>
      </c>
    </row>
    <row r="96" spans="1:4" x14ac:dyDescent="0.25">
      <c r="A96">
        <v>95</v>
      </c>
      <c r="B96" s="2">
        <v>4</v>
      </c>
      <c r="C96" s="2">
        <v>58</v>
      </c>
      <c r="D96" s="2">
        <v>43</v>
      </c>
    </row>
    <row r="97" spans="1:4" x14ac:dyDescent="0.25">
      <c r="A97">
        <v>96</v>
      </c>
      <c r="B97" s="2">
        <v>4</v>
      </c>
      <c r="C97" s="2">
        <v>59</v>
      </c>
      <c r="D97" s="2">
        <v>43</v>
      </c>
    </row>
    <row r="98" spans="1:4" x14ac:dyDescent="0.25">
      <c r="A98">
        <v>97</v>
      </c>
      <c r="B98" s="2">
        <v>4</v>
      </c>
      <c r="C98" s="2">
        <v>48</v>
      </c>
      <c r="D98" s="2">
        <v>44</v>
      </c>
    </row>
    <row r="99" spans="1:4" x14ac:dyDescent="0.25">
      <c r="A99">
        <v>98</v>
      </c>
      <c r="B99" s="2">
        <v>4</v>
      </c>
      <c r="C99" s="2">
        <v>49</v>
      </c>
      <c r="D99" s="2">
        <v>44</v>
      </c>
    </row>
    <row r="100" spans="1:4" x14ac:dyDescent="0.25">
      <c r="A100">
        <v>99</v>
      </c>
      <c r="B100" s="2">
        <v>4</v>
      </c>
      <c r="C100" s="2">
        <v>50</v>
      </c>
      <c r="D100" s="2">
        <v>44</v>
      </c>
    </row>
    <row r="101" spans="1:4" x14ac:dyDescent="0.25">
      <c r="A101">
        <v>100</v>
      </c>
      <c r="B101" s="2">
        <v>4</v>
      </c>
      <c r="C101" s="2">
        <v>51</v>
      </c>
      <c r="D101" s="2">
        <v>44</v>
      </c>
    </row>
    <row r="102" spans="1:4" x14ac:dyDescent="0.25">
      <c r="A102">
        <v>101</v>
      </c>
      <c r="B102" s="2">
        <v>4</v>
      </c>
      <c r="C102" s="2">
        <v>52</v>
      </c>
      <c r="D102" s="2">
        <v>44</v>
      </c>
    </row>
    <row r="103" spans="1:4" x14ac:dyDescent="0.25">
      <c r="A103">
        <v>102</v>
      </c>
      <c r="B103" s="2">
        <v>4</v>
      </c>
      <c r="C103" s="2">
        <v>53</v>
      </c>
      <c r="D103" s="2">
        <v>44</v>
      </c>
    </row>
    <row r="104" spans="1:4" x14ac:dyDescent="0.25">
      <c r="A104">
        <v>103</v>
      </c>
      <c r="B104" s="2">
        <v>4</v>
      </c>
      <c r="C104" s="2">
        <v>54</v>
      </c>
      <c r="D104" s="2">
        <v>44</v>
      </c>
    </row>
    <row r="105" spans="1:4" x14ac:dyDescent="0.25">
      <c r="A105">
        <v>104</v>
      </c>
      <c r="B105" s="2">
        <v>4</v>
      </c>
      <c r="C105" s="2">
        <v>55</v>
      </c>
      <c r="D105" s="2">
        <v>44</v>
      </c>
    </row>
    <row r="106" spans="1:4" x14ac:dyDescent="0.25">
      <c r="A106">
        <v>105</v>
      </c>
      <c r="B106" s="2">
        <v>4</v>
      </c>
      <c r="C106" s="2">
        <v>56</v>
      </c>
      <c r="D106" s="2">
        <v>44</v>
      </c>
    </row>
    <row r="107" spans="1:4" x14ac:dyDescent="0.25">
      <c r="A107">
        <v>106</v>
      </c>
      <c r="B107" s="2">
        <v>4</v>
      </c>
      <c r="C107" s="2">
        <v>57</v>
      </c>
      <c r="D107" s="2">
        <v>44</v>
      </c>
    </row>
    <row r="108" spans="1:4" x14ac:dyDescent="0.25">
      <c r="A108">
        <v>107</v>
      </c>
      <c r="B108" s="2">
        <v>4</v>
      </c>
      <c r="C108" s="2">
        <v>58</v>
      </c>
      <c r="D108" s="2">
        <v>44</v>
      </c>
    </row>
    <row r="109" spans="1:4" x14ac:dyDescent="0.25">
      <c r="A109">
        <v>108</v>
      </c>
      <c r="B109" s="2">
        <v>4</v>
      </c>
      <c r="C109" s="2">
        <v>59</v>
      </c>
      <c r="D109" s="2">
        <v>44</v>
      </c>
    </row>
    <row r="110" spans="1:4" x14ac:dyDescent="0.25">
      <c r="A110">
        <v>109</v>
      </c>
      <c r="B110" s="2">
        <v>4</v>
      </c>
      <c r="C110" s="2">
        <v>48</v>
      </c>
      <c r="D110" s="2">
        <v>45</v>
      </c>
    </row>
    <row r="111" spans="1:4" x14ac:dyDescent="0.25">
      <c r="A111">
        <v>110</v>
      </c>
      <c r="B111" s="2">
        <v>4</v>
      </c>
      <c r="C111" s="2">
        <v>49</v>
      </c>
      <c r="D111" s="2">
        <v>45</v>
      </c>
    </row>
    <row r="112" spans="1:4" x14ac:dyDescent="0.25">
      <c r="A112">
        <v>111</v>
      </c>
      <c r="B112" s="2">
        <v>4</v>
      </c>
      <c r="C112" s="2">
        <v>50</v>
      </c>
      <c r="D112" s="2">
        <v>45</v>
      </c>
    </row>
    <row r="113" spans="1:4" x14ac:dyDescent="0.25">
      <c r="A113">
        <v>112</v>
      </c>
      <c r="B113" s="2">
        <v>4</v>
      </c>
      <c r="C113" s="2">
        <v>51</v>
      </c>
      <c r="D113" s="2">
        <v>45</v>
      </c>
    </row>
    <row r="114" spans="1:4" x14ac:dyDescent="0.25">
      <c r="A114">
        <v>113</v>
      </c>
      <c r="B114" s="2">
        <v>4</v>
      </c>
      <c r="C114" s="2">
        <v>52</v>
      </c>
      <c r="D114" s="2">
        <v>45</v>
      </c>
    </row>
    <row r="115" spans="1:4" x14ac:dyDescent="0.25">
      <c r="A115">
        <v>114</v>
      </c>
      <c r="B115" s="2">
        <v>4</v>
      </c>
      <c r="C115" s="2">
        <v>53</v>
      </c>
      <c r="D115" s="2">
        <v>45</v>
      </c>
    </row>
    <row r="116" spans="1:4" x14ac:dyDescent="0.25">
      <c r="A116">
        <v>115</v>
      </c>
      <c r="B116" s="2">
        <v>4</v>
      </c>
      <c r="C116" s="2">
        <v>54</v>
      </c>
      <c r="D116" s="2">
        <v>45</v>
      </c>
    </row>
    <row r="117" spans="1:4" x14ac:dyDescent="0.25">
      <c r="A117">
        <v>116</v>
      </c>
      <c r="B117" s="2">
        <v>4</v>
      </c>
      <c r="C117" s="2">
        <v>55</v>
      </c>
      <c r="D117" s="2">
        <v>45</v>
      </c>
    </row>
    <row r="118" spans="1:4" x14ac:dyDescent="0.25">
      <c r="A118">
        <v>117</v>
      </c>
      <c r="B118" s="2">
        <v>4</v>
      </c>
      <c r="C118" s="2">
        <v>56</v>
      </c>
      <c r="D118" s="2">
        <v>45</v>
      </c>
    </row>
    <row r="119" spans="1:4" x14ac:dyDescent="0.25">
      <c r="A119">
        <v>118</v>
      </c>
      <c r="B119" s="2">
        <v>4</v>
      </c>
      <c r="C119" s="2">
        <v>57</v>
      </c>
      <c r="D119" s="2">
        <v>45</v>
      </c>
    </row>
    <row r="120" spans="1:4" x14ac:dyDescent="0.25">
      <c r="A120">
        <v>119</v>
      </c>
      <c r="B120" s="2">
        <v>4</v>
      </c>
      <c r="C120" s="2">
        <v>58</v>
      </c>
      <c r="D120" s="2">
        <v>45</v>
      </c>
    </row>
    <row r="121" spans="1:4" x14ac:dyDescent="0.25">
      <c r="A121">
        <v>120</v>
      </c>
      <c r="B121" s="2">
        <v>4</v>
      </c>
      <c r="C121" s="2">
        <v>59</v>
      </c>
      <c r="D121" s="2">
        <v>45</v>
      </c>
    </row>
    <row r="122" spans="1:4" x14ac:dyDescent="0.25">
      <c r="A122">
        <v>121</v>
      </c>
      <c r="B122" s="2">
        <v>4</v>
      </c>
      <c r="C122" s="2">
        <v>48</v>
      </c>
      <c r="D122" s="2">
        <v>46</v>
      </c>
    </row>
    <row r="123" spans="1:4" x14ac:dyDescent="0.25">
      <c r="A123">
        <v>122</v>
      </c>
      <c r="B123" s="2">
        <v>4</v>
      </c>
      <c r="C123" s="2">
        <v>49</v>
      </c>
      <c r="D123" s="2">
        <v>46</v>
      </c>
    </row>
    <row r="124" spans="1:4" x14ac:dyDescent="0.25">
      <c r="A124">
        <v>123</v>
      </c>
      <c r="B124" s="2">
        <v>4</v>
      </c>
      <c r="C124" s="2">
        <v>50</v>
      </c>
      <c r="D124" s="2">
        <v>46</v>
      </c>
    </row>
    <row r="125" spans="1:4" x14ac:dyDescent="0.25">
      <c r="A125">
        <v>124</v>
      </c>
      <c r="B125" s="2">
        <v>4</v>
      </c>
      <c r="C125" s="2">
        <v>51</v>
      </c>
      <c r="D125" s="2">
        <v>46</v>
      </c>
    </row>
    <row r="126" spans="1:4" x14ac:dyDescent="0.25">
      <c r="A126">
        <v>125</v>
      </c>
      <c r="B126" s="2">
        <v>4</v>
      </c>
      <c r="C126" s="2">
        <v>52</v>
      </c>
      <c r="D126" s="2">
        <v>46</v>
      </c>
    </row>
    <row r="127" spans="1:4" x14ac:dyDescent="0.25">
      <c r="A127">
        <v>126</v>
      </c>
      <c r="B127" s="2">
        <v>4</v>
      </c>
      <c r="C127" s="2">
        <v>53</v>
      </c>
      <c r="D127" s="2">
        <v>46</v>
      </c>
    </row>
    <row r="128" spans="1:4" x14ac:dyDescent="0.25">
      <c r="A128">
        <v>127</v>
      </c>
      <c r="B128" s="2">
        <v>4</v>
      </c>
      <c r="C128" s="2">
        <v>54</v>
      </c>
      <c r="D128" s="2">
        <v>46</v>
      </c>
    </row>
    <row r="129" spans="1:4" x14ac:dyDescent="0.25">
      <c r="A129">
        <v>128</v>
      </c>
      <c r="B129" s="2">
        <v>4</v>
      </c>
      <c r="C129" s="2">
        <v>55</v>
      </c>
      <c r="D129" s="2">
        <v>46</v>
      </c>
    </row>
    <row r="130" spans="1:4" x14ac:dyDescent="0.25">
      <c r="A130">
        <v>129</v>
      </c>
      <c r="B130" s="2">
        <v>4</v>
      </c>
      <c r="C130" s="2">
        <v>56</v>
      </c>
      <c r="D130" s="2">
        <v>46</v>
      </c>
    </row>
    <row r="131" spans="1:4" x14ac:dyDescent="0.25">
      <c r="A131">
        <v>130</v>
      </c>
      <c r="B131" s="2">
        <v>4</v>
      </c>
      <c r="C131" s="2">
        <v>57</v>
      </c>
      <c r="D131" s="2">
        <v>46</v>
      </c>
    </row>
    <row r="132" spans="1:4" x14ac:dyDescent="0.25">
      <c r="A132">
        <v>131</v>
      </c>
      <c r="B132" s="2">
        <v>4</v>
      </c>
      <c r="C132" s="2">
        <v>58</v>
      </c>
      <c r="D132" s="2">
        <v>46</v>
      </c>
    </row>
    <row r="133" spans="1:4" x14ac:dyDescent="0.25">
      <c r="A133">
        <v>132</v>
      </c>
      <c r="B133" s="2">
        <v>4</v>
      </c>
      <c r="C133" s="2">
        <v>59</v>
      </c>
      <c r="D133" s="2">
        <v>46</v>
      </c>
    </row>
    <row r="134" spans="1:4" x14ac:dyDescent="0.25">
      <c r="A134">
        <v>133</v>
      </c>
      <c r="B134" s="2">
        <v>4</v>
      </c>
      <c r="C134" s="2">
        <v>48</v>
      </c>
      <c r="D134" s="2">
        <v>47</v>
      </c>
    </row>
    <row r="135" spans="1:4" x14ac:dyDescent="0.25">
      <c r="A135">
        <v>134</v>
      </c>
      <c r="B135" s="2">
        <v>4</v>
      </c>
      <c r="C135" s="2">
        <v>49</v>
      </c>
      <c r="D135" s="2">
        <v>47</v>
      </c>
    </row>
    <row r="136" spans="1:4" x14ac:dyDescent="0.25">
      <c r="A136">
        <v>135</v>
      </c>
      <c r="B136" s="2">
        <v>4</v>
      </c>
      <c r="C136" s="2">
        <v>50</v>
      </c>
      <c r="D136" s="2">
        <v>47</v>
      </c>
    </row>
    <row r="137" spans="1:4" x14ac:dyDescent="0.25">
      <c r="A137">
        <v>136</v>
      </c>
      <c r="B137" s="2">
        <v>4</v>
      </c>
      <c r="C137" s="2">
        <v>51</v>
      </c>
      <c r="D137" s="2">
        <v>47</v>
      </c>
    </row>
    <row r="138" spans="1:4" x14ac:dyDescent="0.25">
      <c r="A138">
        <v>137</v>
      </c>
      <c r="B138" s="2">
        <v>4</v>
      </c>
      <c r="C138" s="2">
        <v>52</v>
      </c>
      <c r="D138" s="2">
        <v>47</v>
      </c>
    </row>
    <row r="139" spans="1:4" x14ac:dyDescent="0.25">
      <c r="A139">
        <v>138</v>
      </c>
      <c r="B139" s="2">
        <v>4</v>
      </c>
      <c r="C139" s="2">
        <v>53</v>
      </c>
      <c r="D139" s="2">
        <v>47</v>
      </c>
    </row>
    <row r="140" spans="1:4" x14ac:dyDescent="0.25">
      <c r="A140">
        <v>139</v>
      </c>
      <c r="B140" s="2">
        <v>4</v>
      </c>
      <c r="C140" s="2">
        <v>54</v>
      </c>
      <c r="D140" s="2">
        <v>47</v>
      </c>
    </row>
    <row r="141" spans="1:4" x14ac:dyDescent="0.25">
      <c r="A141">
        <v>140</v>
      </c>
      <c r="B141" s="2">
        <v>4</v>
      </c>
      <c r="C141" s="2">
        <v>55</v>
      </c>
      <c r="D141" s="2">
        <v>47</v>
      </c>
    </row>
    <row r="142" spans="1:4" x14ac:dyDescent="0.25">
      <c r="A142">
        <v>141</v>
      </c>
      <c r="B142" s="2">
        <v>4</v>
      </c>
      <c r="C142" s="2">
        <v>56</v>
      </c>
      <c r="D142" s="2">
        <v>47</v>
      </c>
    </row>
    <row r="143" spans="1:4" x14ac:dyDescent="0.25">
      <c r="A143">
        <v>142</v>
      </c>
      <c r="B143" s="2">
        <v>4</v>
      </c>
      <c r="C143" s="2">
        <v>57</v>
      </c>
      <c r="D143" s="2">
        <v>47</v>
      </c>
    </row>
    <row r="144" spans="1:4" x14ac:dyDescent="0.25">
      <c r="A144">
        <v>143</v>
      </c>
      <c r="B144" s="2">
        <v>4</v>
      </c>
      <c r="C144" s="2">
        <v>58</v>
      </c>
      <c r="D144" s="2">
        <v>47</v>
      </c>
    </row>
    <row r="145" spans="1:4" x14ac:dyDescent="0.25">
      <c r="A145">
        <v>144</v>
      </c>
      <c r="B145" s="2">
        <v>4</v>
      </c>
      <c r="C145" s="2">
        <v>59</v>
      </c>
      <c r="D145" s="2">
        <v>47</v>
      </c>
    </row>
    <row r="146" spans="1:4" x14ac:dyDescent="0.25">
      <c r="A146">
        <v>145</v>
      </c>
      <c r="B146" s="2">
        <v>4</v>
      </c>
      <c r="C146" s="2">
        <v>48</v>
      </c>
      <c r="D146" s="2">
        <v>48</v>
      </c>
    </row>
    <row r="147" spans="1:4" x14ac:dyDescent="0.25">
      <c r="A147">
        <v>146</v>
      </c>
      <c r="B147" s="2">
        <v>4</v>
      </c>
      <c r="C147" s="2">
        <v>49</v>
      </c>
      <c r="D147" s="2">
        <v>48</v>
      </c>
    </row>
    <row r="148" spans="1:4" x14ac:dyDescent="0.25">
      <c r="A148">
        <v>147</v>
      </c>
      <c r="B148" s="2">
        <v>4</v>
      </c>
      <c r="C148" s="2">
        <v>50</v>
      </c>
      <c r="D148" s="2">
        <v>48</v>
      </c>
    </row>
    <row r="149" spans="1:4" x14ac:dyDescent="0.25">
      <c r="A149">
        <v>148</v>
      </c>
      <c r="B149" s="2">
        <v>4</v>
      </c>
      <c r="C149" s="2">
        <v>51</v>
      </c>
      <c r="D149" s="2">
        <v>48</v>
      </c>
    </row>
    <row r="150" spans="1:4" x14ac:dyDescent="0.25">
      <c r="A150">
        <v>149</v>
      </c>
      <c r="B150" s="2">
        <v>4</v>
      </c>
      <c r="C150" s="2">
        <v>52</v>
      </c>
      <c r="D150" s="2">
        <v>48</v>
      </c>
    </row>
    <row r="151" spans="1:4" x14ac:dyDescent="0.25">
      <c r="A151">
        <v>150</v>
      </c>
      <c r="B151" s="2">
        <v>4</v>
      </c>
      <c r="C151" s="2">
        <v>53</v>
      </c>
      <c r="D151" s="2">
        <v>48</v>
      </c>
    </row>
    <row r="152" spans="1:4" x14ac:dyDescent="0.25">
      <c r="A152">
        <v>151</v>
      </c>
      <c r="B152" s="2">
        <v>4</v>
      </c>
      <c r="C152" s="2">
        <v>54</v>
      </c>
      <c r="D152" s="2">
        <v>48</v>
      </c>
    </row>
    <row r="153" spans="1:4" x14ac:dyDescent="0.25">
      <c r="A153">
        <v>152</v>
      </c>
      <c r="B153" s="2">
        <v>4</v>
      </c>
      <c r="C153" s="2">
        <v>55</v>
      </c>
      <c r="D153" s="2">
        <v>48</v>
      </c>
    </row>
    <row r="154" spans="1:4" x14ac:dyDescent="0.25">
      <c r="A154">
        <v>153</v>
      </c>
      <c r="B154" s="2">
        <v>4</v>
      </c>
      <c r="C154" s="2">
        <v>56</v>
      </c>
      <c r="D154" s="2">
        <v>48</v>
      </c>
    </row>
    <row r="155" spans="1:4" x14ac:dyDescent="0.25">
      <c r="A155">
        <v>154</v>
      </c>
      <c r="B155" s="2">
        <v>4</v>
      </c>
      <c r="C155" s="2">
        <v>57</v>
      </c>
      <c r="D155" s="2">
        <v>48</v>
      </c>
    </row>
    <row r="156" spans="1:4" x14ac:dyDescent="0.25">
      <c r="A156">
        <v>155</v>
      </c>
      <c r="B156" s="2">
        <v>4</v>
      </c>
      <c r="C156" s="2">
        <v>58</v>
      </c>
      <c r="D156" s="2">
        <v>48</v>
      </c>
    </row>
    <row r="157" spans="1:4" x14ac:dyDescent="0.25">
      <c r="A157">
        <v>156</v>
      </c>
      <c r="B157" s="2">
        <v>4</v>
      </c>
      <c r="C157" s="2">
        <v>59</v>
      </c>
      <c r="D157" s="2">
        <v>48</v>
      </c>
    </row>
    <row r="158" spans="1:4" x14ac:dyDescent="0.25">
      <c r="A158">
        <v>157</v>
      </c>
      <c r="B158" s="2">
        <v>4</v>
      </c>
      <c r="C158" s="2">
        <v>48</v>
      </c>
      <c r="D158" s="2">
        <v>49</v>
      </c>
    </row>
    <row r="159" spans="1:4" x14ac:dyDescent="0.25">
      <c r="A159">
        <v>158</v>
      </c>
      <c r="B159" s="2">
        <v>4</v>
      </c>
      <c r="C159" s="2">
        <v>49</v>
      </c>
      <c r="D159" s="2">
        <v>49</v>
      </c>
    </row>
    <row r="160" spans="1:4" x14ac:dyDescent="0.25">
      <c r="A160">
        <v>159</v>
      </c>
      <c r="B160" s="2">
        <v>4</v>
      </c>
      <c r="C160" s="2">
        <v>50</v>
      </c>
      <c r="D160" s="2">
        <v>49</v>
      </c>
    </row>
    <row r="161" spans="1:4" x14ac:dyDescent="0.25">
      <c r="A161">
        <v>160</v>
      </c>
      <c r="B161" s="2">
        <v>4</v>
      </c>
      <c r="C161" s="2">
        <v>51</v>
      </c>
      <c r="D161" s="2">
        <v>49</v>
      </c>
    </row>
    <row r="162" spans="1:4" x14ac:dyDescent="0.25">
      <c r="A162">
        <v>161</v>
      </c>
      <c r="B162" s="2">
        <v>4</v>
      </c>
      <c r="C162" s="2">
        <v>52</v>
      </c>
      <c r="D162" s="2">
        <v>49</v>
      </c>
    </row>
    <row r="163" spans="1:4" x14ac:dyDescent="0.25">
      <c r="A163">
        <v>162</v>
      </c>
      <c r="B163" s="2">
        <v>4</v>
      </c>
      <c r="C163" s="2">
        <v>53</v>
      </c>
      <c r="D163" s="2">
        <v>49</v>
      </c>
    </row>
    <row r="164" spans="1:4" x14ac:dyDescent="0.25">
      <c r="A164">
        <v>163</v>
      </c>
      <c r="B164" s="2">
        <v>4</v>
      </c>
      <c r="C164" s="2">
        <v>54</v>
      </c>
      <c r="D164" s="2">
        <v>49</v>
      </c>
    </row>
    <row r="165" spans="1:4" x14ac:dyDescent="0.25">
      <c r="A165">
        <v>164</v>
      </c>
      <c r="B165" s="2">
        <v>4</v>
      </c>
      <c r="C165" s="2">
        <v>55</v>
      </c>
      <c r="D165" s="2">
        <v>49</v>
      </c>
    </row>
    <row r="166" spans="1:4" x14ac:dyDescent="0.25">
      <c r="A166">
        <v>165</v>
      </c>
      <c r="B166" s="2">
        <v>4</v>
      </c>
      <c r="C166" s="2">
        <v>56</v>
      </c>
      <c r="D166" s="2">
        <v>49</v>
      </c>
    </row>
    <row r="167" spans="1:4" x14ac:dyDescent="0.25">
      <c r="A167">
        <v>166</v>
      </c>
      <c r="B167" s="2">
        <v>4</v>
      </c>
      <c r="C167" s="2">
        <v>57</v>
      </c>
      <c r="D167" s="2">
        <v>49</v>
      </c>
    </row>
    <row r="168" spans="1:4" x14ac:dyDescent="0.25">
      <c r="A168">
        <v>167</v>
      </c>
      <c r="B168" s="2">
        <v>4</v>
      </c>
      <c r="C168" s="2">
        <v>58</v>
      </c>
      <c r="D168" s="2">
        <v>49</v>
      </c>
    </row>
    <row r="169" spans="1:4" x14ac:dyDescent="0.25">
      <c r="A169">
        <v>168</v>
      </c>
      <c r="B169" s="2">
        <v>4</v>
      </c>
      <c r="C169" s="2">
        <v>59</v>
      </c>
      <c r="D169" s="2">
        <v>49</v>
      </c>
    </row>
    <row r="170" spans="1:4" x14ac:dyDescent="0.25">
      <c r="A170">
        <v>169</v>
      </c>
      <c r="B170" s="2">
        <v>4</v>
      </c>
      <c r="C170" s="2">
        <v>48</v>
      </c>
      <c r="D170" s="2">
        <v>50</v>
      </c>
    </row>
    <row r="171" spans="1:4" x14ac:dyDescent="0.25">
      <c r="A171">
        <v>170</v>
      </c>
      <c r="B171" s="2">
        <v>4</v>
      </c>
      <c r="C171" s="2">
        <v>49</v>
      </c>
      <c r="D171" s="2">
        <v>50</v>
      </c>
    </row>
    <row r="172" spans="1:4" x14ac:dyDescent="0.25">
      <c r="A172">
        <v>171</v>
      </c>
      <c r="B172" s="2">
        <v>4</v>
      </c>
      <c r="C172" s="2">
        <v>50</v>
      </c>
      <c r="D172" s="2">
        <v>50</v>
      </c>
    </row>
    <row r="173" spans="1:4" x14ac:dyDescent="0.25">
      <c r="A173">
        <v>172</v>
      </c>
      <c r="B173" s="2">
        <v>4</v>
      </c>
      <c r="C173" s="2">
        <v>51</v>
      </c>
      <c r="D173" s="2">
        <v>50</v>
      </c>
    </row>
    <row r="174" spans="1:4" x14ac:dyDescent="0.25">
      <c r="A174">
        <v>173</v>
      </c>
      <c r="B174" s="2">
        <v>4</v>
      </c>
      <c r="C174" s="2">
        <v>52</v>
      </c>
      <c r="D174" s="2">
        <v>50</v>
      </c>
    </row>
    <row r="175" spans="1:4" x14ac:dyDescent="0.25">
      <c r="A175">
        <v>174</v>
      </c>
      <c r="B175" s="2">
        <v>4</v>
      </c>
      <c r="C175" s="2">
        <v>53</v>
      </c>
      <c r="D175" s="2">
        <v>50</v>
      </c>
    </row>
    <row r="176" spans="1:4" x14ac:dyDescent="0.25">
      <c r="A176">
        <v>175</v>
      </c>
      <c r="B176" s="2">
        <v>4</v>
      </c>
      <c r="C176" s="2">
        <v>54</v>
      </c>
      <c r="D176" s="2">
        <v>50</v>
      </c>
    </row>
    <row r="177" spans="1:4" x14ac:dyDescent="0.25">
      <c r="A177">
        <v>176</v>
      </c>
      <c r="B177" s="2">
        <v>4</v>
      </c>
      <c r="C177" s="2">
        <v>55</v>
      </c>
      <c r="D177" s="2">
        <v>50</v>
      </c>
    </row>
    <row r="178" spans="1:4" x14ac:dyDescent="0.25">
      <c r="A178">
        <v>177</v>
      </c>
      <c r="B178" s="2">
        <v>4</v>
      </c>
      <c r="C178" s="2">
        <v>56</v>
      </c>
      <c r="D178" s="2">
        <v>50</v>
      </c>
    </row>
    <row r="179" spans="1:4" x14ac:dyDescent="0.25">
      <c r="A179">
        <v>178</v>
      </c>
      <c r="B179" s="2">
        <v>4</v>
      </c>
      <c r="C179" s="2">
        <v>57</v>
      </c>
      <c r="D179" s="2">
        <v>50</v>
      </c>
    </row>
    <row r="180" spans="1:4" x14ac:dyDescent="0.25">
      <c r="A180">
        <v>179</v>
      </c>
      <c r="B180" s="2">
        <v>4</v>
      </c>
      <c r="C180" s="2">
        <v>58</v>
      </c>
      <c r="D180" s="2">
        <v>50</v>
      </c>
    </row>
    <row r="181" spans="1:4" x14ac:dyDescent="0.25">
      <c r="A181">
        <v>180</v>
      </c>
      <c r="B181" s="2">
        <v>4</v>
      </c>
      <c r="C181" s="2">
        <v>59</v>
      </c>
      <c r="D181" s="2">
        <v>50</v>
      </c>
    </row>
    <row r="182" spans="1:4" x14ac:dyDescent="0.25">
      <c r="A182">
        <v>181</v>
      </c>
      <c r="B182" s="2">
        <v>4</v>
      </c>
      <c r="C182" s="2">
        <v>48</v>
      </c>
      <c r="D182" s="2">
        <v>51</v>
      </c>
    </row>
    <row r="183" spans="1:4" x14ac:dyDescent="0.25">
      <c r="A183">
        <v>182</v>
      </c>
      <c r="B183" s="2">
        <v>4</v>
      </c>
      <c r="C183" s="2">
        <v>49</v>
      </c>
      <c r="D183" s="2">
        <v>51</v>
      </c>
    </row>
    <row r="184" spans="1:4" x14ac:dyDescent="0.25">
      <c r="A184">
        <v>183</v>
      </c>
      <c r="B184" s="2">
        <v>4</v>
      </c>
      <c r="C184" s="2">
        <v>50</v>
      </c>
      <c r="D184" s="2">
        <v>51</v>
      </c>
    </row>
    <row r="185" spans="1:4" x14ac:dyDescent="0.25">
      <c r="A185">
        <v>184</v>
      </c>
      <c r="B185" s="2">
        <v>4</v>
      </c>
      <c r="C185" s="2">
        <v>51</v>
      </c>
      <c r="D185" s="2">
        <v>51</v>
      </c>
    </row>
    <row r="186" spans="1:4" x14ac:dyDescent="0.25">
      <c r="A186">
        <v>185</v>
      </c>
      <c r="B186" s="2">
        <v>4</v>
      </c>
      <c r="C186" s="2">
        <v>52</v>
      </c>
      <c r="D186" s="2">
        <v>51</v>
      </c>
    </row>
    <row r="187" spans="1:4" x14ac:dyDescent="0.25">
      <c r="A187">
        <v>186</v>
      </c>
      <c r="B187" s="2">
        <v>4</v>
      </c>
      <c r="C187" s="2">
        <v>53</v>
      </c>
      <c r="D187" s="2">
        <v>51</v>
      </c>
    </row>
    <row r="188" spans="1:4" x14ac:dyDescent="0.25">
      <c r="A188">
        <v>187</v>
      </c>
      <c r="B188" s="2">
        <v>4</v>
      </c>
      <c r="C188" s="2">
        <v>54</v>
      </c>
      <c r="D188" s="2">
        <v>51</v>
      </c>
    </row>
    <row r="189" spans="1:4" x14ac:dyDescent="0.25">
      <c r="A189">
        <v>188</v>
      </c>
      <c r="B189" s="2">
        <v>4</v>
      </c>
      <c r="C189" s="2">
        <v>55</v>
      </c>
      <c r="D189" s="2">
        <v>51</v>
      </c>
    </row>
    <row r="190" spans="1:4" x14ac:dyDescent="0.25">
      <c r="A190">
        <v>189</v>
      </c>
      <c r="B190" s="2">
        <v>4</v>
      </c>
      <c r="C190" s="2">
        <v>56</v>
      </c>
      <c r="D190" s="2">
        <v>51</v>
      </c>
    </row>
    <row r="191" spans="1:4" x14ac:dyDescent="0.25">
      <c r="A191">
        <v>190</v>
      </c>
      <c r="B191" s="2">
        <v>4</v>
      </c>
      <c r="C191" s="2">
        <v>57</v>
      </c>
      <c r="D191" s="2">
        <v>51</v>
      </c>
    </row>
    <row r="192" spans="1:4" x14ac:dyDescent="0.25">
      <c r="A192">
        <v>191</v>
      </c>
      <c r="B192" s="2">
        <v>4</v>
      </c>
      <c r="C192" s="2">
        <v>58</v>
      </c>
      <c r="D192" s="2">
        <v>51</v>
      </c>
    </row>
    <row r="193" spans="1:4" x14ac:dyDescent="0.25">
      <c r="A193">
        <v>192</v>
      </c>
      <c r="B193" s="2">
        <v>4</v>
      </c>
      <c r="C193" s="2">
        <v>59</v>
      </c>
      <c r="D193" s="2">
        <v>51</v>
      </c>
    </row>
    <row r="194" spans="1:4" x14ac:dyDescent="0.25">
      <c r="A194">
        <v>193</v>
      </c>
      <c r="B194" s="2">
        <v>4</v>
      </c>
      <c r="C194" s="2">
        <v>48</v>
      </c>
      <c r="D194" s="2">
        <v>52</v>
      </c>
    </row>
    <row r="195" spans="1:4" x14ac:dyDescent="0.25">
      <c r="A195">
        <v>194</v>
      </c>
      <c r="B195" s="2">
        <v>4</v>
      </c>
      <c r="C195" s="2">
        <v>49</v>
      </c>
      <c r="D195" s="2">
        <v>52</v>
      </c>
    </row>
    <row r="196" spans="1:4" x14ac:dyDescent="0.25">
      <c r="A196">
        <v>195</v>
      </c>
      <c r="B196" s="2">
        <v>4</v>
      </c>
      <c r="C196" s="2">
        <v>50</v>
      </c>
      <c r="D196" s="2">
        <v>52</v>
      </c>
    </row>
    <row r="197" spans="1:4" x14ac:dyDescent="0.25">
      <c r="A197">
        <v>196</v>
      </c>
      <c r="B197" s="2">
        <v>4</v>
      </c>
      <c r="C197" s="2">
        <v>51</v>
      </c>
      <c r="D197" s="2">
        <v>52</v>
      </c>
    </row>
    <row r="198" spans="1:4" x14ac:dyDescent="0.25">
      <c r="A198">
        <v>197</v>
      </c>
      <c r="B198" s="2">
        <v>4</v>
      </c>
      <c r="C198" s="2">
        <v>52</v>
      </c>
      <c r="D198" s="2">
        <v>52</v>
      </c>
    </row>
    <row r="199" spans="1:4" x14ac:dyDescent="0.25">
      <c r="A199">
        <v>198</v>
      </c>
      <c r="B199" s="2">
        <v>4</v>
      </c>
      <c r="C199" s="2">
        <v>53</v>
      </c>
      <c r="D199" s="2">
        <v>52</v>
      </c>
    </row>
    <row r="200" spans="1:4" x14ac:dyDescent="0.25">
      <c r="A200">
        <v>199</v>
      </c>
      <c r="B200" s="2">
        <v>4</v>
      </c>
      <c r="C200" s="2">
        <v>54</v>
      </c>
      <c r="D200" s="2">
        <v>52</v>
      </c>
    </row>
    <row r="201" spans="1:4" x14ac:dyDescent="0.25">
      <c r="A201">
        <v>200</v>
      </c>
      <c r="B201" s="2">
        <v>4</v>
      </c>
      <c r="C201" s="2">
        <v>55</v>
      </c>
      <c r="D201" s="2">
        <v>52</v>
      </c>
    </row>
    <row r="202" spans="1:4" x14ac:dyDescent="0.25">
      <c r="A202">
        <v>201</v>
      </c>
      <c r="B202" s="2">
        <v>4</v>
      </c>
      <c r="C202" s="2">
        <v>56</v>
      </c>
      <c r="D202" s="2">
        <v>52</v>
      </c>
    </row>
    <row r="203" spans="1:4" x14ac:dyDescent="0.25">
      <c r="A203">
        <v>202</v>
      </c>
      <c r="B203" s="2">
        <v>4</v>
      </c>
      <c r="C203" s="2">
        <v>57</v>
      </c>
      <c r="D203" s="2">
        <v>52</v>
      </c>
    </row>
    <row r="204" spans="1:4" x14ac:dyDescent="0.25">
      <c r="A204">
        <v>203</v>
      </c>
      <c r="B204" s="2">
        <v>4</v>
      </c>
      <c r="C204" s="2">
        <v>58</v>
      </c>
      <c r="D204" s="2">
        <v>52</v>
      </c>
    </row>
    <row r="205" spans="1:4" x14ac:dyDescent="0.25">
      <c r="A205">
        <v>204</v>
      </c>
      <c r="B205" s="2">
        <v>4</v>
      </c>
      <c r="C205" s="2">
        <v>59</v>
      </c>
      <c r="D205" s="2">
        <v>52</v>
      </c>
    </row>
    <row r="206" spans="1:4" x14ac:dyDescent="0.25">
      <c r="A206">
        <v>205</v>
      </c>
      <c r="B206" s="2">
        <v>4</v>
      </c>
      <c r="C206" s="2">
        <v>48</v>
      </c>
      <c r="D206" s="2">
        <v>53</v>
      </c>
    </row>
    <row r="207" spans="1:4" x14ac:dyDescent="0.25">
      <c r="A207">
        <v>206</v>
      </c>
      <c r="B207" s="2">
        <v>4</v>
      </c>
      <c r="C207" s="2">
        <v>49</v>
      </c>
      <c r="D207" s="2">
        <v>53</v>
      </c>
    </row>
    <row r="208" spans="1:4" x14ac:dyDescent="0.25">
      <c r="A208">
        <v>207</v>
      </c>
      <c r="B208" s="2">
        <v>4</v>
      </c>
      <c r="C208" s="2">
        <v>50</v>
      </c>
      <c r="D208" s="2">
        <v>53</v>
      </c>
    </row>
    <row r="209" spans="1:4" x14ac:dyDescent="0.25">
      <c r="A209">
        <v>208</v>
      </c>
      <c r="B209" s="2">
        <v>4</v>
      </c>
      <c r="C209" s="2">
        <v>51</v>
      </c>
      <c r="D209" s="2">
        <v>53</v>
      </c>
    </row>
    <row r="210" spans="1:4" x14ac:dyDescent="0.25">
      <c r="A210">
        <v>209</v>
      </c>
      <c r="B210" s="2">
        <v>4</v>
      </c>
      <c r="C210" s="2">
        <v>52</v>
      </c>
      <c r="D210" s="2">
        <v>53</v>
      </c>
    </row>
    <row r="211" spans="1:4" x14ac:dyDescent="0.25">
      <c r="A211">
        <v>210</v>
      </c>
      <c r="B211" s="2">
        <v>4</v>
      </c>
      <c r="C211" s="2">
        <v>53</v>
      </c>
      <c r="D211" s="2">
        <v>53</v>
      </c>
    </row>
    <row r="212" spans="1:4" x14ac:dyDescent="0.25">
      <c r="A212">
        <v>211</v>
      </c>
      <c r="B212" s="2">
        <v>4</v>
      </c>
      <c r="C212" s="2">
        <v>54</v>
      </c>
      <c r="D212" s="2">
        <v>53</v>
      </c>
    </row>
    <row r="213" spans="1:4" x14ac:dyDescent="0.25">
      <c r="A213">
        <v>212</v>
      </c>
      <c r="B213" s="2">
        <v>4</v>
      </c>
      <c r="C213" s="2">
        <v>55</v>
      </c>
      <c r="D213" s="2">
        <v>53</v>
      </c>
    </row>
    <row r="214" spans="1:4" x14ac:dyDescent="0.25">
      <c r="A214">
        <v>213</v>
      </c>
      <c r="B214" s="2">
        <v>4</v>
      </c>
      <c r="C214" s="2">
        <v>56</v>
      </c>
      <c r="D214" s="2">
        <v>53</v>
      </c>
    </row>
    <row r="215" spans="1:4" x14ac:dyDescent="0.25">
      <c r="A215">
        <v>214</v>
      </c>
      <c r="B215" s="2">
        <v>4</v>
      </c>
      <c r="C215" s="2">
        <v>57</v>
      </c>
      <c r="D215" s="2">
        <v>53</v>
      </c>
    </row>
    <row r="216" spans="1:4" x14ac:dyDescent="0.25">
      <c r="A216">
        <v>215</v>
      </c>
      <c r="B216" s="2">
        <v>4</v>
      </c>
      <c r="C216" s="2">
        <v>58</v>
      </c>
      <c r="D216" s="2">
        <v>53</v>
      </c>
    </row>
    <row r="217" spans="1:4" x14ac:dyDescent="0.25">
      <c r="A217">
        <v>216</v>
      </c>
      <c r="B217" s="2">
        <v>4</v>
      </c>
      <c r="C217" s="2">
        <v>59</v>
      </c>
      <c r="D217" s="2">
        <v>53</v>
      </c>
    </row>
    <row r="218" spans="1:4" x14ac:dyDescent="0.25">
      <c r="A218">
        <v>217</v>
      </c>
      <c r="B218" s="2">
        <v>51</v>
      </c>
      <c r="C218" s="2">
        <v>0</v>
      </c>
      <c r="D218" s="2">
        <v>60</v>
      </c>
    </row>
    <row r="219" spans="1:4" x14ac:dyDescent="0.25">
      <c r="A219">
        <v>218</v>
      </c>
      <c r="B219" s="2">
        <v>5</v>
      </c>
      <c r="C219" s="2">
        <v>0</v>
      </c>
      <c r="D219" s="2">
        <v>61</v>
      </c>
    </row>
    <row r="220" spans="1:4" x14ac:dyDescent="0.25">
      <c r="A220">
        <v>219</v>
      </c>
      <c r="B220" s="2">
        <v>5</v>
      </c>
      <c r="C220" s="2">
        <v>0</v>
      </c>
      <c r="D220" s="2">
        <v>62</v>
      </c>
    </row>
    <row r="221" spans="1:4" x14ac:dyDescent="0.25">
      <c r="A221">
        <v>220</v>
      </c>
      <c r="B221" s="2">
        <v>5</v>
      </c>
      <c r="C221" s="2">
        <v>0</v>
      </c>
      <c r="D221" s="2">
        <v>63</v>
      </c>
    </row>
    <row r="222" spans="1:4" x14ac:dyDescent="0.25">
      <c r="A222">
        <v>221</v>
      </c>
      <c r="B222" s="2">
        <v>5</v>
      </c>
      <c r="C222" s="2">
        <v>0</v>
      </c>
      <c r="D222" s="2">
        <v>64</v>
      </c>
    </row>
    <row r="223" spans="1:4" x14ac:dyDescent="0.25">
      <c r="A223">
        <v>222</v>
      </c>
      <c r="B223" s="2">
        <v>5</v>
      </c>
      <c r="C223" s="2">
        <v>0</v>
      </c>
      <c r="D223" s="2">
        <v>65</v>
      </c>
    </row>
    <row r="224" spans="1:4" x14ac:dyDescent="0.25">
      <c r="A224">
        <v>223</v>
      </c>
      <c r="B224" s="2">
        <v>51</v>
      </c>
      <c r="C224" s="2">
        <v>1</v>
      </c>
      <c r="D224" s="2">
        <v>60</v>
      </c>
    </row>
    <row r="225" spans="1:4" x14ac:dyDescent="0.25">
      <c r="A225">
        <v>224</v>
      </c>
      <c r="B225" s="2">
        <v>5</v>
      </c>
      <c r="C225" s="2">
        <v>1</v>
      </c>
      <c r="D225" s="2">
        <v>61</v>
      </c>
    </row>
    <row r="226" spans="1:4" x14ac:dyDescent="0.25">
      <c r="A226">
        <v>225</v>
      </c>
      <c r="B226" s="2">
        <v>5</v>
      </c>
      <c r="C226" s="2">
        <v>1</v>
      </c>
      <c r="D226" s="2">
        <v>62</v>
      </c>
    </row>
    <row r="227" spans="1:4" x14ac:dyDescent="0.25">
      <c r="A227">
        <v>226</v>
      </c>
      <c r="B227" s="2">
        <v>5</v>
      </c>
      <c r="C227" s="2">
        <v>1</v>
      </c>
      <c r="D227" s="2">
        <v>63</v>
      </c>
    </row>
    <row r="228" spans="1:4" x14ac:dyDescent="0.25">
      <c r="A228">
        <v>227</v>
      </c>
      <c r="B228" s="2">
        <v>5</v>
      </c>
      <c r="C228" s="2">
        <v>1</v>
      </c>
      <c r="D228" s="2">
        <v>64</v>
      </c>
    </row>
    <row r="229" spans="1:4" x14ac:dyDescent="0.25">
      <c r="A229">
        <v>228</v>
      </c>
      <c r="B229" s="2">
        <v>5</v>
      </c>
      <c r="C229" s="2">
        <v>1</v>
      </c>
      <c r="D229" s="2">
        <v>65</v>
      </c>
    </row>
    <row r="230" spans="1:4" x14ac:dyDescent="0.25">
      <c r="A230">
        <v>229</v>
      </c>
      <c r="B230" s="2">
        <v>51</v>
      </c>
      <c r="C230" s="2">
        <v>2</v>
      </c>
      <c r="D230" s="2">
        <v>60</v>
      </c>
    </row>
    <row r="231" spans="1:4" x14ac:dyDescent="0.25">
      <c r="A231">
        <v>230</v>
      </c>
      <c r="B231" s="2">
        <v>5</v>
      </c>
      <c r="C231" s="2">
        <v>2</v>
      </c>
      <c r="D231" s="2">
        <v>61</v>
      </c>
    </row>
    <row r="232" spans="1:4" x14ac:dyDescent="0.25">
      <c r="A232">
        <v>231</v>
      </c>
      <c r="B232" s="2">
        <v>5</v>
      </c>
      <c r="C232" s="2">
        <v>2</v>
      </c>
      <c r="D232" s="2">
        <v>62</v>
      </c>
    </row>
    <row r="233" spans="1:4" x14ac:dyDescent="0.25">
      <c r="A233">
        <v>232</v>
      </c>
      <c r="B233" s="2">
        <v>5</v>
      </c>
      <c r="C233" s="2">
        <v>2</v>
      </c>
      <c r="D233" s="2">
        <v>63</v>
      </c>
    </row>
    <row r="234" spans="1:4" x14ac:dyDescent="0.25">
      <c r="A234">
        <v>233</v>
      </c>
      <c r="B234" s="2">
        <v>5</v>
      </c>
      <c r="C234" s="2">
        <v>2</v>
      </c>
      <c r="D234" s="2">
        <v>64</v>
      </c>
    </row>
    <row r="235" spans="1:4" x14ac:dyDescent="0.25">
      <c r="A235">
        <v>234</v>
      </c>
      <c r="B235" s="2">
        <v>5</v>
      </c>
      <c r="C235" s="2">
        <v>2</v>
      </c>
      <c r="D235" s="2">
        <v>65</v>
      </c>
    </row>
    <row r="236" spans="1:4" x14ac:dyDescent="0.25">
      <c r="A236">
        <v>235</v>
      </c>
      <c r="B236" s="2">
        <v>51</v>
      </c>
      <c r="C236" s="2">
        <v>3</v>
      </c>
      <c r="D236" s="2">
        <v>60</v>
      </c>
    </row>
    <row r="237" spans="1:4" x14ac:dyDescent="0.25">
      <c r="A237">
        <v>236</v>
      </c>
      <c r="B237" s="2">
        <v>5</v>
      </c>
      <c r="C237" s="2">
        <v>3</v>
      </c>
      <c r="D237" s="2">
        <v>61</v>
      </c>
    </row>
    <row r="238" spans="1:4" x14ac:dyDescent="0.25">
      <c r="A238">
        <v>237</v>
      </c>
      <c r="B238" s="2">
        <v>5</v>
      </c>
      <c r="C238" s="2">
        <v>3</v>
      </c>
      <c r="D238" s="2">
        <v>62</v>
      </c>
    </row>
    <row r="239" spans="1:4" x14ac:dyDescent="0.25">
      <c r="A239">
        <v>238</v>
      </c>
      <c r="B239" s="2">
        <v>5</v>
      </c>
      <c r="C239" s="2">
        <v>3</v>
      </c>
      <c r="D239" s="2">
        <v>63</v>
      </c>
    </row>
    <row r="240" spans="1:4" x14ac:dyDescent="0.25">
      <c r="A240">
        <v>239</v>
      </c>
      <c r="B240" s="2">
        <v>5</v>
      </c>
      <c r="C240" s="2">
        <v>3</v>
      </c>
      <c r="D240" s="2">
        <v>64</v>
      </c>
    </row>
    <row r="241" spans="1:4" x14ac:dyDescent="0.25">
      <c r="A241">
        <v>240</v>
      </c>
      <c r="B241" s="2">
        <v>5</v>
      </c>
      <c r="C241" s="2">
        <v>3</v>
      </c>
      <c r="D241" s="2">
        <v>65</v>
      </c>
    </row>
    <row r="242" spans="1:4" x14ac:dyDescent="0.25">
      <c r="A242">
        <v>241</v>
      </c>
      <c r="B242" s="2">
        <v>51</v>
      </c>
      <c r="C242" s="2">
        <v>4</v>
      </c>
      <c r="D242" s="2">
        <v>60</v>
      </c>
    </row>
    <row r="243" spans="1:4" x14ac:dyDescent="0.25">
      <c r="A243">
        <v>242</v>
      </c>
      <c r="B243" s="2">
        <v>5</v>
      </c>
      <c r="C243" s="2">
        <v>4</v>
      </c>
      <c r="D243" s="2">
        <v>61</v>
      </c>
    </row>
    <row r="244" spans="1:4" x14ac:dyDescent="0.25">
      <c r="A244">
        <v>243</v>
      </c>
      <c r="B244" s="2">
        <v>5</v>
      </c>
      <c r="C244" s="2">
        <v>4</v>
      </c>
      <c r="D244" s="2">
        <v>62</v>
      </c>
    </row>
    <row r="245" spans="1:4" x14ac:dyDescent="0.25">
      <c r="A245">
        <v>244</v>
      </c>
      <c r="B245" s="2">
        <v>5</v>
      </c>
      <c r="C245" s="2">
        <v>4</v>
      </c>
      <c r="D245" s="2">
        <v>63</v>
      </c>
    </row>
    <row r="246" spans="1:4" x14ac:dyDescent="0.25">
      <c r="A246">
        <v>245</v>
      </c>
      <c r="B246" s="2">
        <v>5</v>
      </c>
      <c r="C246" s="2">
        <v>4</v>
      </c>
      <c r="D246" s="2">
        <v>64</v>
      </c>
    </row>
    <row r="247" spans="1:4" x14ac:dyDescent="0.25">
      <c r="A247">
        <v>246</v>
      </c>
      <c r="B247" s="2">
        <v>5</v>
      </c>
      <c r="C247" s="2">
        <v>4</v>
      </c>
      <c r="D247" s="2">
        <v>65</v>
      </c>
    </row>
    <row r="248" spans="1:4" x14ac:dyDescent="0.25">
      <c r="A248">
        <v>247</v>
      </c>
      <c r="B248" s="2">
        <v>51</v>
      </c>
      <c r="C248" s="2">
        <v>5</v>
      </c>
      <c r="D248" s="2">
        <v>60</v>
      </c>
    </row>
    <row r="249" spans="1:4" x14ac:dyDescent="0.25">
      <c r="A249">
        <v>248</v>
      </c>
      <c r="B249" s="2">
        <v>5</v>
      </c>
      <c r="C249" s="2">
        <v>5</v>
      </c>
      <c r="D249" s="2">
        <v>61</v>
      </c>
    </row>
    <row r="250" spans="1:4" x14ac:dyDescent="0.25">
      <c r="A250">
        <v>249</v>
      </c>
      <c r="B250" s="2">
        <v>5</v>
      </c>
      <c r="C250" s="2">
        <v>5</v>
      </c>
      <c r="D250" s="2">
        <v>62</v>
      </c>
    </row>
    <row r="251" spans="1:4" x14ac:dyDescent="0.25">
      <c r="A251">
        <v>250</v>
      </c>
      <c r="B251" s="2">
        <v>5</v>
      </c>
      <c r="C251" s="2">
        <v>5</v>
      </c>
      <c r="D251" s="2">
        <v>63</v>
      </c>
    </row>
    <row r="252" spans="1:4" x14ac:dyDescent="0.25">
      <c r="A252">
        <v>251</v>
      </c>
      <c r="B252" s="2">
        <v>5</v>
      </c>
      <c r="C252" s="2">
        <v>5</v>
      </c>
      <c r="D252" s="2">
        <v>64</v>
      </c>
    </row>
    <row r="253" spans="1:4" x14ac:dyDescent="0.25">
      <c r="A253">
        <v>252</v>
      </c>
      <c r="B253" s="2">
        <v>5</v>
      </c>
      <c r="C253" s="2">
        <v>5</v>
      </c>
      <c r="D253" s="2">
        <v>65</v>
      </c>
    </row>
    <row r="254" spans="1:4" x14ac:dyDescent="0.25">
      <c r="A254">
        <v>253</v>
      </c>
      <c r="B254" s="2">
        <v>51</v>
      </c>
      <c r="C254" s="2">
        <v>6</v>
      </c>
      <c r="D254" s="2">
        <v>60</v>
      </c>
    </row>
    <row r="255" spans="1:4" x14ac:dyDescent="0.25">
      <c r="A255">
        <v>254</v>
      </c>
      <c r="B255" s="2">
        <v>5</v>
      </c>
      <c r="C255" s="2">
        <v>6</v>
      </c>
      <c r="D255" s="2">
        <v>61</v>
      </c>
    </row>
    <row r="256" spans="1:4" x14ac:dyDescent="0.25">
      <c r="A256">
        <v>255</v>
      </c>
      <c r="B256" s="2">
        <v>5</v>
      </c>
      <c r="C256" s="2">
        <v>6</v>
      </c>
      <c r="D256" s="2">
        <v>62</v>
      </c>
    </row>
    <row r="257" spans="1:4" x14ac:dyDescent="0.25">
      <c r="A257">
        <v>256</v>
      </c>
      <c r="B257" s="2">
        <v>5</v>
      </c>
      <c r="C257" s="2">
        <v>6</v>
      </c>
      <c r="D257" s="2">
        <v>63</v>
      </c>
    </row>
    <row r="258" spans="1:4" x14ac:dyDescent="0.25">
      <c r="A258">
        <v>257</v>
      </c>
      <c r="B258" s="2">
        <v>5</v>
      </c>
      <c r="C258" s="2">
        <v>6</v>
      </c>
      <c r="D258" s="2">
        <v>64</v>
      </c>
    </row>
    <row r="259" spans="1:4" x14ac:dyDescent="0.25">
      <c r="A259">
        <v>258</v>
      </c>
      <c r="B259" s="2">
        <v>5</v>
      </c>
      <c r="C259" s="2">
        <v>6</v>
      </c>
      <c r="D259" s="2">
        <v>65</v>
      </c>
    </row>
    <row r="260" spans="1:4" x14ac:dyDescent="0.25">
      <c r="A260">
        <v>259</v>
      </c>
      <c r="B260" s="2">
        <v>51</v>
      </c>
      <c r="C260" s="2">
        <v>7</v>
      </c>
      <c r="D260" s="2">
        <v>60</v>
      </c>
    </row>
    <row r="261" spans="1:4" x14ac:dyDescent="0.25">
      <c r="A261">
        <v>260</v>
      </c>
      <c r="B261" s="2">
        <v>5</v>
      </c>
      <c r="C261" s="2">
        <v>7</v>
      </c>
      <c r="D261" s="2">
        <v>61</v>
      </c>
    </row>
    <row r="262" spans="1:4" x14ac:dyDescent="0.25">
      <c r="A262">
        <v>261</v>
      </c>
      <c r="B262" s="2">
        <v>5</v>
      </c>
      <c r="C262" s="2">
        <v>7</v>
      </c>
      <c r="D262" s="2">
        <v>62</v>
      </c>
    </row>
    <row r="263" spans="1:4" x14ac:dyDescent="0.25">
      <c r="A263">
        <v>262</v>
      </c>
      <c r="B263" s="2">
        <v>5</v>
      </c>
      <c r="C263" s="2">
        <v>7</v>
      </c>
      <c r="D263" s="2">
        <v>63</v>
      </c>
    </row>
    <row r="264" spans="1:4" x14ac:dyDescent="0.25">
      <c r="A264">
        <v>263</v>
      </c>
      <c r="B264" s="2">
        <v>5</v>
      </c>
      <c r="C264" s="2">
        <v>7</v>
      </c>
      <c r="D264" s="2">
        <v>64</v>
      </c>
    </row>
    <row r="265" spans="1:4" x14ac:dyDescent="0.25">
      <c r="A265">
        <v>264</v>
      </c>
      <c r="B265" s="2">
        <v>5</v>
      </c>
      <c r="C265" s="2">
        <v>7</v>
      </c>
      <c r="D265" s="2">
        <v>65</v>
      </c>
    </row>
    <row r="266" spans="1:4" x14ac:dyDescent="0.25">
      <c r="A266">
        <v>265</v>
      </c>
      <c r="B266" s="2">
        <v>51</v>
      </c>
      <c r="C266" s="2">
        <v>8</v>
      </c>
      <c r="D266" s="2">
        <v>60</v>
      </c>
    </row>
    <row r="267" spans="1:4" x14ac:dyDescent="0.25">
      <c r="A267">
        <v>266</v>
      </c>
      <c r="B267" s="2">
        <v>5</v>
      </c>
      <c r="C267" s="2">
        <v>8</v>
      </c>
      <c r="D267" s="2">
        <v>61</v>
      </c>
    </row>
    <row r="268" spans="1:4" x14ac:dyDescent="0.25">
      <c r="A268">
        <v>267</v>
      </c>
      <c r="B268" s="2">
        <v>5</v>
      </c>
      <c r="C268" s="2">
        <v>8</v>
      </c>
      <c r="D268" s="2">
        <v>62</v>
      </c>
    </row>
    <row r="269" spans="1:4" x14ac:dyDescent="0.25">
      <c r="A269">
        <v>268</v>
      </c>
      <c r="B269" s="2">
        <v>5</v>
      </c>
      <c r="C269" s="2">
        <v>8</v>
      </c>
      <c r="D269" s="2">
        <v>63</v>
      </c>
    </row>
    <row r="270" spans="1:4" x14ac:dyDescent="0.25">
      <c r="A270">
        <v>269</v>
      </c>
      <c r="B270" s="2">
        <v>5</v>
      </c>
      <c r="C270" s="2">
        <v>8</v>
      </c>
      <c r="D270" s="2">
        <v>64</v>
      </c>
    </row>
    <row r="271" spans="1:4" x14ac:dyDescent="0.25">
      <c r="A271">
        <v>270</v>
      </c>
      <c r="B271" s="2">
        <v>5</v>
      </c>
      <c r="C271" s="2">
        <v>8</v>
      </c>
      <c r="D271" s="2">
        <v>65</v>
      </c>
    </row>
    <row r="272" spans="1:4" x14ac:dyDescent="0.25">
      <c r="A272">
        <v>271</v>
      </c>
      <c r="B272" s="2">
        <v>51</v>
      </c>
      <c r="C272" s="2">
        <v>9</v>
      </c>
      <c r="D272" s="2">
        <v>60</v>
      </c>
    </row>
    <row r="273" spans="1:4" x14ac:dyDescent="0.25">
      <c r="A273">
        <v>272</v>
      </c>
      <c r="B273" s="2">
        <v>5</v>
      </c>
      <c r="C273" s="2">
        <v>9</v>
      </c>
      <c r="D273" s="2">
        <v>61</v>
      </c>
    </row>
    <row r="274" spans="1:4" x14ac:dyDescent="0.25">
      <c r="A274">
        <v>273</v>
      </c>
      <c r="B274" s="2">
        <v>5</v>
      </c>
      <c r="C274" s="2">
        <v>9</v>
      </c>
      <c r="D274" s="2">
        <v>62</v>
      </c>
    </row>
    <row r="275" spans="1:4" x14ac:dyDescent="0.25">
      <c r="A275">
        <v>274</v>
      </c>
      <c r="B275" s="2">
        <v>5</v>
      </c>
      <c r="C275" s="2">
        <v>9</v>
      </c>
      <c r="D275" s="2">
        <v>63</v>
      </c>
    </row>
    <row r="276" spans="1:4" x14ac:dyDescent="0.25">
      <c r="A276">
        <v>275</v>
      </c>
      <c r="B276" s="2">
        <v>5</v>
      </c>
      <c r="C276" s="2">
        <v>9</v>
      </c>
      <c r="D276" s="2">
        <v>64</v>
      </c>
    </row>
    <row r="277" spans="1:4" x14ac:dyDescent="0.25">
      <c r="A277">
        <v>276</v>
      </c>
      <c r="B277" s="2">
        <v>5</v>
      </c>
      <c r="C277" s="2">
        <v>9</v>
      </c>
      <c r="D277" s="2">
        <v>65</v>
      </c>
    </row>
    <row r="278" spans="1:4" x14ac:dyDescent="0.25">
      <c r="A278">
        <v>277</v>
      </c>
      <c r="B278" s="2">
        <v>51</v>
      </c>
      <c r="C278" s="2">
        <v>10</v>
      </c>
      <c r="D278" s="2">
        <v>60</v>
      </c>
    </row>
    <row r="279" spans="1:4" x14ac:dyDescent="0.25">
      <c r="A279">
        <v>278</v>
      </c>
      <c r="B279" s="2">
        <v>5</v>
      </c>
      <c r="C279" s="2">
        <v>10</v>
      </c>
      <c r="D279" s="2">
        <v>61</v>
      </c>
    </row>
    <row r="280" spans="1:4" x14ac:dyDescent="0.25">
      <c r="A280">
        <v>279</v>
      </c>
      <c r="B280" s="2">
        <v>5</v>
      </c>
      <c r="C280" s="2">
        <v>10</v>
      </c>
      <c r="D280" s="2">
        <v>62</v>
      </c>
    </row>
    <row r="281" spans="1:4" x14ac:dyDescent="0.25">
      <c r="A281">
        <v>280</v>
      </c>
      <c r="B281" s="2">
        <v>5</v>
      </c>
      <c r="C281" s="2">
        <v>10</v>
      </c>
      <c r="D281" s="2">
        <v>63</v>
      </c>
    </row>
    <row r="282" spans="1:4" x14ac:dyDescent="0.25">
      <c r="A282">
        <v>281</v>
      </c>
      <c r="B282" s="2">
        <v>5</v>
      </c>
      <c r="C282" s="2">
        <v>10</v>
      </c>
      <c r="D282" s="2">
        <v>64</v>
      </c>
    </row>
    <row r="283" spans="1:4" x14ac:dyDescent="0.25">
      <c r="A283">
        <v>282</v>
      </c>
      <c r="B283" s="2">
        <v>5</v>
      </c>
      <c r="C283" s="2">
        <v>10</v>
      </c>
      <c r="D283" s="2">
        <v>65</v>
      </c>
    </row>
    <row r="284" spans="1:4" x14ac:dyDescent="0.25">
      <c r="A284">
        <v>283</v>
      </c>
      <c r="B284" s="2">
        <v>64</v>
      </c>
      <c r="C284" s="2">
        <v>11</v>
      </c>
      <c r="D284" s="2">
        <v>60</v>
      </c>
    </row>
    <row r="285" spans="1:4" x14ac:dyDescent="0.25">
      <c r="A285">
        <v>284</v>
      </c>
      <c r="B285" s="2">
        <v>62</v>
      </c>
      <c r="C285" s="2">
        <v>11</v>
      </c>
      <c r="D285" s="2">
        <v>61</v>
      </c>
    </row>
    <row r="286" spans="1:4" x14ac:dyDescent="0.25">
      <c r="A286">
        <v>285</v>
      </c>
      <c r="B286" s="2">
        <v>63</v>
      </c>
      <c r="C286" s="2">
        <v>11</v>
      </c>
      <c r="D286" s="2">
        <v>62</v>
      </c>
    </row>
    <row r="287" spans="1:4" x14ac:dyDescent="0.25">
      <c r="A287">
        <v>286</v>
      </c>
      <c r="B287" s="2">
        <v>62</v>
      </c>
      <c r="C287" s="2">
        <v>11</v>
      </c>
      <c r="D287" s="2">
        <v>63</v>
      </c>
    </row>
    <row r="288" spans="1:4" x14ac:dyDescent="0.25">
      <c r="A288">
        <v>287</v>
      </c>
      <c r="B288" s="2">
        <v>63</v>
      </c>
      <c r="C288" s="2">
        <v>11</v>
      </c>
      <c r="D288" s="2">
        <v>64</v>
      </c>
    </row>
    <row r="289" spans="1:4" x14ac:dyDescent="0.25">
      <c r="A289">
        <v>288</v>
      </c>
      <c r="B289" s="2">
        <v>61</v>
      </c>
      <c r="C289" s="2">
        <v>11</v>
      </c>
      <c r="D289" s="2">
        <v>65</v>
      </c>
    </row>
    <row r="290" spans="1:4" x14ac:dyDescent="0.25">
      <c r="A290">
        <v>289</v>
      </c>
      <c r="B290" s="2">
        <v>66</v>
      </c>
      <c r="C290" s="2">
        <v>12</v>
      </c>
      <c r="D290" s="2">
        <v>60</v>
      </c>
    </row>
    <row r="291" spans="1:4" x14ac:dyDescent="0.25">
      <c r="A291">
        <v>290</v>
      </c>
      <c r="B291" s="2">
        <v>68</v>
      </c>
      <c r="C291" s="2">
        <v>12</v>
      </c>
      <c r="D291" s="2">
        <v>61</v>
      </c>
    </row>
    <row r="292" spans="1:4" x14ac:dyDescent="0.25">
      <c r="A292">
        <v>291</v>
      </c>
      <c r="B292" s="2">
        <v>6</v>
      </c>
      <c r="C292" s="2">
        <v>12</v>
      </c>
      <c r="D292" s="2">
        <v>62</v>
      </c>
    </row>
    <row r="293" spans="1:4" x14ac:dyDescent="0.25">
      <c r="A293">
        <v>292</v>
      </c>
      <c r="B293" s="2">
        <v>6</v>
      </c>
      <c r="C293" s="2">
        <v>12</v>
      </c>
      <c r="D293" s="2">
        <v>63</v>
      </c>
    </row>
    <row r="294" spans="1:4" x14ac:dyDescent="0.25">
      <c r="A294">
        <v>293</v>
      </c>
      <c r="B294" s="2">
        <v>6</v>
      </c>
      <c r="C294" s="2">
        <v>12</v>
      </c>
      <c r="D294" s="2">
        <v>64</v>
      </c>
    </row>
    <row r="295" spans="1:4" x14ac:dyDescent="0.25">
      <c r="A295">
        <v>294</v>
      </c>
      <c r="B295" s="2">
        <v>65</v>
      </c>
      <c r="C295" s="2">
        <v>12</v>
      </c>
      <c r="D295" s="2">
        <v>65</v>
      </c>
    </row>
    <row r="296" spans="1:4" x14ac:dyDescent="0.25">
      <c r="A296">
        <v>295</v>
      </c>
      <c r="B296" s="2">
        <v>67</v>
      </c>
      <c r="C296" s="2">
        <v>13</v>
      </c>
      <c r="D296" s="2">
        <v>60</v>
      </c>
    </row>
    <row r="297" spans="1:4" x14ac:dyDescent="0.25">
      <c r="A297">
        <v>296</v>
      </c>
      <c r="B297" s="2">
        <v>6</v>
      </c>
      <c r="C297" s="2">
        <v>13</v>
      </c>
      <c r="D297" s="2">
        <v>61</v>
      </c>
    </row>
    <row r="298" spans="1:4" x14ac:dyDescent="0.25">
      <c r="A298">
        <v>297</v>
      </c>
      <c r="B298" s="2">
        <v>6</v>
      </c>
      <c r="C298" s="2">
        <v>13</v>
      </c>
      <c r="D298" s="2">
        <v>62</v>
      </c>
    </row>
    <row r="299" spans="1:4" x14ac:dyDescent="0.25">
      <c r="A299">
        <v>298</v>
      </c>
      <c r="B299" s="2">
        <v>68</v>
      </c>
      <c r="C299" s="2">
        <v>13</v>
      </c>
      <c r="D299" s="2">
        <v>63</v>
      </c>
    </row>
    <row r="300" spans="1:4" x14ac:dyDescent="0.25">
      <c r="A300">
        <v>299</v>
      </c>
      <c r="B300" s="2">
        <v>6</v>
      </c>
      <c r="C300" s="2">
        <v>13</v>
      </c>
      <c r="D300" s="2">
        <v>64</v>
      </c>
    </row>
    <row r="301" spans="1:4" x14ac:dyDescent="0.25">
      <c r="A301">
        <v>300</v>
      </c>
      <c r="B301" s="2">
        <v>65</v>
      </c>
      <c r="C301" s="2">
        <v>13</v>
      </c>
      <c r="D301" s="2">
        <v>65</v>
      </c>
    </row>
    <row r="302" spans="1:4" x14ac:dyDescent="0.25">
      <c r="A302">
        <v>301</v>
      </c>
      <c r="B302" s="2">
        <v>66</v>
      </c>
      <c r="C302" s="2">
        <v>14</v>
      </c>
      <c r="D302" s="2">
        <v>60</v>
      </c>
    </row>
    <row r="303" spans="1:4" x14ac:dyDescent="0.25">
      <c r="A303">
        <v>302</v>
      </c>
      <c r="B303" s="2">
        <v>6</v>
      </c>
      <c r="C303" s="2">
        <v>14</v>
      </c>
      <c r="D303" s="2">
        <v>61</v>
      </c>
    </row>
    <row r="304" spans="1:4" x14ac:dyDescent="0.25">
      <c r="A304">
        <v>303</v>
      </c>
      <c r="B304" s="2">
        <v>68</v>
      </c>
      <c r="C304" s="2">
        <v>14</v>
      </c>
      <c r="D304" s="2">
        <v>62</v>
      </c>
    </row>
    <row r="305" spans="1:4" x14ac:dyDescent="0.25">
      <c r="A305">
        <v>304</v>
      </c>
      <c r="B305" s="2">
        <v>6</v>
      </c>
      <c r="C305" s="2">
        <v>14</v>
      </c>
      <c r="D305" s="2">
        <v>63</v>
      </c>
    </row>
    <row r="306" spans="1:4" x14ac:dyDescent="0.25">
      <c r="A306">
        <v>305</v>
      </c>
      <c r="B306" s="2">
        <v>6</v>
      </c>
      <c r="C306" s="2">
        <v>14</v>
      </c>
      <c r="D306" s="2">
        <v>64</v>
      </c>
    </row>
    <row r="307" spans="1:4" x14ac:dyDescent="0.25">
      <c r="A307">
        <v>306</v>
      </c>
      <c r="B307" s="2">
        <v>65</v>
      </c>
      <c r="C307" s="2">
        <v>14</v>
      </c>
      <c r="D307" s="2">
        <v>65</v>
      </c>
    </row>
    <row r="308" spans="1:4" x14ac:dyDescent="0.25">
      <c r="A308">
        <v>307</v>
      </c>
      <c r="B308" s="2">
        <v>67</v>
      </c>
      <c r="C308" s="2">
        <v>15</v>
      </c>
      <c r="D308" s="2">
        <v>60</v>
      </c>
    </row>
    <row r="309" spans="1:4" x14ac:dyDescent="0.25">
      <c r="A309">
        <v>308</v>
      </c>
      <c r="B309" s="2">
        <v>6</v>
      </c>
      <c r="C309" s="2">
        <v>15</v>
      </c>
      <c r="D309" s="2">
        <v>61</v>
      </c>
    </row>
    <row r="310" spans="1:4" x14ac:dyDescent="0.25">
      <c r="A310">
        <v>309</v>
      </c>
      <c r="B310" s="2">
        <v>6</v>
      </c>
      <c r="C310" s="2">
        <v>15</v>
      </c>
      <c r="D310" s="2">
        <v>62</v>
      </c>
    </row>
    <row r="311" spans="1:4" x14ac:dyDescent="0.25">
      <c r="A311">
        <v>310</v>
      </c>
      <c r="B311" s="2">
        <v>6</v>
      </c>
      <c r="C311" s="2">
        <v>15</v>
      </c>
      <c r="D311" s="2">
        <v>63</v>
      </c>
    </row>
    <row r="312" spans="1:4" x14ac:dyDescent="0.25">
      <c r="A312">
        <v>311</v>
      </c>
      <c r="B312" s="2">
        <v>68</v>
      </c>
      <c r="C312" s="2">
        <v>15</v>
      </c>
      <c r="D312" s="2">
        <v>64</v>
      </c>
    </row>
    <row r="313" spans="1:4" x14ac:dyDescent="0.25">
      <c r="A313">
        <v>312</v>
      </c>
      <c r="B313" s="2">
        <v>65</v>
      </c>
      <c r="C313" s="2">
        <v>15</v>
      </c>
      <c r="D313" s="2">
        <v>65</v>
      </c>
    </row>
    <row r="314" spans="1:4" x14ac:dyDescent="0.25">
      <c r="A314">
        <v>313</v>
      </c>
      <c r="B314" s="2">
        <v>66</v>
      </c>
      <c r="C314" s="2">
        <v>16</v>
      </c>
      <c r="D314" s="2">
        <v>60</v>
      </c>
    </row>
    <row r="315" spans="1:4" x14ac:dyDescent="0.25">
      <c r="A315">
        <v>314</v>
      </c>
      <c r="B315" s="2">
        <v>68</v>
      </c>
      <c r="C315" s="2">
        <v>16</v>
      </c>
      <c r="D315" s="2">
        <v>61</v>
      </c>
    </row>
    <row r="316" spans="1:4" x14ac:dyDescent="0.25">
      <c r="A316">
        <v>315</v>
      </c>
      <c r="B316" s="2">
        <v>6</v>
      </c>
      <c r="C316" s="2">
        <v>16</v>
      </c>
      <c r="D316" s="2">
        <v>62</v>
      </c>
    </row>
    <row r="317" spans="1:4" x14ac:dyDescent="0.25">
      <c r="A317">
        <v>316</v>
      </c>
      <c r="B317" s="2">
        <v>6</v>
      </c>
      <c r="C317" s="2">
        <v>16</v>
      </c>
      <c r="D317" s="2">
        <v>63</v>
      </c>
    </row>
    <row r="318" spans="1:4" x14ac:dyDescent="0.25">
      <c r="A318">
        <v>317</v>
      </c>
      <c r="B318" s="2">
        <v>6</v>
      </c>
      <c r="C318" s="2">
        <v>16</v>
      </c>
      <c r="D318" s="2">
        <v>64</v>
      </c>
    </row>
    <row r="319" spans="1:4" x14ac:dyDescent="0.25">
      <c r="A319">
        <v>318</v>
      </c>
      <c r="B319" s="2">
        <v>65</v>
      </c>
      <c r="C319" s="2">
        <v>16</v>
      </c>
      <c r="D319" s="2">
        <v>65</v>
      </c>
    </row>
    <row r="320" spans="1:4" x14ac:dyDescent="0.25">
      <c r="A320">
        <v>319</v>
      </c>
      <c r="B320" s="2">
        <v>67</v>
      </c>
      <c r="C320" s="2">
        <v>17</v>
      </c>
      <c r="D320" s="2">
        <v>60</v>
      </c>
    </row>
    <row r="321" spans="1:4" x14ac:dyDescent="0.25">
      <c r="A321">
        <v>320</v>
      </c>
      <c r="B321" s="2">
        <v>6</v>
      </c>
      <c r="C321" s="2">
        <v>17</v>
      </c>
      <c r="D321" s="2">
        <v>61</v>
      </c>
    </row>
    <row r="322" spans="1:4" x14ac:dyDescent="0.25">
      <c r="A322">
        <v>321</v>
      </c>
      <c r="B322" s="2">
        <v>68</v>
      </c>
      <c r="C322" s="2">
        <v>17</v>
      </c>
      <c r="D322" s="2">
        <v>62</v>
      </c>
    </row>
    <row r="323" spans="1:4" x14ac:dyDescent="0.25">
      <c r="A323">
        <v>322</v>
      </c>
      <c r="B323" s="2">
        <v>6</v>
      </c>
      <c r="C323" s="2">
        <v>17</v>
      </c>
      <c r="D323" s="2">
        <v>63</v>
      </c>
    </row>
    <row r="324" spans="1:4" x14ac:dyDescent="0.25">
      <c r="A324">
        <v>323</v>
      </c>
      <c r="B324" s="2">
        <v>6</v>
      </c>
      <c r="C324" s="2">
        <v>17</v>
      </c>
      <c r="D324" s="2">
        <v>64</v>
      </c>
    </row>
    <row r="325" spans="1:4" x14ac:dyDescent="0.25">
      <c r="A325">
        <v>324</v>
      </c>
      <c r="B325" s="2">
        <v>65</v>
      </c>
      <c r="C325" s="2">
        <v>17</v>
      </c>
      <c r="D325" s="2">
        <v>65</v>
      </c>
    </row>
    <row r="326" spans="1:4" x14ac:dyDescent="0.25">
      <c r="A326">
        <v>325</v>
      </c>
      <c r="B326" s="2">
        <v>66</v>
      </c>
      <c r="C326" s="2">
        <v>18</v>
      </c>
      <c r="D326" s="2">
        <v>60</v>
      </c>
    </row>
    <row r="327" spans="1:4" x14ac:dyDescent="0.25">
      <c r="A327">
        <v>326</v>
      </c>
      <c r="B327" s="2">
        <v>68</v>
      </c>
      <c r="C327" s="2">
        <v>18</v>
      </c>
      <c r="D327" s="2">
        <v>61</v>
      </c>
    </row>
    <row r="328" spans="1:4" x14ac:dyDescent="0.25">
      <c r="A328">
        <v>327</v>
      </c>
      <c r="B328" s="2">
        <v>6</v>
      </c>
      <c r="C328" s="2">
        <v>18</v>
      </c>
      <c r="D328" s="2">
        <v>62</v>
      </c>
    </row>
    <row r="329" spans="1:4" x14ac:dyDescent="0.25">
      <c r="A329">
        <v>328</v>
      </c>
      <c r="B329" s="2">
        <v>6</v>
      </c>
      <c r="C329" s="2">
        <v>18</v>
      </c>
      <c r="D329" s="2">
        <v>63</v>
      </c>
    </row>
    <row r="330" spans="1:4" x14ac:dyDescent="0.25">
      <c r="A330">
        <v>329</v>
      </c>
      <c r="B330" s="2">
        <v>68</v>
      </c>
      <c r="C330" s="2">
        <v>18</v>
      </c>
      <c r="D330" s="2">
        <v>64</v>
      </c>
    </row>
    <row r="331" spans="1:4" x14ac:dyDescent="0.25">
      <c r="A331">
        <v>330</v>
      </c>
      <c r="B331" s="2">
        <v>65</v>
      </c>
      <c r="C331" s="2">
        <v>18</v>
      </c>
      <c r="D331" s="2">
        <v>65</v>
      </c>
    </row>
    <row r="332" spans="1:4" x14ac:dyDescent="0.25">
      <c r="A332">
        <v>331</v>
      </c>
      <c r="B332" s="2">
        <v>67</v>
      </c>
      <c r="C332" s="2">
        <v>19</v>
      </c>
      <c r="D332" s="2">
        <v>60</v>
      </c>
    </row>
    <row r="333" spans="1:4" x14ac:dyDescent="0.25">
      <c r="A333">
        <v>332</v>
      </c>
      <c r="B333" s="2">
        <v>6</v>
      </c>
      <c r="C333" s="2">
        <v>19</v>
      </c>
      <c r="D333" s="2">
        <v>61</v>
      </c>
    </row>
    <row r="334" spans="1:4" x14ac:dyDescent="0.25">
      <c r="A334">
        <v>333</v>
      </c>
      <c r="B334" s="2">
        <v>68</v>
      </c>
      <c r="C334" s="2">
        <v>19</v>
      </c>
      <c r="D334" s="2">
        <v>62</v>
      </c>
    </row>
    <row r="335" spans="1:4" x14ac:dyDescent="0.25">
      <c r="A335">
        <v>334</v>
      </c>
      <c r="B335" s="2">
        <v>6</v>
      </c>
      <c r="C335" s="2">
        <v>19</v>
      </c>
      <c r="D335" s="2">
        <v>63</v>
      </c>
    </row>
    <row r="336" spans="1:4" x14ac:dyDescent="0.25">
      <c r="A336">
        <v>335</v>
      </c>
      <c r="B336" s="2">
        <v>6</v>
      </c>
      <c r="C336" s="2">
        <v>19</v>
      </c>
      <c r="D336" s="2">
        <v>64</v>
      </c>
    </row>
    <row r="337" spans="1:4" x14ac:dyDescent="0.25">
      <c r="A337">
        <v>336</v>
      </c>
      <c r="B337" s="2">
        <v>65</v>
      </c>
      <c r="C337" s="2">
        <v>19</v>
      </c>
      <c r="D337" s="2">
        <v>65</v>
      </c>
    </row>
    <row r="338" spans="1:4" x14ac:dyDescent="0.25">
      <c r="A338">
        <v>337</v>
      </c>
      <c r="B338" s="2">
        <v>66</v>
      </c>
      <c r="C338" s="2">
        <v>20</v>
      </c>
      <c r="D338" s="2">
        <v>60</v>
      </c>
    </row>
    <row r="339" spans="1:4" x14ac:dyDescent="0.25">
      <c r="A339">
        <v>338</v>
      </c>
      <c r="B339" s="2">
        <v>6</v>
      </c>
      <c r="C339" s="2">
        <v>20</v>
      </c>
      <c r="D339" s="2">
        <v>61</v>
      </c>
    </row>
    <row r="340" spans="1:4" x14ac:dyDescent="0.25">
      <c r="A340">
        <v>339</v>
      </c>
      <c r="B340" s="2">
        <v>6</v>
      </c>
      <c r="C340" s="2">
        <v>20</v>
      </c>
      <c r="D340" s="2">
        <v>62</v>
      </c>
    </row>
    <row r="341" spans="1:4" x14ac:dyDescent="0.25">
      <c r="A341">
        <v>340</v>
      </c>
      <c r="B341" s="2">
        <v>6</v>
      </c>
      <c r="C341" s="2">
        <v>20</v>
      </c>
      <c r="D341" s="2">
        <v>63</v>
      </c>
    </row>
    <row r="342" spans="1:4" x14ac:dyDescent="0.25">
      <c r="A342">
        <v>341</v>
      </c>
      <c r="B342" s="2">
        <v>68</v>
      </c>
      <c r="C342" s="2">
        <v>20</v>
      </c>
      <c r="D342" s="2">
        <v>64</v>
      </c>
    </row>
    <row r="343" spans="1:4" x14ac:dyDescent="0.25">
      <c r="A343">
        <v>342</v>
      </c>
      <c r="B343" s="2">
        <v>65</v>
      </c>
      <c r="C343" s="2">
        <v>20</v>
      </c>
      <c r="D343" s="2">
        <v>65</v>
      </c>
    </row>
    <row r="344" spans="1:4" x14ac:dyDescent="0.25">
      <c r="A344">
        <v>343</v>
      </c>
      <c r="B344" s="2">
        <v>67</v>
      </c>
      <c r="C344" s="2">
        <v>21</v>
      </c>
      <c r="D344" s="2">
        <v>60</v>
      </c>
    </row>
    <row r="345" spans="1:4" x14ac:dyDescent="0.25">
      <c r="A345">
        <v>344</v>
      </c>
      <c r="B345" s="2">
        <v>6</v>
      </c>
      <c r="C345" s="2">
        <v>21</v>
      </c>
      <c r="D345" s="2">
        <v>61</v>
      </c>
    </row>
    <row r="346" spans="1:4" x14ac:dyDescent="0.25">
      <c r="A346">
        <v>345</v>
      </c>
      <c r="B346" s="2">
        <v>6</v>
      </c>
      <c r="C346" s="2">
        <v>21</v>
      </c>
      <c r="D346" s="2">
        <v>62</v>
      </c>
    </row>
    <row r="347" spans="1:4" x14ac:dyDescent="0.25">
      <c r="A347">
        <v>346</v>
      </c>
      <c r="B347" s="2">
        <v>68</v>
      </c>
      <c r="C347" s="2">
        <v>21</v>
      </c>
      <c r="D347" s="2">
        <v>63</v>
      </c>
    </row>
    <row r="348" spans="1:4" x14ac:dyDescent="0.25">
      <c r="A348">
        <v>347</v>
      </c>
      <c r="B348" s="2">
        <v>6</v>
      </c>
      <c r="C348" s="2">
        <v>21</v>
      </c>
      <c r="D348" s="2">
        <v>64</v>
      </c>
    </row>
    <row r="349" spans="1:4" x14ac:dyDescent="0.25">
      <c r="A349">
        <v>348</v>
      </c>
      <c r="B349" s="2">
        <v>65</v>
      </c>
      <c r="C349" s="2">
        <v>21</v>
      </c>
      <c r="D349" s="2">
        <v>65</v>
      </c>
    </row>
    <row r="350" spans="1:4" x14ac:dyDescent="0.25">
      <c r="A350">
        <v>349</v>
      </c>
      <c r="B350" s="2">
        <v>67</v>
      </c>
      <c r="C350" s="2">
        <v>22</v>
      </c>
      <c r="D350" s="2">
        <v>60</v>
      </c>
    </row>
    <row r="351" spans="1:4" x14ac:dyDescent="0.25">
      <c r="A351">
        <v>350</v>
      </c>
      <c r="B351" s="2">
        <v>6</v>
      </c>
      <c r="C351" s="2">
        <v>22</v>
      </c>
      <c r="D351" s="2">
        <v>61</v>
      </c>
    </row>
    <row r="352" spans="1:4" x14ac:dyDescent="0.25">
      <c r="A352">
        <v>351</v>
      </c>
      <c r="B352" s="2">
        <v>68</v>
      </c>
      <c r="C352" s="2">
        <v>22</v>
      </c>
      <c r="D352" s="2">
        <v>62</v>
      </c>
    </row>
    <row r="353" spans="1:4" x14ac:dyDescent="0.25">
      <c r="A353">
        <v>352</v>
      </c>
      <c r="B353" s="2">
        <v>6</v>
      </c>
      <c r="C353" s="2">
        <v>22</v>
      </c>
      <c r="D353" s="2">
        <v>63</v>
      </c>
    </row>
    <row r="354" spans="1:4" x14ac:dyDescent="0.25">
      <c r="A354">
        <v>353</v>
      </c>
      <c r="B354" s="2">
        <v>6</v>
      </c>
      <c r="C354" s="2">
        <v>22</v>
      </c>
      <c r="D354" s="2">
        <v>64</v>
      </c>
    </row>
    <row r="355" spans="1:4" x14ac:dyDescent="0.25">
      <c r="A355">
        <v>354</v>
      </c>
      <c r="B355" s="2">
        <v>65</v>
      </c>
      <c r="C355" s="2">
        <v>22</v>
      </c>
      <c r="D355" s="2">
        <v>65</v>
      </c>
    </row>
    <row r="356" spans="1:4" x14ac:dyDescent="0.25">
      <c r="A356">
        <v>355</v>
      </c>
      <c r="B356" s="2">
        <v>66</v>
      </c>
      <c r="C356" s="2">
        <v>23</v>
      </c>
      <c r="D356" s="2">
        <v>60</v>
      </c>
    </row>
    <row r="357" spans="1:4" x14ac:dyDescent="0.25">
      <c r="A357">
        <v>356</v>
      </c>
      <c r="B357" s="2">
        <v>68</v>
      </c>
      <c r="C357" s="2">
        <v>23</v>
      </c>
      <c r="D357" s="2">
        <v>61</v>
      </c>
    </row>
    <row r="358" spans="1:4" x14ac:dyDescent="0.25">
      <c r="A358">
        <v>357</v>
      </c>
      <c r="B358" s="2">
        <v>6</v>
      </c>
      <c r="C358" s="2">
        <v>23</v>
      </c>
      <c r="D358" s="2">
        <v>62</v>
      </c>
    </row>
    <row r="359" spans="1:4" x14ac:dyDescent="0.25">
      <c r="A359">
        <v>358</v>
      </c>
      <c r="B359" s="2">
        <v>6</v>
      </c>
      <c r="C359" s="2">
        <v>23</v>
      </c>
      <c r="D359" s="2">
        <v>63</v>
      </c>
    </row>
    <row r="360" spans="1:4" x14ac:dyDescent="0.25">
      <c r="A360">
        <v>359</v>
      </c>
      <c r="B360" s="2">
        <v>68</v>
      </c>
      <c r="C360" s="2">
        <v>23</v>
      </c>
      <c r="D360" s="2">
        <v>64</v>
      </c>
    </row>
    <row r="361" spans="1:4" x14ac:dyDescent="0.25">
      <c r="A361">
        <v>360</v>
      </c>
      <c r="B361" s="2">
        <v>65</v>
      </c>
      <c r="C361" s="2">
        <v>23</v>
      </c>
      <c r="D361" s="2">
        <v>65</v>
      </c>
    </row>
    <row r="362" spans="1:4" x14ac:dyDescent="0.25">
      <c r="A362">
        <v>361</v>
      </c>
      <c r="B362" s="2">
        <v>67</v>
      </c>
      <c r="C362" s="2">
        <v>24</v>
      </c>
      <c r="D362" s="2">
        <v>60</v>
      </c>
    </row>
    <row r="363" spans="1:4" x14ac:dyDescent="0.25">
      <c r="A363">
        <v>362</v>
      </c>
      <c r="B363" s="2">
        <v>6</v>
      </c>
      <c r="C363" s="2">
        <v>24</v>
      </c>
      <c r="D363" s="2">
        <v>61</v>
      </c>
    </row>
    <row r="364" spans="1:4" x14ac:dyDescent="0.25">
      <c r="A364">
        <v>363</v>
      </c>
      <c r="B364" s="2">
        <v>68</v>
      </c>
      <c r="C364" s="2">
        <v>24</v>
      </c>
      <c r="D364" s="2">
        <v>62</v>
      </c>
    </row>
    <row r="365" spans="1:4" x14ac:dyDescent="0.25">
      <c r="A365">
        <v>364</v>
      </c>
      <c r="B365" s="2">
        <v>6</v>
      </c>
      <c r="C365" s="2">
        <v>24</v>
      </c>
      <c r="D365" s="2">
        <v>63</v>
      </c>
    </row>
    <row r="366" spans="1:4" x14ac:dyDescent="0.25">
      <c r="A366">
        <v>365</v>
      </c>
      <c r="B366" s="2">
        <v>6</v>
      </c>
      <c r="C366" s="2">
        <v>24</v>
      </c>
      <c r="D366" s="2">
        <v>64</v>
      </c>
    </row>
    <row r="367" spans="1:4" x14ac:dyDescent="0.25">
      <c r="A367">
        <v>366</v>
      </c>
      <c r="B367" s="2">
        <v>65</v>
      </c>
      <c r="C367" s="2">
        <v>24</v>
      </c>
      <c r="D367" s="2">
        <v>65</v>
      </c>
    </row>
    <row r="368" spans="1:4" x14ac:dyDescent="0.25">
      <c r="A368">
        <v>367</v>
      </c>
      <c r="B368" s="2">
        <v>67</v>
      </c>
      <c r="C368" s="2">
        <v>25</v>
      </c>
      <c r="D368" s="2">
        <v>60</v>
      </c>
    </row>
    <row r="369" spans="1:4" x14ac:dyDescent="0.25">
      <c r="A369">
        <v>368</v>
      </c>
      <c r="B369" s="2">
        <v>6</v>
      </c>
      <c r="C369" s="2">
        <v>25</v>
      </c>
      <c r="D369" s="2">
        <v>61</v>
      </c>
    </row>
    <row r="370" spans="1:4" x14ac:dyDescent="0.25">
      <c r="A370">
        <v>369</v>
      </c>
      <c r="B370" s="2">
        <v>6</v>
      </c>
      <c r="C370" s="2">
        <v>25</v>
      </c>
      <c r="D370" s="2">
        <v>62</v>
      </c>
    </row>
    <row r="371" spans="1:4" x14ac:dyDescent="0.25">
      <c r="A371">
        <v>370</v>
      </c>
      <c r="B371" s="2">
        <v>68</v>
      </c>
      <c r="C371" s="2">
        <v>25</v>
      </c>
      <c r="D371" s="2">
        <v>63</v>
      </c>
    </row>
    <row r="372" spans="1:4" x14ac:dyDescent="0.25">
      <c r="A372">
        <v>371</v>
      </c>
      <c r="B372" s="2">
        <v>6</v>
      </c>
      <c r="C372" s="2">
        <v>25</v>
      </c>
      <c r="D372" s="2">
        <v>64</v>
      </c>
    </row>
    <row r="373" spans="1:4" x14ac:dyDescent="0.25">
      <c r="A373">
        <v>372</v>
      </c>
      <c r="B373" s="2">
        <v>65</v>
      </c>
      <c r="C373" s="2">
        <v>25</v>
      </c>
      <c r="D373" s="2">
        <v>65</v>
      </c>
    </row>
    <row r="374" spans="1:4" x14ac:dyDescent="0.25">
      <c r="A374">
        <v>373</v>
      </c>
      <c r="B374" s="2">
        <v>66</v>
      </c>
      <c r="C374" s="2">
        <v>26</v>
      </c>
      <c r="D374" s="2">
        <v>60</v>
      </c>
    </row>
    <row r="375" spans="1:4" x14ac:dyDescent="0.25">
      <c r="A375">
        <v>374</v>
      </c>
      <c r="B375" s="2">
        <v>68</v>
      </c>
      <c r="C375" s="2">
        <v>26</v>
      </c>
      <c r="D375" s="2">
        <v>61</v>
      </c>
    </row>
    <row r="376" spans="1:4" x14ac:dyDescent="0.25">
      <c r="A376">
        <v>375</v>
      </c>
      <c r="B376" s="2">
        <v>6</v>
      </c>
      <c r="C376" s="2">
        <v>26</v>
      </c>
      <c r="D376" s="2">
        <v>62</v>
      </c>
    </row>
    <row r="377" spans="1:4" x14ac:dyDescent="0.25">
      <c r="A377">
        <v>376</v>
      </c>
      <c r="B377" s="2">
        <v>68</v>
      </c>
      <c r="C377" s="2">
        <v>26</v>
      </c>
      <c r="D377" s="2">
        <v>63</v>
      </c>
    </row>
    <row r="378" spans="1:4" x14ac:dyDescent="0.25">
      <c r="A378">
        <v>377</v>
      </c>
      <c r="B378" s="2">
        <v>6</v>
      </c>
      <c r="C378" s="2">
        <v>26</v>
      </c>
      <c r="D378" s="2">
        <v>64</v>
      </c>
    </row>
    <row r="379" spans="1:4" x14ac:dyDescent="0.25">
      <c r="A379">
        <v>378</v>
      </c>
      <c r="B379" s="2">
        <v>65</v>
      </c>
      <c r="C379" s="2">
        <v>26</v>
      </c>
      <c r="D379" s="2">
        <v>65</v>
      </c>
    </row>
    <row r="380" spans="1:4" x14ac:dyDescent="0.25">
      <c r="A380">
        <v>379</v>
      </c>
      <c r="B380" s="2">
        <v>66</v>
      </c>
      <c r="C380" s="2">
        <v>27</v>
      </c>
      <c r="D380" s="2">
        <v>60</v>
      </c>
    </row>
    <row r="381" spans="1:4" x14ac:dyDescent="0.25">
      <c r="A381">
        <v>380</v>
      </c>
      <c r="B381" s="2">
        <v>68</v>
      </c>
      <c r="C381" s="2">
        <v>27</v>
      </c>
      <c r="D381" s="2">
        <v>61</v>
      </c>
    </row>
    <row r="382" spans="1:4" x14ac:dyDescent="0.25">
      <c r="A382">
        <v>381</v>
      </c>
      <c r="B382" s="2">
        <v>6</v>
      </c>
      <c r="C382" s="2">
        <v>27</v>
      </c>
      <c r="D382" s="2">
        <v>62</v>
      </c>
    </row>
    <row r="383" spans="1:4" x14ac:dyDescent="0.25">
      <c r="A383">
        <v>382</v>
      </c>
      <c r="B383" s="2">
        <v>6</v>
      </c>
      <c r="C383" s="2">
        <v>27</v>
      </c>
      <c r="D383" s="2">
        <v>63</v>
      </c>
    </row>
    <row r="384" spans="1:4" x14ac:dyDescent="0.25">
      <c r="A384">
        <v>383</v>
      </c>
      <c r="B384" s="2">
        <v>6</v>
      </c>
      <c r="C384" s="2">
        <v>27</v>
      </c>
      <c r="D384" s="2">
        <v>64</v>
      </c>
    </row>
    <row r="385" spans="1:4" x14ac:dyDescent="0.25">
      <c r="A385">
        <v>384</v>
      </c>
      <c r="B385" s="2">
        <v>65</v>
      </c>
      <c r="C385" s="2">
        <v>27</v>
      </c>
      <c r="D385" s="2">
        <v>65</v>
      </c>
    </row>
    <row r="386" spans="1:4" x14ac:dyDescent="0.25">
      <c r="A386">
        <v>385</v>
      </c>
      <c r="B386" s="2">
        <v>66</v>
      </c>
      <c r="C386" s="2">
        <v>28</v>
      </c>
      <c r="D386" s="2">
        <v>60</v>
      </c>
    </row>
    <row r="387" spans="1:4" x14ac:dyDescent="0.25">
      <c r="A387">
        <v>386</v>
      </c>
      <c r="B387" s="2">
        <v>6</v>
      </c>
      <c r="C387" s="2">
        <v>28</v>
      </c>
      <c r="D387" s="2">
        <v>61</v>
      </c>
    </row>
    <row r="388" spans="1:4" x14ac:dyDescent="0.25">
      <c r="A388">
        <v>387</v>
      </c>
      <c r="B388" s="2">
        <v>6</v>
      </c>
      <c r="C388" s="2">
        <v>28</v>
      </c>
      <c r="D388" s="2">
        <v>62</v>
      </c>
    </row>
    <row r="389" spans="1:4" x14ac:dyDescent="0.25">
      <c r="A389">
        <v>388</v>
      </c>
      <c r="B389" s="2">
        <v>68</v>
      </c>
      <c r="C389" s="2">
        <v>28</v>
      </c>
      <c r="D389" s="2">
        <v>63</v>
      </c>
    </row>
    <row r="390" spans="1:4" x14ac:dyDescent="0.25">
      <c r="A390">
        <v>389</v>
      </c>
      <c r="B390" s="2">
        <v>6</v>
      </c>
      <c r="C390" s="2">
        <v>28</v>
      </c>
      <c r="D390" s="2">
        <v>64</v>
      </c>
    </row>
    <row r="391" spans="1:4" x14ac:dyDescent="0.25">
      <c r="A391">
        <v>390</v>
      </c>
      <c r="B391" s="2">
        <v>65</v>
      </c>
      <c r="C391" s="2">
        <v>28</v>
      </c>
      <c r="D391" s="2">
        <v>65</v>
      </c>
    </row>
    <row r="392" spans="1:4" x14ac:dyDescent="0.25">
      <c r="A392">
        <v>391</v>
      </c>
      <c r="B392" s="2">
        <v>67</v>
      </c>
      <c r="C392" s="2">
        <v>29</v>
      </c>
      <c r="D392" s="2">
        <v>60</v>
      </c>
    </row>
    <row r="393" spans="1:4" x14ac:dyDescent="0.25">
      <c r="A393">
        <v>392</v>
      </c>
      <c r="B393" s="2">
        <v>6</v>
      </c>
      <c r="C393" s="2">
        <v>29</v>
      </c>
      <c r="D393" s="2">
        <v>61</v>
      </c>
    </row>
    <row r="394" spans="1:4" x14ac:dyDescent="0.25">
      <c r="A394">
        <v>393</v>
      </c>
      <c r="B394" s="2">
        <v>68</v>
      </c>
      <c r="C394" s="2">
        <v>29</v>
      </c>
      <c r="D394" s="2">
        <v>62</v>
      </c>
    </row>
    <row r="395" spans="1:4" x14ac:dyDescent="0.25">
      <c r="A395">
        <v>394</v>
      </c>
      <c r="B395" s="2">
        <v>6</v>
      </c>
      <c r="C395" s="2">
        <v>29</v>
      </c>
      <c r="D395" s="2">
        <v>63</v>
      </c>
    </row>
    <row r="396" spans="1:4" x14ac:dyDescent="0.25">
      <c r="A396">
        <v>395</v>
      </c>
      <c r="B396" s="2">
        <v>68</v>
      </c>
      <c r="C396" s="2">
        <v>29</v>
      </c>
      <c r="D396" s="2">
        <v>64</v>
      </c>
    </row>
    <row r="397" spans="1:4" x14ac:dyDescent="0.25">
      <c r="A397">
        <v>396</v>
      </c>
      <c r="B397" s="2">
        <v>65</v>
      </c>
      <c r="C397" s="2">
        <v>29</v>
      </c>
      <c r="D397" s="2">
        <v>65</v>
      </c>
    </row>
    <row r="398" spans="1:4" x14ac:dyDescent="0.25">
      <c r="A398">
        <v>397</v>
      </c>
      <c r="B398" s="2">
        <v>66</v>
      </c>
      <c r="C398" s="2">
        <v>30</v>
      </c>
      <c r="D398" s="2">
        <v>60</v>
      </c>
    </row>
    <row r="399" spans="1:4" x14ac:dyDescent="0.25">
      <c r="A399">
        <v>398</v>
      </c>
      <c r="B399" s="2">
        <v>6</v>
      </c>
      <c r="C399" s="2">
        <v>30</v>
      </c>
      <c r="D399" s="2">
        <v>61</v>
      </c>
    </row>
    <row r="400" spans="1:4" x14ac:dyDescent="0.25">
      <c r="A400">
        <v>399</v>
      </c>
      <c r="B400" s="2">
        <v>68</v>
      </c>
      <c r="C400" s="2">
        <v>30</v>
      </c>
      <c r="D400" s="2">
        <v>62</v>
      </c>
    </row>
    <row r="401" spans="1:4" x14ac:dyDescent="0.25">
      <c r="A401">
        <v>400</v>
      </c>
      <c r="B401" s="2">
        <v>6</v>
      </c>
      <c r="C401" s="2">
        <v>30</v>
      </c>
      <c r="D401" s="2">
        <v>63</v>
      </c>
    </row>
    <row r="402" spans="1:4" x14ac:dyDescent="0.25">
      <c r="A402">
        <v>401</v>
      </c>
      <c r="B402" s="2">
        <v>6</v>
      </c>
      <c r="C402" s="2">
        <v>30</v>
      </c>
      <c r="D402" s="2">
        <v>64</v>
      </c>
    </row>
    <row r="403" spans="1:4" x14ac:dyDescent="0.25">
      <c r="A403">
        <v>402</v>
      </c>
      <c r="B403" s="2">
        <v>65</v>
      </c>
      <c r="C403" s="2">
        <v>30</v>
      </c>
      <c r="D403" s="2">
        <v>65</v>
      </c>
    </row>
    <row r="404" spans="1:4" x14ac:dyDescent="0.25">
      <c r="A404">
        <v>403</v>
      </c>
      <c r="B404" s="2">
        <v>67</v>
      </c>
      <c r="C404" s="2">
        <v>31</v>
      </c>
      <c r="D404" s="2">
        <v>60</v>
      </c>
    </row>
    <row r="405" spans="1:4" x14ac:dyDescent="0.25">
      <c r="A405">
        <v>404</v>
      </c>
      <c r="B405" s="2">
        <v>6</v>
      </c>
      <c r="C405" s="2">
        <v>31</v>
      </c>
      <c r="D405" s="2">
        <v>61</v>
      </c>
    </row>
    <row r="406" spans="1:4" x14ac:dyDescent="0.25">
      <c r="A406">
        <v>405</v>
      </c>
      <c r="B406" s="2">
        <v>68</v>
      </c>
      <c r="C406" s="2">
        <v>31</v>
      </c>
      <c r="D406" s="2">
        <v>62</v>
      </c>
    </row>
    <row r="407" spans="1:4" x14ac:dyDescent="0.25">
      <c r="A407">
        <v>406</v>
      </c>
      <c r="B407" s="2">
        <v>6</v>
      </c>
      <c r="C407" s="2">
        <v>31</v>
      </c>
      <c r="D407" s="2">
        <v>63</v>
      </c>
    </row>
    <row r="408" spans="1:4" x14ac:dyDescent="0.25">
      <c r="A408">
        <v>407</v>
      </c>
      <c r="B408" s="2">
        <v>6</v>
      </c>
      <c r="C408" s="2">
        <v>31</v>
      </c>
      <c r="D408" s="2">
        <v>64</v>
      </c>
    </row>
    <row r="409" spans="1:4" x14ac:dyDescent="0.25">
      <c r="A409">
        <v>408</v>
      </c>
      <c r="B409" s="2">
        <v>65</v>
      </c>
      <c r="C409" s="2">
        <v>31</v>
      </c>
      <c r="D409" s="2">
        <v>65</v>
      </c>
    </row>
    <row r="410" spans="1:4" x14ac:dyDescent="0.25">
      <c r="A410">
        <v>409</v>
      </c>
      <c r="B410" s="2">
        <v>66</v>
      </c>
      <c r="C410" s="2">
        <v>32</v>
      </c>
      <c r="D410" s="2">
        <v>60</v>
      </c>
    </row>
    <row r="411" spans="1:4" x14ac:dyDescent="0.25">
      <c r="A411">
        <v>410</v>
      </c>
      <c r="B411" s="2">
        <v>68</v>
      </c>
      <c r="C411" s="2">
        <v>32</v>
      </c>
      <c r="D411" s="2">
        <v>61</v>
      </c>
    </row>
    <row r="412" spans="1:4" x14ac:dyDescent="0.25">
      <c r="A412">
        <v>411</v>
      </c>
      <c r="B412" s="2">
        <v>6</v>
      </c>
      <c r="C412" s="2">
        <v>32</v>
      </c>
      <c r="D412" s="2">
        <v>62</v>
      </c>
    </row>
    <row r="413" spans="1:4" x14ac:dyDescent="0.25">
      <c r="A413">
        <v>412</v>
      </c>
      <c r="B413" s="2">
        <v>6</v>
      </c>
      <c r="C413" s="2">
        <v>32</v>
      </c>
      <c r="D413" s="2">
        <v>63</v>
      </c>
    </row>
    <row r="414" spans="1:4" x14ac:dyDescent="0.25">
      <c r="A414">
        <v>413</v>
      </c>
      <c r="B414" s="2">
        <v>6</v>
      </c>
      <c r="C414" s="2">
        <v>32</v>
      </c>
      <c r="D414" s="2">
        <v>64</v>
      </c>
    </row>
    <row r="415" spans="1:4" x14ac:dyDescent="0.25">
      <c r="A415">
        <v>414</v>
      </c>
      <c r="B415" s="2">
        <v>65</v>
      </c>
      <c r="C415" s="2">
        <v>32</v>
      </c>
      <c r="D415" s="2">
        <v>65</v>
      </c>
    </row>
    <row r="416" spans="1:4" x14ac:dyDescent="0.25">
      <c r="A416">
        <v>415</v>
      </c>
      <c r="B416" s="2">
        <v>66</v>
      </c>
      <c r="C416" s="2">
        <v>33</v>
      </c>
      <c r="D416" s="2">
        <v>60</v>
      </c>
    </row>
    <row r="417" spans="1:4" x14ac:dyDescent="0.25">
      <c r="A417">
        <v>416</v>
      </c>
      <c r="B417" s="2">
        <v>6</v>
      </c>
      <c r="C417" s="2">
        <v>33</v>
      </c>
      <c r="D417" s="2">
        <v>61</v>
      </c>
    </row>
    <row r="418" spans="1:4" x14ac:dyDescent="0.25">
      <c r="A418">
        <v>417</v>
      </c>
      <c r="B418" s="2">
        <v>68</v>
      </c>
      <c r="C418" s="2">
        <v>33</v>
      </c>
      <c r="D418" s="2">
        <v>62</v>
      </c>
    </row>
    <row r="419" spans="1:4" x14ac:dyDescent="0.25">
      <c r="A419">
        <v>418</v>
      </c>
      <c r="B419" s="2">
        <v>6</v>
      </c>
      <c r="C419" s="2">
        <v>33</v>
      </c>
      <c r="D419" s="2">
        <v>63</v>
      </c>
    </row>
    <row r="420" spans="1:4" x14ac:dyDescent="0.25">
      <c r="A420">
        <v>419</v>
      </c>
      <c r="B420" s="2">
        <v>6</v>
      </c>
      <c r="C420" s="2">
        <v>33</v>
      </c>
      <c r="D420" s="2">
        <v>64</v>
      </c>
    </row>
    <row r="421" spans="1:4" x14ac:dyDescent="0.25">
      <c r="A421">
        <v>420</v>
      </c>
      <c r="B421" s="2">
        <v>65</v>
      </c>
      <c r="C421" s="2">
        <v>33</v>
      </c>
      <c r="D421" s="2">
        <v>65</v>
      </c>
    </row>
    <row r="422" spans="1:4" x14ac:dyDescent="0.25">
      <c r="A422">
        <v>421</v>
      </c>
      <c r="B422" s="2">
        <v>67</v>
      </c>
      <c r="C422" s="2">
        <v>34</v>
      </c>
      <c r="D422" s="2">
        <v>60</v>
      </c>
    </row>
    <row r="423" spans="1:4" x14ac:dyDescent="0.25">
      <c r="A423">
        <v>422</v>
      </c>
      <c r="B423" s="2">
        <v>6</v>
      </c>
      <c r="C423" s="2">
        <v>34</v>
      </c>
      <c r="D423" s="2">
        <v>61</v>
      </c>
    </row>
    <row r="424" spans="1:4" x14ac:dyDescent="0.25">
      <c r="A424">
        <v>423</v>
      </c>
      <c r="B424" s="2">
        <v>6</v>
      </c>
      <c r="C424" s="2">
        <v>34</v>
      </c>
      <c r="D424" s="2">
        <v>62</v>
      </c>
    </row>
    <row r="425" spans="1:4" x14ac:dyDescent="0.25">
      <c r="A425">
        <v>424</v>
      </c>
      <c r="B425" s="2">
        <v>68</v>
      </c>
      <c r="C425" s="2">
        <v>34</v>
      </c>
      <c r="D425" s="2">
        <v>63</v>
      </c>
    </row>
    <row r="426" spans="1:4" x14ac:dyDescent="0.25">
      <c r="A426">
        <v>425</v>
      </c>
      <c r="B426" s="2">
        <v>6</v>
      </c>
      <c r="C426" s="2">
        <v>34</v>
      </c>
      <c r="D426" s="2">
        <v>64</v>
      </c>
    </row>
    <row r="427" spans="1:4" x14ac:dyDescent="0.25">
      <c r="A427">
        <v>426</v>
      </c>
      <c r="B427" s="2">
        <v>65</v>
      </c>
      <c r="C427" s="2">
        <v>34</v>
      </c>
      <c r="D427" s="2">
        <v>65</v>
      </c>
    </row>
    <row r="428" spans="1:4" x14ac:dyDescent="0.25">
      <c r="A428">
        <v>427</v>
      </c>
      <c r="B428" s="2">
        <v>67</v>
      </c>
      <c r="C428" s="2">
        <v>35</v>
      </c>
      <c r="D428" s="2">
        <v>60</v>
      </c>
    </row>
    <row r="429" spans="1:4" x14ac:dyDescent="0.25">
      <c r="A429">
        <v>428</v>
      </c>
      <c r="B429" s="2">
        <v>6</v>
      </c>
      <c r="C429" s="2">
        <v>35</v>
      </c>
      <c r="D429" s="2">
        <v>61</v>
      </c>
    </row>
    <row r="430" spans="1:4" x14ac:dyDescent="0.25">
      <c r="A430">
        <v>429</v>
      </c>
      <c r="B430" s="2">
        <v>6</v>
      </c>
      <c r="C430" s="2">
        <v>35</v>
      </c>
      <c r="D430" s="2">
        <v>62</v>
      </c>
    </row>
    <row r="431" spans="1:4" x14ac:dyDescent="0.25">
      <c r="A431">
        <v>430</v>
      </c>
      <c r="B431" s="2">
        <v>6</v>
      </c>
      <c r="C431" s="2">
        <v>35</v>
      </c>
      <c r="D431" s="2">
        <v>63</v>
      </c>
    </row>
    <row r="432" spans="1:4" x14ac:dyDescent="0.25">
      <c r="A432">
        <v>431</v>
      </c>
      <c r="B432" s="2">
        <v>68</v>
      </c>
      <c r="C432" s="2">
        <v>35</v>
      </c>
      <c r="D432" s="2">
        <v>64</v>
      </c>
    </row>
    <row r="433" spans="1:4" x14ac:dyDescent="0.25">
      <c r="A433">
        <v>432</v>
      </c>
      <c r="B433" s="2">
        <v>65</v>
      </c>
      <c r="C433" s="2">
        <v>35</v>
      </c>
      <c r="D433" s="2">
        <v>65</v>
      </c>
    </row>
    <row r="434" spans="1:4" x14ac:dyDescent="0.25">
      <c r="A434">
        <v>433</v>
      </c>
      <c r="B434" s="2">
        <v>66</v>
      </c>
      <c r="C434" s="2">
        <v>36</v>
      </c>
      <c r="D434" s="2">
        <v>60</v>
      </c>
    </row>
    <row r="435" spans="1:4" x14ac:dyDescent="0.25">
      <c r="A435">
        <v>434</v>
      </c>
      <c r="B435" s="2">
        <v>68</v>
      </c>
      <c r="C435" s="2">
        <v>36</v>
      </c>
      <c r="D435" s="2">
        <v>61</v>
      </c>
    </row>
    <row r="436" spans="1:4" x14ac:dyDescent="0.25">
      <c r="A436">
        <v>435</v>
      </c>
      <c r="B436" s="2">
        <v>6</v>
      </c>
      <c r="C436" s="2">
        <v>36</v>
      </c>
      <c r="D436" s="2">
        <v>62</v>
      </c>
    </row>
    <row r="437" spans="1:4" x14ac:dyDescent="0.25">
      <c r="A437">
        <v>436</v>
      </c>
      <c r="B437" s="2">
        <v>6</v>
      </c>
      <c r="C437" s="2">
        <v>36</v>
      </c>
      <c r="D437" s="2">
        <v>63</v>
      </c>
    </row>
    <row r="438" spans="1:4" x14ac:dyDescent="0.25">
      <c r="A438">
        <v>437</v>
      </c>
      <c r="B438" s="2">
        <v>6</v>
      </c>
      <c r="C438" s="2">
        <v>36</v>
      </c>
      <c r="D438" s="2">
        <v>64</v>
      </c>
    </row>
    <row r="439" spans="1:4" x14ac:dyDescent="0.25">
      <c r="A439">
        <v>438</v>
      </c>
      <c r="B439" s="2">
        <v>65</v>
      </c>
      <c r="C439" s="2">
        <v>36</v>
      </c>
      <c r="D439" s="2">
        <v>65</v>
      </c>
    </row>
    <row r="440" spans="1:4" x14ac:dyDescent="0.25">
      <c r="A440">
        <v>439</v>
      </c>
      <c r="B440" s="2">
        <v>66</v>
      </c>
      <c r="C440" s="2">
        <v>37</v>
      </c>
      <c r="D440" s="2">
        <v>60</v>
      </c>
    </row>
    <row r="441" spans="1:4" x14ac:dyDescent="0.25">
      <c r="A441">
        <v>440</v>
      </c>
      <c r="B441" s="2">
        <v>6</v>
      </c>
      <c r="C441" s="2">
        <v>37</v>
      </c>
      <c r="D441" s="2">
        <v>61</v>
      </c>
    </row>
    <row r="442" spans="1:4" x14ac:dyDescent="0.25">
      <c r="A442">
        <v>441</v>
      </c>
      <c r="B442" s="2">
        <v>6</v>
      </c>
      <c r="C442" s="2">
        <v>37</v>
      </c>
      <c r="D442" s="2">
        <v>62</v>
      </c>
    </row>
    <row r="443" spans="1:4" x14ac:dyDescent="0.25">
      <c r="A443">
        <v>442</v>
      </c>
      <c r="B443" s="2">
        <v>68</v>
      </c>
      <c r="C443" s="2">
        <v>37</v>
      </c>
      <c r="D443" s="2">
        <v>63</v>
      </c>
    </row>
    <row r="444" spans="1:4" x14ac:dyDescent="0.25">
      <c r="A444">
        <v>443</v>
      </c>
      <c r="B444" s="2">
        <v>6</v>
      </c>
      <c r="C444" s="2">
        <v>37</v>
      </c>
      <c r="D444" s="2">
        <v>64</v>
      </c>
    </row>
    <row r="445" spans="1:4" x14ac:dyDescent="0.25">
      <c r="A445">
        <v>444</v>
      </c>
      <c r="B445" s="2">
        <v>65</v>
      </c>
      <c r="C445" s="2">
        <v>37</v>
      </c>
      <c r="D445" s="2">
        <v>65</v>
      </c>
    </row>
    <row r="446" spans="1:4" x14ac:dyDescent="0.25">
      <c r="A446">
        <v>445</v>
      </c>
      <c r="B446" s="2">
        <v>67</v>
      </c>
      <c r="C446" s="2">
        <v>38</v>
      </c>
      <c r="D446" s="2">
        <v>60</v>
      </c>
    </row>
    <row r="447" spans="1:4" x14ac:dyDescent="0.25">
      <c r="A447">
        <v>446</v>
      </c>
      <c r="B447" s="2">
        <v>68</v>
      </c>
      <c r="C447" s="2">
        <v>38</v>
      </c>
      <c r="D447" s="2">
        <v>61</v>
      </c>
    </row>
    <row r="448" spans="1:4" x14ac:dyDescent="0.25">
      <c r="A448">
        <v>447</v>
      </c>
      <c r="B448" s="2">
        <v>6</v>
      </c>
      <c r="C448" s="2">
        <v>38</v>
      </c>
      <c r="D448" s="2">
        <v>62</v>
      </c>
    </row>
    <row r="449" spans="1:4" x14ac:dyDescent="0.25">
      <c r="A449">
        <v>448</v>
      </c>
      <c r="B449" s="2">
        <v>6</v>
      </c>
      <c r="C449" s="2">
        <v>38</v>
      </c>
      <c r="D449" s="2">
        <v>63</v>
      </c>
    </row>
    <row r="450" spans="1:4" x14ac:dyDescent="0.25">
      <c r="A450">
        <v>449</v>
      </c>
      <c r="B450" s="2">
        <v>6</v>
      </c>
      <c r="C450" s="2">
        <v>38</v>
      </c>
      <c r="D450" s="2">
        <v>64</v>
      </c>
    </row>
    <row r="451" spans="1:4" x14ac:dyDescent="0.25">
      <c r="A451">
        <v>450</v>
      </c>
      <c r="B451" s="2">
        <v>65</v>
      </c>
      <c r="C451" s="2">
        <v>38</v>
      </c>
      <c r="D451" s="2">
        <v>65</v>
      </c>
    </row>
    <row r="452" spans="1:4" x14ac:dyDescent="0.25">
      <c r="A452">
        <v>451</v>
      </c>
      <c r="B452" s="2">
        <v>66</v>
      </c>
      <c r="C452" s="2">
        <v>39</v>
      </c>
      <c r="D452" s="2">
        <v>60</v>
      </c>
    </row>
    <row r="453" spans="1:4" x14ac:dyDescent="0.25">
      <c r="A453">
        <v>452</v>
      </c>
      <c r="B453" s="2">
        <v>6</v>
      </c>
      <c r="C453" s="2">
        <v>39</v>
      </c>
      <c r="D453" s="2">
        <v>61</v>
      </c>
    </row>
    <row r="454" spans="1:4" x14ac:dyDescent="0.25">
      <c r="A454">
        <v>453</v>
      </c>
      <c r="B454" s="2">
        <v>6</v>
      </c>
      <c r="C454" s="2">
        <v>39</v>
      </c>
      <c r="D454" s="2">
        <v>62</v>
      </c>
    </row>
    <row r="455" spans="1:4" x14ac:dyDescent="0.25">
      <c r="A455">
        <v>454</v>
      </c>
      <c r="B455" s="2">
        <v>68</v>
      </c>
      <c r="C455" s="2">
        <v>39</v>
      </c>
      <c r="D455" s="2">
        <v>63</v>
      </c>
    </row>
    <row r="456" spans="1:4" x14ac:dyDescent="0.25">
      <c r="A456">
        <v>455</v>
      </c>
      <c r="B456" s="2">
        <v>6</v>
      </c>
      <c r="C456" s="2">
        <v>39</v>
      </c>
      <c r="D456" s="2">
        <v>64</v>
      </c>
    </row>
    <row r="457" spans="1:4" x14ac:dyDescent="0.25">
      <c r="A457">
        <v>456</v>
      </c>
      <c r="B457" s="2">
        <v>65</v>
      </c>
      <c r="C457" s="2">
        <v>39</v>
      </c>
      <c r="D457" s="2">
        <v>65</v>
      </c>
    </row>
    <row r="458" spans="1:4" x14ac:dyDescent="0.25">
      <c r="A458">
        <v>457</v>
      </c>
      <c r="B458" s="2">
        <v>67</v>
      </c>
      <c r="C458" s="2">
        <v>40</v>
      </c>
      <c r="D458" s="2">
        <v>60</v>
      </c>
    </row>
    <row r="459" spans="1:4" x14ac:dyDescent="0.25">
      <c r="A459">
        <v>458</v>
      </c>
      <c r="B459" s="2">
        <v>6</v>
      </c>
      <c r="C459" s="2">
        <v>40</v>
      </c>
      <c r="D459" s="2">
        <v>61</v>
      </c>
    </row>
    <row r="460" spans="1:4" x14ac:dyDescent="0.25">
      <c r="A460">
        <v>459</v>
      </c>
      <c r="B460" s="2">
        <v>68</v>
      </c>
      <c r="C460" s="2">
        <v>40</v>
      </c>
      <c r="D460" s="2">
        <v>62</v>
      </c>
    </row>
    <row r="461" spans="1:4" x14ac:dyDescent="0.25">
      <c r="A461">
        <v>460</v>
      </c>
      <c r="B461" s="2">
        <v>6</v>
      </c>
      <c r="C461" s="2">
        <v>40</v>
      </c>
      <c r="D461" s="2">
        <v>63</v>
      </c>
    </row>
    <row r="462" spans="1:4" x14ac:dyDescent="0.25">
      <c r="A462">
        <v>461</v>
      </c>
      <c r="B462" s="2">
        <v>68</v>
      </c>
      <c r="C462" s="2">
        <v>40</v>
      </c>
      <c r="D462" s="2">
        <v>64</v>
      </c>
    </row>
    <row r="463" spans="1:4" x14ac:dyDescent="0.25">
      <c r="A463">
        <v>462</v>
      </c>
      <c r="B463" s="2">
        <v>65</v>
      </c>
      <c r="C463" s="2">
        <v>40</v>
      </c>
      <c r="D463" s="2">
        <v>65</v>
      </c>
    </row>
    <row r="464" spans="1:4" x14ac:dyDescent="0.25">
      <c r="A464">
        <v>463</v>
      </c>
      <c r="B464" s="2">
        <v>66</v>
      </c>
      <c r="C464" s="2">
        <v>41</v>
      </c>
      <c r="D464" s="2">
        <v>60</v>
      </c>
    </row>
    <row r="465" spans="1:4" x14ac:dyDescent="0.25">
      <c r="A465">
        <v>464</v>
      </c>
      <c r="B465" s="2">
        <v>6</v>
      </c>
      <c r="C465" s="2">
        <v>41</v>
      </c>
      <c r="D465" s="2">
        <v>61</v>
      </c>
    </row>
    <row r="466" spans="1:4" x14ac:dyDescent="0.25">
      <c r="A466">
        <v>465</v>
      </c>
      <c r="B466" s="2">
        <v>68</v>
      </c>
      <c r="C466" s="2">
        <v>41</v>
      </c>
      <c r="D466" s="2">
        <v>62</v>
      </c>
    </row>
    <row r="467" spans="1:4" x14ac:dyDescent="0.25">
      <c r="A467">
        <v>466</v>
      </c>
      <c r="B467" s="2">
        <v>6</v>
      </c>
      <c r="C467" s="2">
        <v>41</v>
      </c>
      <c r="D467" s="2">
        <v>63</v>
      </c>
    </row>
    <row r="468" spans="1:4" x14ac:dyDescent="0.25">
      <c r="A468">
        <v>467</v>
      </c>
      <c r="B468" s="2">
        <v>6</v>
      </c>
      <c r="C468" s="2">
        <v>41</v>
      </c>
      <c r="D468" s="2">
        <v>64</v>
      </c>
    </row>
    <row r="469" spans="1:4" x14ac:dyDescent="0.25">
      <c r="A469">
        <v>468</v>
      </c>
      <c r="B469" s="2">
        <v>65</v>
      </c>
      <c r="C469" s="2">
        <v>41</v>
      </c>
      <c r="D469" s="2">
        <v>65</v>
      </c>
    </row>
    <row r="470" spans="1:4" x14ac:dyDescent="0.25">
      <c r="A470">
        <v>469</v>
      </c>
      <c r="B470" s="2">
        <v>66</v>
      </c>
      <c r="C470" s="2">
        <v>42</v>
      </c>
      <c r="D470" s="2">
        <v>60</v>
      </c>
    </row>
    <row r="471" spans="1:4" x14ac:dyDescent="0.25">
      <c r="A471">
        <v>470</v>
      </c>
      <c r="B471" s="2">
        <v>68</v>
      </c>
      <c r="C471" s="2">
        <v>42</v>
      </c>
      <c r="D471" s="2">
        <v>61</v>
      </c>
    </row>
    <row r="472" spans="1:4" x14ac:dyDescent="0.25">
      <c r="A472">
        <v>471</v>
      </c>
      <c r="B472" s="2">
        <v>6</v>
      </c>
      <c r="C472" s="2">
        <v>42</v>
      </c>
      <c r="D472" s="2">
        <v>62</v>
      </c>
    </row>
    <row r="473" spans="1:4" x14ac:dyDescent="0.25">
      <c r="A473">
        <v>472</v>
      </c>
      <c r="B473" s="2">
        <v>6</v>
      </c>
      <c r="C473" s="2">
        <v>42</v>
      </c>
      <c r="D473" s="2">
        <v>63</v>
      </c>
    </row>
    <row r="474" spans="1:4" x14ac:dyDescent="0.25">
      <c r="A474">
        <v>473</v>
      </c>
      <c r="B474" s="2">
        <v>6</v>
      </c>
      <c r="C474" s="2">
        <v>42</v>
      </c>
      <c r="D474" s="2">
        <v>64</v>
      </c>
    </row>
    <row r="475" spans="1:4" x14ac:dyDescent="0.25">
      <c r="A475">
        <v>474</v>
      </c>
      <c r="B475" s="2">
        <v>65</v>
      </c>
      <c r="C475" s="2">
        <v>42</v>
      </c>
      <c r="D475" s="2">
        <v>65</v>
      </c>
    </row>
    <row r="476" spans="1:4" x14ac:dyDescent="0.25">
      <c r="A476">
        <v>475</v>
      </c>
      <c r="B476" s="2">
        <v>67</v>
      </c>
      <c r="C476" s="2">
        <v>43</v>
      </c>
      <c r="D476" s="2">
        <v>60</v>
      </c>
    </row>
    <row r="477" spans="1:4" x14ac:dyDescent="0.25">
      <c r="A477">
        <v>476</v>
      </c>
      <c r="B477" s="2">
        <v>6</v>
      </c>
      <c r="C477" s="2">
        <v>43</v>
      </c>
      <c r="D477" s="2">
        <v>61</v>
      </c>
    </row>
    <row r="478" spans="1:4" x14ac:dyDescent="0.25">
      <c r="A478">
        <v>477</v>
      </c>
      <c r="B478" s="2">
        <v>6</v>
      </c>
      <c r="C478" s="2">
        <v>43</v>
      </c>
      <c r="D478" s="2">
        <v>62</v>
      </c>
    </row>
    <row r="479" spans="1:4" x14ac:dyDescent="0.25">
      <c r="A479">
        <v>478</v>
      </c>
      <c r="B479" s="2">
        <v>6</v>
      </c>
      <c r="C479" s="2">
        <v>43</v>
      </c>
      <c r="D479" s="2">
        <v>63</v>
      </c>
    </row>
    <row r="480" spans="1:4" x14ac:dyDescent="0.25">
      <c r="A480">
        <v>479</v>
      </c>
      <c r="B480" s="2">
        <v>68</v>
      </c>
      <c r="C480" s="2">
        <v>43</v>
      </c>
      <c r="D480" s="2">
        <v>64</v>
      </c>
    </row>
    <row r="481" spans="1:4" x14ac:dyDescent="0.25">
      <c r="A481">
        <v>480</v>
      </c>
      <c r="B481" s="2">
        <v>65</v>
      </c>
      <c r="C481" s="2">
        <v>43</v>
      </c>
      <c r="D481" s="2">
        <v>65</v>
      </c>
    </row>
    <row r="482" spans="1:4" x14ac:dyDescent="0.25">
      <c r="A482">
        <v>481</v>
      </c>
      <c r="B482" s="2">
        <v>66</v>
      </c>
      <c r="C482" s="2">
        <v>44</v>
      </c>
      <c r="D482" s="2">
        <v>60</v>
      </c>
    </row>
    <row r="483" spans="1:4" x14ac:dyDescent="0.25">
      <c r="A483">
        <v>482</v>
      </c>
      <c r="B483" s="2">
        <v>68</v>
      </c>
      <c r="C483" s="2">
        <v>44</v>
      </c>
      <c r="D483" s="2">
        <v>61</v>
      </c>
    </row>
    <row r="484" spans="1:4" x14ac:dyDescent="0.25">
      <c r="A484">
        <v>483</v>
      </c>
      <c r="B484" s="2">
        <v>6</v>
      </c>
      <c r="C484" s="2">
        <v>44</v>
      </c>
      <c r="D484" s="2">
        <v>62</v>
      </c>
    </row>
    <row r="485" spans="1:4" x14ac:dyDescent="0.25">
      <c r="A485">
        <v>484</v>
      </c>
      <c r="B485" s="2">
        <v>6</v>
      </c>
      <c r="C485" s="2">
        <v>44</v>
      </c>
      <c r="D485" s="2">
        <v>63</v>
      </c>
    </row>
    <row r="486" spans="1:4" x14ac:dyDescent="0.25">
      <c r="A486">
        <v>485</v>
      </c>
      <c r="B486" s="2">
        <v>6</v>
      </c>
      <c r="C486" s="2">
        <v>44</v>
      </c>
      <c r="D486" s="2">
        <v>64</v>
      </c>
    </row>
    <row r="487" spans="1:4" x14ac:dyDescent="0.25">
      <c r="A487">
        <v>486</v>
      </c>
      <c r="B487" s="2">
        <v>65</v>
      </c>
      <c r="C487" s="2">
        <v>44</v>
      </c>
      <c r="D487" s="2">
        <v>65</v>
      </c>
    </row>
    <row r="488" spans="1:4" x14ac:dyDescent="0.25">
      <c r="A488">
        <v>487</v>
      </c>
      <c r="B488" s="2">
        <v>66</v>
      </c>
      <c r="C488" s="2">
        <v>45</v>
      </c>
      <c r="D488" s="2">
        <v>60</v>
      </c>
    </row>
    <row r="489" spans="1:4" x14ac:dyDescent="0.25">
      <c r="A489">
        <v>488</v>
      </c>
      <c r="B489" s="2">
        <v>6</v>
      </c>
      <c r="C489" s="2">
        <v>45</v>
      </c>
      <c r="D489" s="2">
        <v>61</v>
      </c>
    </row>
    <row r="490" spans="1:4" x14ac:dyDescent="0.25">
      <c r="A490">
        <v>489</v>
      </c>
      <c r="B490" s="2">
        <v>6</v>
      </c>
      <c r="C490" s="2">
        <v>45</v>
      </c>
      <c r="D490" s="2">
        <v>62</v>
      </c>
    </row>
    <row r="491" spans="1:4" x14ac:dyDescent="0.25">
      <c r="A491">
        <v>490</v>
      </c>
      <c r="B491" s="2">
        <v>68</v>
      </c>
      <c r="C491" s="2">
        <v>45</v>
      </c>
      <c r="D491" s="2">
        <v>63</v>
      </c>
    </row>
    <row r="492" spans="1:4" x14ac:dyDescent="0.25">
      <c r="A492">
        <v>491</v>
      </c>
      <c r="B492" s="2">
        <v>6</v>
      </c>
      <c r="C492" s="2">
        <v>45</v>
      </c>
      <c r="D492" s="2">
        <v>64</v>
      </c>
    </row>
    <row r="493" spans="1:4" x14ac:dyDescent="0.25">
      <c r="A493">
        <v>492</v>
      </c>
      <c r="B493" s="2">
        <v>65</v>
      </c>
      <c r="C493" s="2">
        <v>45</v>
      </c>
      <c r="D493" s="2">
        <v>65</v>
      </c>
    </row>
    <row r="494" spans="1:4" x14ac:dyDescent="0.25">
      <c r="A494">
        <v>493</v>
      </c>
      <c r="B494" s="2">
        <v>67</v>
      </c>
      <c r="C494" s="2">
        <v>46</v>
      </c>
      <c r="D494" s="2">
        <v>60</v>
      </c>
    </row>
    <row r="495" spans="1:4" x14ac:dyDescent="0.25">
      <c r="A495">
        <v>494</v>
      </c>
      <c r="B495" s="2">
        <v>6</v>
      </c>
      <c r="C495" s="2">
        <v>46</v>
      </c>
      <c r="D495" s="2">
        <v>61</v>
      </c>
    </row>
    <row r="496" spans="1:4" x14ac:dyDescent="0.25">
      <c r="A496">
        <v>495</v>
      </c>
      <c r="B496" s="2">
        <v>68</v>
      </c>
      <c r="C496" s="2">
        <v>46</v>
      </c>
      <c r="D496" s="2">
        <v>62</v>
      </c>
    </row>
    <row r="497" spans="1:4" x14ac:dyDescent="0.25">
      <c r="A497">
        <v>496</v>
      </c>
      <c r="B497" s="2">
        <v>6</v>
      </c>
      <c r="C497" s="2">
        <v>46</v>
      </c>
      <c r="D497" s="2">
        <v>63</v>
      </c>
    </row>
    <row r="498" spans="1:4" x14ac:dyDescent="0.25">
      <c r="A498">
        <v>497</v>
      </c>
      <c r="B498" s="2">
        <v>6</v>
      </c>
      <c r="C498" s="2">
        <v>46</v>
      </c>
      <c r="D498" s="2">
        <v>64</v>
      </c>
    </row>
    <row r="499" spans="1:4" x14ac:dyDescent="0.25">
      <c r="A499">
        <v>498</v>
      </c>
      <c r="B499" s="2">
        <v>65</v>
      </c>
      <c r="C499" s="2">
        <v>46</v>
      </c>
      <c r="D499" s="2">
        <v>65</v>
      </c>
    </row>
    <row r="500" spans="1:4" x14ac:dyDescent="0.25">
      <c r="A500">
        <v>499</v>
      </c>
      <c r="B500" s="2">
        <v>66</v>
      </c>
      <c r="C500" s="2">
        <v>47</v>
      </c>
      <c r="D500" s="2">
        <v>60</v>
      </c>
    </row>
    <row r="501" spans="1:4" x14ac:dyDescent="0.25">
      <c r="A501">
        <v>500</v>
      </c>
      <c r="B501" s="2">
        <v>68</v>
      </c>
      <c r="C501" s="2">
        <v>47</v>
      </c>
      <c r="D501" s="2">
        <v>61</v>
      </c>
    </row>
    <row r="502" spans="1:4" x14ac:dyDescent="0.25">
      <c r="A502">
        <v>501</v>
      </c>
      <c r="B502" s="2">
        <v>6</v>
      </c>
      <c r="C502" s="2">
        <v>47</v>
      </c>
      <c r="D502" s="2">
        <v>62</v>
      </c>
    </row>
    <row r="503" spans="1:4" x14ac:dyDescent="0.25">
      <c r="A503">
        <v>502</v>
      </c>
      <c r="B503" s="2">
        <v>6</v>
      </c>
      <c r="C503" s="2">
        <v>47</v>
      </c>
      <c r="D503" s="2">
        <v>63</v>
      </c>
    </row>
    <row r="504" spans="1:4" x14ac:dyDescent="0.25">
      <c r="A504">
        <v>503</v>
      </c>
      <c r="B504" s="2">
        <v>6</v>
      </c>
      <c r="C504" s="2">
        <v>47</v>
      </c>
      <c r="D504" s="2">
        <v>64</v>
      </c>
    </row>
    <row r="505" spans="1:4" x14ac:dyDescent="0.25">
      <c r="A505">
        <v>504</v>
      </c>
      <c r="B505" s="2">
        <v>65</v>
      </c>
      <c r="C505" s="2">
        <v>47</v>
      </c>
      <c r="D505" s="2">
        <v>65</v>
      </c>
    </row>
    <row r="506" spans="1:4" x14ac:dyDescent="0.25">
      <c r="A506">
        <v>505</v>
      </c>
      <c r="B506" s="2">
        <v>51</v>
      </c>
      <c r="C506" s="2">
        <v>48</v>
      </c>
      <c r="D506" s="2">
        <v>60</v>
      </c>
    </row>
    <row r="507" spans="1:4" x14ac:dyDescent="0.25">
      <c r="A507">
        <v>506</v>
      </c>
      <c r="B507" s="2">
        <v>5</v>
      </c>
      <c r="C507" s="2">
        <v>48</v>
      </c>
      <c r="D507" s="2">
        <v>61</v>
      </c>
    </row>
    <row r="508" spans="1:4" x14ac:dyDescent="0.25">
      <c r="A508">
        <v>507</v>
      </c>
      <c r="B508" s="2">
        <v>5</v>
      </c>
      <c r="C508" s="2">
        <v>48</v>
      </c>
      <c r="D508" s="2">
        <v>62</v>
      </c>
    </row>
    <row r="509" spans="1:4" x14ac:dyDescent="0.25">
      <c r="A509">
        <v>508</v>
      </c>
      <c r="B509" s="2">
        <v>5</v>
      </c>
      <c r="C509" s="2">
        <v>48</v>
      </c>
      <c r="D509" s="2">
        <v>63</v>
      </c>
    </row>
    <row r="510" spans="1:4" x14ac:dyDescent="0.25">
      <c r="A510">
        <v>509</v>
      </c>
      <c r="B510" s="2">
        <v>5</v>
      </c>
      <c r="C510" s="2">
        <v>48</v>
      </c>
      <c r="D510" s="2">
        <v>64</v>
      </c>
    </row>
    <row r="511" spans="1:4" x14ac:dyDescent="0.25">
      <c r="A511">
        <v>510</v>
      </c>
      <c r="B511" s="2">
        <v>5</v>
      </c>
      <c r="C511" s="2">
        <v>48</v>
      </c>
      <c r="D511" s="2">
        <v>65</v>
      </c>
    </row>
    <row r="512" spans="1:4" x14ac:dyDescent="0.25">
      <c r="A512">
        <v>511</v>
      </c>
      <c r="B512" s="2">
        <v>51</v>
      </c>
      <c r="C512" s="2">
        <v>49</v>
      </c>
      <c r="D512" s="2">
        <v>60</v>
      </c>
    </row>
    <row r="513" spans="1:4" x14ac:dyDescent="0.25">
      <c r="A513">
        <v>512</v>
      </c>
      <c r="B513" s="2">
        <v>5</v>
      </c>
      <c r="C513" s="2">
        <v>49</v>
      </c>
      <c r="D513" s="2">
        <v>61</v>
      </c>
    </row>
    <row r="514" spans="1:4" x14ac:dyDescent="0.25">
      <c r="A514">
        <v>513</v>
      </c>
      <c r="B514" s="2">
        <v>5</v>
      </c>
      <c r="C514" s="2">
        <v>49</v>
      </c>
      <c r="D514" s="2">
        <v>62</v>
      </c>
    </row>
    <row r="515" spans="1:4" x14ac:dyDescent="0.25">
      <c r="A515">
        <v>514</v>
      </c>
      <c r="B515" s="2">
        <v>5</v>
      </c>
      <c r="C515" s="2">
        <v>49</v>
      </c>
      <c r="D515" s="2">
        <v>63</v>
      </c>
    </row>
    <row r="516" spans="1:4" x14ac:dyDescent="0.25">
      <c r="A516">
        <v>515</v>
      </c>
      <c r="B516" s="2">
        <v>5</v>
      </c>
      <c r="C516" s="2">
        <v>49</v>
      </c>
      <c r="D516" s="2">
        <v>64</v>
      </c>
    </row>
    <row r="517" spans="1:4" x14ac:dyDescent="0.25">
      <c r="A517">
        <v>516</v>
      </c>
      <c r="B517" s="2">
        <v>5</v>
      </c>
      <c r="C517" s="2">
        <v>49</v>
      </c>
      <c r="D517" s="2">
        <v>65</v>
      </c>
    </row>
    <row r="518" spans="1:4" x14ac:dyDescent="0.25">
      <c r="A518">
        <v>517</v>
      </c>
      <c r="B518" s="2">
        <v>51</v>
      </c>
      <c r="C518" s="2">
        <v>50</v>
      </c>
      <c r="D518" s="2">
        <v>60</v>
      </c>
    </row>
    <row r="519" spans="1:4" x14ac:dyDescent="0.25">
      <c r="A519">
        <v>518</v>
      </c>
      <c r="B519" s="2">
        <v>5</v>
      </c>
      <c r="C519" s="2">
        <v>50</v>
      </c>
      <c r="D519" s="2">
        <v>61</v>
      </c>
    </row>
    <row r="520" spans="1:4" x14ac:dyDescent="0.25">
      <c r="A520">
        <v>519</v>
      </c>
      <c r="B520" s="2">
        <v>5</v>
      </c>
      <c r="C520" s="2">
        <v>50</v>
      </c>
      <c r="D520" s="2">
        <v>62</v>
      </c>
    </row>
    <row r="521" spans="1:4" x14ac:dyDescent="0.25">
      <c r="A521">
        <v>520</v>
      </c>
      <c r="B521" s="2">
        <v>5</v>
      </c>
      <c r="C521" s="2">
        <v>50</v>
      </c>
      <c r="D521" s="2">
        <v>63</v>
      </c>
    </row>
    <row r="522" spans="1:4" x14ac:dyDescent="0.25">
      <c r="A522">
        <v>521</v>
      </c>
      <c r="B522" s="2">
        <v>5</v>
      </c>
      <c r="C522" s="2">
        <v>50</v>
      </c>
      <c r="D522" s="2">
        <v>64</v>
      </c>
    </row>
    <row r="523" spans="1:4" x14ac:dyDescent="0.25">
      <c r="A523">
        <v>522</v>
      </c>
      <c r="B523" s="2">
        <v>5</v>
      </c>
      <c r="C523" s="2">
        <v>50</v>
      </c>
      <c r="D523" s="2">
        <v>65</v>
      </c>
    </row>
    <row r="524" spans="1:4" x14ac:dyDescent="0.25">
      <c r="A524">
        <v>523</v>
      </c>
      <c r="B524" s="2">
        <v>51</v>
      </c>
      <c r="C524" s="2">
        <v>51</v>
      </c>
      <c r="D524" s="2">
        <v>60</v>
      </c>
    </row>
    <row r="525" spans="1:4" x14ac:dyDescent="0.25">
      <c r="A525">
        <v>524</v>
      </c>
      <c r="B525" s="2">
        <v>5</v>
      </c>
      <c r="C525" s="2">
        <v>51</v>
      </c>
      <c r="D525" s="2">
        <v>61</v>
      </c>
    </row>
    <row r="526" spans="1:4" x14ac:dyDescent="0.25">
      <c r="A526">
        <v>525</v>
      </c>
      <c r="B526" s="2">
        <v>5</v>
      </c>
      <c r="C526" s="2">
        <v>51</v>
      </c>
      <c r="D526" s="2">
        <v>62</v>
      </c>
    </row>
    <row r="527" spans="1:4" x14ac:dyDescent="0.25">
      <c r="A527">
        <v>526</v>
      </c>
      <c r="B527" s="2">
        <v>5</v>
      </c>
      <c r="C527" s="2">
        <v>51</v>
      </c>
      <c r="D527" s="2">
        <v>63</v>
      </c>
    </row>
    <row r="528" spans="1:4" x14ac:dyDescent="0.25">
      <c r="A528">
        <v>527</v>
      </c>
      <c r="B528" s="2">
        <v>5</v>
      </c>
      <c r="C528" s="2">
        <v>51</v>
      </c>
      <c r="D528" s="2">
        <v>64</v>
      </c>
    </row>
    <row r="529" spans="1:4" x14ac:dyDescent="0.25">
      <c r="A529">
        <v>528</v>
      </c>
      <c r="B529" s="2">
        <v>5</v>
      </c>
      <c r="C529" s="2">
        <v>51</v>
      </c>
      <c r="D529" s="2">
        <v>65</v>
      </c>
    </row>
    <row r="530" spans="1:4" x14ac:dyDescent="0.25">
      <c r="A530">
        <v>529</v>
      </c>
      <c r="B530" s="2">
        <v>51</v>
      </c>
      <c r="C530" s="2">
        <v>52</v>
      </c>
      <c r="D530" s="2">
        <v>60</v>
      </c>
    </row>
    <row r="531" spans="1:4" x14ac:dyDescent="0.25">
      <c r="A531">
        <v>530</v>
      </c>
      <c r="B531" s="2">
        <v>5</v>
      </c>
      <c r="C531" s="2">
        <v>52</v>
      </c>
      <c r="D531" s="2">
        <v>61</v>
      </c>
    </row>
    <row r="532" spans="1:4" x14ac:dyDescent="0.25">
      <c r="A532">
        <v>531</v>
      </c>
      <c r="B532" s="2">
        <v>5</v>
      </c>
      <c r="C532" s="2">
        <v>52</v>
      </c>
      <c r="D532" s="2">
        <v>62</v>
      </c>
    </row>
    <row r="533" spans="1:4" x14ac:dyDescent="0.25">
      <c r="A533">
        <v>532</v>
      </c>
      <c r="B533" s="2">
        <v>5</v>
      </c>
      <c r="C533" s="2">
        <v>52</v>
      </c>
      <c r="D533" s="2">
        <v>63</v>
      </c>
    </row>
    <row r="534" spans="1:4" x14ac:dyDescent="0.25">
      <c r="A534">
        <v>533</v>
      </c>
      <c r="B534" s="2">
        <v>5</v>
      </c>
      <c r="C534" s="2">
        <v>52</v>
      </c>
      <c r="D534" s="2">
        <v>64</v>
      </c>
    </row>
    <row r="535" spans="1:4" x14ac:dyDescent="0.25">
      <c r="A535">
        <v>534</v>
      </c>
      <c r="B535" s="2">
        <v>5</v>
      </c>
      <c r="C535" s="2">
        <v>52</v>
      </c>
      <c r="D535" s="2">
        <v>65</v>
      </c>
    </row>
    <row r="536" spans="1:4" x14ac:dyDescent="0.25">
      <c r="A536">
        <v>535</v>
      </c>
      <c r="B536" s="2">
        <v>51</v>
      </c>
      <c r="C536" s="2">
        <v>53</v>
      </c>
      <c r="D536" s="2">
        <v>60</v>
      </c>
    </row>
    <row r="537" spans="1:4" x14ac:dyDescent="0.25">
      <c r="A537">
        <v>536</v>
      </c>
      <c r="B537" s="2">
        <v>5</v>
      </c>
      <c r="C537" s="2">
        <v>53</v>
      </c>
      <c r="D537" s="2">
        <v>61</v>
      </c>
    </row>
    <row r="538" spans="1:4" x14ac:dyDescent="0.25">
      <c r="A538">
        <v>537</v>
      </c>
      <c r="B538" s="2">
        <v>5</v>
      </c>
      <c r="C538" s="2">
        <v>53</v>
      </c>
      <c r="D538" s="2">
        <v>62</v>
      </c>
    </row>
    <row r="539" spans="1:4" x14ac:dyDescent="0.25">
      <c r="A539">
        <v>538</v>
      </c>
      <c r="B539" s="2">
        <v>5</v>
      </c>
      <c r="C539" s="2">
        <v>53</v>
      </c>
      <c r="D539" s="2">
        <v>63</v>
      </c>
    </row>
    <row r="540" spans="1:4" x14ac:dyDescent="0.25">
      <c r="A540">
        <v>539</v>
      </c>
      <c r="B540" s="2">
        <v>5</v>
      </c>
      <c r="C540" s="2">
        <v>53</v>
      </c>
      <c r="D540" s="2">
        <v>64</v>
      </c>
    </row>
    <row r="541" spans="1:4" x14ac:dyDescent="0.25">
      <c r="A541">
        <v>540</v>
      </c>
      <c r="B541" s="2">
        <v>5</v>
      </c>
      <c r="C541" s="2">
        <v>53</v>
      </c>
      <c r="D541" s="2">
        <v>65</v>
      </c>
    </row>
    <row r="542" spans="1:4" x14ac:dyDescent="0.25">
      <c r="A542">
        <v>541</v>
      </c>
      <c r="B542" s="2">
        <v>51</v>
      </c>
      <c r="C542" s="2">
        <v>54</v>
      </c>
      <c r="D542" s="2">
        <v>60</v>
      </c>
    </row>
    <row r="543" spans="1:4" x14ac:dyDescent="0.25">
      <c r="A543">
        <v>542</v>
      </c>
      <c r="B543" s="2">
        <v>5</v>
      </c>
      <c r="C543" s="2">
        <v>54</v>
      </c>
      <c r="D543" s="2">
        <v>61</v>
      </c>
    </row>
    <row r="544" spans="1:4" x14ac:dyDescent="0.25">
      <c r="A544">
        <v>543</v>
      </c>
      <c r="B544" s="2">
        <v>5</v>
      </c>
      <c r="C544" s="2">
        <v>54</v>
      </c>
      <c r="D544" s="2">
        <v>62</v>
      </c>
    </row>
    <row r="545" spans="1:4" x14ac:dyDescent="0.25">
      <c r="A545">
        <v>544</v>
      </c>
      <c r="B545" s="2">
        <v>5</v>
      </c>
      <c r="C545" s="2">
        <v>54</v>
      </c>
      <c r="D545" s="2">
        <v>63</v>
      </c>
    </row>
    <row r="546" spans="1:4" x14ac:dyDescent="0.25">
      <c r="A546">
        <v>545</v>
      </c>
      <c r="B546" s="2">
        <v>5</v>
      </c>
      <c r="C546" s="2">
        <v>54</v>
      </c>
      <c r="D546" s="2">
        <v>64</v>
      </c>
    </row>
    <row r="547" spans="1:4" x14ac:dyDescent="0.25">
      <c r="A547">
        <v>546</v>
      </c>
      <c r="B547" s="2">
        <v>5</v>
      </c>
      <c r="C547" s="2">
        <v>54</v>
      </c>
      <c r="D547" s="2">
        <v>65</v>
      </c>
    </row>
    <row r="548" spans="1:4" x14ac:dyDescent="0.25">
      <c r="A548">
        <v>547</v>
      </c>
      <c r="B548" s="2">
        <v>51</v>
      </c>
      <c r="C548" s="2">
        <v>55</v>
      </c>
      <c r="D548" s="2">
        <v>60</v>
      </c>
    </row>
    <row r="549" spans="1:4" x14ac:dyDescent="0.25">
      <c r="A549">
        <v>548</v>
      </c>
      <c r="B549" s="2">
        <v>5</v>
      </c>
      <c r="C549" s="2">
        <v>55</v>
      </c>
      <c r="D549" s="2">
        <v>61</v>
      </c>
    </row>
    <row r="550" spans="1:4" x14ac:dyDescent="0.25">
      <c r="A550">
        <v>549</v>
      </c>
      <c r="B550" s="2">
        <v>5</v>
      </c>
      <c r="C550" s="2">
        <v>55</v>
      </c>
      <c r="D550" s="2">
        <v>62</v>
      </c>
    </row>
    <row r="551" spans="1:4" x14ac:dyDescent="0.25">
      <c r="A551">
        <v>550</v>
      </c>
      <c r="B551" s="2">
        <v>5</v>
      </c>
      <c r="C551" s="2">
        <v>55</v>
      </c>
      <c r="D551" s="2">
        <v>63</v>
      </c>
    </row>
    <row r="552" spans="1:4" x14ac:dyDescent="0.25">
      <c r="A552">
        <v>551</v>
      </c>
      <c r="B552" s="2">
        <v>5</v>
      </c>
      <c r="C552" s="2">
        <v>55</v>
      </c>
      <c r="D552" s="2">
        <v>64</v>
      </c>
    </row>
    <row r="553" spans="1:4" x14ac:dyDescent="0.25">
      <c r="A553">
        <v>552</v>
      </c>
      <c r="B553" s="2">
        <v>5</v>
      </c>
      <c r="C553" s="2">
        <v>55</v>
      </c>
      <c r="D553" s="2">
        <v>65</v>
      </c>
    </row>
    <row r="554" spans="1:4" x14ac:dyDescent="0.25">
      <c r="A554">
        <v>553</v>
      </c>
      <c r="B554" s="2">
        <v>51</v>
      </c>
      <c r="C554" s="2">
        <v>56</v>
      </c>
      <c r="D554" s="2">
        <v>60</v>
      </c>
    </row>
    <row r="555" spans="1:4" x14ac:dyDescent="0.25">
      <c r="A555">
        <v>554</v>
      </c>
      <c r="B555" s="2">
        <v>5</v>
      </c>
      <c r="C555" s="2">
        <v>56</v>
      </c>
      <c r="D555" s="2">
        <v>61</v>
      </c>
    </row>
    <row r="556" spans="1:4" x14ac:dyDescent="0.25">
      <c r="A556">
        <v>555</v>
      </c>
      <c r="B556" s="2">
        <v>5</v>
      </c>
      <c r="C556" s="2">
        <v>56</v>
      </c>
      <c r="D556" s="2">
        <v>62</v>
      </c>
    </row>
    <row r="557" spans="1:4" x14ac:dyDescent="0.25">
      <c r="A557">
        <v>556</v>
      </c>
      <c r="B557" s="2">
        <v>5</v>
      </c>
      <c r="C557" s="2">
        <v>56</v>
      </c>
      <c r="D557" s="2">
        <v>63</v>
      </c>
    </row>
    <row r="558" spans="1:4" x14ac:dyDescent="0.25">
      <c r="A558">
        <v>557</v>
      </c>
      <c r="B558" s="2">
        <v>5</v>
      </c>
      <c r="C558" s="2">
        <v>56</v>
      </c>
      <c r="D558" s="2">
        <v>64</v>
      </c>
    </row>
    <row r="559" spans="1:4" x14ac:dyDescent="0.25">
      <c r="A559">
        <v>558</v>
      </c>
      <c r="B559" s="2">
        <v>5</v>
      </c>
      <c r="C559" s="2">
        <v>56</v>
      </c>
      <c r="D559" s="2">
        <v>65</v>
      </c>
    </row>
    <row r="560" spans="1:4" x14ac:dyDescent="0.25">
      <c r="A560">
        <v>559</v>
      </c>
      <c r="B560" s="2">
        <v>51</v>
      </c>
      <c r="C560" s="2">
        <v>57</v>
      </c>
      <c r="D560" s="2">
        <v>60</v>
      </c>
    </row>
    <row r="561" spans="1:4" x14ac:dyDescent="0.25">
      <c r="A561">
        <v>560</v>
      </c>
      <c r="B561" s="2">
        <v>5</v>
      </c>
      <c r="C561" s="2">
        <v>57</v>
      </c>
      <c r="D561" s="2">
        <v>61</v>
      </c>
    </row>
    <row r="562" spans="1:4" x14ac:dyDescent="0.25">
      <c r="A562">
        <v>561</v>
      </c>
      <c r="B562" s="2">
        <v>5</v>
      </c>
      <c r="C562" s="2">
        <v>57</v>
      </c>
      <c r="D562" s="2">
        <v>62</v>
      </c>
    </row>
    <row r="563" spans="1:4" x14ac:dyDescent="0.25">
      <c r="A563">
        <v>562</v>
      </c>
      <c r="B563" s="2">
        <v>5</v>
      </c>
      <c r="C563" s="2">
        <v>57</v>
      </c>
      <c r="D563" s="2">
        <v>63</v>
      </c>
    </row>
    <row r="564" spans="1:4" x14ac:dyDescent="0.25">
      <c r="A564">
        <v>563</v>
      </c>
      <c r="B564" s="2">
        <v>5</v>
      </c>
      <c r="C564" s="2">
        <v>57</v>
      </c>
      <c r="D564" s="2">
        <v>64</v>
      </c>
    </row>
    <row r="565" spans="1:4" x14ac:dyDescent="0.25">
      <c r="A565">
        <v>564</v>
      </c>
      <c r="B565" s="2">
        <v>5</v>
      </c>
      <c r="C565" s="2">
        <v>57</v>
      </c>
      <c r="D565" s="2">
        <v>65</v>
      </c>
    </row>
    <row r="566" spans="1:4" x14ac:dyDescent="0.25">
      <c r="A566">
        <v>565</v>
      </c>
      <c r="B566" s="2">
        <v>51</v>
      </c>
      <c r="C566" s="2">
        <v>58</v>
      </c>
      <c r="D566" s="2">
        <v>60</v>
      </c>
    </row>
    <row r="567" spans="1:4" x14ac:dyDescent="0.25">
      <c r="A567">
        <v>566</v>
      </c>
      <c r="B567" s="2">
        <v>5</v>
      </c>
      <c r="C567" s="2">
        <v>58</v>
      </c>
      <c r="D567" s="2">
        <v>61</v>
      </c>
    </row>
    <row r="568" spans="1:4" x14ac:dyDescent="0.25">
      <c r="A568">
        <v>567</v>
      </c>
      <c r="B568" s="2">
        <v>5</v>
      </c>
      <c r="C568" s="2">
        <v>58</v>
      </c>
      <c r="D568" s="2">
        <v>62</v>
      </c>
    </row>
    <row r="569" spans="1:4" x14ac:dyDescent="0.25">
      <c r="A569">
        <v>568</v>
      </c>
      <c r="B569" s="2">
        <v>5</v>
      </c>
      <c r="C569" s="2">
        <v>58</v>
      </c>
      <c r="D569" s="2">
        <v>63</v>
      </c>
    </row>
    <row r="570" spans="1:4" x14ac:dyDescent="0.25">
      <c r="A570">
        <v>569</v>
      </c>
      <c r="B570" s="2">
        <v>5</v>
      </c>
      <c r="C570" s="2">
        <v>58</v>
      </c>
      <c r="D570" s="2">
        <v>64</v>
      </c>
    </row>
    <row r="571" spans="1:4" x14ac:dyDescent="0.25">
      <c r="A571">
        <v>570</v>
      </c>
      <c r="B571" s="2">
        <v>5</v>
      </c>
      <c r="C571" s="2">
        <v>58</v>
      </c>
      <c r="D571" s="2">
        <v>65</v>
      </c>
    </row>
    <row r="572" spans="1:4" x14ac:dyDescent="0.25">
      <c r="A572">
        <v>571</v>
      </c>
      <c r="B572" s="2">
        <v>51</v>
      </c>
      <c r="C572" s="2">
        <v>59</v>
      </c>
      <c r="D572" s="2">
        <v>60</v>
      </c>
    </row>
    <row r="573" spans="1:4" x14ac:dyDescent="0.25">
      <c r="A573">
        <v>572</v>
      </c>
      <c r="B573" s="2">
        <v>5</v>
      </c>
      <c r="C573" s="2">
        <v>59</v>
      </c>
      <c r="D573" s="2">
        <v>61</v>
      </c>
    </row>
    <row r="574" spans="1:4" x14ac:dyDescent="0.25">
      <c r="A574">
        <v>573</v>
      </c>
      <c r="B574" s="2">
        <v>5</v>
      </c>
      <c r="C574" s="2">
        <v>59</v>
      </c>
      <c r="D574" s="2">
        <v>62</v>
      </c>
    </row>
    <row r="575" spans="1:4" x14ac:dyDescent="0.25">
      <c r="A575">
        <v>574</v>
      </c>
      <c r="B575" s="2">
        <v>5</v>
      </c>
      <c r="C575" s="2">
        <v>59</v>
      </c>
      <c r="D575" s="2">
        <v>63</v>
      </c>
    </row>
    <row r="576" spans="1:4" x14ac:dyDescent="0.25">
      <c r="A576">
        <v>575</v>
      </c>
      <c r="B576" s="2">
        <v>5</v>
      </c>
      <c r="C576" s="2">
        <v>59</v>
      </c>
      <c r="D576" s="2">
        <v>64</v>
      </c>
    </row>
    <row r="577" spans="1:4" x14ac:dyDescent="0.25">
      <c r="A577">
        <v>576</v>
      </c>
      <c r="B577" s="2">
        <v>5</v>
      </c>
      <c r="C577" s="2">
        <v>59</v>
      </c>
      <c r="D577" s="2">
        <v>65</v>
      </c>
    </row>
    <row r="578" spans="1:4" x14ac:dyDescent="0.25">
      <c r="A578">
        <v>577</v>
      </c>
      <c r="B578" s="2">
        <v>51</v>
      </c>
      <c r="C578" s="2">
        <v>60</v>
      </c>
      <c r="D578" s="2">
        <v>60</v>
      </c>
    </row>
    <row r="579" spans="1:4" x14ac:dyDescent="0.25">
      <c r="A579">
        <v>578</v>
      </c>
      <c r="B579" s="2">
        <v>5</v>
      </c>
      <c r="C579" s="2">
        <v>60</v>
      </c>
      <c r="D579" s="2">
        <v>61</v>
      </c>
    </row>
    <row r="580" spans="1:4" x14ac:dyDescent="0.25">
      <c r="A580">
        <v>579</v>
      </c>
      <c r="B580" s="2">
        <v>5</v>
      </c>
      <c r="C580" s="2">
        <v>60</v>
      </c>
      <c r="D580" s="2">
        <v>62</v>
      </c>
    </row>
    <row r="581" spans="1:4" x14ac:dyDescent="0.25">
      <c r="A581">
        <v>580</v>
      </c>
      <c r="B581" s="2">
        <v>5</v>
      </c>
      <c r="C581" s="2">
        <v>60</v>
      </c>
      <c r="D581" s="2">
        <v>63</v>
      </c>
    </row>
    <row r="582" spans="1:4" x14ac:dyDescent="0.25">
      <c r="A582">
        <v>581</v>
      </c>
      <c r="B582" s="2">
        <v>5</v>
      </c>
      <c r="C582" s="2">
        <v>60</v>
      </c>
      <c r="D582" s="2">
        <v>64</v>
      </c>
    </row>
    <row r="583" spans="1:4" x14ac:dyDescent="0.25">
      <c r="A583">
        <v>582</v>
      </c>
      <c r="B583" s="2">
        <v>5</v>
      </c>
      <c r="C583" s="2">
        <v>60</v>
      </c>
      <c r="D583" s="2">
        <v>65</v>
      </c>
    </row>
    <row r="584" spans="1:4" x14ac:dyDescent="0.25">
      <c r="A584">
        <v>583</v>
      </c>
      <c r="B584" s="2">
        <v>51</v>
      </c>
      <c r="C584" s="2">
        <v>61</v>
      </c>
      <c r="D584" s="2">
        <v>60</v>
      </c>
    </row>
    <row r="585" spans="1:4" x14ac:dyDescent="0.25">
      <c r="A585">
        <v>584</v>
      </c>
      <c r="B585" s="2">
        <v>5</v>
      </c>
      <c r="C585" s="2">
        <v>61</v>
      </c>
      <c r="D585" s="2">
        <v>61</v>
      </c>
    </row>
    <row r="586" spans="1:4" x14ac:dyDescent="0.25">
      <c r="A586">
        <v>585</v>
      </c>
      <c r="B586" s="2">
        <v>5</v>
      </c>
      <c r="C586" s="2">
        <v>61</v>
      </c>
      <c r="D586" s="2">
        <v>62</v>
      </c>
    </row>
    <row r="587" spans="1:4" x14ac:dyDescent="0.25">
      <c r="A587">
        <v>586</v>
      </c>
      <c r="B587" s="2">
        <v>5</v>
      </c>
      <c r="C587" s="2">
        <v>61</v>
      </c>
      <c r="D587" s="2">
        <v>63</v>
      </c>
    </row>
    <row r="588" spans="1:4" x14ac:dyDescent="0.25">
      <c r="A588">
        <v>587</v>
      </c>
      <c r="B588" s="2">
        <v>5</v>
      </c>
      <c r="C588" s="2">
        <v>61</v>
      </c>
      <c r="D588" s="2">
        <v>64</v>
      </c>
    </row>
    <row r="589" spans="1:4" x14ac:dyDescent="0.25">
      <c r="A589">
        <v>588</v>
      </c>
      <c r="B589" s="2">
        <v>5</v>
      </c>
      <c r="C589" s="2">
        <v>61</v>
      </c>
      <c r="D589" s="2">
        <v>65</v>
      </c>
    </row>
    <row r="590" spans="1:4" x14ac:dyDescent="0.25">
      <c r="A590">
        <v>589</v>
      </c>
      <c r="B590" s="2">
        <v>51</v>
      </c>
      <c r="C590" s="2">
        <v>62</v>
      </c>
      <c r="D590" s="2">
        <v>60</v>
      </c>
    </row>
    <row r="591" spans="1:4" x14ac:dyDescent="0.25">
      <c r="A591">
        <v>590</v>
      </c>
      <c r="B591" s="2">
        <v>5</v>
      </c>
      <c r="C591" s="2">
        <v>62</v>
      </c>
      <c r="D591" s="2">
        <v>61</v>
      </c>
    </row>
    <row r="592" spans="1:4" x14ac:dyDescent="0.25">
      <c r="A592">
        <v>591</v>
      </c>
      <c r="B592" s="2">
        <v>5</v>
      </c>
      <c r="C592" s="2">
        <v>62</v>
      </c>
      <c r="D592" s="2">
        <v>62</v>
      </c>
    </row>
    <row r="593" spans="1:4" x14ac:dyDescent="0.25">
      <c r="A593">
        <v>592</v>
      </c>
      <c r="B593" s="2">
        <v>5</v>
      </c>
      <c r="C593" s="2">
        <v>62</v>
      </c>
      <c r="D593" s="2">
        <v>63</v>
      </c>
    </row>
    <row r="594" spans="1:4" x14ac:dyDescent="0.25">
      <c r="A594">
        <v>593</v>
      </c>
      <c r="B594" s="2">
        <v>5</v>
      </c>
      <c r="C594" s="2">
        <v>62</v>
      </c>
      <c r="D594" s="2">
        <v>64</v>
      </c>
    </row>
    <row r="595" spans="1:4" x14ac:dyDescent="0.25">
      <c r="A595">
        <v>594</v>
      </c>
      <c r="B595" s="2">
        <v>5</v>
      </c>
      <c r="C595" s="2">
        <v>62</v>
      </c>
      <c r="D595" s="2">
        <v>65</v>
      </c>
    </row>
    <row r="596" spans="1:4" x14ac:dyDescent="0.25">
      <c r="A596">
        <v>595</v>
      </c>
      <c r="B596" s="2">
        <v>51</v>
      </c>
      <c r="C596" s="2">
        <v>63</v>
      </c>
      <c r="D596" s="2">
        <v>60</v>
      </c>
    </row>
    <row r="597" spans="1:4" x14ac:dyDescent="0.25">
      <c r="A597">
        <v>596</v>
      </c>
      <c r="B597" s="2">
        <v>5</v>
      </c>
      <c r="C597" s="2">
        <v>63</v>
      </c>
      <c r="D597" s="2">
        <v>61</v>
      </c>
    </row>
    <row r="598" spans="1:4" x14ac:dyDescent="0.25">
      <c r="A598">
        <v>597</v>
      </c>
      <c r="B598" s="2">
        <v>5</v>
      </c>
      <c r="C598" s="2">
        <v>63</v>
      </c>
      <c r="D598" s="2">
        <v>62</v>
      </c>
    </row>
    <row r="599" spans="1:4" x14ac:dyDescent="0.25">
      <c r="A599">
        <v>598</v>
      </c>
      <c r="B599" s="2">
        <v>5</v>
      </c>
      <c r="C599" s="2">
        <v>63</v>
      </c>
      <c r="D599" s="2">
        <v>63</v>
      </c>
    </row>
    <row r="600" spans="1:4" x14ac:dyDescent="0.25">
      <c r="A600">
        <v>599</v>
      </c>
      <c r="B600" s="2">
        <v>5</v>
      </c>
      <c r="C600" s="2">
        <v>63</v>
      </c>
      <c r="D600" s="2">
        <v>64</v>
      </c>
    </row>
    <row r="601" spans="1:4" x14ac:dyDescent="0.25">
      <c r="A601">
        <v>600</v>
      </c>
      <c r="B601" s="2">
        <v>5</v>
      </c>
      <c r="C601" s="2">
        <v>63</v>
      </c>
      <c r="D601" s="2">
        <v>65</v>
      </c>
    </row>
    <row r="602" spans="1:4" x14ac:dyDescent="0.25">
      <c r="A602">
        <v>601</v>
      </c>
      <c r="B602" s="2">
        <v>51</v>
      </c>
      <c r="C602" s="2">
        <v>64</v>
      </c>
      <c r="D602" s="2">
        <v>60</v>
      </c>
    </row>
    <row r="603" spans="1:4" x14ac:dyDescent="0.25">
      <c r="A603">
        <v>602</v>
      </c>
      <c r="B603" s="2">
        <v>5</v>
      </c>
      <c r="C603" s="2">
        <v>64</v>
      </c>
      <c r="D603" s="2">
        <v>61</v>
      </c>
    </row>
    <row r="604" spans="1:4" x14ac:dyDescent="0.25">
      <c r="A604">
        <v>603</v>
      </c>
      <c r="B604" s="2">
        <v>5</v>
      </c>
      <c r="C604" s="2">
        <v>64</v>
      </c>
      <c r="D604" s="2">
        <v>62</v>
      </c>
    </row>
    <row r="605" spans="1:4" x14ac:dyDescent="0.25">
      <c r="A605">
        <v>604</v>
      </c>
      <c r="B605" s="2">
        <v>5</v>
      </c>
      <c r="C605" s="2">
        <v>64</v>
      </c>
      <c r="D605" s="2">
        <v>63</v>
      </c>
    </row>
    <row r="606" spans="1:4" x14ac:dyDescent="0.25">
      <c r="A606">
        <v>605</v>
      </c>
      <c r="B606" s="2">
        <v>5</v>
      </c>
      <c r="C606" s="2">
        <v>64</v>
      </c>
      <c r="D606" s="2">
        <v>64</v>
      </c>
    </row>
    <row r="607" spans="1:4" x14ac:dyDescent="0.25">
      <c r="A607">
        <v>606</v>
      </c>
      <c r="B607" s="2">
        <v>5</v>
      </c>
      <c r="C607" s="2">
        <v>64</v>
      </c>
      <c r="D607" s="2">
        <v>65</v>
      </c>
    </row>
    <row r="608" spans="1:4" x14ac:dyDescent="0.25">
      <c r="A608">
        <v>607</v>
      </c>
      <c r="B608" s="2">
        <v>51</v>
      </c>
      <c r="C608" s="2">
        <v>65</v>
      </c>
      <c r="D608" s="2">
        <v>60</v>
      </c>
    </row>
    <row r="609" spans="1:4" x14ac:dyDescent="0.25">
      <c r="A609">
        <v>608</v>
      </c>
      <c r="B609" s="2">
        <v>5</v>
      </c>
      <c r="C609" s="2">
        <v>65</v>
      </c>
      <c r="D609" s="2">
        <v>61</v>
      </c>
    </row>
    <row r="610" spans="1:4" x14ac:dyDescent="0.25">
      <c r="A610">
        <v>609</v>
      </c>
      <c r="B610" s="2">
        <v>5</v>
      </c>
      <c r="C610" s="2">
        <v>65</v>
      </c>
      <c r="D610" s="2">
        <v>62</v>
      </c>
    </row>
    <row r="611" spans="1:4" x14ac:dyDescent="0.25">
      <c r="A611">
        <v>610</v>
      </c>
      <c r="B611" s="2">
        <v>5</v>
      </c>
      <c r="C611" s="2">
        <v>65</v>
      </c>
      <c r="D611" s="2">
        <v>63</v>
      </c>
    </row>
    <row r="612" spans="1:4" x14ac:dyDescent="0.25">
      <c r="A612">
        <v>611</v>
      </c>
      <c r="B612" s="2">
        <v>5</v>
      </c>
      <c r="C612" s="2">
        <v>65</v>
      </c>
      <c r="D612" s="2">
        <v>64</v>
      </c>
    </row>
    <row r="613" spans="1:4" x14ac:dyDescent="0.25">
      <c r="A613">
        <v>612</v>
      </c>
      <c r="B613" s="2">
        <v>5</v>
      </c>
      <c r="C613" s="2">
        <v>65</v>
      </c>
      <c r="D613" s="2">
        <v>65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9" sqref="F9"/>
    </sheetView>
  </sheetViews>
  <sheetFormatPr defaultColWidth="4.140625" defaultRowHeight="15" x14ac:dyDescent="0.25"/>
  <cols>
    <col min="1" max="1" width="4" bestFit="1" customWidth="1"/>
    <col min="2" max="2" width="26.28515625" bestFit="1" customWidth="1"/>
    <col min="3" max="3" width="5.7109375" bestFit="1" customWidth="1"/>
    <col min="4" max="4" width="6.42578125" bestFit="1" customWidth="1"/>
    <col min="5" max="5" width="30.28515625" bestFit="1" customWidth="1"/>
    <col min="6" max="6" width="28.28515625" bestFit="1" customWidth="1"/>
    <col min="7" max="7" width="5.42578125" bestFit="1" customWidth="1"/>
    <col min="8" max="8" width="9" customWidth="1"/>
  </cols>
  <sheetData>
    <row r="1" spans="1:8" s="1" customFormat="1" ht="45" x14ac:dyDescent="0.25">
      <c r="A1" s="1" t="s">
        <v>2142</v>
      </c>
      <c r="B1" s="1" t="s">
        <v>723</v>
      </c>
      <c r="C1" s="1" t="s">
        <v>4114</v>
      </c>
      <c r="D1" s="1" t="s">
        <v>4115</v>
      </c>
      <c r="E1" s="1" t="s">
        <v>4116</v>
      </c>
      <c r="F1" s="1" t="s">
        <v>4118</v>
      </c>
      <c r="G1" s="1" t="s">
        <v>4117</v>
      </c>
      <c r="H1" s="1" t="s">
        <v>4119</v>
      </c>
    </row>
    <row r="3" spans="1:8" x14ac:dyDescent="0.25">
      <c r="A3">
        <v>1</v>
      </c>
      <c r="B3" t="s">
        <v>4107</v>
      </c>
      <c r="C3" s="2">
        <v>1</v>
      </c>
      <c r="D3" s="2">
        <v>4</v>
      </c>
      <c r="E3" t="s">
        <v>4108</v>
      </c>
      <c r="F3" t="s">
        <v>59</v>
      </c>
      <c r="G3">
        <v>1</v>
      </c>
      <c r="H3">
        <v>-1</v>
      </c>
    </row>
    <row r="4" spans="1:8" x14ac:dyDescent="0.25">
      <c r="A4">
        <v>2</v>
      </c>
      <c r="B4" t="s">
        <v>4109</v>
      </c>
      <c r="C4" s="2">
        <v>16</v>
      </c>
      <c r="D4" s="2">
        <v>1</v>
      </c>
      <c r="E4" t="s">
        <v>4108</v>
      </c>
      <c r="F4" t="s">
        <v>59</v>
      </c>
      <c r="G4">
        <v>1</v>
      </c>
      <c r="H4" s="2">
        <v>1</v>
      </c>
    </row>
    <row r="5" spans="1:8" x14ac:dyDescent="0.25">
      <c r="A5">
        <v>3</v>
      </c>
      <c r="B5" t="s">
        <v>4110</v>
      </c>
      <c r="C5" s="2">
        <v>17</v>
      </c>
      <c r="D5" s="2">
        <v>1</v>
      </c>
      <c r="E5" t="s">
        <v>4108</v>
      </c>
      <c r="F5" t="s">
        <v>59</v>
      </c>
      <c r="G5">
        <v>1</v>
      </c>
      <c r="H5" s="2">
        <v>1</v>
      </c>
    </row>
    <row r="6" spans="1:8" x14ac:dyDescent="0.25">
      <c r="A6">
        <v>4</v>
      </c>
      <c r="B6" t="s">
        <v>4111</v>
      </c>
      <c r="C6" s="2">
        <v>18</v>
      </c>
      <c r="D6" s="2">
        <v>1</v>
      </c>
      <c r="E6" t="s">
        <v>4108</v>
      </c>
      <c r="F6" t="s">
        <v>59</v>
      </c>
      <c r="G6">
        <v>1</v>
      </c>
      <c r="H6" s="2">
        <v>1</v>
      </c>
    </row>
    <row r="7" spans="1:8" x14ac:dyDescent="0.25">
      <c r="A7">
        <v>5</v>
      </c>
      <c r="B7" t="s">
        <v>4112</v>
      </c>
      <c r="C7" s="2">
        <v>2</v>
      </c>
      <c r="D7" s="2">
        <v>5</v>
      </c>
      <c r="E7" t="s">
        <v>4113</v>
      </c>
      <c r="F7" t="s">
        <v>59</v>
      </c>
      <c r="G7">
        <v>1</v>
      </c>
      <c r="H7" s="2">
        <v>-1</v>
      </c>
    </row>
    <row r="8" spans="1:8" x14ac:dyDescent="0.25">
      <c r="A8">
        <v>6</v>
      </c>
      <c r="B8" t="s">
        <v>4105</v>
      </c>
      <c r="C8" s="2">
        <v>3</v>
      </c>
      <c r="D8" s="2">
        <v>10</v>
      </c>
      <c r="E8" t="s">
        <v>4106</v>
      </c>
      <c r="F8" t="s">
        <v>59</v>
      </c>
      <c r="G8">
        <v>1</v>
      </c>
      <c r="H8" s="2">
        <v>-1</v>
      </c>
    </row>
    <row r="9" spans="1:8" x14ac:dyDescent="0.25">
      <c r="A9">
        <v>7</v>
      </c>
      <c r="B9" t="s">
        <v>4103</v>
      </c>
      <c r="C9" s="2">
        <v>4</v>
      </c>
      <c r="D9" s="2">
        <v>5</v>
      </c>
      <c r="E9" t="s">
        <v>4104</v>
      </c>
      <c r="F9" t="s">
        <v>59</v>
      </c>
      <c r="G9">
        <v>1</v>
      </c>
      <c r="H9" s="2">
        <v>-1</v>
      </c>
    </row>
    <row r="10" spans="1:8" x14ac:dyDescent="0.25">
      <c r="A10">
        <v>8</v>
      </c>
      <c r="B10" t="s">
        <v>4099</v>
      </c>
      <c r="C10" s="2">
        <v>5</v>
      </c>
      <c r="D10" s="2">
        <v>500</v>
      </c>
      <c r="E10" t="s">
        <v>4100</v>
      </c>
      <c r="F10" t="s">
        <v>59</v>
      </c>
      <c r="G10">
        <v>1</v>
      </c>
      <c r="H10" s="2">
        <v>-1</v>
      </c>
    </row>
    <row r="11" spans="1:8" x14ac:dyDescent="0.25">
      <c r="A11">
        <v>9</v>
      </c>
      <c r="B11" t="s">
        <v>4101</v>
      </c>
      <c r="C11" s="2">
        <v>51</v>
      </c>
      <c r="D11" s="2">
        <v>500</v>
      </c>
      <c r="E11" t="s">
        <v>4102</v>
      </c>
      <c r="F11" t="s">
        <v>59</v>
      </c>
      <c r="G11">
        <v>1</v>
      </c>
      <c r="H11" s="2">
        <v>-1</v>
      </c>
    </row>
    <row r="12" spans="1:8" x14ac:dyDescent="0.25">
      <c r="A12">
        <v>10</v>
      </c>
      <c r="B12" t="s">
        <v>4093</v>
      </c>
      <c r="C12" s="2">
        <v>6</v>
      </c>
      <c r="D12" s="2">
        <v>4</v>
      </c>
      <c r="E12" t="s">
        <v>4094</v>
      </c>
      <c r="F12" t="s">
        <v>4095</v>
      </c>
      <c r="G12">
        <v>0</v>
      </c>
      <c r="H12" s="2">
        <v>-1</v>
      </c>
    </row>
    <row r="13" spans="1:8" x14ac:dyDescent="0.25">
      <c r="A13">
        <v>11</v>
      </c>
      <c r="B13" t="s">
        <v>4084</v>
      </c>
      <c r="C13" s="2">
        <v>65</v>
      </c>
      <c r="D13" s="2">
        <v>4</v>
      </c>
      <c r="E13" t="s">
        <v>4085</v>
      </c>
      <c r="F13" t="s">
        <v>4086</v>
      </c>
      <c r="G13">
        <v>0</v>
      </c>
      <c r="H13" s="2">
        <v>-1</v>
      </c>
    </row>
    <row r="14" spans="1:8" x14ac:dyDescent="0.25">
      <c r="A14">
        <v>12</v>
      </c>
      <c r="B14" t="s">
        <v>4087</v>
      </c>
      <c r="C14" s="2">
        <v>66</v>
      </c>
      <c r="D14" s="2">
        <v>4</v>
      </c>
      <c r="E14" t="s">
        <v>4088</v>
      </c>
      <c r="F14" t="s">
        <v>4089</v>
      </c>
      <c r="G14">
        <v>0</v>
      </c>
      <c r="H14" s="2">
        <v>-1</v>
      </c>
    </row>
    <row r="15" spans="1:8" x14ac:dyDescent="0.25">
      <c r="A15">
        <v>13</v>
      </c>
      <c r="B15" t="s">
        <v>4090</v>
      </c>
      <c r="C15" s="2">
        <v>67</v>
      </c>
      <c r="D15" s="2">
        <v>4</v>
      </c>
      <c r="E15" t="s">
        <v>4091</v>
      </c>
      <c r="F15" t="s">
        <v>4092</v>
      </c>
      <c r="G15">
        <v>0</v>
      </c>
      <c r="H15" s="2">
        <v>-1</v>
      </c>
    </row>
    <row r="16" spans="1:8" x14ac:dyDescent="0.25">
      <c r="A16">
        <v>14</v>
      </c>
      <c r="B16" t="s">
        <v>4096</v>
      </c>
      <c r="C16" s="2">
        <v>68</v>
      </c>
      <c r="D16" s="2">
        <v>4</v>
      </c>
      <c r="E16" t="s">
        <v>4097</v>
      </c>
      <c r="F16" t="s">
        <v>4098</v>
      </c>
      <c r="G16">
        <v>0</v>
      </c>
      <c r="H16" s="2">
        <v>-1</v>
      </c>
    </row>
    <row r="17" spans="1:8" x14ac:dyDescent="0.25">
      <c r="A17">
        <v>15</v>
      </c>
      <c r="B17" t="s">
        <v>4076</v>
      </c>
      <c r="C17" s="2">
        <v>61</v>
      </c>
      <c r="D17" s="2">
        <v>500</v>
      </c>
      <c r="E17" t="s">
        <v>4077</v>
      </c>
      <c r="F17" t="s">
        <v>59</v>
      </c>
      <c r="G17">
        <v>0</v>
      </c>
      <c r="H17" s="2">
        <v>-1</v>
      </c>
    </row>
    <row r="18" spans="1:8" x14ac:dyDescent="0.25">
      <c r="A18">
        <v>16</v>
      </c>
      <c r="B18" t="s">
        <v>4078</v>
      </c>
      <c r="C18">
        <v>62</v>
      </c>
      <c r="D18">
        <v>500</v>
      </c>
      <c r="E18" t="s">
        <v>4079</v>
      </c>
      <c r="F18" t="s">
        <v>59</v>
      </c>
      <c r="G18">
        <v>0</v>
      </c>
      <c r="H18" s="2">
        <v>-1</v>
      </c>
    </row>
    <row r="19" spans="1:8" x14ac:dyDescent="0.25">
      <c r="A19">
        <v>17</v>
      </c>
      <c r="B19" t="s">
        <v>4080</v>
      </c>
      <c r="C19" s="2">
        <v>63</v>
      </c>
      <c r="D19" s="2">
        <v>500</v>
      </c>
      <c r="E19" t="s">
        <v>4081</v>
      </c>
      <c r="F19" t="s">
        <v>59</v>
      </c>
      <c r="G19">
        <v>0</v>
      </c>
      <c r="H19" s="2">
        <v>-1</v>
      </c>
    </row>
    <row r="20" spans="1:8" x14ac:dyDescent="0.25">
      <c r="A20">
        <v>18</v>
      </c>
      <c r="B20" t="s">
        <v>4082</v>
      </c>
      <c r="C20" s="2">
        <v>64</v>
      </c>
      <c r="D20" s="2">
        <v>500</v>
      </c>
      <c r="E20" t="s">
        <v>4083</v>
      </c>
      <c r="F20" t="s">
        <v>59</v>
      </c>
      <c r="G20">
        <v>0</v>
      </c>
      <c r="H20" s="2">
        <v>-1</v>
      </c>
    </row>
  </sheetData>
  <sortState ref="A2:I36">
    <sortCondition ref="A2:A36"/>
    <sortCondition ref="C2:C36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4.7109375" bestFit="1" customWidth="1"/>
    <col min="2" max="2" width="6.28515625" bestFit="1" customWidth="1"/>
    <col min="3" max="3" width="10.5703125" bestFit="1" customWidth="1"/>
    <col min="4" max="4" width="7" customWidth="1"/>
    <col min="5" max="5" width="10.42578125" bestFit="1" customWidth="1"/>
    <col min="6" max="7" width="7.7109375" bestFit="1" customWidth="1"/>
    <col min="8" max="8" width="9.28515625" customWidth="1"/>
    <col min="9" max="9" width="9.85546875" customWidth="1"/>
    <col min="10" max="13" width="11.28515625" customWidth="1"/>
    <col min="14" max="14" width="12.140625" customWidth="1"/>
    <col min="15" max="15" width="14.42578125" bestFit="1" customWidth="1"/>
  </cols>
  <sheetData>
    <row r="1" spans="1:15" s="1" customFormat="1" ht="30" x14ac:dyDescent="0.25">
      <c r="A1" s="1" t="s">
        <v>2142</v>
      </c>
      <c r="B1" s="1" t="s">
        <v>66</v>
      </c>
      <c r="C1" s="1" t="s">
        <v>2729</v>
      </c>
      <c r="D1" s="1" t="s">
        <v>2637</v>
      </c>
      <c r="E1" s="1" t="s">
        <v>2636</v>
      </c>
      <c r="F1" s="1" t="s">
        <v>2437</v>
      </c>
      <c r="G1" s="1" t="s">
        <v>2171</v>
      </c>
      <c r="H1" s="1" t="s">
        <v>2658</v>
      </c>
      <c r="I1" s="1" t="s">
        <v>2659</v>
      </c>
      <c r="J1" s="1" t="s">
        <v>2722</v>
      </c>
      <c r="K1" s="1" t="s">
        <v>2723</v>
      </c>
      <c r="L1" s="1" t="s">
        <v>2724</v>
      </c>
      <c r="M1" s="1" t="s">
        <v>2725</v>
      </c>
      <c r="N1" s="1" t="s">
        <v>2728</v>
      </c>
      <c r="O1" s="1" t="s">
        <v>4054</v>
      </c>
    </row>
    <row r="2" spans="1:15" x14ac:dyDescent="0.25">
      <c r="C2" t="s">
        <v>2657</v>
      </c>
    </row>
    <row r="3" spans="1:15" x14ac:dyDescent="0.25">
      <c r="A3">
        <v>1</v>
      </c>
      <c r="B3">
        <v>1</v>
      </c>
      <c r="C3">
        <v>1</v>
      </c>
      <c r="D3">
        <v>0</v>
      </c>
      <c r="E3">
        <v>0</v>
      </c>
      <c r="F3">
        <v>0</v>
      </c>
      <c r="G3">
        <v>0</v>
      </c>
      <c r="H3" s="2">
        <v>5</v>
      </c>
      <c r="I3" s="2">
        <v>7</v>
      </c>
      <c r="J3" t="s">
        <v>2660</v>
      </c>
      <c r="K3" t="s">
        <v>2661</v>
      </c>
      <c r="L3" t="s">
        <v>2662</v>
      </c>
      <c r="M3" t="s">
        <v>2663</v>
      </c>
      <c r="N3" t="s">
        <v>59</v>
      </c>
      <c r="O3">
        <v>0</v>
      </c>
    </row>
    <row r="4" spans="1:15" x14ac:dyDescent="0.25">
      <c r="A4">
        <v>2</v>
      </c>
      <c r="B4">
        <v>1</v>
      </c>
      <c r="C4">
        <v>-1</v>
      </c>
      <c r="D4">
        <v>-1</v>
      </c>
      <c r="E4">
        <v>-1</v>
      </c>
      <c r="F4">
        <v>0</v>
      </c>
      <c r="G4">
        <v>0</v>
      </c>
      <c r="H4" s="2">
        <v>6</v>
      </c>
      <c r="I4" s="2">
        <v>7</v>
      </c>
      <c r="J4" s="2" t="s">
        <v>59</v>
      </c>
      <c r="K4" s="2" t="s">
        <v>59</v>
      </c>
      <c r="L4" s="2" t="s">
        <v>59</v>
      </c>
      <c r="M4" s="2" t="s">
        <v>59</v>
      </c>
      <c r="N4" t="s">
        <v>59</v>
      </c>
      <c r="O4">
        <v>0</v>
      </c>
    </row>
    <row r="5" spans="1:15" x14ac:dyDescent="0.25">
      <c r="A5">
        <v>3</v>
      </c>
      <c r="B5">
        <v>1</v>
      </c>
      <c r="C5">
        <v>-1</v>
      </c>
      <c r="D5">
        <v>-1</v>
      </c>
      <c r="E5">
        <v>-1</v>
      </c>
      <c r="F5">
        <v>0</v>
      </c>
      <c r="G5">
        <v>0</v>
      </c>
      <c r="H5" s="2">
        <v>5</v>
      </c>
      <c r="I5" s="2">
        <v>8</v>
      </c>
      <c r="J5" s="2" t="s">
        <v>59</v>
      </c>
      <c r="K5" s="2" t="s">
        <v>59</v>
      </c>
      <c r="L5" s="2" t="s">
        <v>59</v>
      </c>
      <c r="M5" s="2" t="s">
        <v>59</v>
      </c>
      <c r="N5" t="s">
        <v>59</v>
      </c>
      <c r="O5">
        <v>0</v>
      </c>
    </row>
    <row r="6" spans="1:15" x14ac:dyDescent="0.25">
      <c r="A6">
        <v>4</v>
      </c>
      <c r="B6">
        <v>1</v>
      </c>
      <c r="C6">
        <v>-1</v>
      </c>
      <c r="D6">
        <v>-1</v>
      </c>
      <c r="E6">
        <v>-1</v>
      </c>
      <c r="F6">
        <v>0</v>
      </c>
      <c r="G6">
        <v>0</v>
      </c>
      <c r="H6" s="2">
        <v>6</v>
      </c>
      <c r="I6" s="2">
        <v>8</v>
      </c>
      <c r="J6" s="2" t="s">
        <v>59</v>
      </c>
      <c r="K6" s="2" t="s">
        <v>59</v>
      </c>
      <c r="L6" s="2" t="s">
        <v>59</v>
      </c>
      <c r="M6" s="2" t="s">
        <v>59</v>
      </c>
      <c r="N6" t="s">
        <v>59</v>
      </c>
      <c r="O6">
        <v>0</v>
      </c>
    </row>
    <row r="7" spans="1:15" x14ac:dyDescent="0.25">
      <c r="A7">
        <v>5</v>
      </c>
      <c r="B7">
        <v>2</v>
      </c>
      <c r="C7">
        <v>10</v>
      </c>
      <c r="D7">
        <v>45</v>
      </c>
      <c r="E7">
        <v>51</v>
      </c>
      <c r="F7">
        <v>0</v>
      </c>
      <c r="G7">
        <v>0</v>
      </c>
      <c r="H7" s="2">
        <v>7</v>
      </c>
      <c r="I7" s="2">
        <v>8</v>
      </c>
      <c r="J7" t="s">
        <v>2664</v>
      </c>
      <c r="K7" t="s">
        <v>2665</v>
      </c>
      <c r="L7" t="s">
        <v>2666</v>
      </c>
      <c r="M7" t="s">
        <v>2662</v>
      </c>
      <c r="N7">
        <v>8</v>
      </c>
      <c r="O7">
        <v>0</v>
      </c>
    </row>
    <row r="8" spans="1:15" x14ac:dyDescent="0.25">
      <c r="A8">
        <v>6</v>
      </c>
      <c r="B8">
        <v>3</v>
      </c>
      <c r="C8">
        <v>10</v>
      </c>
      <c r="D8">
        <v>45</v>
      </c>
      <c r="E8">
        <v>45</v>
      </c>
      <c r="F8">
        <v>0</v>
      </c>
      <c r="G8">
        <v>0</v>
      </c>
      <c r="H8" s="2">
        <v>7</v>
      </c>
      <c r="I8" s="2">
        <v>7</v>
      </c>
      <c r="J8" t="s">
        <v>2661</v>
      </c>
      <c r="K8" t="s">
        <v>2667</v>
      </c>
      <c r="L8" t="s">
        <v>2665</v>
      </c>
      <c r="M8" t="s">
        <v>2664</v>
      </c>
      <c r="N8">
        <v>8</v>
      </c>
      <c r="O8">
        <v>0</v>
      </c>
    </row>
    <row r="9" spans="1:15" x14ac:dyDescent="0.25">
      <c r="A9">
        <v>7</v>
      </c>
      <c r="B9">
        <v>4</v>
      </c>
      <c r="C9">
        <v>10</v>
      </c>
      <c r="D9">
        <v>45</v>
      </c>
      <c r="E9">
        <v>39</v>
      </c>
      <c r="F9">
        <v>0</v>
      </c>
      <c r="G9">
        <v>0</v>
      </c>
      <c r="H9" s="2">
        <v>7</v>
      </c>
      <c r="I9" s="2">
        <v>6</v>
      </c>
      <c r="J9" t="s">
        <v>2668</v>
      </c>
      <c r="K9" t="s">
        <v>2669</v>
      </c>
      <c r="L9" t="s">
        <v>2667</v>
      </c>
      <c r="M9" t="s">
        <v>2661</v>
      </c>
      <c r="N9">
        <v>8</v>
      </c>
      <c r="O9">
        <v>0</v>
      </c>
    </row>
    <row r="10" spans="1:15" x14ac:dyDescent="0.25">
      <c r="A10">
        <v>8</v>
      </c>
      <c r="B10">
        <v>5</v>
      </c>
      <c r="C10">
        <v>10</v>
      </c>
      <c r="D10">
        <v>39</v>
      </c>
      <c r="E10">
        <v>39</v>
      </c>
      <c r="F10">
        <v>0</v>
      </c>
      <c r="G10">
        <v>0</v>
      </c>
      <c r="H10" s="2">
        <v>6</v>
      </c>
      <c r="I10" s="2">
        <v>6</v>
      </c>
      <c r="J10" t="s">
        <v>2670</v>
      </c>
      <c r="K10" t="s">
        <v>2668</v>
      </c>
      <c r="L10" t="s">
        <v>2661</v>
      </c>
      <c r="M10" t="s">
        <v>2671</v>
      </c>
      <c r="N10">
        <v>8</v>
      </c>
      <c r="O10">
        <v>0</v>
      </c>
    </row>
    <row r="11" spans="1:15" x14ac:dyDescent="0.25">
      <c r="A11">
        <v>9</v>
      </c>
      <c r="B11">
        <v>6</v>
      </c>
      <c r="C11">
        <v>10</v>
      </c>
      <c r="D11">
        <v>33</v>
      </c>
      <c r="E11">
        <v>39</v>
      </c>
      <c r="F11">
        <v>0</v>
      </c>
      <c r="G11">
        <v>0</v>
      </c>
      <c r="H11" s="2">
        <v>5</v>
      </c>
      <c r="I11" s="2">
        <v>6</v>
      </c>
      <c r="J11" t="s">
        <v>2672</v>
      </c>
      <c r="K11" t="s">
        <v>2670</v>
      </c>
      <c r="L11" t="s">
        <v>2671</v>
      </c>
      <c r="M11" t="s">
        <v>2660</v>
      </c>
      <c r="N11">
        <v>8</v>
      </c>
      <c r="O11">
        <v>0</v>
      </c>
    </row>
    <row r="12" spans="1:15" x14ac:dyDescent="0.25">
      <c r="A12">
        <v>10</v>
      </c>
      <c r="B12">
        <v>7</v>
      </c>
      <c r="C12">
        <v>10</v>
      </c>
      <c r="D12">
        <v>27</v>
      </c>
      <c r="E12">
        <v>39</v>
      </c>
      <c r="F12">
        <v>0</v>
      </c>
      <c r="G12">
        <v>0</v>
      </c>
      <c r="H12" s="2">
        <v>4</v>
      </c>
      <c r="I12" s="2">
        <v>6</v>
      </c>
      <c r="J12" t="s">
        <v>2673</v>
      </c>
      <c r="K12" t="s">
        <v>2672</v>
      </c>
      <c r="L12" t="s">
        <v>2660</v>
      </c>
      <c r="M12" t="s">
        <v>2674</v>
      </c>
      <c r="N12">
        <v>8</v>
      </c>
      <c r="O12">
        <v>0</v>
      </c>
    </row>
    <row r="13" spans="1:15" x14ac:dyDescent="0.25">
      <c r="A13">
        <v>11</v>
      </c>
      <c r="B13">
        <v>8</v>
      </c>
      <c r="C13">
        <v>10</v>
      </c>
      <c r="D13">
        <v>27</v>
      </c>
      <c r="E13">
        <v>45</v>
      </c>
      <c r="F13">
        <v>0</v>
      </c>
      <c r="G13">
        <v>0</v>
      </c>
      <c r="H13" s="2">
        <v>4</v>
      </c>
      <c r="I13" s="2">
        <v>7</v>
      </c>
      <c r="J13" t="s">
        <v>2674</v>
      </c>
      <c r="K13" t="s">
        <v>2660</v>
      </c>
      <c r="L13" t="s">
        <v>2675</v>
      </c>
      <c r="M13" t="s">
        <v>2676</v>
      </c>
      <c r="N13">
        <v>1</v>
      </c>
      <c r="O13">
        <v>0</v>
      </c>
    </row>
    <row r="14" spans="1:15" x14ac:dyDescent="0.25">
      <c r="A14">
        <v>12</v>
      </c>
      <c r="B14">
        <v>9</v>
      </c>
      <c r="C14">
        <v>10</v>
      </c>
      <c r="D14">
        <v>27</v>
      </c>
      <c r="E14">
        <v>51</v>
      </c>
      <c r="F14">
        <v>0</v>
      </c>
      <c r="G14">
        <v>0</v>
      </c>
      <c r="H14" s="2">
        <v>4</v>
      </c>
      <c r="I14" s="2">
        <v>8</v>
      </c>
      <c r="J14" t="s">
        <v>2676</v>
      </c>
      <c r="K14" t="s">
        <v>2675</v>
      </c>
      <c r="L14" t="s">
        <v>2663</v>
      </c>
      <c r="M14" t="s">
        <v>2677</v>
      </c>
      <c r="N14">
        <v>8</v>
      </c>
      <c r="O14">
        <v>0</v>
      </c>
    </row>
    <row r="15" spans="1:15" x14ac:dyDescent="0.25">
      <c r="A15">
        <v>13</v>
      </c>
      <c r="B15">
        <v>11</v>
      </c>
      <c r="C15">
        <v>20</v>
      </c>
      <c r="D15">
        <v>51</v>
      </c>
      <c r="E15">
        <v>33</v>
      </c>
      <c r="F15">
        <v>0</v>
      </c>
      <c r="G15">
        <v>0</v>
      </c>
      <c r="H15" s="2">
        <v>8</v>
      </c>
      <c r="I15" s="2">
        <v>5</v>
      </c>
      <c r="J15" t="s">
        <v>2678</v>
      </c>
      <c r="K15" t="s">
        <v>2679</v>
      </c>
      <c r="L15" t="s">
        <v>2680</v>
      </c>
      <c r="M15" t="s">
        <v>2669</v>
      </c>
      <c r="N15">
        <v>-1</v>
      </c>
      <c r="O15">
        <v>0</v>
      </c>
    </row>
    <row r="16" spans="1:15" x14ac:dyDescent="0.25">
      <c r="A16">
        <v>14</v>
      </c>
      <c r="B16">
        <v>12</v>
      </c>
      <c r="C16">
        <v>20</v>
      </c>
      <c r="D16">
        <v>45</v>
      </c>
      <c r="E16">
        <v>33</v>
      </c>
      <c r="F16">
        <v>0</v>
      </c>
      <c r="G16">
        <v>0</v>
      </c>
      <c r="H16" s="2">
        <v>7</v>
      </c>
      <c r="I16" s="2">
        <v>5</v>
      </c>
      <c r="J16" t="s">
        <v>2681</v>
      </c>
      <c r="K16" t="s">
        <v>2678</v>
      </c>
      <c r="L16" t="s">
        <v>2669</v>
      </c>
      <c r="M16" t="s">
        <v>2668</v>
      </c>
      <c r="N16">
        <v>8</v>
      </c>
      <c r="O16">
        <v>0</v>
      </c>
    </row>
    <row r="17" spans="1:15" x14ac:dyDescent="0.25">
      <c r="A17">
        <v>15</v>
      </c>
      <c r="B17">
        <v>13</v>
      </c>
      <c r="C17">
        <v>20</v>
      </c>
      <c r="D17">
        <v>39</v>
      </c>
      <c r="E17">
        <v>33</v>
      </c>
      <c r="F17">
        <v>0</v>
      </c>
      <c r="G17">
        <v>0</v>
      </c>
      <c r="H17" s="2">
        <v>6</v>
      </c>
      <c r="I17" s="2">
        <v>5</v>
      </c>
      <c r="J17" t="s">
        <v>2682</v>
      </c>
      <c r="K17" t="s">
        <v>2681</v>
      </c>
      <c r="L17" t="s">
        <v>2668</v>
      </c>
      <c r="M17" t="s">
        <v>2670</v>
      </c>
      <c r="N17">
        <v>8</v>
      </c>
      <c r="O17">
        <v>0</v>
      </c>
    </row>
    <row r="18" spans="1:15" x14ac:dyDescent="0.25">
      <c r="A18">
        <v>16</v>
      </c>
      <c r="B18">
        <v>14</v>
      </c>
      <c r="C18">
        <v>20</v>
      </c>
      <c r="D18">
        <v>33</v>
      </c>
      <c r="E18">
        <v>33</v>
      </c>
      <c r="F18">
        <v>0</v>
      </c>
      <c r="G18">
        <v>0</v>
      </c>
      <c r="H18" s="2">
        <v>5</v>
      </c>
      <c r="I18" s="2">
        <v>5</v>
      </c>
      <c r="J18" t="s">
        <v>2683</v>
      </c>
      <c r="K18" t="s">
        <v>2682</v>
      </c>
      <c r="L18" t="s">
        <v>2670</v>
      </c>
      <c r="M18" t="s">
        <v>2672</v>
      </c>
      <c r="N18">
        <v>8</v>
      </c>
      <c r="O18">
        <v>0</v>
      </c>
    </row>
    <row r="19" spans="1:15" x14ac:dyDescent="0.25">
      <c r="A19">
        <v>17</v>
      </c>
      <c r="B19">
        <v>15</v>
      </c>
      <c r="C19">
        <v>20</v>
      </c>
      <c r="D19">
        <v>27</v>
      </c>
      <c r="E19">
        <v>33</v>
      </c>
      <c r="F19">
        <v>0</v>
      </c>
      <c r="G19">
        <v>0</v>
      </c>
      <c r="H19" s="2">
        <v>4</v>
      </c>
      <c r="I19" s="2">
        <v>5</v>
      </c>
      <c r="J19" t="s">
        <v>2684</v>
      </c>
      <c r="K19" t="s">
        <v>2683</v>
      </c>
      <c r="L19" t="s">
        <v>2672</v>
      </c>
      <c r="M19" t="s">
        <v>2673</v>
      </c>
      <c r="N19">
        <v>8</v>
      </c>
      <c r="O19">
        <v>0</v>
      </c>
    </row>
    <row r="20" spans="1:15" x14ac:dyDescent="0.25">
      <c r="A20">
        <v>18</v>
      </c>
      <c r="B20">
        <v>16</v>
      </c>
      <c r="C20">
        <v>20</v>
      </c>
      <c r="D20">
        <v>21</v>
      </c>
      <c r="E20">
        <v>33</v>
      </c>
      <c r="F20">
        <v>0</v>
      </c>
      <c r="G20">
        <v>0</v>
      </c>
      <c r="H20" s="2">
        <v>3</v>
      </c>
      <c r="I20" s="2">
        <v>5</v>
      </c>
      <c r="J20" t="s">
        <v>2685</v>
      </c>
      <c r="K20" t="s">
        <v>2684</v>
      </c>
      <c r="L20" t="s">
        <v>2673</v>
      </c>
      <c r="M20" t="s">
        <v>2686</v>
      </c>
      <c r="N20">
        <v>8</v>
      </c>
      <c r="O20">
        <v>0</v>
      </c>
    </row>
    <row r="21" spans="1:15" x14ac:dyDescent="0.25">
      <c r="A21">
        <v>19</v>
      </c>
      <c r="B21">
        <v>17</v>
      </c>
      <c r="C21">
        <v>20</v>
      </c>
      <c r="D21">
        <v>21</v>
      </c>
      <c r="E21">
        <v>39</v>
      </c>
      <c r="F21">
        <v>0</v>
      </c>
      <c r="G21">
        <v>0</v>
      </c>
      <c r="H21" s="2">
        <v>3</v>
      </c>
      <c r="I21" s="2">
        <v>6</v>
      </c>
      <c r="J21" t="s">
        <v>2686</v>
      </c>
      <c r="K21" t="s">
        <v>2673</v>
      </c>
      <c r="L21" t="s">
        <v>2674</v>
      </c>
      <c r="M21" t="s">
        <v>2687</v>
      </c>
      <c r="N21">
        <v>8</v>
      </c>
      <c r="O21">
        <v>0</v>
      </c>
    </row>
    <row r="22" spans="1:15" x14ac:dyDescent="0.25">
      <c r="A22">
        <v>20</v>
      </c>
      <c r="B22">
        <v>18</v>
      </c>
      <c r="C22">
        <v>20</v>
      </c>
      <c r="D22">
        <v>21</v>
      </c>
      <c r="E22">
        <v>45</v>
      </c>
      <c r="F22">
        <v>0</v>
      </c>
      <c r="G22">
        <v>0</v>
      </c>
      <c r="H22" s="2">
        <v>3</v>
      </c>
      <c r="I22" s="2">
        <v>7</v>
      </c>
      <c r="J22" t="s">
        <v>2687</v>
      </c>
      <c r="K22" t="s">
        <v>2674</v>
      </c>
      <c r="L22" t="s">
        <v>2676</v>
      </c>
      <c r="M22" t="s">
        <v>2688</v>
      </c>
      <c r="N22">
        <v>8</v>
      </c>
      <c r="O22">
        <v>0</v>
      </c>
    </row>
    <row r="23" spans="1:15" x14ac:dyDescent="0.25">
      <c r="A23">
        <v>21</v>
      </c>
      <c r="B23">
        <v>19</v>
      </c>
      <c r="C23">
        <v>20</v>
      </c>
      <c r="D23">
        <v>21</v>
      </c>
      <c r="E23">
        <v>51</v>
      </c>
      <c r="F23">
        <v>0</v>
      </c>
      <c r="G23">
        <v>0</v>
      </c>
      <c r="H23" s="2">
        <v>3</v>
      </c>
      <c r="I23" s="2">
        <v>8</v>
      </c>
      <c r="J23" t="s">
        <v>2688</v>
      </c>
      <c r="K23" t="s">
        <v>2676</v>
      </c>
      <c r="L23" t="s">
        <v>2677</v>
      </c>
      <c r="M23" t="s">
        <v>2689</v>
      </c>
      <c r="N23">
        <v>8</v>
      </c>
      <c r="O23">
        <v>0</v>
      </c>
    </row>
    <row r="24" spans="1:15" x14ac:dyDescent="0.25">
      <c r="A24">
        <v>22</v>
      </c>
      <c r="B24">
        <v>21</v>
      </c>
      <c r="C24">
        <v>30</v>
      </c>
      <c r="D24">
        <v>0</v>
      </c>
      <c r="E24">
        <v>0</v>
      </c>
      <c r="F24">
        <v>0</v>
      </c>
      <c r="G24">
        <v>0</v>
      </c>
      <c r="H24" s="2">
        <v>-1</v>
      </c>
      <c r="I24" s="2">
        <v>-1</v>
      </c>
      <c r="J24" s="2" t="s">
        <v>59</v>
      </c>
      <c r="K24" s="2" t="s">
        <v>59</v>
      </c>
      <c r="L24" s="2" t="s">
        <v>59</v>
      </c>
      <c r="M24" s="2" t="s">
        <v>59</v>
      </c>
      <c r="N24" t="s">
        <v>59</v>
      </c>
      <c r="O24">
        <v>0</v>
      </c>
    </row>
    <row r="25" spans="1:15" x14ac:dyDescent="0.25">
      <c r="A25">
        <v>23</v>
      </c>
      <c r="B25">
        <v>22</v>
      </c>
      <c r="C25">
        <v>30</v>
      </c>
      <c r="D25">
        <v>0</v>
      </c>
      <c r="E25">
        <v>0</v>
      </c>
      <c r="F25">
        <v>0</v>
      </c>
      <c r="G25">
        <v>0</v>
      </c>
      <c r="H25" s="2">
        <v>-1</v>
      </c>
      <c r="I25" s="2">
        <v>-1</v>
      </c>
      <c r="J25" s="2" t="s">
        <v>59</v>
      </c>
      <c r="K25" s="2" t="s">
        <v>59</v>
      </c>
      <c r="L25" s="2" t="s">
        <v>59</v>
      </c>
      <c r="M25" s="2" t="s">
        <v>59</v>
      </c>
      <c r="N25" t="s">
        <v>59</v>
      </c>
      <c r="O25">
        <v>0</v>
      </c>
    </row>
    <row r="26" spans="1:15" x14ac:dyDescent="0.25">
      <c r="A26">
        <v>24</v>
      </c>
      <c r="B26">
        <v>23</v>
      </c>
      <c r="C26">
        <v>30</v>
      </c>
      <c r="D26">
        <v>51</v>
      </c>
      <c r="E26">
        <v>27</v>
      </c>
      <c r="F26">
        <v>0</v>
      </c>
      <c r="G26">
        <v>0</v>
      </c>
      <c r="H26" s="2">
        <v>8</v>
      </c>
      <c r="I26" s="2">
        <v>4</v>
      </c>
      <c r="J26" t="s">
        <v>2690</v>
      </c>
      <c r="K26" t="s">
        <v>2691</v>
      </c>
      <c r="L26" t="s">
        <v>2679</v>
      </c>
      <c r="M26" t="s">
        <v>2678</v>
      </c>
      <c r="N26" t="s">
        <v>2726</v>
      </c>
      <c r="O26">
        <v>0</v>
      </c>
    </row>
    <row r="27" spans="1:15" x14ac:dyDescent="0.25">
      <c r="A27">
        <v>25</v>
      </c>
      <c r="B27">
        <v>24</v>
      </c>
      <c r="C27">
        <v>30</v>
      </c>
      <c r="D27">
        <v>45</v>
      </c>
      <c r="E27">
        <v>27</v>
      </c>
      <c r="F27">
        <v>0</v>
      </c>
      <c r="G27">
        <v>0</v>
      </c>
      <c r="H27" s="2">
        <v>7</v>
      </c>
      <c r="I27" s="2">
        <v>4</v>
      </c>
      <c r="J27" t="s">
        <v>2692</v>
      </c>
      <c r="K27" t="s">
        <v>2690</v>
      </c>
      <c r="L27" t="s">
        <v>2678</v>
      </c>
      <c r="M27" t="s">
        <v>2681</v>
      </c>
      <c r="N27">
        <v>8</v>
      </c>
      <c r="O27">
        <v>0</v>
      </c>
    </row>
    <row r="28" spans="1:15" x14ac:dyDescent="0.25">
      <c r="A28">
        <v>26</v>
      </c>
      <c r="B28">
        <v>25</v>
      </c>
      <c r="C28">
        <v>30</v>
      </c>
      <c r="D28">
        <v>39</v>
      </c>
      <c r="E28">
        <v>27</v>
      </c>
      <c r="F28">
        <v>0</v>
      </c>
      <c r="G28">
        <v>0</v>
      </c>
      <c r="H28" s="2">
        <v>6</v>
      </c>
      <c r="I28" s="2">
        <v>4</v>
      </c>
      <c r="J28" t="s">
        <v>2693</v>
      </c>
      <c r="K28" t="s">
        <v>2692</v>
      </c>
      <c r="L28" t="s">
        <v>2681</v>
      </c>
      <c r="M28" t="s">
        <v>2682</v>
      </c>
      <c r="N28">
        <v>8</v>
      </c>
      <c r="O28">
        <v>0</v>
      </c>
    </row>
    <row r="29" spans="1:15" x14ac:dyDescent="0.25">
      <c r="A29">
        <v>27</v>
      </c>
      <c r="B29">
        <v>26</v>
      </c>
      <c r="C29">
        <v>30</v>
      </c>
      <c r="D29">
        <v>33</v>
      </c>
      <c r="E29">
        <v>27</v>
      </c>
      <c r="F29">
        <v>0</v>
      </c>
      <c r="G29">
        <v>0</v>
      </c>
      <c r="H29" s="2">
        <v>5</v>
      </c>
      <c r="I29" s="2">
        <v>4</v>
      </c>
      <c r="J29" t="s">
        <v>2694</v>
      </c>
      <c r="K29" t="s">
        <v>2693</v>
      </c>
      <c r="L29" t="s">
        <v>2682</v>
      </c>
      <c r="M29" t="s">
        <v>2683</v>
      </c>
      <c r="N29">
        <v>8</v>
      </c>
      <c r="O29">
        <v>0</v>
      </c>
    </row>
    <row r="30" spans="1:15" x14ac:dyDescent="0.25">
      <c r="A30">
        <v>28</v>
      </c>
      <c r="B30">
        <v>27</v>
      </c>
      <c r="C30">
        <v>30</v>
      </c>
      <c r="D30">
        <v>27</v>
      </c>
      <c r="E30">
        <v>27</v>
      </c>
      <c r="F30">
        <v>0</v>
      </c>
      <c r="G30">
        <v>0</v>
      </c>
      <c r="H30" s="2">
        <v>4</v>
      </c>
      <c r="I30" s="2">
        <v>4</v>
      </c>
      <c r="J30" t="s">
        <v>2695</v>
      </c>
      <c r="K30" t="s">
        <v>2694</v>
      </c>
      <c r="L30" t="s">
        <v>2683</v>
      </c>
      <c r="M30" t="s">
        <v>2684</v>
      </c>
      <c r="N30">
        <v>8</v>
      </c>
      <c r="O30">
        <v>0</v>
      </c>
    </row>
    <row r="31" spans="1:15" x14ac:dyDescent="0.25">
      <c r="A31">
        <v>29</v>
      </c>
      <c r="B31">
        <v>28</v>
      </c>
      <c r="C31">
        <v>30</v>
      </c>
      <c r="D31">
        <v>21</v>
      </c>
      <c r="E31">
        <v>27</v>
      </c>
      <c r="F31">
        <v>0</v>
      </c>
      <c r="G31">
        <v>0</v>
      </c>
      <c r="H31" s="2">
        <v>3</v>
      </c>
      <c r="I31" s="2">
        <v>4</v>
      </c>
      <c r="J31" t="s">
        <v>2696</v>
      </c>
      <c r="K31" t="s">
        <v>2695</v>
      </c>
      <c r="L31" t="s">
        <v>2684</v>
      </c>
      <c r="M31" t="s">
        <v>2685</v>
      </c>
      <c r="N31">
        <v>8</v>
      </c>
      <c r="O31">
        <v>0</v>
      </c>
    </row>
    <row r="32" spans="1:15" x14ac:dyDescent="0.25">
      <c r="A32">
        <v>30</v>
      </c>
      <c r="B32">
        <v>29</v>
      </c>
      <c r="C32">
        <v>30</v>
      </c>
      <c r="D32">
        <v>15</v>
      </c>
      <c r="E32">
        <v>27</v>
      </c>
      <c r="F32">
        <v>0</v>
      </c>
      <c r="G32">
        <v>0</v>
      </c>
      <c r="H32" s="2">
        <v>2</v>
      </c>
      <c r="I32" s="2">
        <v>4</v>
      </c>
      <c r="J32" t="s">
        <v>2697</v>
      </c>
      <c r="K32" t="s">
        <v>2696</v>
      </c>
      <c r="L32" t="s">
        <v>2685</v>
      </c>
      <c r="M32" t="s">
        <v>2698</v>
      </c>
      <c r="N32">
        <v>8</v>
      </c>
      <c r="O32">
        <v>0</v>
      </c>
    </row>
    <row r="33" spans="1:15" x14ac:dyDescent="0.25">
      <c r="A33">
        <v>31</v>
      </c>
      <c r="B33">
        <v>30</v>
      </c>
      <c r="C33">
        <v>30</v>
      </c>
      <c r="D33">
        <v>15</v>
      </c>
      <c r="E33">
        <v>33</v>
      </c>
      <c r="F33">
        <v>0</v>
      </c>
      <c r="G33">
        <v>0</v>
      </c>
      <c r="H33" s="2">
        <v>2</v>
      </c>
      <c r="I33" s="2">
        <v>5</v>
      </c>
      <c r="J33" t="s">
        <v>2698</v>
      </c>
      <c r="K33" t="s">
        <v>2685</v>
      </c>
      <c r="L33" t="s">
        <v>2686</v>
      </c>
      <c r="M33" t="s">
        <v>2699</v>
      </c>
      <c r="N33">
        <v>8</v>
      </c>
      <c r="O33">
        <v>0</v>
      </c>
    </row>
    <row r="34" spans="1:15" x14ac:dyDescent="0.25">
      <c r="A34">
        <v>32</v>
      </c>
      <c r="B34">
        <v>31</v>
      </c>
      <c r="C34">
        <v>30</v>
      </c>
      <c r="D34">
        <v>15</v>
      </c>
      <c r="E34">
        <v>39</v>
      </c>
      <c r="F34">
        <v>0</v>
      </c>
      <c r="G34">
        <v>0</v>
      </c>
      <c r="H34" s="2">
        <v>2</v>
      </c>
      <c r="I34" s="2">
        <v>6</v>
      </c>
      <c r="J34" t="s">
        <v>2699</v>
      </c>
      <c r="K34" t="s">
        <v>2686</v>
      </c>
      <c r="L34" t="s">
        <v>2687</v>
      </c>
      <c r="M34" t="s">
        <v>2700</v>
      </c>
      <c r="N34">
        <v>8</v>
      </c>
      <c r="O34">
        <v>0</v>
      </c>
    </row>
    <row r="35" spans="1:15" x14ac:dyDescent="0.25">
      <c r="A35">
        <v>33</v>
      </c>
      <c r="B35">
        <v>32</v>
      </c>
      <c r="C35">
        <v>30</v>
      </c>
      <c r="D35">
        <v>15</v>
      </c>
      <c r="E35">
        <v>45</v>
      </c>
      <c r="F35">
        <v>0</v>
      </c>
      <c r="G35">
        <v>0</v>
      </c>
      <c r="H35" s="2">
        <v>2</v>
      </c>
      <c r="I35" s="2">
        <v>7</v>
      </c>
      <c r="J35" t="s">
        <v>2700</v>
      </c>
      <c r="K35" t="s">
        <v>2687</v>
      </c>
      <c r="L35" t="s">
        <v>2688</v>
      </c>
      <c r="M35" t="s">
        <v>2701</v>
      </c>
      <c r="N35">
        <v>8</v>
      </c>
      <c r="O35">
        <v>0</v>
      </c>
    </row>
    <row r="36" spans="1:15" x14ac:dyDescent="0.25">
      <c r="A36">
        <v>34</v>
      </c>
      <c r="B36">
        <v>33</v>
      </c>
      <c r="C36">
        <v>30</v>
      </c>
      <c r="D36">
        <v>15</v>
      </c>
      <c r="E36">
        <v>51</v>
      </c>
      <c r="F36">
        <v>0</v>
      </c>
      <c r="G36">
        <v>0</v>
      </c>
      <c r="H36" s="2">
        <v>2</v>
      </c>
      <c r="I36" s="2">
        <v>8</v>
      </c>
      <c r="J36" t="s">
        <v>2701</v>
      </c>
      <c r="K36" t="s">
        <v>2688</v>
      </c>
      <c r="L36" t="s">
        <v>2689</v>
      </c>
      <c r="M36" t="s">
        <v>2702</v>
      </c>
      <c r="N36">
        <v>8</v>
      </c>
      <c r="O36">
        <v>0</v>
      </c>
    </row>
    <row r="37" spans="1:15" x14ac:dyDescent="0.25">
      <c r="A37">
        <v>35</v>
      </c>
      <c r="B37">
        <v>34</v>
      </c>
      <c r="C37">
        <v>20</v>
      </c>
      <c r="D37">
        <v>21</v>
      </c>
      <c r="E37">
        <v>57</v>
      </c>
      <c r="F37">
        <v>0</v>
      </c>
      <c r="G37">
        <v>0</v>
      </c>
      <c r="H37" s="2">
        <v>3</v>
      </c>
      <c r="I37" s="2">
        <v>9</v>
      </c>
      <c r="J37" t="s">
        <v>2689</v>
      </c>
      <c r="K37" t="s">
        <v>2677</v>
      </c>
      <c r="L37" t="s">
        <v>2703</v>
      </c>
      <c r="M37" t="s">
        <v>2704</v>
      </c>
      <c r="N37">
        <v>8</v>
      </c>
      <c r="O37">
        <v>0</v>
      </c>
    </row>
    <row r="38" spans="1:15" x14ac:dyDescent="0.25">
      <c r="A38">
        <v>36</v>
      </c>
      <c r="B38">
        <v>35</v>
      </c>
      <c r="C38">
        <v>10</v>
      </c>
      <c r="D38">
        <v>27</v>
      </c>
      <c r="E38">
        <v>57</v>
      </c>
      <c r="F38">
        <v>0</v>
      </c>
      <c r="G38">
        <v>0</v>
      </c>
      <c r="H38" s="2">
        <v>4</v>
      </c>
      <c r="I38" s="2">
        <v>9</v>
      </c>
      <c r="J38" t="s">
        <v>2677</v>
      </c>
      <c r="K38" t="s">
        <v>2663</v>
      </c>
      <c r="L38" t="s">
        <v>2705</v>
      </c>
      <c r="M38" t="s">
        <v>2703</v>
      </c>
      <c r="N38">
        <v>8</v>
      </c>
      <c r="O38">
        <v>0</v>
      </c>
    </row>
    <row r="39" spans="1:15" x14ac:dyDescent="0.25">
      <c r="A39">
        <v>37</v>
      </c>
      <c r="B39">
        <v>36</v>
      </c>
      <c r="C39">
        <v>10</v>
      </c>
      <c r="D39">
        <v>33</v>
      </c>
      <c r="E39">
        <v>57</v>
      </c>
      <c r="F39">
        <v>0</v>
      </c>
      <c r="G39">
        <v>0</v>
      </c>
      <c r="H39" s="2">
        <v>5</v>
      </c>
      <c r="I39" s="2">
        <v>9</v>
      </c>
      <c r="J39" t="s">
        <v>2663</v>
      </c>
      <c r="K39" t="s">
        <v>2706</v>
      </c>
      <c r="L39" t="s">
        <v>2707</v>
      </c>
      <c r="M39" t="s">
        <v>2705</v>
      </c>
      <c r="N39">
        <v>8</v>
      </c>
      <c r="O39">
        <v>0</v>
      </c>
    </row>
    <row r="40" spans="1:15" x14ac:dyDescent="0.25">
      <c r="A40">
        <v>38</v>
      </c>
      <c r="B40">
        <v>37</v>
      </c>
      <c r="C40">
        <v>10</v>
      </c>
      <c r="D40">
        <v>39</v>
      </c>
      <c r="E40">
        <v>57</v>
      </c>
      <c r="F40">
        <v>0</v>
      </c>
      <c r="G40">
        <v>0</v>
      </c>
      <c r="H40" s="2">
        <v>6</v>
      </c>
      <c r="I40" s="2">
        <v>9</v>
      </c>
      <c r="J40" t="s">
        <v>2706</v>
      </c>
      <c r="K40" t="s">
        <v>2662</v>
      </c>
      <c r="L40" t="s">
        <v>2708</v>
      </c>
      <c r="M40" t="s">
        <v>2707</v>
      </c>
      <c r="N40">
        <v>8</v>
      </c>
      <c r="O40">
        <v>0</v>
      </c>
    </row>
    <row r="41" spans="1:15" x14ac:dyDescent="0.25">
      <c r="A41">
        <v>39</v>
      </c>
      <c r="B41">
        <v>38</v>
      </c>
      <c r="C41">
        <v>10</v>
      </c>
      <c r="D41">
        <v>45</v>
      </c>
      <c r="E41">
        <v>57</v>
      </c>
      <c r="F41">
        <v>0</v>
      </c>
      <c r="G41">
        <v>0</v>
      </c>
      <c r="H41" s="2">
        <v>7</v>
      </c>
      <c r="I41" s="2">
        <v>9</v>
      </c>
      <c r="J41" t="s">
        <v>2662</v>
      </c>
      <c r="K41" t="s">
        <v>2666</v>
      </c>
      <c r="L41" t="s">
        <v>2709</v>
      </c>
      <c r="M41" t="s">
        <v>2708</v>
      </c>
      <c r="N41">
        <v>8</v>
      </c>
      <c r="O41">
        <v>0</v>
      </c>
    </row>
    <row r="42" spans="1:15" x14ac:dyDescent="0.25">
      <c r="A42">
        <v>40</v>
      </c>
      <c r="B42">
        <v>39</v>
      </c>
      <c r="C42">
        <v>20</v>
      </c>
      <c r="D42">
        <v>51</v>
      </c>
      <c r="E42">
        <v>57</v>
      </c>
      <c r="F42">
        <v>0</v>
      </c>
      <c r="G42">
        <v>0</v>
      </c>
      <c r="H42">
        <v>8</v>
      </c>
      <c r="I42">
        <v>9</v>
      </c>
      <c r="J42" t="s">
        <v>2666</v>
      </c>
      <c r="K42" t="s">
        <v>2710</v>
      </c>
      <c r="L42" t="s">
        <v>2711</v>
      </c>
      <c r="M42" t="s">
        <v>2709</v>
      </c>
      <c r="N42">
        <v>-1</v>
      </c>
      <c r="O42">
        <v>0</v>
      </c>
    </row>
    <row r="43" spans="1:15" x14ac:dyDescent="0.25">
      <c r="A43">
        <v>41</v>
      </c>
      <c r="B43">
        <v>40</v>
      </c>
      <c r="C43">
        <v>30</v>
      </c>
      <c r="D43">
        <v>0</v>
      </c>
      <c r="E43">
        <v>0</v>
      </c>
      <c r="F43">
        <v>0</v>
      </c>
      <c r="G43">
        <v>0</v>
      </c>
      <c r="H43">
        <v>-1</v>
      </c>
      <c r="I43">
        <v>-1</v>
      </c>
      <c r="J43" s="2" t="s">
        <v>59</v>
      </c>
      <c r="K43" s="2" t="s">
        <v>59</v>
      </c>
      <c r="L43" s="2" t="s">
        <v>59</v>
      </c>
      <c r="M43" s="2" t="s">
        <v>59</v>
      </c>
      <c r="N43" t="s">
        <v>59</v>
      </c>
      <c r="O43">
        <v>0</v>
      </c>
    </row>
    <row r="44" spans="1:15" x14ac:dyDescent="0.25">
      <c r="A44">
        <v>42</v>
      </c>
      <c r="B44">
        <v>41</v>
      </c>
      <c r="C44">
        <v>30</v>
      </c>
      <c r="D44">
        <v>15</v>
      </c>
      <c r="E44">
        <v>57</v>
      </c>
      <c r="F44">
        <v>0</v>
      </c>
      <c r="G44">
        <v>0</v>
      </c>
      <c r="H44" s="2">
        <v>2</v>
      </c>
      <c r="I44" s="2">
        <v>9</v>
      </c>
      <c r="J44" t="s">
        <v>2702</v>
      </c>
      <c r="K44" t="s">
        <v>2689</v>
      </c>
      <c r="L44" t="s">
        <v>2704</v>
      </c>
      <c r="M44" t="s">
        <v>2712</v>
      </c>
      <c r="N44">
        <v>8</v>
      </c>
      <c r="O44">
        <v>0</v>
      </c>
    </row>
    <row r="45" spans="1:15" x14ac:dyDescent="0.25">
      <c r="A45">
        <v>43</v>
      </c>
      <c r="B45">
        <v>42</v>
      </c>
      <c r="C45">
        <v>1</v>
      </c>
      <c r="D45">
        <v>15</v>
      </c>
      <c r="E45">
        <v>63</v>
      </c>
      <c r="F45">
        <v>0</v>
      </c>
      <c r="G45">
        <v>0</v>
      </c>
      <c r="H45" s="2">
        <v>2</v>
      </c>
      <c r="I45" s="2">
        <v>10</v>
      </c>
      <c r="J45" t="s">
        <v>2712</v>
      </c>
      <c r="K45" t="s">
        <v>2704</v>
      </c>
      <c r="L45" t="s">
        <v>2713</v>
      </c>
      <c r="M45" t="s">
        <v>2714</v>
      </c>
      <c r="N45">
        <v>8</v>
      </c>
      <c r="O45">
        <v>1</v>
      </c>
    </row>
    <row r="46" spans="1:15" x14ac:dyDescent="0.25">
      <c r="A46">
        <v>44</v>
      </c>
      <c r="B46">
        <v>43</v>
      </c>
      <c r="C46">
        <v>1</v>
      </c>
      <c r="D46">
        <v>21</v>
      </c>
      <c r="E46">
        <v>63</v>
      </c>
      <c r="F46">
        <v>0</v>
      </c>
      <c r="G46">
        <v>0</v>
      </c>
      <c r="H46">
        <v>3</v>
      </c>
      <c r="I46">
        <v>10</v>
      </c>
      <c r="J46" t="s">
        <v>2704</v>
      </c>
      <c r="K46" t="s">
        <v>2703</v>
      </c>
      <c r="L46" t="s">
        <v>2715</v>
      </c>
      <c r="M46" t="s">
        <v>2713</v>
      </c>
      <c r="N46">
        <v>8</v>
      </c>
      <c r="O46">
        <v>1</v>
      </c>
    </row>
    <row r="47" spans="1:15" x14ac:dyDescent="0.25">
      <c r="A47">
        <v>45</v>
      </c>
      <c r="B47">
        <v>44</v>
      </c>
      <c r="C47">
        <v>1</v>
      </c>
      <c r="D47">
        <v>27</v>
      </c>
      <c r="E47">
        <v>63</v>
      </c>
      <c r="F47">
        <v>0</v>
      </c>
      <c r="G47">
        <v>0</v>
      </c>
      <c r="H47" s="2">
        <v>4</v>
      </c>
      <c r="I47" s="2">
        <v>10</v>
      </c>
      <c r="J47" t="s">
        <v>2703</v>
      </c>
      <c r="K47" t="s">
        <v>2705</v>
      </c>
      <c r="L47" t="s">
        <v>2716</v>
      </c>
      <c r="M47" t="s">
        <v>2715</v>
      </c>
      <c r="N47">
        <v>8</v>
      </c>
      <c r="O47">
        <v>1</v>
      </c>
    </row>
    <row r="48" spans="1:15" x14ac:dyDescent="0.25">
      <c r="A48">
        <v>46</v>
      </c>
      <c r="B48">
        <v>45</v>
      </c>
      <c r="C48">
        <v>1</v>
      </c>
      <c r="D48">
        <v>33</v>
      </c>
      <c r="E48">
        <v>63</v>
      </c>
      <c r="F48">
        <v>0</v>
      </c>
      <c r="G48">
        <v>0</v>
      </c>
      <c r="H48">
        <v>5</v>
      </c>
      <c r="I48">
        <v>10</v>
      </c>
      <c r="J48" t="s">
        <v>2705</v>
      </c>
      <c r="K48" t="s">
        <v>2707</v>
      </c>
      <c r="L48" t="s">
        <v>2717</v>
      </c>
      <c r="M48" t="s">
        <v>2716</v>
      </c>
      <c r="N48">
        <v>8</v>
      </c>
      <c r="O48">
        <v>1</v>
      </c>
    </row>
    <row r="49" spans="1:15" x14ac:dyDescent="0.25">
      <c r="A49">
        <v>47</v>
      </c>
      <c r="B49">
        <v>46</v>
      </c>
      <c r="C49">
        <v>1</v>
      </c>
      <c r="D49">
        <v>39</v>
      </c>
      <c r="E49">
        <v>63</v>
      </c>
      <c r="F49">
        <v>0</v>
      </c>
      <c r="G49">
        <v>0</v>
      </c>
      <c r="H49">
        <v>6</v>
      </c>
      <c r="I49">
        <v>10</v>
      </c>
      <c r="J49" t="s">
        <v>2707</v>
      </c>
      <c r="K49" t="s">
        <v>2708</v>
      </c>
      <c r="L49" t="s">
        <v>2718</v>
      </c>
      <c r="M49" t="s">
        <v>2717</v>
      </c>
      <c r="N49">
        <v>8</v>
      </c>
      <c r="O49">
        <v>1</v>
      </c>
    </row>
    <row r="50" spans="1:15" x14ac:dyDescent="0.25">
      <c r="A50">
        <v>48</v>
      </c>
      <c r="B50">
        <v>47</v>
      </c>
      <c r="C50">
        <v>1</v>
      </c>
      <c r="D50">
        <v>45</v>
      </c>
      <c r="E50">
        <v>63</v>
      </c>
      <c r="F50">
        <v>0</v>
      </c>
      <c r="G50">
        <v>0</v>
      </c>
      <c r="H50">
        <v>7</v>
      </c>
      <c r="I50">
        <v>10</v>
      </c>
      <c r="J50" t="s">
        <v>2708</v>
      </c>
      <c r="K50" t="s">
        <v>2709</v>
      </c>
      <c r="L50" t="s">
        <v>2719</v>
      </c>
      <c r="M50" t="s">
        <v>2718</v>
      </c>
      <c r="N50">
        <v>8</v>
      </c>
      <c r="O50">
        <v>1</v>
      </c>
    </row>
    <row r="51" spans="1:15" x14ac:dyDescent="0.25">
      <c r="A51">
        <v>49</v>
      </c>
      <c r="B51">
        <v>99</v>
      </c>
      <c r="C51">
        <v>3</v>
      </c>
      <c r="D51">
        <v>54</v>
      </c>
      <c r="E51">
        <v>46</v>
      </c>
      <c r="F51">
        <v>5</v>
      </c>
      <c r="G51">
        <v>1000</v>
      </c>
      <c r="H51" s="2">
        <v>8</v>
      </c>
      <c r="I51" s="2">
        <v>6</v>
      </c>
      <c r="J51" t="s">
        <v>2669</v>
      </c>
      <c r="K51" t="s">
        <v>2720</v>
      </c>
      <c r="L51" t="s">
        <v>2721</v>
      </c>
      <c r="M51" t="s">
        <v>2666</v>
      </c>
      <c r="N51" s="7" t="s">
        <v>2727</v>
      </c>
      <c r="O51">
        <v>0</v>
      </c>
    </row>
    <row r="52" spans="1:15" x14ac:dyDescent="0.25">
      <c r="A52">
        <v>50</v>
      </c>
      <c r="B52">
        <v>99</v>
      </c>
      <c r="C52">
        <v>-1</v>
      </c>
      <c r="D52">
        <v>-1</v>
      </c>
      <c r="E52">
        <v>-1</v>
      </c>
      <c r="F52">
        <v>-1</v>
      </c>
      <c r="G52">
        <v>-1</v>
      </c>
      <c r="H52" s="2">
        <v>9</v>
      </c>
      <c r="I52" s="2">
        <v>6</v>
      </c>
      <c r="J52" s="2" t="s">
        <v>59</v>
      </c>
      <c r="K52" s="2" t="s">
        <v>59</v>
      </c>
      <c r="L52" s="2" t="s">
        <v>59</v>
      </c>
      <c r="M52" s="2" t="s">
        <v>59</v>
      </c>
      <c r="N52" t="s">
        <v>59</v>
      </c>
      <c r="O52">
        <v>0</v>
      </c>
    </row>
    <row r="53" spans="1:15" x14ac:dyDescent="0.25">
      <c r="A53">
        <v>51</v>
      </c>
      <c r="B53">
        <v>99</v>
      </c>
      <c r="C53">
        <v>-1</v>
      </c>
      <c r="D53">
        <v>-1</v>
      </c>
      <c r="E53">
        <v>-1</v>
      </c>
      <c r="F53">
        <v>-1</v>
      </c>
      <c r="G53">
        <v>-1</v>
      </c>
      <c r="H53" s="2">
        <v>8</v>
      </c>
      <c r="I53" s="2">
        <v>7</v>
      </c>
      <c r="J53" s="2" t="s">
        <v>59</v>
      </c>
      <c r="K53" s="2" t="s">
        <v>59</v>
      </c>
      <c r="L53" s="2" t="s">
        <v>59</v>
      </c>
      <c r="M53" s="2" t="s">
        <v>59</v>
      </c>
      <c r="N53" t="s">
        <v>59</v>
      </c>
      <c r="O53">
        <v>0</v>
      </c>
    </row>
    <row r="54" spans="1:15" x14ac:dyDescent="0.25">
      <c r="A54">
        <v>52</v>
      </c>
      <c r="B54">
        <v>99</v>
      </c>
      <c r="C54">
        <v>-1</v>
      </c>
      <c r="D54">
        <v>-1</v>
      </c>
      <c r="E54">
        <v>-1</v>
      </c>
      <c r="F54">
        <v>-1</v>
      </c>
      <c r="G54">
        <v>-1</v>
      </c>
      <c r="H54" s="2">
        <v>9</v>
      </c>
      <c r="I54" s="2">
        <v>7</v>
      </c>
      <c r="J54" s="2" t="s">
        <v>59</v>
      </c>
      <c r="K54" s="2" t="s">
        <v>59</v>
      </c>
      <c r="L54" s="2" t="s">
        <v>59</v>
      </c>
      <c r="M54" s="2" t="s">
        <v>59</v>
      </c>
      <c r="N54" t="s">
        <v>59</v>
      </c>
      <c r="O54">
        <v>0</v>
      </c>
    </row>
    <row r="55" spans="1:15" x14ac:dyDescent="0.25">
      <c r="A55">
        <v>53</v>
      </c>
      <c r="B55">
        <v>99</v>
      </c>
      <c r="C55">
        <v>-1</v>
      </c>
      <c r="D55">
        <v>-1</v>
      </c>
      <c r="E55">
        <v>-1</v>
      </c>
      <c r="F55">
        <v>-1</v>
      </c>
      <c r="G55">
        <v>-1</v>
      </c>
      <c r="H55" s="2">
        <v>8</v>
      </c>
      <c r="I55" s="2">
        <v>8</v>
      </c>
      <c r="J55" s="2" t="s">
        <v>59</v>
      </c>
      <c r="K55" s="2" t="s">
        <v>59</v>
      </c>
      <c r="L55" s="2" t="s">
        <v>59</v>
      </c>
      <c r="M55" s="2" t="s">
        <v>59</v>
      </c>
      <c r="N55" t="s">
        <v>59</v>
      </c>
      <c r="O55">
        <v>0</v>
      </c>
    </row>
    <row r="56" spans="1:15" x14ac:dyDescent="0.25">
      <c r="A56">
        <v>54</v>
      </c>
      <c r="B56">
        <v>99</v>
      </c>
      <c r="C56">
        <v>-1</v>
      </c>
      <c r="D56">
        <v>-1</v>
      </c>
      <c r="E56">
        <v>-1</v>
      </c>
      <c r="F56">
        <v>-1</v>
      </c>
      <c r="G56">
        <v>-1</v>
      </c>
      <c r="H56" s="2">
        <v>9</v>
      </c>
      <c r="I56" s="2">
        <v>8</v>
      </c>
      <c r="J56" s="2" t="s">
        <v>59</v>
      </c>
      <c r="K56" s="2" t="s">
        <v>59</v>
      </c>
      <c r="L56" s="2" t="s">
        <v>59</v>
      </c>
      <c r="M56" s="2" t="s">
        <v>59</v>
      </c>
      <c r="N56" t="s">
        <v>59</v>
      </c>
      <c r="O56">
        <v>0</v>
      </c>
    </row>
    <row r="57" spans="1:15" x14ac:dyDescent="0.25">
      <c r="A57">
        <v>55</v>
      </c>
      <c r="B57">
        <v>1000</v>
      </c>
      <c r="C57">
        <v>1</v>
      </c>
      <c r="D57">
        <v>0</v>
      </c>
      <c r="E57">
        <v>0</v>
      </c>
      <c r="F57">
        <v>0</v>
      </c>
      <c r="G57">
        <v>0</v>
      </c>
      <c r="H57" s="2">
        <v>-1</v>
      </c>
      <c r="I57" s="2">
        <v>-1</v>
      </c>
      <c r="J57" s="2" t="s">
        <v>59</v>
      </c>
      <c r="K57" s="2" t="s">
        <v>59</v>
      </c>
      <c r="L57" s="2" t="s">
        <v>59</v>
      </c>
      <c r="M57" s="2" t="s">
        <v>59</v>
      </c>
      <c r="N57" t="s">
        <v>59</v>
      </c>
      <c r="O57">
        <v>0</v>
      </c>
    </row>
  </sheetData>
  <sortState ref="A2:N94">
    <sortCondition ref="A2:A94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2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F1"/>
    </sheetView>
  </sheetViews>
  <sheetFormatPr defaultRowHeight="15" x14ac:dyDescent="0.25"/>
  <cols>
    <col min="1" max="1" width="5" bestFit="1" customWidth="1"/>
    <col min="2" max="2" width="5.5703125" bestFit="1" customWidth="1"/>
    <col min="3" max="3" width="7.85546875" bestFit="1" customWidth="1"/>
    <col min="4" max="4" width="41.42578125" bestFit="1" customWidth="1"/>
    <col min="5" max="6" width="9.5703125" customWidth="1"/>
  </cols>
  <sheetData>
    <row r="1" spans="1:6" s="1" customFormat="1" ht="30" x14ac:dyDescent="0.25">
      <c r="A1" s="1" t="s">
        <v>2142</v>
      </c>
      <c r="B1" s="1" t="s">
        <v>3958</v>
      </c>
      <c r="C1" s="1" t="s">
        <v>3957</v>
      </c>
      <c r="D1" s="1" t="s">
        <v>2329</v>
      </c>
      <c r="E1" s="1" t="s">
        <v>2629</v>
      </c>
      <c r="F1" s="1" t="s">
        <v>2630</v>
      </c>
    </row>
    <row r="3" spans="1:6" x14ac:dyDescent="0.25">
      <c r="A3">
        <v>1</v>
      </c>
      <c r="B3">
        <v>2</v>
      </c>
      <c r="C3">
        <v>4002</v>
      </c>
      <c r="D3" t="s">
        <v>2730</v>
      </c>
      <c r="E3">
        <v>1000</v>
      </c>
      <c r="F3">
        <v>860</v>
      </c>
    </row>
    <row r="4" spans="1:6" x14ac:dyDescent="0.25">
      <c r="A4">
        <v>2</v>
      </c>
      <c r="B4">
        <v>2</v>
      </c>
      <c r="C4">
        <v>4002</v>
      </c>
      <c r="D4" t="s">
        <v>2731</v>
      </c>
      <c r="E4">
        <v>1040</v>
      </c>
      <c r="F4">
        <v>856</v>
      </c>
    </row>
    <row r="5" spans="1:6" x14ac:dyDescent="0.25">
      <c r="A5">
        <v>3</v>
      </c>
      <c r="B5">
        <v>2</v>
      </c>
      <c r="C5">
        <v>4002</v>
      </c>
      <c r="D5" t="s">
        <v>2732</v>
      </c>
      <c r="E5">
        <v>981</v>
      </c>
      <c r="F5">
        <v>919</v>
      </c>
    </row>
    <row r="6" spans="1:6" x14ac:dyDescent="0.25">
      <c r="A6">
        <v>4</v>
      </c>
      <c r="B6">
        <v>2</v>
      </c>
      <c r="C6">
        <v>4005</v>
      </c>
      <c r="D6" t="s">
        <v>2733</v>
      </c>
      <c r="E6">
        <v>999</v>
      </c>
      <c r="F6">
        <v>918</v>
      </c>
    </row>
    <row r="7" spans="1:6" x14ac:dyDescent="0.25">
      <c r="A7">
        <v>5</v>
      </c>
      <c r="B7">
        <v>2</v>
      </c>
      <c r="C7">
        <v>4005</v>
      </c>
      <c r="D7" t="s">
        <v>2734</v>
      </c>
      <c r="E7">
        <v>1041</v>
      </c>
      <c r="F7">
        <v>903</v>
      </c>
    </row>
    <row r="8" spans="1:6" x14ac:dyDescent="0.25">
      <c r="A8">
        <v>6</v>
      </c>
      <c r="B8">
        <v>2</v>
      </c>
      <c r="C8">
        <v>4005</v>
      </c>
      <c r="D8" t="s">
        <v>2735</v>
      </c>
      <c r="E8">
        <v>1026</v>
      </c>
      <c r="F8">
        <v>882</v>
      </c>
    </row>
    <row r="9" spans="1:6" x14ac:dyDescent="0.25">
      <c r="A9">
        <v>7</v>
      </c>
      <c r="B9">
        <v>2</v>
      </c>
      <c r="C9">
        <v>4045</v>
      </c>
      <c r="D9" t="s">
        <v>2736</v>
      </c>
      <c r="E9">
        <v>977</v>
      </c>
      <c r="F9">
        <v>862</v>
      </c>
    </row>
    <row r="10" spans="1:6" x14ac:dyDescent="0.25">
      <c r="A10">
        <v>8</v>
      </c>
      <c r="B10">
        <v>2</v>
      </c>
      <c r="C10">
        <v>4045</v>
      </c>
      <c r="D10" t="s">
        <v>2737</v>
      </c>
      <c r="E10">
        <v>987</v>
      </c>
      <c r="F10">
        <v>891</v>
      </c>
    </row>
    <row r="11" spans="1:6" x14ac:dyDescent="0.25">
      <c r="A11">
        <v>9</v>
      </c>
      <c r="B11">
        <v>2</v>
      </c>
      <c r="C11">
        <v>4008</v>
      </c>
      <c r="D11" t="s">
        <v>2738</v>
      </c>
      <c r="E11">
        <v>1052</v>
      </c>
      <c r="F11">
        <v>884</v>
      </c>
    </row>
    <row r="12" spans="1:6" x14ac:dyDescent="0.25">
      <c r="A12">
        <v>10</v>
      </c>
      <c r="B12">
        <v>2</v>
      </c>
      <c r="C12">
        <v>4008</v>
      </c>
      <c r="D12" t="s">
        <v>2739</v>
      </c>
      <c r="E12">
        <v>1038</v>
      </c>
      <c r="F12">
        <v>864</v>
      </c>
    </row>
    <row r="13" spans="1:6" x14ac:dyDescent="0.25">
      <c r="A13">
        <v>11</v>
      </c>
      <c r="B13">
        <v>2</v>
      </c>
      <c r="C13">
        <v>4007</v>
      </c>
      <c r="D13" t="s">
        <v>2740</v>
      </c>
      <c r="E13">
        <v>996</v>
      </c>
      <c r="F13">
        <v>880</v>
      </c>
    </row>
    <row r="14" spans="1:6" x14ac:dyDescent="0.25">
      <c r="A14">
        <v>12</v>
      </c>
      <c r="B14">
        <v>2</v>
      </c>
      <c r="C14">
        <v>4007</v>
      </c>
      <c r="D14" t="s">
        <v>2741</v>
      </c>
      <c r="E14">
        <v>1035</v>
      </c>
      <c r="F14">
        <v>908</v>
      </c>
    </row>
    <row r="15" spans="1:6" x14ac:dyDescent="0.25">
      <c r="A15">
        <v>13</v>
      </c>
      <c r="B15">
        <v>2</v>
      </c>
      <c r="C15">
        <v>4004</v>
      </c>
      <c r="D15" t="s">
        <v>2742</v>
      </c>
      <c r="E15">
        <v>965</v>
      </c>
      <c r="F15">
        <v>896</v>
      </c>
    </row>
    <row r="16" spans="1:6" x14ac:dyDescent="0.25">
      <c r="A16">
        <v>14</v>
      </c>
      <c r="B16">
        <v>2</v>
      </c>
      <c r="C16">
        <v>4004</v>
      </c>
      <c r="D16" t="s">
        <v>2743</v>
      </c>
      <c r="E16">
        <v>1056</v>
      </c>
      <c r="F16">
        <v>887</v>
      </c>
    </row>
    <row r="17" spans="1:6" x14ac:dyDescent="0.25">
      <c r="A17">
        <v>15</v>
      </c>
      <c r="B17">
        <v>2</v>
      </c>
      <c r="C17">
        <v>4009</v>
      </c>
      <c r="D17" t="s">
        <v>2744</v>
      </c>
      <c r="E17">
        <v>980</v>
      </c>
      <c r="F17">
        <v>924</v>
      </c>
    </row>
    <row r="18" spans="1:6" x14ac:dyDescent="0.25">
      <c r="A18">
        <v>16</v>
      </c>
      <c r="B18">
        <v>2</v>
      </c>
      <c r="C18">
        <v>4009</v>
      </c>
      <c r="D18" t="s">
        <v>2745</v>
      </c>
      <c r="E18">
        <v>1045</v>
      </c>
      <c r="F18">
        <v>906</v>
      </c>
    </row>
    <row r="19" spans="1:6" x14ac:dyDescent="0.25">
      <c r="A19">
        <v>17</v>
      </c>
      <c r="B19">
        <v>2</v>
      </c>
      <c r="C19">
        <v>4044</v>
      </c>
      <c r="D19" t="s">
        <v>2746</v>
      </c>
      <c r="E19">
        <v>1045</v>
      </c>
      <c r="F19">
        <v>863</v>
      </c>
    </row>
    <row r="20" spans="1:6" x14ac:dyDescent="0.25">
      <c r="A20">
        <v>18</v>
      </c>
      <c r="B20">
        <v>2</v>
      </c>
      <c r="C20">
        <v>4044</v>
      </c>
      <c r="D20" t="s">
        <v>2747</v>
      </c>
      <c r="E20">
        <v>974</v>
      </c>
      <c r="F20">
        <v>874</v>
      </c>
    </row>
    <row r="21" spans="1:6" x14ac:dyDescent="0.25">
      <c r="A21">
        <v>19</v>
      </c>
      <c r="B21">
        <v>2</v>
      </c>
      <c r="C21">
        <v>4011</v>
      </c>
      <c r="D21" t="s">
        <v>2748</v>
      </c>
      <c r="E21">
        <v>990</v>
      </c>
      <c r="F21">
        <v>891</v>
      </c>
    </row>
    <row r="22" spans="1:6" x14ac:dyDescent="0.25">
      <c r="A22">
        <v>20</v>
      </c>
      <c r="B22">
        <v>2</v>
      </c>
      <c r="C22">
        <v>4013</v>
      </c>
      <c r="D22" t="s">
        <v>2749</v>
      </c>
      <c r="E22">
        <v>1044</v>
      </c>
      <c r="F22">
        <v>916</v>
      </c>
    </row>
    <row r="23" spans="1:6" x14ac:dyDescent="0.25">
      <c r="A23">
        <v>21</v>
      </c>
      <c r="B23">
        <v>3</v>
      </c>
      <c r="C23">
        <v>4002</v>
      </c>
      <c r="D23" t="s">
        <v>2750</v>
      </c>
      <c r="E23">
        <v>895</v>
      </c>
      <c r="F23">
        <v>865</v>
      </c>
    </row>
    <row r="24" spans="1:6" x14ac:dyDescent="0.25">
      <c r="A24">
        <v>22</v>
      </c>
      <c r="B24">
        <v>3</v>
      </c>
      <c r="C24">
        <v>4002</v>
      </c>
      <c r="D24" t="s">
        <v>2751</v>
      </c>
      <c r="E24">
        <v>919</v>
      </c>
      <c r="F24">
        <v>930</v>
      </c>
    </row>
    <row r="25" spans="1:6" x14ac:dyDescent="0.25">
      <c r="A25">
        <v>23</v>
      </c>
      <c r="B25">
        <v>3</v>
      </c>
      <c r="C25">
        <v>4002</v>
      </c>
      <c r="D25" t="s">
        <v>2752</v>
      </c>
      <c r="E25">
        <v>874</v>
      </c>
      <c r="F25">
        <v>877</v>
      </c>
    </row>
    <row r="26" spans="1:6" x14ac:dyDescent="0.25">
      <c r="A26">
        <v>24</v>
      </c>
      <c r="B26">
        <v>3</v>
      </c>
      <c r="C26">
        <v>4005</v>
      </c>
      <c r="D26" t="s">
        <v>2753</v>
      </c>
      <c r="E26">
        <v>884</v>
      </c>
      <c r="F26">
        <v>946</v>
      </c>
    </row>
    <row r="27" spans="1:6" x14ac:dyDescent="0.25">
      <c r="A27">
        <v>25</v>
      </c>
      <c r="B27">
        <v>3</v>
      </c>
      <c r="C27">
        <v>4005</v>
      </c>
      <c r="D27" t="s">
        <v>2754</v>
      </c>
      <c r="E27">
        <v>850</v>
      </c>
      <c r="F27">
        <v>914</v>
      </c>
    </row>
    <row r="28" spans="1:6" x14ac:dyDescent="0.25">
      <c r="A28">
        <v>26</v>
      </c>
      <c r="B28">
        <v>3</v>
      </c>
      <c r="C28">
        <v>4005</v>
      </c>
      <c r="D28" t="s">
        <v>2755</v>
      </c>
      <c r="E28">
        <v>852</v>
      </c>
      <c r="F28">
        <v>876</v>
      </c>
    </row>
    <row r="29" spans="1:6" x14ac:dyDescent="0.25">
      <c r="A29">
        <v>27</v>
      </c>
      <c r="B29">
        <v>3</v>
      </c>
      <c r="C29">
        <v>4045</v>
      </c>
      <c r="D29" t="s">
        <v>2756</v>
      </c>
      <c r="E29">
        <v>916</v>
      </c>
      <c r="F29">
        <v>876</v>
      </c>
    </row>
    <row r="30" spans="1:6" x14ac:dyDescent="0.25">
      <c r="A30">
        <v>28</v>
      </c>
      <c r="B30">
        <v>3</v>
      </c>
      <c r="C30">
        <v>4045</v>
      </c>
      <c r="D30" t="s">
        <v>2757</v>
      </c>
      <c r="E30">
        <v>853</v>
      </c>
      <c r="F30">
        <v>868</v>
      </c>
    </row>
    <row r="31" spans="1:6" x14ac:dyDescent="0.25">
      <c r="A31">
        <v>29</v>
      </c>
      <c r="B31">
        <v>3</v>
      </c>
      <c r="C31">
        <v>4008</v>
      </c>
      <c r="D31" t="s">
        <v>2758</v>
      </c>
      <c r="E31">
        <v>863</v>
      </c>
      <c r="F31">
        <v>885</v>
      </c>
    </row>
    <row r="32" spans="1:6" x14ac:dyDescent="0.25">
      <c r="A32">
        <v>30</v>
      </c>
      <c r="B32">
        <v>3</v>
      </c>
      <c r="C32">
        <v>4008</v>
      </c>
      <c r="D32" t="s">
        <v>2759</v>
      </c>
      <c r="E32">
        <v>845</v>
      </c>
      <c r="F32">
        <v>877</v>
      </c>
    </row>
    <row r="33" spans="1:6" x14ac:dyDescent="0.25">
      <c r="A33">
        <v>31</v>
      </c>
      <c r="B33">
        <v>3</v>
      </c>
      <c r="C33">
        <v>4007</v>
      </c>
      <c r="D33" t="s">
        <v>2760</v>
      </c>
      <c r="E33">
        <v>911</v>
      </c>
      <c r="F33">
        <v>889</v>
      </c>
    </row>
    <row r="34" spans="1:6" x14ac:dyDescent="0.25">
      <c r="A34">
        <v>32</v>
      </c>
      <c r="B34">
        <v>3</v>
      </c>
      <c r="C34">
        <v>4007</v>
      </c>
      <c r="D34" t="s">
        <v>2761</v>
      </c>
      <c r="E34">
        <v>921</v>
      </c>
      <c r="F34">
        <v>866</v>
      </c>
    </row>
    <row r="35" spans="1:6" x14ac:dyDescent="0.25">
      <c r="A35">
        <v>33</v>
      </c>
      <c r="B35">
        <v>3</v>
      </c>
      <c r="C35">
        <v>4004</v>
      </c>
      <c r="D35" t="s">
        <v>2762</v>
      </c>
      <c r="E35">
        <v>852</v>
      </c>
      <c r="F35">
        <v>927</v>
      </c>
    </row>
    <row r="36" spans="1:6" x14ac:dyDescent="0.25">
      <c r="A36">
        <v>34</v>
      </c>
      <c r="B36">
        <v>3</v>
      </c>
      <c r="C36">
        <v>4004</v>
      </c>
      <c r="D36" t="s">
        <v>2763</v>
      </c>
      <c r="E36">
        <v>924</v>
      </c>
      <c r="F36">
        <v>880</v>
      </c>
    </row>
    <row r="37" spans="1:6" x14ac:dyDescent="0.25">
      <c r="A37">
        <v>35</v>
      </c>
      <c r="B37">
        <v>3</v>
      </c>
      <c r="C37">
        <v>4009</v>
      </c>
      <c r="D37" t="s">
        <v>2764</v>
      </c>
      <c r="E37">
        <v>874</v>
      </c>
      <c r="F37">
        <v>865</v>
      </c>
    </row>
    <row r="38" spans="1:6" x14ac:dyDescent="0.25">
      <c r="A38">
        <v>36</v>
      </c>
      <c r="B38">
        <v>3</v>
      </c>
      <c r="C38">
        <v>4009</v>
      </c>
      <c r="D38" t="s">
        <v>2765</v>
      </c>
      <c r="E38">
        <v>930</v>
      </c>
      <c r="F38">
        <v>905</v>
      </c>
    </row>
    <row r="39" spans="1:6" x14ac:dyDescent="0.25">
      <c r="A39">
        <v>37</v>
      </c>
      <c r="B39">
        <v>3</v>
      </c>
      <c r="C39">
        <v>4044</v>
      </c>
      <c r="D39" t="s">
        <v>2766</v>
      </c>
      <c r="E39">
        <v>848</v>
      </c>
      <c r="F39">
        <v>921</v>
      </c>
    </row>
    <row r="40" spans="1:6" x14ac:dyDescent="0.25">
      <c r="A40">
        <v>38</v>
      </c>
      <c r="B40">
        <v>3</v>
      </c>
      <c r="C40">
        <v>4044</v>
      </c>
      <c r="D40" t="s">
        <v>2767</v>
      </c>
      <c r="E40">
        <v>922</v>
      </c>
      <c r="F40">
        <v>940</v>
      </c>
    </row>
    <row r="41" spans="1:6" x14ac:dyDescent="0.25">
      <c r="A41">
        <v>39</v>
      </c>
      <c r="B41">
        <v>3</v>
      </c>
      <c r="C41">
        <v>4011</v>
      </c>
      <c r="D41" t="s">
        <v>2768</v>
      </c>
      <c r="E41">
        <v>845</v>
      </c>
      <c r="F41">
        <v>881</v>
      </c>
    </row>
    <row r="42" spans="1:6" x14ac:dyDescent="0.25">
      <c r="A42">
        <v>40</v>
      </c>
      <c r="B42">
        <v>3</v>
      </c>
      <c r="C42">
        <v>4013</v>
      </c>
      <c r="D42" t="s">
        <v>2769</v>
      </c>
      <c r="E42">
        <v>882</v>
      </c>
      <c r="F42">
        <v>878</v>
      </c>
    </row>
    <row r="43" spans="1:6" x14ac:dyDescent="0.25">
      <c r="A43">
        <v>41</v>
      </c>
      <c r="B43">
        <v>4</v>
      </c>
      <c r="C43">
        <v>4002</v>
      </c>
      <c r="D43" t="s">
        <v>2770</v>
      </c>
      <c r="E43">
        <v>800</v>
      </c>
      <c r="F43">
        <v>860</v>
      </c>
    </row>
    <row r="44" spans="1:6" x14ac:dyDescent="0.25">
      <c r="A44">
        <v>42</v>
      </c>
      <c r="B44">
        <v>4</v>
      </c>
      <c r="C44">
        <v>4002</v>
      </c>
      <c r="D44" t="s">
        <v>2771</v>
      </c>
      <c r="E44">
        <v>800</v>
      </c>
      <c r="F44">
        <v>860</v>
      </c>
    </row>
    <row r="45" spans="1:6" x14ac:dyDescent="0.25">
      <c r="A45">
        <v>43</v>
      </c>
      <c r="B45">
        <v>4</v>
      </c>
      <c r="C45">
        <v>4002</v>
      </c>
      <c r="D45" t="s">
        <v>2772</v>
      </c>
      <c r="E45">
        <v>745</v>
      </c>
      <c r="F45">
        <v>907</v>
      </c>
    </row>
    <row r="46" spans="1:6" x14ac:dyDescent="0.25">
      <c r="A46">
        <v>44</v>
      </c>
      <c r="B46">
        <v>4</v>
      </c>
      <c r="C46">
        <v>4005</v>
      </c>
      <c r="D46" t="s">
        <v>2773</v>
      </c>
      <c r="E46">
        <v>777</v>
      </c>
      <c r="F46">
        <v>854</v>
      </c>
    </row>
    <row r="47" spans="1:6" x14ac:dyDescent="0.25">
      <c r="A47">
        <v>45</v>
      </c>
      <c r="B47">
        <v>4</v>
      </c>
      <c r="C47">
        <v>4005</v>
      </c>
      <c r="D47" t="s">
        <v>2774</v>
      </c>
      <c r="E47">
        <v>799</v>
      </c>
      <c r="F47">
        <v>903</v>
      </c>
    </row>
    <row r="48" spans="1:6" x14ac:dyDescent="0.25">
      <c r="A48">
        <v>46</v>
      </c>
      <c r="B48">
        <v>4</v>
      </c>
      <c r="C48">
        <v>4005</v>
      </c>
      <c r="D48" t="s">
        <v>2775</v>
      </c>
      <c r="E48">
        <v>735</v>
      </c>
      <c r="F48">
        <v>905</v>
      </c>
    </row>
    <row r="49" spans="1:6" x14ac:dyDescent="0.25">
      <c r="A49">
        <v>47</v>
      </c>
      <c r="B49">
        <v>4</v>
      </c>
      <c r="C49">
        <v>4045</v>
      </c>
      <c r="D49" t="s">
        <v>2776</v>
      </c>
      <c r="E49">
        <v>737</v>
      </c>
      <c r="F49">
        <v>849</v>
      </c>
    </row>
    <row r="50" spans="1:6" x14ac:dyDescent="0.25">
      <c r="A50">
        <v>48</v>
      </c>
      <c r="B50">
        <v>4</v>
      </c>
      <c r="C50">
        <v>4045</v>
      </c>
      <c r="D50" t="s">
        <v>2777</v>
      </c>
      <c r="E50">
        <v>811</v>
      </c>
      <c r="F50">
        <v>937</v>
      </c>
    </row>
    <row r="51" spans="1:6" x14ac:dyDescent="0.25">
      <c r="A51">
        <v>49</v>
      </c>
      <c r="B51">
        <v>4</v>
      </c>
      <c r="C51">
        <v>4008</v>
      </c>
      <c r="D51" t="s">
        <v>2778</v>
      </c>
      <c r="E51">
        <v>821</v>
      </c>
      <c r="F51">
        <v>867</v>
      </c>
    </row>
    <row r="52" spans="1:6" x14ac:dyDescent="0.25">
      <c r="A52">
        <v>50</v>
      </c>
      <c r="B52">
        <v>4</v>
      </c>
      <c r="C52">
        <v>4008</v>
      </c>
      <c r="D52" t="s">
        <v>2779</v>
      </c>
      <c r="E52">
        <v>728</v>
      </c>
      <c r="F52">
        <v>924</v>
      </c>
    </row>
    <row r="53" spans="1:6" x14ac:dyDescent="0.25">
      <c r="A53">
        <v>51</v>
      </c>
      <c r="B53">
        <v>4</v>
      </c>
      <c r="C53">
        <v>4007</v>
      </c>
      <c r="D53" t="s">
        <v>2780</v>
      </c>
      <c r="E53">
        <v>758</v>
      </c>
      <c r="F53">
        <v>867</v>
      </c>
    </row>
    <row r="54" spans="1:6" x14ac:dyDescent="0.25">
      <c r="A54">
        <v>52</v>
      </c>
      <c r="B54">
        <v>4</v>
      </c>
      <c r="C54">
        <v>4007</v>
      </c>
      <c r="D54" t="s">
        <v>2781</v>
      </c>
      <c r="E54">
        <v>783</v>
      </c>
      <c r="F54">
        <v>922</v>
      </c>
    </row>
    <row r="55" spans="1:6" x14ac:dyDescent="0.25">
      <c r="A55">
        <v>53</v>
      </c>
      <c r="B55">
        <v>4</v>
      </c>
      <c r="C55">
        <v>4004</v>
      </c>
      <c r="D55" t="s">
        <v>2782</v>
      </c>
      <c r="E55">
        <v>730</v>
      </c>
      <c r="F55">
        <v>853</v>
      </c>
    </row>
    <row r="56" spans="1:6" x14ac:dyDescent="0.25">
      <c r="A56">
        <v>54</v>
      </c>
      <c r="B56">
        <v>4</v>
      </c>
      <c r="C56">
        <v>4004</v>
      </c>
      <c r="D56" t="s">
        <v>2783</v>
      </c>
      <c r="E56">
        <v>735</v>
      </c>
      <c r="F56">
        <v>922</v>
      </c>
    </row>
    <row r="57" spans="1:6" x14ac:dyDescent="0.25">
      <c r="A57">
        <v>55</v>
      </c>
      <c r="B57">
        <v>4</v>
      </c>
      <c r="C57">
        <v>4009</v>
      </c>
      <c r="D57" t="s">
        <v>2784</v>
      </c>
      <c r="E57">
        <v>729</v>
      </c>
      <c r="F57">
        <v>929</v>
      </c>
    </row>
    <row r="58" spans="1:6" x14ac:dyDescent="0.25">
      <c r="A58">
        <v>56</v>
      </c>
      <c r="B58">
        <v>4</v>
      </c>
      <c r="C58">
        <v>4009</v>
      </c>
      <c r="D58" t="s">
        <v>2785</v>
      </c>
      <c r="E58">
        <v>755</v>
      </c>
      <c r="F58">
        <v>910</v>
      </c>
    </row>
    <row r="59" spans="1:6" x14ac:dyDescent="0.25">
      <c r="A59">
        <v>57</v>
      </c>
      <c r="B59">
        <v>4</v>
      </c>
      <c r="C59">
        <v>4044</v>
      </c>
      <c r="D59" t="s">
        <v>2786</v>
      </c>
      <c r="E59">
        <v>756</v>
      </c>
      <c r="F59">
        <v>883</v>
      </c>
    </row>
    <row r="60" spans="1:6" x14ac:dyDescent="0.25">
      <c r="A60">
        <v>58</v>
      </c>
      <c r="B60">
        <v>4</v>
      </c>
      <c r="C60">
        <v>4044</v>
      </c>
      <c r="D60" t="s">
        <v>2787</v>
      </c>
      <c r="E60">
        <v>813</v>
      </c>
      <c r="F60">
        <v>899</v>
      </c>
    </row>
    <row r="61" spans="1:6" x14ac:dyDescent="0.25">
      <c r="A61">
        <v>59</v>
      </c>
      <c r="B61">
        <v>4</v>
      </c>
      <c r="C61">
        <v>4011</v>
      </c>
      <c r="D61" t="s">
        <v>2788</v>
      </c>
      <c r="E61">
        <v>793</v>
      </c>
      <c r="F61">
        <v>905</v>
      </c>
    </row>
    <row r="62" spans="1:6" x14ac:dyDescent="0.25">
      <c r="A62">
        <v>60</v>
      </c>
      <c r="B62">
        <v>4</v>
      </c>
      <c r="C62">
        <v>4013</v>
      </c>
      <c r="D62" t="s">
        <v>2789</v>
      </c>
      <c r="E62">
        <v>759</v>
      </c>
      <c r="F62">
        <v>923</v>
      </c>
    </row>
    <row r="63" spans="1:6" x14ac:dyDescent="0.25">
      <c r="A63">
        <v>61</v>
      </c>
      <c r="B63">
        <v>5</v>
      </c>
      <c r="C63">
        <v>4002</v>
      </c>
      <c r="D63" t="s">
        <v>2790</v>
      </c>
      <c r="E63">
        <v>808</v>
      </c>
      <c r="F63">
        <v>824</v>
      </c>
    </row>
    <row r="64" spans="1:6" x14ac:dyDescent="0.25">
      <c r="A64">
        <v>62</v>
      </c>
      <c r="B64">
        <v>5</v>
      </c>
      <c r="C64">
        <v>4002</v>
      </c>
      <c r="D64" t="s">
        <v>2791</v>
      </c>
      <c r="E64">
        <v>778</v>
      </c>
      <c r="F64">
        <v>736</v>
      </c>
    </row>
    <row r="65" spans="1:6" x14ac:dyDescent="0.25">
      <c r="A65">
        <v>63</v>
      </c>
      <c r="B65">
        <v>5</v>
      </c>
      <c r="C65">
        <v>4002</v>
      </c>
      <c r="D65" t="s">
        <v>2792</v>
      </c>
      <c r="E65">
        <v>755</v>
      </c>
      <c r="F65">
        <v>743</v>
      </c>
    </row>
    <row r="66" spans="1:6" x14ac:dyDescent="0.25">
      <c r="A66">
        <v>64</v>
      </c>
      <c r="B66">
        <v>5</v>
      </c>
      <c r="C66">
        <v>4005</v>
      </c>
      <c r="D66" t="s">
        <v>2793</v>
      </c>
      <c r="E66">
        <v>800</v>
      </c>
      <c r="F66">
        <v>760</v>
      </c>
    </row>
    <row r="67" spans="1:6" x14ac:dyDescent="0.25">
      <c r="A67">
        <v>65</v>
      </c>
      <c r="B67">
        <v>5</v>
      </c>
      <c r="C67">
        <v>4005</v>
      </c>
      <c r="D67" t="s">
        <v>2794</v>
      </c>
      <c r="E67">
        <v>785</v>
      </c>
      <c r="F67">
        <v>732</v>
      </c>
    </row>
    <row r="68" spans="1:6" x14ac:dyDescent="0.25">
      <c r="A68">
        <v>66</v>
      </c>
      <c r="B68">
        <v>5</v>
      </c>
      <c r="C68">
        <v>4005</v>
      </c>
      <c r="D68" t="s">
        <v>2795</v>
      </c>
      <c r="E68">
        <v>773</v>
      </c>
      <c r="F68">
        <v>768</v>
      </c>
    </row>
    <row r="69" spans="1:6" x14ac:dyDescent="0.25">
      <c r="A69">
        <v>67</v>
      </c>
      <c r="B69">
        <v>5</v>
      </c>
      <c r="C69">
        <v>4045</v>
      </c>
      <c r="D69" t="s">
        <v>2796</v>
      </c>
      <c r="E69">
        <v>736</v>
      </c>
      <c r="F69">
        <v>765</v>
      </c>
    </row>
    <row r="70" spans="1:6" x14ac:dyDescent="0.25">
      <c r="A70">
        <v>68</v>
      </c>
      <c r="B70">
        <v>5</v>
      </c>
      <c r="C70">
        <v>4045</v>
      </c>
      <c r="D70" t="s">
        <v>2797</v>
      </c>
      <c r="E70">
        <v>726</v>
      </c>
      <c r="F70">
        <v>768</v>
      </c>
    </row>
    <row r="71" spans="1:6" x14ac:dyDescent="0.25">
      <c r="A71">
        <v>69</v>
      </c>
      <c r="B71">
        <v>5</v>
      </c>
      <c r="C71">
        <v>4008</v>
      </c>
      <c r="D71" t="s">
        <v>2798</v>
      </c>
      <c r="E71">
        <v>824</v>
      </c>
      <c r="F71">
        <v>729</v>
      </c>
    </row>
    <row r="72" spans="1:6" x14ac:dyDescent="0.25">
      <c r="A72">
        <v>70</v>
      </c>
      <c r="B72">
        <v>5</v>
      </c>
      <c r="C72">
        <v>4008</v>
      </c>
      <c r="D72" t="s">
        <v>2799</v>
      </c>
      <c r="E72">
        <v>809</v>
      </c>
      <c r="F72">
        <v>777</v>
      </c>
    </row>
    <row r="73" spans="1:6" x14ac:dyDescent="0.25">
      <c r="A73">
        <v>71</v>
      </c>
      <c r="B73">
        <v>5</v>
      </c>
      <c r="C73">
        <v>4007</v>
      </c>
      <c r="D73" t="s">
        <v>2800</v>
      </c>
      <c r="E73">
        <v>740</v>
      </c>
      <c r="F73">
        <v>738</v>
      </c>
    </row>
    <row r="74" spans="1:6" x14ac:dyDescent="0.25">
      <c r="A74">
        <v>72</v>
      </c>
      <c r="B74">
        <v>5</v>
      </c>
      <c r="C74">
        <v>4007</v>
      </c>
      <c r="D74" t="s">
        <v>2801</v>
      </c>
      <c r="E74">
        <v>779</v>
      </c>
      <c r="F74">
        <v>765</v>
      </c>
    </row>
    <row r="75" spans="1:6" x14ac:dyDescent="0.25">
      <c r="A75">
        <v>73</v>
      </c>
      <c r="B75">
        <v>5</v>
      </c>
      <c r="C75">
        <v>4004</v>
      </c>
      <c r="D75" t="s">
        <v>2802</v>
      </c>
      <c r="E75">
        <v>787</v>
      </c>
      <c r="F75">
        <v>790</v>
      </c>
    </row>
    <row r="76" spans="1:6" x14ac:dyDescent="0.25">
      <c r="A76">
        <v>74</v>
      </c>
      <c r="B76">
        <v>5</v>
      </c>
      <c r="C76">
        <v>4004</v>
      </c>
      <c r="D76" t="s">
        <v>2803</v>
      </c>
      <c r="E76">
        <v>769</v>
      </c>
      <c r="F76">
        <v>803</v>
      </c>
    </row>
    <row r="77" spans="1:6" x14ac:dyDescent="0.25">
      <c r="A77">
        <v>75</v>
      </c>
      <c r="B77">
        <v>5</v>
      </c>
      <c r="C77">
        <v>4009</v>
      </c>
      <c r="D77" t="s">
        <v>2804</v>
      </c>
      <c r="E77">
        <v>730</v>
      </c>
      <c r="F77">
        <v>771</v>
      </c>
    </row>
    <row r="78" spans="1:6" x14ac:dyDescent="0.25">
      <c r="A78">
        <v>76</v>
      </c>
      <c r="B78">
        <v>5</v>
      </c>
      <c r="C78">
        <v>4009</v>
      </c>
      <c r="D78" t="s">
        <v>2805</v>
      </c>
      <c r="E78">
        <v>770</v>
      </c>
      <c r="F78">
        <v>815</v>
      </c>
    </row>
    <row r="79" spans="1:6" x14ac:dyDescent="0.25">
      <c r="A79">
        <v>77</v>
      </c>
      <c r="B79">
        <v>5</v>
      </c>
      <c r="C79">
        <v>4044</v>
      </c>
      <c r="D79" t="s">
        <v>2806</v>
      </c>
      <c r="E79">
        <v>736</v>
      </c>
      <c r="F79">
        <v>805</v>
      </c>
    </row>
    <row r="80" spans="1:6" x14ac:dyDescent="0.25">
      <c r="A80">
        <v>78</v>
      </c>
      <c r="B80">
        <v>5</v>
      </c>
      <c r="C80">
        <v>4044</v>
      </c>
      <c r="D80" t="s">
        <v>2807</v>
      </c>
      <c r="E80">
        <v>788</v>
      </c>
      <c r="F80">
        <v>763</v>
      </c>
    </row>
    <row r="81" spans="1:6" x14ac:dyDescent="0.25">
      <c r="A81">
        <v>79</v>
      </c>
      <c r="B81">
        <v>5</v>
      </c>
      <c r="C81">
        <v>4011</v>
      </c>
      <c r="D81" t="s">
        <v>2808</v>
      </c>
      <c r="E81">
        <v>725</v>
      </c>
      <c r="F81">
        <v>807</v>
      </c>
    </row>
    <row r="82" spans="1:6" x14ac:dyDescent="0.25">
      <c r="A82">
        <v>80</v>
      </c>
      <c r="B82">
        <v>5</v>
      </c>
      <c r="C82">
        <v>4013</v>
      </c>
      <c r="D82" t="s">
        <v>2809</v>
      </c>
      <c r="E82">
        <v>725</v>
      </c>
      <c r="F82">
        <v>747</v>
      </c>
    </row>
    <row r="83" spans="1:6" x14ac:dyDescent="0.25">
      <c r="A83">
        <v>81</v>
      </c>
      <c r="B83">
        <v>6</v>
      </c>
      <c r="C83">
        <v>4002</v>
      </c>
      <c r="D83" t="s">
        <v>2810</v>
      </c>
      <c r="E83">
        <v>730</v>
      </c>
      <c r="F83">
        <v>657</v>
      </c>
    </row>
    <row r="84" spans="1:6" x14ac:dyDescent="0.25">
      <c r="A84">
        <v>82</v>
      </c>
      <c r="B84">
        <v>6</v>
      </c>
      <c r="C84">
        <v>4002</v>
      </c>
      <c r="D84" t="s">
        <v>2811</v>
      </c>
      <c r="E84">
        <v>819</v>
      </c>
      <c r="F84">
        <v>643</v>
      </c>
    </row>
    <row r="85" spans="1:6" x14ac:dyDescent="0.25">
      <c r="A85">
        <v>83</v>
      </c>
      <c r="B85">
        <v>6</v>
      </c>
      <c r="C85">
        <v>4002</v>
      </c>
      <c r="D85" t="s">
        <v>2812</v>
      </c>
      <c r="E85">
        <v>764</v>
      </c>
      <c r="F85">
        <v>679</v>
      </c>
    </row>
    <row r="86" spans="1:6" x14ac:dyDescent="0.25">
      <c r="A86">
        <v>84</v>
      </c>
      <c r="B86">
        <v>6</v>
      </c>
      <c r="C86">
        <v>4005</v>
      </c>
      <c r="D86" t="s">
        <v>2813</v>
      </c>
      <c r="E86">
        <v>771</v>
      </c>
      <c r="F86">
        <v>607</v>
      </c>
    </row>
    <row r="87" spans="1:6" x14ac:dyDescent="0.25">
      <c r="A87">
        <v>85</v>
      </c>
      <c r="B87">
        <v>6</v>
      </c>
      <c r="C87">
        <v>4005</v>
      </c>
      <c r="D87" t="s">
        <v>2814</v>
      </c>
      <c r="E87">
        <v>738</v>
      </c>
      <c r="F87">
        <v>626</v>
      </c>
    </row>
    <row r="88" spans="1:6" x14ac:dyDescent="0.25">
      <c r="A88">
        <v>86</v>
      </c>
      <c r="B88">
        <v>6</v>
      </c>
      <c r="C88">
        <v>4005</v>
      </c>
      <c r="D88" t="s">
        <v>2815</v>
      </c>
      <c r="E88">
        <v>759</v>
      </c>
      <c r="F88">
        <v>628</v>
      </c>
    </row>
    <row r="89" spans="1:6" x14ac:dyDescent="0.25">
      <c r="A89">
        <v>87</v>
      </c>
      <c r="B89">
        <v>6</v>
      </c>
      <c r="C89">
        <v>4045</v>
      </c>
      <c r="D89" t="s">
        <v>2816</v>
      </c>
      <c r="E89">
        <v>803</v>
      </c>
      <c r="F89">
        <v>615</v>
      </c>
    </row>
    <row r="90" spans="1:6" x14ac:dyDescent="0.25">
      <c r="A90">
        <v>88</v>
      </c>
      <c r="B90">
        <v>6</v>
      </c>
      <c r="C90">
        <v>4045</v>
      </c>
      <c r="D90" t="s">
        <v>2817</v>
      </c>
      <c r="E90">
        <v>813</v>
      </c>
      <c r="F90">
        <v>611</v>
      </c>
    </row>
    <row r="91" spans="1:6" x14ac:dyDescent="0.25">
      <c r="A91">
        <v>89</v>
      </c>
      <c r="B91">
        <v>6</v>
      </c>
      <c r="C91">
        <v>4008</v>
      </c>
      <c r="D91" t="s">
        <v>2818</v>
      </c>
      <c r="E91">
        <v>784</v>
      </c>
      <c r="F91">
        <v>680</v>
      </c>
    </row>
    <row r="92" spans="1:6" x14ac:dyDescent="0.25">
      <c r="A92">
        <v>90</v>
      </c>
      <c r="B92">
        <v>6</v>
      </c>
      <c r="C92">
        <v>4008</v>
      </c>
      <c r="D92" t="s">
        <v>2819</v>
      </c>
      <c r="E92">
        <v>730</v>
      </c>
      <c r="F92">
        <v>649</v>
      </c>
    </row>
    <row r="93" spans="1:6" x14ac:dyDescent="0.25">
      <c r="A93">
        <v>91</v>
      </c>
      <c r="B93">
        <v>6</v>
      </c>
      <c r="C93">
        <v>4007</v>
      </c>
      <c r="D93" t="s">
        <v>2820</v>
      </c>
      <c r="E93">
        <v>727</v>
      </c>
      <c r="F93">
        <v>677</v>
      </c>
    </row>
    <row r="94" spans="1:6" x14ac:dyDescent="0.25">
      <c r="A94">
        <v>92</v>
      </c>
      <c r="B94">
        <v>6</v>
      </c>
      <c r="C94">
        <v>4007</v>
      </c>
      <c r="D94" t="s">
        <v>2821</v>
      </c>
      <c r="E94">
        <v>809</v>
      </c>
      <c r="F94">
        <v>677</v>
      </c>
    </row>
    <row r="95" spans="1:6" x14ac:dyDescent="0.25">
      <c r="A95">
        <v>93</v>
      </c>
      <c r="B95">
        <v>6</v>
      </c>
      <c r="C95">
        <v>4004</v>
      </c>
      <c r="D95" t="s">
        <v>2822</v>
      </c>
      <c r="E95">
        <v>806</v>
      </c>
      <c r="F95">
        <v>615</v>
      </c>
    </row>
    <row r="96" spans="1:6" x14ac:dyDescent="0.25">
      <c r="A96">
        <v>94</v>
      </c>
      <c r="B96">
        <v>6</v>
      </c>
      <c r="C96">
        <v>4004</v>
      </c>
      <c r="D96" t="s">
        <v>2823</v>
      </c>
      <c r="E96">
        <v>731</v>
      </c>
      <c r="F96">
        <v>628</v>
      </c>
    </row>
    <row r="97" spans="1:6" x14ac:dyDescent="0.25">
      <c r="A97">
        <v>95</v>
      </c>
      <c r="B97">
        <v>6</v>
      </c>
      <c r="C97">
        <v>4009</v>
      </c>
      <c r="D97" t="s">
        <v>2824</v>
      </c>
      <c r="E97">
        <v>769</v>
      </c>
      <c r="F97">
        <v>634</v>
      </c>
    </row>
    <row r="98" spans="1:6" x14ac:dyDescent="0.25">
      <c r="A98">
        <v>96</v>
      </c>
      <c r="B98">
        <v>6</v>
      </c>
      <c r="C98">
        <v>4009</v>
      </c>
      <c r="D98" t="s">
        <v>2825</v>
      </c>
      <c r="E98">
        <v>730</v>
      </c>
      <c r="F98">
        <v>685</v>
      </c>
    </row>
    <row r="99" spans="1:6" x14ac:dyDescent="0.25">
      <c r="A99">
        <v>97</v>
      </c>
      <c r="B99">
        <v>6</v>
      </c>
      <c r="C99">
        <v>4044</v>
      </c>
      <c r="D99" t="s">
        <v>2826</v>
      </c>
      <c r="E99">
        <v>734</v>
      </c>
      <c r="F99">
        <v>675</v>
      </c>
    </row>
    <row r="100" spans="1:6" x14ac:dyDescent="0.25">
      <c r="A100">
        <v>98</v>
      </c>
      <c r="B100">
        <v>6</v>
      </c>
      <c r="C100">
        <v>4044</v>
      </c>
      <c r="D100" t="s">
        <v>2827</v>
      </c>
      <c r="E100">
        <v>786</v>
      </c>
      <c r="F100">
        <v>693</v>
      </c>
    </row>
    <row r="101" spans="1:6" x14ac:dyDescent="0.25">
      <c r="A101">
        <v>99</v>
      </c>
      <c r="B101">
        <v>6</v>
      </c>
      <c r="C101">
        <v>4011</v>
      </c>
      <c r="D101" t="s">
        <v>2828</v>
      </c>
      <c r="E101">
        <v>750</v>
      </c>
      <c r="F101">
        <v>610</v>
      </c>
    </row>
    <row r="102" spans="1:6" x14ac:dyDescent="0.25">
      <c r="A102">
        <v>100</v>
      </c>
      <c r="B102">
        <v>6</v>
      </c>
      <c r="C102">
        <v>4013</v>
      </c>
      <c r="D102" t="s">
        <v>2829</v>
      </c>
      <c r="E102">
        <v>731</v>
      </c>
      <c r="F102">
        <v>678</v>
      </c>
    </row>
    <row r="103" spans="1:6" x14ac:dyDescent="0.25">
      <c r="A103">
        <v>101</v>
      </c>
      <c r="B103">
        <v>6</v>
      </c>
      <c r="C103">
        <v>4014</v>
      </c>
      <c r="D103" t="s">
        <v>2830</v>
      </c>
      <c r="E103">
        <v>809</v>
      </c>
      <c r="F103">
        <v>610</v>
      </c>
    </row>
    <row r="104" spans="1:6" x14ac:dyDescent="0.25">
      <c r="A104">
        <v>102</v>
      </c>
      <c r="B104">
        <v>7</v>
      </c>
      <c r="C104">
        <v>4002</v>
      </c>
      <c r="D104" t="s">
        <v>2831</v>
      </c>
      <c r="E104">
        <v>800</v>
      </c>
      <c r="F104">
        <v>560</v>
      </c>
    </row>
    <row r="105" spans="1:6" x14ac:dyDescent="0.25">
      <c r="A105">
        <v>103</v>
      </c>
      <c r="B105">
        <v>7</v>
      </c>
      <c r="C105">
        <v>4002</v>
      </c>
      <c r="D105" t="s">
        <v>2832</v>
      </c>
      <c r="E105">
        <v>764</v>
      </c>
      <c r="F105">
        <v>517</v>
      </c>
    </row>
    <row r="106" spans="1:6" x14ac:dyDescent="0.25">
      <c r="A106">
        <v>104</v>
      </c>
      <c r="B106">
        <v>7</v>
      </c>
      <c r="C106">
        <v>4002</v>
      </c>
      <c r="D106" t="s">
        <v>2833</v>
      </c>
      <c r="E106">
        <v>769</v>
      </c>
      <c r="F106">
        <v>579</v>
      </c>
    </row>
    <row r="107" spans="1:6" x14ac:dyDescent="0.25">
      <c r="A107">
        <v>105</v>
      </c>
      <c r="B107">
        <v>7</v>
      </c>
      <c r="C107">
        <v>4005</v>
      </c>
      <c r="D107" t="s">
        <v>2834</v>
      </c>
      <c r="E107">
        <v>804</v>
      </c>
      <c r="F107">
        <v>495</v>
      </c>
    </row>
    <row r="108" spans="1:6" x14ac:dyDescent="0.25">
      <c r="A108">
        <v>106</v>
      </c>
      <c r="B108">
        <v>7</v>
      </c>
      <c r="C108">
        <v>4005</v>
      </c>
      <c r="D108" t="s">
        <v>2835</v>
      </c>
      <c r="E108">
        <v>743</v>
      </c>
      <c r="F108">
        <v>494</v>
      </c>
    </row>
    <row r="109" spans="1:6" x14ac:dyDescent="0.25">
      <c r="A109">
        <v>107</v>
      </c>
      <c r="B109">
        <v>7</v>
      </c>
      <c r="C109">
        <v>4005</v>
      </c>
      <c r="D109" t="s">
        <v>2836</v>
      </c>
      <c r="E109">
        <v>775</v>
      </c>
      <c r="F109">
        <v>549</v>
      </c>
    </row>
    <row r="110" spans="1:6" x14ac:dyDescent="0.25">
      <c r="A110">
        <v>108</v>
      </c>
      <c r="B110">
        <v>7</v>
      </c>
      <c r="C110">
        <v>4045</v>
      </c>
      <c r="D110" t="s">
        <v>2837</v>
      </c>
      <c r="E110">
        <v>820</v>
      </c>
      <c r="F110">
        <v>581</v>
      </c>
    </row>
    <row r="111" spans="1:6" x14ac:dyDescent="0.25">
      <c r="A111">
        <v>109</v>
      </c>
      <c r="B111">
        <v>7</v>
      </c>
      <c r="C111">
        <v>4045</v>
      </c>
      <c r="D111" t="s">
        <v>2838</v>
      </c>
      <c r="E111">
        <v>784</v>
      </c>
      <c r="F111">
        <v>561</v>
      </c>
    </row>
    <row r="112" spans="1:6" x14ac:dyDescent="0.25">
      <c r="A112">
        <v>110</v>
      </c>
      <c r="B112">
        <v>7</v>
      </c>
      <c r="C112">
        <v>4008</v>
      </c>
      <c r="D112" t="s">
        <v>2839</v>
      </c>
      <c r="E112">
        <v>731</v>
      </c>
      <c r="F112">
        <v>578</v>
      </c>
    </row>
    <row r="113" spans="1:6" x14ac:dyDescent="0.25">
      <c r="A113">
        <v>111</v>
      </c>
      <c r="B113">
        <v>7</v>
      </c>
      <c r="C113">
        <v>4008</v>
      </c>
      <c r="D113" t="s">
        <v>2840</v>
      </c>
      <c r="E113">
        <v>727</v>
      </c>
      <c r="F113">
        <v>494</v>
      </c>
    </row>
    <row r="114" spans="1:6" x14ac:dyDescent="0.25">
      <c r="A114">
        <v>112</v>
      </c>
      <c r="B114">
        <v>7</v>
      </c>
      <c r="C114">
        <v>4007</v>
      </c>
      <c r="D114" t="s">
        <v>2841</v>
      </c>
      <c r="E114">
        <v>769</v>
      </c>
      <c r="F114">
        <v>518</v>
      </c>
    </row>
    <row r="115" spans="1:6" x14ac:dyDescent="0.25">
      <c r="A115">
        <v>113</v>
      </c>
      <c r="B115">
        <v>7</v>
      </c>
      <c r="C115">
        <v>4007</v>
      </c>
      <c r="D115" t="s">
        <v>2842</v>
      </c>
      <c r="E115">
        <v>744</v>
      </c>
      <c r="F115">
        <v>572</v>
      </c>
    </row>
    <row r="116" spans="1:6" x14ac:dyDescent="0.25">
      <c r="A116">
        <v>114</v>
      </c>
      <c r="B116">
        <v>7</v>
      </c>
      <c r="C116">
        <v>4004</v>
      </c>
      <c r="D116" t="s">
        <v>2843</v>
      </c>
      <c r="E116">
        <v>801</v>
      </c>
      <c r="F116">
        <v>574</v>
      </c>
    </row>
    <row r="117" spans="1:6" x14ac:dyDescent="0.25">
      <c r="A117">
        <v>115</v>
      </c>
      <c r="B117">
        <v>7</v>
      </c>
      <c r="C117">
        <v>4004</v>
      </c>
      <c r="D117" t="s">
        <v>2844</v>
      </c>
      <c r="E117">
        <v>806</v>
      </c>
      <c r="F117">
        <v>539</v>
      </c>
    </row>
    <row r="118" spans="1:6" x14ac:dyDescent="0.25">
      <c r="A118">
        <v>116</v>
      </c>
      <c r="B118">
        <v>7</v>
      </c>
      <c r="C118">
        <v>4009</v>
      </c>
      <c r="D118" t="s">
        <v>2845</v>
      </c>
      <c r="E118">
        <v>731</v>
      </c>
      <c r="F118">
        <v>550</v>
      </c>
    </row>
    <row r="119" spans="1:6" x14ac:dyDescent="0.25">
      <c r="A119">
        <v>117</v>
      </c>
      <c r="B119">
        <v>7</v>
      </c>
      <c r="C119">
        <v>4009</v>
      </c>
      <c r="D119" t="s">
        <v>2846</v>
      </c>
      <c r="E119">
        <v>728</v>
      </c>
      <c r="F119">
        <v>499</v>
      </c>
    </row>
    <row r="120" spans="1:6" x14ac:dyDescent="0.25">
      <c r="A120">
        <v>118</v>
      </c>
      <c r="B120">
        <v>7</v>
      </c>
      <c r="C120">
        <v>4044</v>
      </c>
      <c r="D120" t="s">
        <v>2847</v>
      </c>
      <c r="E120">
        <v>795</v>
      </c>
      <c r="F120">
        <v>537</v>
      </c>
    </row>
    <row r="121" spans="1:6" x14ac:dyDescent="0.25">
      <c r="A121">
        <v>119</v>
      </c>
      <c r="B121">
        <v>7</v>
      </c>
      <c r="C121">
        <v>4044</v>
      </c>
      <c r="D121" t="s">
        <v>2848</v>
      </c>
      <c r="E121">
        <v>813</v>
      </c>
      <c r="F121">
        <v>508</v>
      </c>
    </row>
    <row r="122" spans="1:6" x14ac:dyDescent="0.25">
      <c r="A122">
        <v>120</v>
      </c>
      <c r="B122">
        <v>7</v>
      </c>
      <c r="C122">
        <v>4011</v>
      </c>
      <c r="D122" t="s">
        <v>2849</v>
      </c>
      <c r="E122">
        <v>726</v>
      </c>
      <c r="F122">
        <v>516</v>
      </c>
    </row>
    <row r="123" spans="1:6" x14ac:dyDescent="0.25">
      <c r="A123">
        <v>121</v>
      </c>
      <c r="B123">
        <v>7</v>
      </c>
      <c r="C123">
        <v>4013</v>
      </c>
      <c r="D123" t="s">
        <v>2850</v>
      </c>
      <c r="E123">
        <v>762</v>
      </c>
      <c r="F123">
        <v>487</v>
      </c>
    </row>
    <row r="124" spans="1:6" x14ac:dyDescent="0.25">
      <c r="A124">
        <v>122</v>
      </c>
      <c r="B124">
        <v>8</v>
      </c>
      <c r="C124">
        <v>4005</v>
      </c>
      <c r="D124" t="s">
        <v>2851</v>
      </c>
      <c r="E124">
        <v>845</v>
      </c>
      <c r="F124">
        <v>495</v>
      </c>
    </row>
    <row r="125" spans="1:6" x14ac:dyDescent="0.25">
      <c r="A125">
        <v>123</v>
      </c>
      <c r="B125">
        <v>8</v>
      </c>
      <c r="C125">
        <v>4005</v>
      </c>
      <c r="D125" t="s">
        <v>2852</v>
      </c>
      <c r="E125">
        <v>843</v>
      </c>
      <c r="F125">
        <v>544</v>
      </c>
    </row>
    <row r="126" spans="1:6" x14ac:dyDescent="0.25">
      <c r="A126">
        <v>124</v>
      </c>
      <c r="B126">
        <v>8</v>
      </c>
      <c r="C126">
        <v>4005</v>
      </c>
      <c r="D126" t="s">
        <v>2853</v>
      </c>
      <c r="E126">
        <v>944</v>
      </c>
      <c r="F126">
        <v>485</v>
      </c>
    </row>
    <row r="127" spans="1:6" x14ac:dyDescent="0.25">
      <c r="A127">
        <v>125</v>
      </c>
      <c r="B127">
        <v>8</v>
      </c>
      <c r="C127">
        <v>4095</v>
      </c>
      <c r="D127" t="s">
        <v>2854</v>
      </c>
      <c r="E127">
        <v>865</v>
      </c>
      <c r="F127">
        <v>560</v>
      </c>
    </row>
    <row r="128" spans="1:6" x14ac:dyDescent="0.25">
      <c r="A128">
        <v>126</v>
      </c>
      <c r="B128">
        <v>8</v>
      </c>
      <c r="C128">
        <v>4008</v>
      </c>
      <c r="D128" t="s">
        <v>2855</v>
      </c>
      <c r="E128">
        <v>864</v>
      </c>
      <c r="F128">
        <v>485</v>
      </c>
    </row>
    <row r="129" spans="1:6" x14ac:dyDescent="0.25">
      <c r="A129">
        <v>127</v>
      </c>
      <c r="B129">
        <v>8</v>
      </c>
      <c r="C129">
        <v>4008</v>
      </c>
      <c r="D129" t="s">
        <v>2856</v>
      </c>
      <c r="E129">
        <v>921</v>
      </c>
      <c r="F129">
        <v>504</v>
      </c>
    </row>
    <row r="130" spans="1:6" x14ac:dyDescent="0.25">
      <c r="A130">
        <v>128</v>
      </c>
      <c r="B130">
        <v>8</v>
      </c>
      <c r="C130">
        <v>4008</v>
      </c>
      <c r="D130" t="s">
        <v>2857</v>
      </c>
      <c r="E130">
        <v>892</v>
      </c>
      <c r="F130">
        <v>485</v>
      </c>
    </row>
    <row r="131" spans="1:6" x14ac:dyDescent="0.25">
      <c r="A131">
        <v>129</v>
      </c>
      <c r="B131">
        <v>9</v>
      </c>
      <c r="C131">
        <v>4002</v>
      </c>
      <c r="D131" t="s">
        <v>2858</v>
      </c>
      <c r="E131">
        <v>1054</v>
      </c>
      <c r="F131">
        <v>568</v>
      </c>
    </row>
    <row r="132" spans="1:6" x14ac:dyDescent="0.25">
      <c r="A132">
        <v>130</v>
      </c>
      <c r="B132">
        <v>9</v>
      </c>
      <c r="C132">
        <v>4002</v>
      </c>
      <c r="D132" t="s">
        <v>2859</v>
      </c>
      <c r="E132">
        <v>1049</v>
      </c>
      <c r="F132">
        <v>496</v>
      </c>
    </row>
    <row r="133" spans="1:6" x14ac:dyDescent="0.25">
      <c r="A133">
        <v>131</v>
      </c>
      <c r="B133">
        <v>9</v>
      </c>
      <c r="C133">
        <v>4002</v>
      </c>
      <c r="D133" t="s">
        <v>2860</v>
      </c>
      <c r="E133">
        <v>970</v>
      </c>
      <c r="F133">
        <v>549</v>
      </c>
    </row>
    <row r="134" spans="1:6" x14ac:dyDescent="0.25">
      <c r="A134">
        <v>132</v>
      </c>
      <c r="B134">
        <v>9</v>
      </c>
      <c r="C134">
        <v>4002</v>
      </c>
      <c r="D134" t="s">
        <v>2861</v>
      </c>
      <c r="E134">
        <v>1000</v>
      </c>
      <c r="F134">
        <v>494</v>
      </c>
    </row>
    <row r="135" spans="1:6" x14ac:dyDescent="0.25">
      <c r="A135">
        <v>133</v>
      </c>
      <c r="B135">
        <v>9</v>
      </c>
      <c r="C135">
        <v>4005</v>
      </c>
      <c r="D135" t="s">
        <v>2862</v>
      </c>
      <c r="E135">
        <v>1047</v>
      </c>
      <c r="F135">
        <v>519</v>
      </c>
    </row>
    <row r="136" spans="1:6" x14ac:dyDescent="0.25">
      <c r="A136">
        <v>134</v>
      </c>
      <c r="B136">
        <v>9</v>
      </c>
      <c r="C136">
        <v>4005</v>
      </c>
      <c r="D136" t="s">
        <v>2863</v>
      </c>
      <c r="E136">
        <v>969</v>
      </c>
      <c r="F136">
        <v>544</v>
      </c>
    </row>
    <row r="137" spans="1:6" x14ac:dyDescent="0.25">
      <c r="A137">
        <v>135</v>
      </c>
      <c r="B137">
        <v>9</v>
      </c>
      <c r="C137">
        <v>4005</v>
      </c>
      <c r="D137" t="s">
        <v>2864</v>
      </c>
      <c r="E137">
        <v>1008</v>
      </c>
      <c r="F137">
        <v>522</v>
      </c>
    </row>
    <row r="138" spans="1:6" x14ac:dyDescent="0.25">
      <c r="A138">
        <v>136</v>
      </c>
      <c r="B138">
        <v>9</v>
      </c>
      <c r="C138">
        <v>4045</v>
      </c>
      <c r="D138" t="s">
        <v>2865</v>
      </c>
      <c r="E138">
        <v>1004</v>
      </c>
      <c r="F138">
        <v>577</v>
      </c>
    </row>
    <row r="139" spans="1:6" x14ac:dyDescent="0.25">
      <c r="A139">
        <v>137</v>
      </c>
      <c r="B139">
        <v>9</v>
      </c>
      <c r="C139">
        <v>4045</v>
      </c>
      <c r="D139" t="s">
        <v>2866</v>
      </c>
      <c r="E139">
        <v>1024</v>
      </c>
      <c r="F139">
        <v>513</v>
      </c>
    </row>
    <row r="140" spans="1:6" x14ac:dyDescent="0.25">
      <c r="A140">
        <v>138</v>
      </c>
      <c r="B140">
        <v>9</v>
      </c>
      <c r="C140">
        <v>4045</v>
      </c>
      <c r="D140" t="s">
        <v>2867</v>
      </c>
      <c r="E140">
        <v>1050</v>
      </c>
      <c r="F140">
        <v>541</v>
      </c>
    </row>
    <row r="141" spans="1:6" x14ac:dyDescent="0.25">
      <c r="A141">
        <v>139</v>
      </c>
      <c r="B141">
        <v>9</v>
      </c>
      <c r="C141">
        <v>4008</v>
      </c>
      <c r="D141" t="s">
        <v>2868</v>
      </c>
      <c r="E141">
        <v>1012</v>
      </c>
      <c r="F141">
        <v>559</v>
      </c>
    </row>
    <row r="142" spans="1:6" x14ac:dyDescent="0.25">
      <c r="A142">
        <v>140</v>
      </c>
      <c r="B142">
        <v>9</v>
      </c>
      <c r="C142">
        <v>4008</v>
      </c>
      <c r="D142" t="s">
        <v>2869</v>
      </c>
      <c r="E142">
        <v>1057</v>
      </c>
      <c r="F142">
        <v>495</v>
      </c>
    </row>
    <row r="143" spans="1:6" x14ac:dyDescent="0.25">
      <c r="A143">
        <v>141</v>
      </c>
      <c r="B143">
        <v>9</v>
      </c>
      <c r="C143">
        <v>4007</v>
      </c>
      <c r="D143" t="s">
        <v>2870</v>
      </c>
      <c r="E143">
        <v>971</v>
      </c>
      <c r="F143">
        <v>494</v>
      </c>
    </row>
    <row r="144" spans="1:6" x14ac:dyDescent="0.25">
      <c r="A144">
        <v>142</v>
      </c>
      <c r="B144">
        <v>11</v>
      </c>
      <c r="C144">
        <v>4002</v>
      </c>
      <c r="D144" t="s">
        <v>2871</v>
      </c>
      <c r="E144">
        <v>699</v>
      </c>
      <c r="F144">
        <v>1017</v>
      </c>
    </row>
    <row r="145" spans="1:6" x14ac:dyDescent="0.25">
      <c r="A145">
        <v>143</v>
      </c>
      <c r="B145">
        <v>11</v>
      </c>
      <c r="C145">
        <v>4002</v>
      </c>
      <c r="D145" t="s">
        <v>2872</v>
      </c>
      <c r="E145">
        <v>612</v>
      </c>
      <c r="F145">
        <v>976</v>
      </c>
    </row>
    <row r="146" spans="1:6" x14ac:dyDescent="0.25">
      <c r="A146">
        <v>144</v>
      </c>
      <c r="B146">
        <v>11</v>
      </c>
      <c r="C146">
        <v>4005</v>
      </c>
      <c r="D146" t="s">
        <v>2873</v>
      </c>
      <c r="E146">
        <v>609</v>
      </c>
      <c r="F146">
        <v>972</v>
      </c>
    </row>
    <row r="147" spans="1:6" x14ac:dyDescent="0.25">
      <c r="A147">
        <v>145</v>
      </c>
      <c r="B147">
        <v>11</v>
      </c>
      <c r="C147">
        <v>4005</v>
      </c>
      <c r="D147" t="s">
        <v>2874</v>
      </c>
      <c r="E147">
        <v>617</v>
      </c>
      <c r="F147">
        <v>991</v>
      </c>
    </row>
    <row r="148" spans="1:6" x14ac:dyDescent="0.25">
      <c r="A148">
        <v>146</v>
      </c>
      <c r="B148">
        <v>11</v>
      </c>
      <c r="C148">
        <v>4045</v>
      </c>
      <c r="D148" t="s">
        <v>2875</v>
      </c>
      <c r="E148">
        <v>625</v>
      </c>
      <c r="F148">
        <v>1046</v>
      </c>
    </row>
    <row r="149" spans="1:6" x14ac:dyDescent="0.25">
      <c r="A149">
        <v>147</v>
      </c>
      <c r="B149">
        <v>11</v>
      </c>
      <c r="C149">
        <v>4008</v>
      </c>
      <c r="D149" t="s">
        <v>2876</v>
      </c>
      <c r="E149">
        <v>610</v>
      </c>
      <c r="F149">
        <v>1030</v>
      </c>
    </row>
    <row r="150" spans="1:6" x14ac:dyDescent="0.25">
      <c r="A150">
        <v>148</v>
      </c>
      <c r="B150">
        <v>11</v>
      </c>
      <c r="C150">
        <v>4007</v>
      </c>
      <c r="D150" t="s">
        <v>2877</v>
      </c>
      <c r="E150">
        <v>639</v>
      </c>
      <c r="F150">
        <v>977</v>
      </c>
    </row>
    <row r="151" spans="1:6" x14ac:dyDescent="0.25">
      <c r="A151">
        <v>149</v>
      </c>
      <c r="B151">
        <v>11</v>
      </c>
      <c r="C151">
        <v>4004</v>
      </c>
      <c r="D151" t="s">
        <v>2878</v>
      </c>
      <c r="E151">
        <v>679</v>
      </c>
      <c r="F151">
        <v>1045</v>
      </c>
    </row>
    <row r="152" spans="1:6" x14ac:dyDescent="0.25">
      <c r="A152">
        <v>150</v>
      </c>
      <c r="B152">
        <v>11</v>
      </c>
      <c r="C152">
        <v>4004</v>
      </c>
      <c r="D152" t="s">
        <v>2879</v>
      </c>
      <c r="E152">
        <v>660</v>
      </c>
      <c r="F152">
        <v>979</v>
      </c>
    </row>
    <row r="153" spans="1:6" x14ac:dyDescent="0.25">
      <c r="A153">
        <v>151</v>
      </c>
      <c r="B153">
        <v>11</v>
      </c>
      <c r="C153">
        <v>4004</v>
      </c>
      <c r="D153" t="s">
        <v>2880</v>
      </c>
      <c r="E153">
        <v>632</v>
      </c>
      <c r="F153">
        <v>1045</v>
      </c>
    </row>
    <row r="154" spans="1:6" x14ac:dyDescent="0.25">
      <c r="A154">
        <v>152</v>
      </c>
      <c r="B154">
        <v>11</v>
      </c>
      <c r="C154">
        <v>4009</v>
      </c>
      <c r="D154" t="s">
        <v>2881</v>
      </c>
      <c r="E154">
        <v>647</v>
      </c>
      <c r="F154">
        <v>1051</v>
      </c>
    </row>
    <row r="155" spans="1:6" x14ac:dyDescent="0.25">
      <c r="A155">
        <v>153</v>
      </c>
      <c r="B155">
        <v>11</v>
      </c>
      <c r="C155">
        <v>4009</v>
      </c>
      <c r="D155" t="s">
        <v>2882</v>
      </c>
      <c r="E155">
        <v>614</v>
      </c>
      <c r="F155">
        <v>991</v>
      </c>
    </row>
    <row r="156" spans="1:6" x14ac:dyDescent="0.25">
      <c r="A156">
        <v>154</v>
      </c>
      <c r="B156">
        <v>11</v>
      </c>
      <c r="C156">
        <v>4009</v>
      </c>
      <c r="D156" t="s">
        <v>2883</v>
      </c>
      <c r="E156">
        <v>647</v>
      </c>
      <c r="F156">
        <v>976</v>
      </c>
    </row>
    <row r="157" spans="1:6" x14ac:dyDescent="0.25">
      <c r="A157">
        <v>155</v>
      </c>
      <c r="B157">
        <v>11</v>
      </c>
      <c r="C157">
        <v>4044</v>
      </c>
      <c r="D157" t="s">
        <v>2884</v>
      </c>
      <c r="E157">
        <v>700</v>
      </c>
      <c r="F157">
        <v>978</v>
      </c>
    </row>
    <row r="158" spans="1:6" x14ac:dyDescent="0.25">
      <c r="A158">
        <v>156</v>
      </c>
      <c r="B158">
        <v>11</v>
      </c>
      <c r="C158">
        <v>4044</v>
      </c>
      <c r="D158" t="s">
        <v>2885</v>
      </c>
      <c r="E158">
        <v>683</v>
      </c>
      <c r="F158">
        <v>1058</v>
      </c>
    </row>
    <row r="159" spans="1:6" x14ac:dyDescent="0.25">
      <c r="A159">
        <v>157</v>
      </c>
      <c r="B159">
        <v>11</v>
      </c>
      <c r="C159">
        <v>4044</v>
      </c>
      <c r="D159" t="s">
        <v>2886</v>
      </c>
      <c r="E159">
        <v>614</v>
      </c>
      <c r="F159">
        <v>1059</v>
      </c>
    </row>
    <row r="160" spans="1:6" x14ac:dyDescent="0.25">
      <c r="A160">
        <v>158</v>
      </c>
      <c r="B160">
        <v>11</v>
      </c>
      <c r="C160">
        <v>4011</v>
      </c>
      <c r="D160" t="s">
        <v>2887</v>
      </c>
      <c r="E160">
        <v>622</v>
      </c>
      <c r="F160">
        <v>974</v>
      </c>
    </row>
    <row r="161" spans="1:6" x14ac:dyDescent="0.25">
      <c r="A161">
        <v>159</v>
      </c>
      <c r="B161">
        <v>11</v>
      </c>
      <c r="C161">
        <v>4011</v>
      </c>
      <c r="D161" t="s">
        <v>2888</v>
      </c>
      <c r="E161">
        <v>664</v>
      </c>
      <c r="F161">
        <v>1023</v>
      </c>
    </row>
    <row r="162" spans="1:6" x14ac:dyDescent="0.25">
      <c r="A162">
        <v>160</v>
      </c>
      <c r="B162">
        <v>11</v>
      </c>
      <c r="C162">
        <v>4013</v>
      </c>
      <c r="D162" t="s">
        <v>2889</v>
      </c>
      <c r="E162">
        <v>618</v>
      </c>
      <c r="F162">
        <v>1004</v>
      </c>
    </row>
    <row r="163" spans="1:6" x14ac:dyDescent="0.25">
      <c r="A163">
        <v>161</v>
      </c>
      <c r="B163">
        <v>11</v>
      </c>
      <c r="C163">
        <v>4013</v>
      </c>
      <c r="D163" t="s">
        <v>2890</v>
      </c>
      <c r="E163">
        <v>667</v>
      </c>
      <c r="F163">
        <v>982</v>
      </c>
    </row>
    <row r="164" spans="1:6" x14ac:dyDescent="0.25">
      <c r="A164">
        <v>162</v>
      </c>
      <c r="B164">
        <v>12</v>
      </c>
      <c r="C164">
        <v>4002</v>
      </c>
      <c r="D164" t="s">
        <v>2891</v>
      </c>
      <c r="E164">
        <v>685</v>
      </c>
      <c r="F164">
        <v>895</v>
      </c>
    </row>
    <row r="165" spans="1:6" x14ac:dyDescent="0.25">
      <c r="A165">
        <v>163</v>
      </c>
      <c r="B165">
        <v>12</v>
      </c>
      <c r="C165">
        <v>4002</v>
      </c>
      <c r="D165" t="s">
        <v>2892</v>
      </c>
      <c r="E165">
        <v>605</v>
      </c>
      <c r="F165">
        <v>887</v>
      </c>
    </row>
    <row r="166" spans="1:6" x14ac:dyDescent="0.25">
      <c r="A166">
        <v>164</v>
      </c>
      <c r="B166">
        <v>12</v>
      </c>
      <c r="C166">
        <v>4005</v>
      </c>
      <c r="D166" t="s">
        <v>2893</v>
      </c>
      <c r="E166">
        <v>645</v>
      </c>
      <c r="F166">
        <v>849</v>
      </c>
    </row>
    <row r="167" spans="1:6" x14ac:dyDescent="0.25">
      <c r="A167">
        <v>165</v>
      </c>
      <c r="B167">
        <v>12</v>
      </c>
      <c r="C167">
        <v>4005</v>
      </c>
      <c r="D167" t="s">
        <v>2894</v>
      </c>
      <c r="E167">
        <v>606</v>
      </c>
      <c r="F167">
        <v>925</v>
      </c>
    </row>
    <row r="168" spans="1:6" x14ac:dyDescent="0.25">
      <c r="A168">
        <v>166</v>
      </c>
      <c r="B168">
        <v>12</v>
      </c>
      <c r="C168">
        <v>4045</v>
      </c>
      <c r="D168" t="s">
        <v>2895</v>
      </c>
      <c r="E168">
        <v>678</v>
      </c>
      <c r="F168">
        <v>862</v>
      </c>
    </row>
    <row r="169" spans="1:6" x14ac:dyDescent="0.25">
      <c r="A169">
        <v>167</v>
      </c>
      <c r="B169">
        <v>12</v>
      </c>
      <c r="C169">
        <v>4008</v>
      </c>
      <c r="D169" t="s">
        <v>2896</v>
      </c>
      <c r="E169">
        <v>652</v>
      </c>
      <c r="F169">
        <v>845</v>
      </c>
    </row>
    <row r="170" spans="1:6" x14ac:dyDescent="0.25">
      <c r="A170">
        <v>168</v>
      </c>
      <c r="B170">
        <v>12</v>
      </c>
      <c r="C170">
        <v>4007</v>
      </c>
      <c r="D170" t="s">
        <v>2897</v>
      </c>
      <c r="E170">
        <v>694</v>
      </c>
      <c r="F170">
        <v>853</v>
      </c>
    </row>
    <row r="171" spans="1:6" x14ac:dyDescent="0.25">
      <c r="A171">
        <v>169</v>
      </c>
      <c r="B171">
        <v>12</v>
      </c>
      <c r="C171">
        <v>4004</v>
      </c>
      <c r="D171" t="s">
        <v>2898</v>
      </c>
      <c r="E171">
        <v>648</v>
      </c>
      <c r="F171">
        <v>848</v>
      </c>
    </row>
    <row r="172" spans="1:6" x14ac:dyDescent="0.25">
      <c r="A172">
        <v>170</v>
      </c>
      <c r="B172">
        <v>12</v>
      </c>
      <c r="C172">
        <v>4004</v>
      </c>
      <c r="D172" t="s">
        <v>2899</v>
      </c>
      <c r="E172">
        <v>674</v>
      </c>
      <c r="F172">
        <v>866</v>
      </c>
    </row>
    <row r="173" spans="1:6" x14ac:dyDescent="0.25">
      <c r="A173">
        <v>171</v>
      </c>
      <c r="B173">
        <v>12</v>
      </c>
      <c r="C173">
        <v>4004</v>
      </c>
      <c r="D173" t="s">
        <v>2900</v>
      </c>
      <c r="E173">
        <v>631</v>
      </c>
      <c r="F173">
        <v>874</v>
      </c>
    </row>
    <row r="174" spans="1:6" x14ac:dyDescent="0.25">
      <c r="A174">
        <v>172</v>
      </c>
      <c r="B174">
        <v>12</v>
      </c>
      <c r="C174">
        <v>4009</v>
      </c>
      <c r="D174" t="s">
        <v>2901</v>
      </c>
      <c r="E174">
        <v>611</v>
      </c>
      <c r="F174">
        <v>928</v>
      </c>
    </row>
    <row r="175" spans="1:6" x14ac:dyDescent="0.25">
      <c r="A175">
        <v>173</v>
      </c>
      <c r="B175">
        <v>12</v>
      </c>
      <c r="C175">
        <v>4009</v>
      </c>
      <c r="D175" t="s">
        <v>2902</v>
      </c>
      <c r="E175">
        <v>633</v>
      </c>
      <c r="F175">
        <v>935</v>
      </c>
    </row>
    <row r="176" spans="1:6" x14ac:dyDescent="0.25">
      <c r="A176">
        <v>174</v>
      </c>
      <c r="B176">
        <v>12</v>
      </c>
      <c r="C176">
        <v>4009</v>
      </c>
      <c r="D176" t="s">
        <v>2903</v>
      </c>
      <c r="E176">
        <v>687</v>
      </c>
      <c r="F176">
        <v>868</v>
      </c>
    </row>
    <row r="177" spans="1:6" x14ac:dyDescent="0.25">
      <c r="A177">
        <v>175</v>
      </c>
      <c r="B177">
        <v>12</v>
      </c>
      <c r="C177">
        <v>4044</v>
      </c>
      <c r="D177" t="s">
        <v>2904</v>
      </c>
      <c r="E177">
        <v>691</v>
      </c>
      <c r="F177">
        <v>883</v>
      </c>
    </row>
    <row r="178" spans="1:6" x14ac:dyDescent="0.25">
      <c r="A178">
        <v>176</v>
      </c>
      <c r="B178">
        <v>12</v>
      </c>
      <c r="C178">
        <v>4044</v>
      </c>
      <c r="D178" t="s">
        <v>2905</v>
      </c>
      <c r="E178">
        <v>618</v>
      </c>
      <c r="F178">
        <v>924</v>
      </c>
    </row>
    <row r="179" spans="1:6" x14ac:dyDescent="0.25">
      <c r="A179">
        <v>177</v>
      </c>
      <c r="B179">
        <v>12</v>
      </c>
      <c r="C179">
        <v>4044</v>
      </c>
      <c r="D179" t="s">
        <v>2906</v>
      </c>
      <c r="E179">
        <v>695</v>
      </c>
      <c r="F179">
        <v>936</v>
      </c>
    </row>
    <row r="180" spans="1:6" x14ac:dyDescent="0.25">
      <c r="A180">
        <v>178</v>
      </c>
      <c r="B180">
        <v>12</v>
      </c>
      <c r="C180">
        <v>4011</v>
      </c>
      <c r="D180" t="s">
        <v>2907</v>
      </c>
      <c r="E180">
        <v>610</v>
      </c>
      <c r="F180">
        <v>864</v>
      </c>
    </row>
    <row r="181" spans="1:6" x14ac:dyDescent="0.25">
      <c r="A181">
        <v>179</v>
      </c>
      <c r="B181">
        <v>12</v>
      </c>
      <c r="C181">
        <v>4011</v>
      </c>
      <c r="D181" t="s">
        <v>2908</v>
      </c>
      <c r="E181">
        <v>620</v>
      </c>
      <c r="F181">
        <v>845</v>
      </c>
    </row>
    <row r="182" spans="1:6" x14ac:dyDescent="0.25">
      <c r="A182">
        <v>180</v>
      </c>
      <c r="B182">
        <v>12</v>
      </c>
      <c r="C182">
        <v>4013</v>
      </c>
      <c r="D182" t="s">
        <v>2909</v>
      </c>
      <c r="E182">
        <v>610</v>
      </c>
      <c r="F182">
        <v>889</v>
      </c>
    </row>
    <row r="183" spans="1:6" x14ac:dyDescent="0.25">
      <c r="A183">
        <v>181</v>
      </c>
      <c r="B183">
        <v>12</v>
      </c>
      <c r="C183">
        <v>4013</v>
      </c>
      <c r="D183" t="s">
        <v>2910</v>
      </c>
      <c r="E183">
        <v>656</v>
      </c>
      <c r="F183">
        <v>911</v>
      </c>
    </row>
    <row r="184" spans="1:6" x14ac:dyDescent="0.25">
      <c r="A184">
        <v>182</v>
      </c>
      <c r="B184">
        <v>13</v>
      </c>
      <c r="C184">
        <v>4002</v>
      </c>
      <c r="D184" t="s">
        <v>2911</v>
      </c>
      <c r="E184">
        <v>699</v>
      </c>
      <c r="F184">
        <v>820</v>
      </c>
    </row>
    <row r="185" spans="1:6" x14ac:dyDescent="0.25">
      <c r="A185">
        <v>183</v>
      </c>
      <c r="B185">
        <v>13</v>
      </c>
      <c r="C185">
        <v>4002</v>
      </c>
      <c r="D185" t="s">
        <v>2912</v>
      </c>
      <c r="E185">
        <v>688</v>
      </c>
      <c r="F185">
        <v>721</v>
      </c>
    </row>
    <row r="186" spans="1:6" x14ac:dyDescent="0.25">
      <c r="A186">
        <v>184</v>
      </c>
      <c r="B186">
        <v>13</v>
      </c>
      <c r="C186">
        <v>4005</v>
      </c>
      <c r="D186" t="s">
        <v>2913</v>
      </c>
      <c r="E186">
        <v>608</v>
      </c>
      <c r="F186">
        <v>807</v>
      </c>
    </row>
    <row r="187" spans="1:6" x14ac:dyDescent="0.25">
      <c r="A187">
        <v>185</v>
      </c>
      <c r="B187">
        <v>13</v>
      </c>
      <c r="C187">
        <v>4005</v>
      </c>
      <c r="D187" t="s">
        <v>2914</v>
      </c>
      <c r="E187">
        <v>671</v>
      </c>
      <c r="F187">
        <v>726</v>
      </c>
    </row>
    <row r="188" spans="1:6" x14ac:dyDescent="0.25">
      <c r="A188">
        <v>186</v>
      </c>
      <c r="B188">
        <v>13</v>
      </c>
      <c r="C188">
        <v>4045</v>
      </c>
      <c r="D188" t="s">
        <v>2915</v>
      </c>
      <c r="E188">
        <v>677</v>
      </c>
      <c r="F188">
        <v>762</v>
      </c>
    </row>
    <row r="189" spans="1:6" x14ac:dyDescent="0.25">
      <c r="A189">
        <v>187</v>
      </c>
      <c r="B189">
        <v>13</v>
      </c>
      <c r="C189">
        <v>4008</v>
      </c>
      <c r="D189" t="s">
        <v>2916</v>
      </c>
      <c r="E189">
        <v>613</v>
      </c>
      <c r="F189">
        <v>746</v>
      </c>
    </row>
    <row r="190" spans="1:6" x14ac:dyDescent="0.25">
      <c r="A190">
        <v>188</v>
      </c>
      <c r="B190">
        <v>13</v>
      </c>
      <c r="C190">
        <v>4007</v>
      </c>
      <c r="D190" t="s">
        <v>2917</v>
      </c>
      <c r="E190">
        <v>673</v>
      </c>
      <c r="F190">
        <v>798</v>
      </c>
    </row>
    <row r="191" spans="1:6" x14ac:dyDescent="0.25">
      <c r="A191">
        <v>189</v>
      </c>
      <c r="B191">
        <v>13</v>
      </c>
      <c r="C191">
        <v>4004</v>
      </c>
      <c r="D191" t="s">
        <v>2918</v>
      </c>
      <c r="E191">
        <v>6010</v>
      </c>
      <c r="F191">
        <v>728</v>
      </c>
    </row>
    <row r="192" spans="1:6" x14ac:dyDescent="0.25">
      <c r="A192">
        <v>190</v>
      </c>
      <c r="B192">
        <v>13</v>
      </c>
      <c r="C192">
        <v>4004</v>
      </c>
      <c r="D192" t="s">
        <v>2919</v>
      </c>
      <c r="E192">
        <v>677</v>
      </c>
      <c r="F192">
        <v>764</v>
      </c>
    </row>
    <row r="193" spans="1:6" x14ac:dyDescent="0.25">
      <c r="A193">
        <v>191</v>
      </c>
      <c r="B193">
        <v>13</v>
      </c>
      <c r="C193">
        <v>4004</v>
      </c>
      <c r="D193" t="s">
        <v>2920</v>
      </c>
      <c r="E193">
        <v>625</v>
      </c>
      <c r="F193">
        <v>798</v>
      </c>
    </row>
    <row r="194" spans="1:6" x14ac:dyDescent="0.25">
      <c r="A194">
        <v>192</v>
      </c>
      <c r="B194">
        <v>13</v>
      </c>
      <c r="C194">
        <v>4009</v>
      </c>
      <c r="D194" t="s">
        <v>2921</v>
      </c>
      <c r="E194">
        <v>695</v>
      </c>
      <c r="F194">
        <v>784</v>
      </c>
    </row>
    <row r="195" spans="1:6" x14ac:dyDescent="0.25">
      <c r="A195">
        <v>193</v>
      </c>
      <c r="B195">
        <v>13</v>
      </c>
      <c r="C195">
        <v>4009</v>
      </c>
      <c r="D195" t="s">
        <v>2922</v>
      </c>
      <c r="E195">
        <v>606</v>
      </c>
      <c r="F195">
        <v>811</v>
      </c>
    </row>
    <row r="196" spans="1:6" x14ac:dyDescent="0.25">
      <c r="A196">
        <v>194</v>
      </c>
      <c r="B196">
        <v>13</v>
      </c>
      <c r="C196">
        <v>4009</v>
      </c>
      <c r="D196" t="s">
        <v>2923</v>
      </c>
      <c r="E196">
        <v>622</v>
      </c>
      <c r="F196">
        <v>752</v>
      </c>
    </row>
    <row r="197" spans="1:6" x14ac:dyDescent="0.25">
      <c r="A197">
        <v>195</v>
      </c>
      <c r="B197">
        <v>13</v>
      </c>
      <c r="C197">
        <v>4044</v>
      </c>
      <c r="D197" t="s">
        <v>2924</v>
      </c>
      <c r="E197">
        <v>611</v>
      </c>
      <c r="F197">
        <v>756</v>
      </c>
    </row>
    <row r="198" spans="1:6" x14ac:dyDescent="0.25">
      <c r="A198">
        <v>196</v>
      </c>
      <c r="B198">
        <v>13</v>
      </c>
      <c r="C198">
        <v>4044</v>
      </c>
      <c r="D198" t="s">
        <v>2925</v>
      </c>
      <c r="E198">
        <v>617</v>
      </c>
      <c r="F198">
        <v>814</v>
      </c>
    </row>
    <row r="199" spans="1:6" x14ac:dyDescent="0.25">
      <c r="A199">
        <v>197</v>
      </c>
      <c r="B199">
        <v>13</v>
      </c>
      <c r="C199">
        <v>4044</v>
      </c>
      <c r="D199" t="s">
        <v>2926</v>
      </c>
      <c r="E199">
        <v>689</v>
      </c>
      <c r="F199">
        <v>734</v>
      </c>
    </row>
    <row r="200" spans="1:6" x14ac:dyDescent="0.25">
      <c r="A200">
        <v>198</v>
      </c>
      <c r="B200">
        <v>13</v>
      </c>
      <c r="C200">
        <v>4011</v>
      </c>
      <c r="D200" t="s">
        <v>2927</v>
      </c>
      <c r="E200">
        <v>656</v>
      </c>
      <c r="F200">
        <v>729</v>
      </c>
    </row>
    <row r="201" spans="1:6" x14ac:dyDescent="0.25">
      <c r="A201">
        <v>199</v>
      </c>
      <c r="B201">
        <v>13</v>
      </c>
      <c r="C201">
        <v>4011</v>
      </c>
      <c r="D201" t="s">
        <v>2928</v>
      </c>
      <c r="E201">
        <v>633</v>
      </c>
      <c r="F201">
        <v>771</v>
      </c>
    </row>
    <row r="202" spans="1:6" x14ac:dyDescent="0.25">
      <c r="A202">
        <v>200</v>
      </c>
      <c r="B202">
        <v>13</v>
      </c>
      <c r="C202">
        <v>4013</v>
      </c>
      <c r="D202" t="s">
        <v>2929</v>
      </c>
      <c r="E202">
        <v>627</v>
      </c>
      <c r="F202">
        <v>733</v>
      </c>
    </row>
    <row r="203" spans="1:6" x14ac:dyDescent="0.25">
      <c r="A203">
        <v>201</v>
      </c>
      <c r="B203">
        <v>13</v>
      </c>
      <c r="C203">
        <v>4013</v>
      </c>
      <c r="D203" t="s">
        <v>2930</v>
      </c>
      <c r="E203">
        <v>614</v>
      </c>
      <c r="F203">
        <v>763</v>
      </c>
    </row>
    <row r="204" spans="1:6" x14ac:dyDescent="0.25">
      <c r="A204">
        <v>202</v>
      </c>
      <c r="B204">
        <v>14</v>
      </c>
      <c r="C204">
        <v>4002</v>
      </c>
      <c r="D204" t="s">
        <v>2931</v>
      </c>
      <c r="E204">
        <v>700</v>
      </c>
      <c r="F204">
        <v>620</v>
      </c>
    </row>
    <row r="205" spans="1:6" x14ac:dyDescent="0.25">
      <c r="A205">
        <v>203</v>
      </c>
      <c r="B205">
        <v>14</v>
      </c>
      <c r="C205">
        <v>4002</v>
      </c>
      <c r="D205" t="s">
        <v>2932</v>
      </c>
      <c r="E205">
        <v>683</v>
      </c>
      <c r="F205">
        <v>618</v>
      </c>
    </row>
    <row r="206" spans="1:6" x14ac:dyDescent="0.25">
      <c r="A206">
        <v>204</v>
      </c>
      <c r="B206">
        <v>14</v>
      </c>
      <c r="C206">
        <v>4005</v>
      </c>
      <c r="D206" t="s">
        <v>2933</v>
      </c>
      <c r="E206">
        <v>634</v>
      </c>
      <c r="F206">
        <v>648</v>
      </c>
    </row>
    <row r="207" spans="1:6" x14ac:dyDescent="0.25">
      <c r="A207">
        <v>205</v>
      </c>
      <c r="B207">
        <v>14</v>
      </c>
      <c r="C207">
        <v>4005</v>
      </c>
      <c r="D207" t="s">
        <v>2934</v>
      </c>
      <c r="E207">
        <v>607</v>
      </c>
      <c r="F207">
        <v>655</v>
      </c>
    </row>
    <row r="208" spans="1:6" x14ac:dyDescent="0.25">
      <c r="A208">
        <v>206</v>
      </c>
      <c r="B208">
        <v>14</v>
      </c>
      <c r="C208">
        <v>4045</v>
      </c>
      <c r="D208" t="s">
        <v>2935</v>
      </c>
      <c r="E208">
        <v>654</v>
      </c>
      <c r="F208">
        <v>609</v>
      </c>
    </row>
    <row r="209" spans="1:6" x14ac:dyDescent="0.25">
      <c r="A209">
        <v>207</v>
      </c>
      <c r="B209">
        <v>14</v>
      </c>
      <c r="C209">
        <v>4008</v>
      </c>
      <c r="D209" t="s">
        <v>2936</v>
      </c>
      <c r="E209">
        <v>642</v>
      </c>
      <c r="F209">
        <v>685</v>
      </c>
    </row>
    <row r="210" spans="1:6" x14ac:dyDescent="0.25">
      <c r="A210">
        <v>208</v>
      </c>
      <c r="B210">
        <v>14</v>
      </c>
      <c r="C210">
        <v>4007</v>
      </c>
      <c r="D210" t="s">
        <v>2937</v>
      </c>
      <c r="E210">
        <v>615</v>
      </c>
      <c r="F210">
        <v>687</v>
      </c>
    </row>
    <row r="211" spans="1:6" x14ac:dyDescent="0.25">
      <c r="A211">
        <v>209</v>
      </c>
      <c r="B211">
        <v>14</v>
      </c>
      <c r="C211">
        <v>4004</v>
      </c>
      <c r="D211" t="s">
        <v>2938</v>
      </c>
      <c r="E211">
        <v>607</v>
      </c>
      <c r="F211">
        <v>658</v>
      </c>
    </row>
    <row r="212" spans="1:6" x14ac:dyDescent="0.25">
      <c r="A212">
        <v>210</v>
      </c>
      <c r="B212">
        <v>14</v>
      </c>
      <c r="C212">
        <v>4004</v>
      </c>
      <c r="D212" t="s">
        <v>2939</v>
      </c>
      <c r="E212">
        <v>628</v>
      </c>
      <c r="F212">
        <v>699</v>
      </c>
    </row>
    <row r="213" spans="1:6" x14ac:dyDescent="0.25">
      <c r="A213">
        <v>211</v>
      </c>
      <c r="B213">
        <v>14</v>
      </c>
      <c r="C213">
        <v>4004</v>
      </c>
      <c r="D213" t="s">
        <v>2940</v>
      </c>
      <c r="E213">
        <v>630</v>
      </c>
      <c r="F213">
        <v>688</v>
      </c>
    </row>
    <row r="214" spans="1:6" x14ac:dyDescent="0.25">
      <c r="A214">
        <v>212</v>
      </c>
      <c r="B214">
        <v>14</v>
      </c>
      <c r="C214">
        <v>4009</v>
      </c>
      <c r="D214" t="s">
        <v>2941</v>
      </c>
      <c r="E214">
        <v>691</v>
      </c>
      <c r="F214">
        <v>682</v>
      </c>
    </row>
    <row r="215" spans="1:6" x14ac:dyDescent="0.25">
      <c r="A215">
        <v>213</v>
      </c>
      <c r="B215">
        <v>14</v>
      </c>
      <c r="C215">
        <v>4009</v>
      </c>
      <c r="D215" t="s">
        <v>2942</v>
      </c>
      <c r="E215">
        <v>641</v>
      </c>
      <c r="F215">
        <v>692</v>
      </c>
    </row>
    <row r="216" spans="1:6" x14ac:dyDescent="0.25">
      <c r="A216">
        <v>214</v>
      </c>
      <c r="B216">
        <v>14</v>
      </c>
      <c r="C216">
        <v>4009</v>
      </c>
      <c r="D216" t="s">
        <v>2943</v>
      </c>
      <c r="E216">
        <v>690</v>
      </c>
      <c r="F216">
        <v>637</v>
      </c>
    </row>
    <row r="217" spans="1:6" x14ac:dyDescent="0.25">
      <c r="A217">
        <v>215</v>
      </c>
      <c r="B217">
        <v>14</v>
      </c>
      <c r="C217">
        <v>4044</v>
      </c>
      <c r="D217" t="s">
        <v>2944</v>
      </c>
      <c r="E217">
        <v>695</v>
      </c>
      <c r="F217">
        <v>652</v>
      </c>
    </row>
    <row r="218" spans="1:6" x14ac:dyDescent="0.25">
      <c r="A218">
        <v>216</v>
      </c>
      <c r="B218">
        <v>14</v>
      </c>
      <c r="C218">
        <v>4044</v>
      </c>
      <c r="D218" t="s">
        <v>2945</v>
      </c>
      <c r="E218">
        <v>656</v>
      </c>
      <c r="F218">
        <v>617</v>
      </c>
    </row>
    <row r="219" spans="1:6" x14ac:dyDescent="0.25">
      <c r="A219">
        <v>217</v>
      </c>
      <c r="B219">
        <v>14</v>
      </c>
      <c r="C219">
        <v>4044</v>
      </c>
      <c r="D219" t="s">
        <v>2946</v>
      </c>
      <c r="E219">
        <v>679</v>
      </c>
      <c r="F219">
        <v>626</v>
      </c>
    </row>
    <row r="220" spans="1:6" x14ac:dyDescent="0.25">
      <c r="A220">
        <v>218</v>
      </c>
      <c r="B220">
        <v>14</v>
      </c>
      <c r="C220">
        <v>4011</v>
      </c>
      <c r="D220" t="s">
        <v>2947</v>
      </c>
      <c r="E220">
        <v>647</v>
      </c>
      <c r="F220">
        <v>655</v>
      </c>
    </row>
    <row r="221" spans="1:6" x14ac:dyDescent="0.25">
      <c r="A221">
        <v>219</v>
      </c>
      <c r="B221">
        <v>14</v>
      </c>
      <c r="C221">
        <v>4011</v>
      </c>
      <c r="D221" t="s">
        <v>2948</v>
      </c>
      <c r="E221">
        <v>609</v>
      </c>
      <c r="F221">
        <v>624</v>
      </c>
    </row>
    <row r="222" spans="1:6" x14ac:dyDescent="0.25">
      <c r="A222">
        <v>220</v>
      </c>
      <c r="B222">
        <v>14</v>
      </c>
      <c r="C222">
        <v>4013</v>
      </c>
      <c r="D222" t="s">
        <v>2949</v>
      </c>
      <c r="E222">
        <v>629</v>
      </c>
      <c r="F222">
        <v>605</v>
      </c>
    </row>
    <row r="223" spans="1:6" x14ac:dyDescent="0.25">
      <c r="A223">
        <v>221</v>
      </c>
      <c r="B223">
        <v>14</v>
      </c>
      <c r="C223">
        <v>4013</v>
      </c>
      <c r="D223" t="s">
        <v>2950</v>
      </c>
      <c r="E223">
        <v>608</v>
      </c>
      <c r="F223">
        <v>605</v>
      </c>
    </row>
    <row r="224" spans="1:6" x14ac:dyDescent="0.25">
      <c r="A224">
        <v>222</v>
      </c>
      <c r="B224">
        <v>15</v>
      </c>
      <c r="C224">
        <v>4002</v>
      </c>
      <c r="D224" t="s">
        <v>2951</v>
      </c>
      <c r="E224">
        <v>701</v>
      </c>
      <c r="F224">
        <v>520</v>
      </c>
    </row>
    <row r="225" spans="1:6" x14ac:dyDescent="0.25">
      <c r="A225">
        <v>223</v>
      </c>
      <c r="B225">
        <v>15</v>
      </c>
      <c r="C225">
        <v>4002</v>
      </c>
      <c r="D225" t="s">
        <v>2952</v>
      </c>
      <c r="E225">
        <v>685</v>
      </c>
      <c r="F225">
        <v>485</v>
      </c>
    </row>
    <row r="226" spans="1:6" x14ac:dyDescent="0.25">
      <c r="A226">
        <v>224</v>
      </c>
      <c r="B226">
        <v>15</v>
      </c>
      <c r="C226">
        <v>4005</v>
      </c>
      <c r="D226" t="s">
        <v>2953</v>
      </c>
      <c r="E226">
        <v>686</v>
      </c>
      <c r="F226">
        <v>569</v>
      </c>
    </row>
    <row r="227" spans="1:6" x14ac:dyDescent="0.25">
      <c r="A227">
        <v>225</v>
      </c>
      <c r="B227">
        <v>15</v>
      </c>
      <c r="C227">
        <v>4005</v>
      </c>
      <c r="D227" t="s">
        <v>2954</v>
      </c>
      <c r="E227">
        <v>659</v>
      </c>
      <c r="F227">
        <v>576</v>
      </c>
    </row>
    <row r="228" spans="1:6" x14ac:dyDescent="0.25">
      <c r="A228">
        <v>226</v>
      </c>
      <c r="B228">
        <v>15</v>
      </c>
      <c r="C228">
        <v>4045</v>
      </c>
      <c r="D228" t="s">
        <v>2955</v>
      </c>
      <c r="E228">
        <v>614</v>
      </c>
      <c r="F228">
        <v>497</v>
      </c>
    </row>
    <row r="229" spans="1:6" x14ac:dyDescent="0.25">
      <c r="A229">
        <v>227</v>
      </c>
      <c r="B229">
        <v>15</v>
      </c>
      <c r="C229">
        <v>4008</v>
      </c>
      <c r="D229" t="s">
        <v>2956</v>
      </c>
      <c r="E229">
        <v>611</v>
      </c>
      <c r="F229">
        <v>505</v>
      </c>
    </row>
    <row r="230" spans="1:6" x14ac:dyDescent="0.25">
      <c r="A230">
        <v>228</v>
      </c>
      <c r="B230">
        <v>15</v>
      </c>
      <c r="C230">
        <v>4007</v>
      </c>
      <c r="D230" t="s">
        <v>2957</v>
      </c>
      <c r="E230">
        <v>680</v>
      </c>
      <c r="F230">
        <v>492</v>
      </c>
    </row>
    <row r="231" spans="1:6" x14ac:dyDescent="0.25">
      <c r="A231">
        <v>229</v>
      </c>
      <c r="B231">
        <v>15</v>
      </c>
      <c r="C231">
        <v>4004</v>
      </c>
      <c r="D231" t="s">
        <v>2958</v>
      </c>
      <c r="E231">
        <v>692</v>
      </c>
      <c r="F231">
        <v>488</v>
      </c>
    </row>
    <row r="232" spans="1:6" x14ac:dyDescent="0.25">
      <c r="A232">
        <v>230</v>
      </c>
      <c r="B232">
        <v>15</v>
      </c>
      <c r="C232">
        <v>4004</v>
      </c>
      <c r="D232" t="s">
        <v>2959</v>
      </c>
      <c r="E232">
        <v>616</v>
      </c>
      <c r="F232">
        <v>505</v>
      </c>
    </row>
    <row r="233" spans="1:6" x14ac:dyDescent="0.25">
      <c r="A233">
        <v>231</v>
      </c>
      <c r="B233">
        <v>15</v>
      </c>
      <c r="C233">
        <v>4004</v>
      </c>
      <c r="D233" t="s">
        <v>2960</v>
      </c>
      <c r="E233">
        <v>606</v>
      </c>
      <c r="F233">
        <v>567</v>
      </c>
    </row>
    <row r="234" spans="1:6" x14ac:dyDescent="0.25">
      <c r="A234">
        <v>232</v>
      </c>
      <c r="B234">
        <v>15</v>
      </c>
      <c r="C234">
        <v>4009</v>
      </c>
      <c r="D234" t="s">
        <v>2961</v>
      </c>
      <c r="E234">
        <v>657</v>
      </c>
      <c r="F234">
        <v>487</v>
      </c>
    </row>
    <row r="235" spans="1:6" x14ac:dyDescent="0.25">
      <c r="A235">
        <v>233</v>
      </c>
      <c r="B235">
        <v>15</v>
      </c>
      <c r="C235">
        <v>4009</v>
      </c>
      <c r="D235" t="s">
        <v>2962</v>
      </c>
      <c r="E235">
        <v>623</v>
      </c>
      <c r="F235">
        <v>574</v>
      </c>
    </row>
    <row r="236" spans="1:6" x14ac:dyDescent="0.25">
      <c r="A236">
        <v>234</v>
      </c>
      <c r="B236">
        <v>15</v>
      </c>
      <c r="C236">
        <v>4009</v>
      </c>
      <c r="D236" t="s">
        <v>2963</v>
      </c>
      <c r="E236">
        <v>608</v>
      </c>
      <c r="F236">
        <v>519</v>
      </c>
    </row>
    <row r="237" spans="1:6" x14ac:dyDescent="0.25">
      <c r="A237">
        <v>235</v>
      </c>
      <c r="B237">
        <v>15</v>
      </c>
      <c r="C237">
        <v>4044</v>
      </c>
      <c r="D237" t="s">
        <v>2964</v>
      </c>
      <c r="E237">
        <v>696</v>
      </c>
      <c r="F237">
        <v>577</v>
      </c>
    </row>
    <row r="238" spans="1:6" x14ac:dyDescent="0.25">
      <c r="A238">
        <v>236</v>
      </c>
      <c r="B238">
        <v>15</v>
      </c>
      <c r="C238">
        <v>4044</v>
      </c>
      <c r="D238" t="s">
        <v>2965</v>
      </c>
      <c r="E238">
        <v>639</v>
      </c>
      <c r="F238">
        <v>551</v>
      </c>
    </row>
    <row r="239" spans="1:6" x14ac:dyDescent="0.25">
      <c r="A239">
        <v>237</v>
      </c>
      <c r="B239">
        <v>15</v>
      </c>
      <c r="C239">
        <v>4044</v>
      </c>
      <c r="D239" t="s">
        <v>2966</v>
      </c>
      <c r="E239">
        <v>698</v>
      </c>
      <c r="F239">
        <v>552</v>
      </c>
    </row>
    <row r="240" spans="1:6" x14ac:dyDescent="0.25">
      <c r="A240">
        <v>238</v>
      </c>
      <c r="B240">
        <v>15</v>
      </c>
      <c r="C240">
        <v>4011</v>
      </c>
      <c r="D240" t="s">
        <v>2967</v>
      </c>
      <c r="E240">
        <v>617</v>
      </c>
      <c r="F240">
        <v>489</v>
      </c>
    </row>
    <row r="241" spans="1:6" x14ac:dyDescent="0.25">
      <c r="A241">
        <v>239</v>
      </c>
      <c r="B241">
        <v>15</v>
      </c>
      <c r="C241">
        <v>4011</v>
      </c>
      <c r="D241" t="s">
        <v>2968</v>
      </c>
      <c r="E241">
        <v>607</v>
      </c>
      <c r="F241">
        <v>530</v>
      </c>
    </row>
    <row r="242" spans="1:6" x14ac:dyDescent="0.25">
      <c r="A242">
        <v>240</v>
      </c>
      <c r="B242">
        <v>15</v>
      </c>
      <c r="C242">
        <v>4013</v>
      </c>
      <c r="D242" t="s">
        <v>2969</v>
      </c>
      <c r="E242">
        <v>623</v>
      </c>
      <c r="F242">
        <v>526</v>
      </c>
    </row>
    <row r="243" spans="1:6" x14ac:dyDescent="0.25">
      <c r="A243">
        <v>241</v>
      </c>
      <c r="B243">
        <v>15</v>
      </c>
      <c r="C243">
        <v>4013</v>
      </c>
      <c r="D243" t="s">
        <v>2970</v>
      </c>
      <c r="E243">
        <v>639</v>
      </c>
      <c r="F243">
        <v>488</v>
      </c>
    </row>
    <row r="244" spans="1:6" x14ac:dyDescent="0.25">
      <c r="A244">
        <v>242</v>
      </c>
      <c r="B244">
        <v>16</v>
      </c>
      <c r="C244">
        <v>4002</v>
      </c>
      <c r="D244" t="s">
        <v>2971</v>
      </c>
      <c r="E244">
        <v>700</v>
      </c>
      <c r="F244">
        <v>460</v>
      </c>
    </row>
    <row r="245" spans="1:6" x14ac:dyDescent="0.25">
      <c r="A245">
        <v>243</v>
      </c>
      <c r="B245">
        <v>16</v>
      </c>
      <c r="C245">
        <v>4002</v>
      </c>
      <c r="D245" t="s">
        <v>2972</v>
      </c>
      <c r="E245">
        <v>608</v>
      </c>
      <c r="F245">
        <v>370</v>
      </c>
    </row>
    <row r="246" spans="1:6" x14ac:dyDescent="0.25">
      <c r="A246">
        <v>244</v>
      </c>
      <c r="B246">
        <v>16</v>
      </c>
      <c r="C246">
        <v>4005</v>
      </c>
      <c r="D246" t="s">
        <v>2973</v>
      </c>
      <c r="E246">
        <v>679</v>
      </c>
      <c r="F246">
        <v>366</v>
      </c>
    </row>
    <row r="247" spans="1:6" x14ac:dyDescent="0.25">
      <c r="A247">
        <v>245</v>
      </c>
      <c r="B247">
        <v>16</v>
      </c>
      <c r="C247">
        <v>4005</v>
      </c>
      <c r="D247" t="s">
        <v>2974</v>
      </c>
      <c r="E247">
        <v>667</v>
      </c>
      <c r="F247">
        <v>381</v>
      </c>
    </row>
    <row r="248" spans="1:6" x14ac:dyDescent="0.25">
      <c r="A248">
        <v>246</v>
      </c>
      <c r="B248">
        <v>16</v>
      </c>
      <c r="C248">
        <v>4045</v>
      </c>
      <c r="D248" t="s">
        <v>2975</v>
      </c>
      <c r="E248">
        <v>692</v>
      </c>
      <c r="F248">
        <v>468</v>
      </c>
    </row>
    <row r="249" spans="1:6" x14ac:dyDescent="0.25">
      <c r="A249">
        <v>247</v>
      </c>
      <c r="B249">
        <v>16</v>
      </c>
      <c r="C249">
        <v>4008</v>
      </c>
      <c r="D249" t="s">
        <v>2976</v>
      </c>
      <c r="E249">
        <v>617</v>
      </c>
      <c r="F249">
        <v>368</v>
      </c>
    </row>
    <row r="250" spans="1:6" x14ac:dyDescent="0.25">
      <c r="A250">
        <v>248</v>
      </c>
      <c r="B250">
        <v>16</v>
      </c>
      <c r="C250">
        <v>4007</v>
      </c>
      <c r="D250" t="s">
        <v>2977</v>
      </c>
      <c r="E250">
        <v>613</v>
      </c>
      <c r="F250">
        <v>437</v>
      </c>
    </row>
    <row r="251" spans="1:6" x14ac:dyDescent="0.25">
      <c r="A251">
        <v>249</v>
      </c>
      <c r="B251">
        <v>16</v>
      </c>
      <c r="C251">
        <v>4004</v>
      </c>
      <c r="D251" t="s">
        <v>2978</v>
      </c>
      <c r="E251">
        <v>607</v>
      </c>
      <c r="F251">
        <v>430</v>
      </c>
    </row>
    <row r="252" spans="1:6" x14ac:dyDescent="0.25">
      <c r="A252">
        <v>250</v>
      </c>
      <c r="B252">
        <v>16</v>
      </c>
      <c r="C252">
        <v>4004</v>
      </c>
      <c r="D252" t="s">
        <v>2979</v>
      </c>
      <c r="E252">
        <v>632</v>
      </c>
      <c r="F252">
        <v>366</v>
      </c>
    </row>
    <row r="253" spans="1:6" x14ac:dyDescent="0.25">
      <c r="A253">
        <v>251</v>
      </c>
      <c r="B253">
        <v>16</v>
      </c>
      <c r="C253">
        <v>4004</v>
      </c>
      <c r="D253" t="s">
        <v>2980</v>
      </c>
      <c r="E253">
        <v>615</v>
      </c>
      <c r="F253">
        <v>365</v>
      </c>
    </row>
    <row r="254" spans="1:6" x14ac:dyDescent="0.25">
      <c r="A254">
        <v>252</v>
      </c>
      <c r="B254">
        <v>16</v>
      </c>
      <c r="C254">
        <v>4009</v>
      </c>
      <c r="D254" t="s">
        <v>2981</v>
      </c>
      <c r="E254">
        <v>676</v>
      </c>
      <c r="F254">
        <v>387</v>
      </c>
    </row>
    <row r="255" spans="1:6" x14ac:dyDescent="0.25">
      <c r="A255">
        <v>253</v>
      </c>
      <c r="B255">
        <v>16</v>
      </c>
      <c r="C255">
        <v>4009</v>
      </c>
      <c r="D255" t="s">
        <v>2982</v>
      </c>
      <c r="E255">
        <v>675</v>
      </c>
      <c r="F255">
        <v>426</v>
      </c>
    </row>
    <row r="256" spans="1:6" x14ac:dyDescent="0.25">
      <c r="A256">
        <v>254</v>
      </c>
      <c r="B256">
        <v>16</v>
      </c>
      <c r="C256">
        <v>4009</v>
      </c>
      <c r="D256" t="s">
        <v>2983</v>
      </c>
      <c r="E256">
        <v>631</v>
      </c>
      <c r="F256">
        <v>387</v>
      </c>
    </row>
    <row r="257" spans="1:6" x14ac:dyDescent="0.25">
      <c r="A257">
        <v>255</v>
      </c>
      <c r="B257">
        <v>16</v>
      </c>
      <c r="C257">
        <v>4044</v>
      </c>
      <c r="D257" t="s">
        <v>2984</v>
      </c>
      <c r="E257">
        <v>608</v>
      </c>
      <c r="F257">
        <v>451</v>
      </c>
    </row>
    <row r="258" spans="1:6" x14ac:dyDescent="0.25">
      <c r="A258">
        <v>256</v>
      </c>
      <c r="B258">
        <v>16</v>
      </c>
      <c r="C258">
        <v>4044</v>
      </c>
      <c r="D258" t="s">
        <v>2985</v>
      </c>
      <c r="E258">
        <v>634</v>
      </c>
      <c r="F258">
        <v>452</v>
      </c>
    </row>
    <row r="259" spans="1:6" x14ac:dyDescent="0.25">
      <c r="A259">
        <v>257</v>
      </c>
      <c r="B259">
        <v>16</v>
      </c>
      <c r="C259">
        <v>4044</v>
      </c>
      <c r="D259" t="s">
        <v>2986</v>
      </c>
      <c r="E259">
        <v>692</v>
      </c>
      <c r="F259">
        <v>370</v>
      </c>
    </row>
    <row r="260" spans="1:6" x14ac:dyDescent="0.25">
      <c r="A260">
        <v>258</v>
      </c>
      <c r="B260">
        <v>16</v>
      </c>
      <c r="C260">
        <v>4011</v>
      </c>
      <c r="D260" t="s">
        <v>2987</v>
      </c>
      <c r="E260">
        <v>609</v>
      </c>
      <c r="F260">
        <v>379</v>
      </c>
    </row>
    <row r="261" spans="1:6" x14ac:dyDescent="0.25">
      <c r="A261">
        <v>259</v>
      </c>
      <c r="B261">
        <v>16</v>
      </c>
      <c r="C261">
        <v>4011</v>
      </c>
      <c r="D261" t="s">
        <v>2988</v>
      </c>
      <c r="E261">
        <v>664</v>
      </c>
      <c r="F261">
        <v>365</v>
      </c>
    </row>
    <row r="262" spans="1:6" x14ac:dyDescent="0.25">
      <c r="A262">
        <v>260</v>
      </c>
      <c r="B262">
        <v>16</v>
      </c>
      <c r="C262">
        <v>4013</v>
      </c>
      <c r="D262" t="s">
        <v>2989</v>
      </c>
      <c r="E262">
        <v>640</v>
      </c>
      <c r="F262">
        <v>373</v>
      </c>
    </row>
    <row r="263" spans="1:6" x14ac:dyDescent="0.25">
      <c r="A263">
        <v>261</v>
      </c>
      <c r="B263">
        <v>16</v>
      </c>
      <c r="C263">
        <v>4013</v>
      </c>
      <c r="D263" t="s">
        <v>2990</v>
      </c>
      <c r="E263">
        <v>606</v>
      </c>
      <c r="F263">
        <v>396</v>
      </c>
    </row>
    <row r="264" spans="1:6" x14ac:dyDescent="0.25">
      <c r="A264">
        <v>262</v>
      </c>
      <c r="B264">
        <v>17</v>
      </c>
      <c r="C264">
        <v>4002</v>
      </c>
      <c r="D264" t="s">
        <v>2991</v>
      </c>
      <c r="E264">
        <v>775</v>
      </c>
      <c r="F264">
        <v>376</v>
      </c>
    </row>
    <row r="265" spans="1:6" x14ac:dyDescent="0.25">
      <c r="A265">
        <v>263</v>
      </c>
      <c r="B265">
        <v>17</v>
      </c>
      <c r="C265">
        <v>4002</v>
      </c>
      <c r="D265" t="s">
        <v>2992</v>
      </c>
      <c r="E265">
        <v>823</v>
      </c>
      <c r="F265">
        <v>436</v>
      </c>
    </row>
    <row r="266" spans="1:6" x14ac:dyDescent="0.25">
      <c r="A266">
        <v>264</v>
      </c>
      <c r="B266">
        <v>17</v>
      </c>
      <c r="C266">
        <v>4005</v>
      </c>
      <c r="D266" t="s">
        <v>2993</v>
      </c>
      <c r="E266">
        <v>777</v>
      </c>
      <c r="F266">
        <v>366</v>
      </c>
    </row>
    <row r="267" spans="1:6" x14ac:dyDescent="0.25">
      <c r="A267">
        <v>265</v>
      </c>
      <c r="B267">
        <v>17</v>
      </c>
      <c r="C267">
        <v>4005</v>
      </c>
      <c r="D267" t="s">
        <v>2994</v>
      </c>
      <c r="E267">
        <v>748</v>
      </c>
      <c r="F267">
        <v>390</v>
      </c>
    </row>
    <row r="268" spans="1:6" x14ac:dyDescent="0.25">
      <c r="A268">
        <v>266</v>
      </c>
      <c r="B268">
        <v>17</v>
      </c>
      <c r="C268">
        <v>4045</v>
      </c>
      <c r="D268" t="s">
        <v>2995</v>
      </c>
      <c r="E268">
        <v>812</v>
      </c>
      <c r="F268">
        <v>451</v>
      </c>
    </row>
    <row r="269" spans="1:6" x14ac:dyDescent="0.25">
      <c r="A269">
        <v>267</v>
      </c>
      <c r="B269">
        <v>17</v>
      </c>
      <c r="C269">
        <v>4008</v>
      </c>
      <c r="D269" t="s">
        <v>2996</v>
      </c>
      <c r="E269">
        <v>768</v>
      </c>
      <c r="F269">
        <v>371</v>
      </c>
    </row>
    <row r="270" spans="1:6" x14ac:dyDescent="0.25">
      <c r="A270">
        <v>268</v>
      </c>
      <c r="B270">
        <v>17</v>
      </c>
      <c r="C270">
        <v>4007</v>
      </c>
      <c r="D270" t="s">
        <v>2997</v>
      </c>
      <c r="E270">
        <v>733</v>
      </c>
      <c r="F270">
        <v>370</v>
      </c>
    </row>
    <row r="271" spans="1:6" x14ac:dyDescent="0.25">
      <c r="A271">
        <v>269</v>
      </c>
      <c r="B271">
        <v>17</v>
      </c>
      <c r="C271">
        <v>4004</v>
      </c>
      <c r="D271" t="s">
        <v>2998</v>
      </c>
      <c r="E271">
        <v>815</v>
      </c>
      <c r="F271">
        <v>366</v>
      </c>
    </row>
    <row r="272" spans="1:6" x14ac:dyDescent="0.25">
      <c r="A272">
        <v>270</v>
      </c>
      <c r="B272">
        <v>17</v>
      </c>
      <c r="C272">
        <v>4004</v>
      </c>
      <c r="D272" t="s">
        <v>2999</v>
      </c>
      <c r="E272">
        <v>805</v>
      </c>
      <c r="F272">
        <v>373</v>
      </c>
    </row>
    <row r="273" spans="1:6" x14ac:dyDescent="0.25">
      <c r="A273">
        <v>271</v>
      </c>
      <c r="B273">
        <v>17</v>
      </c>
      <c r="C273">
        <v>4004</v>
      </c>
      <c r="D273" t="s">
        <v>3000</v>
      </c>
      <c r="E273">
        <v>731</v>
      </c>
      <c r="F273">
        <v>441</v>
      </c>
    </row>
    <row r="274" spans="1:6" x14ac:dyDescent="0.25">
      <c r="A274">
        <v>272</v>
      </c>
      <c r="B274">
        <v>17</v>
      </c>
      <c r="C274">
        <v>4009</v>
      </c>
      <c r="D274" t="s">
        <v>3001</v>
      </c>
      <c r="E274">
        <v>802</v>
      </c>
      <c r="F274">
        <v>401</v>
      </c>
    </row>
    <row r="275" spans="1:6" x14ac:dyDescent="0.25">
      <c r="A275">
        <v>273</v>
      </c>
      <c r="B275">
        <v>17</v>
      </c>
      <c r="C275">
        <v>4009</v>
      </c>
      <c r="D275" t="s">
        <v>3002</v>
      </c>
      <c r="E275">
        <v>755</v>
      </c>
      <c r="F275">
        <v>459</v>
      </c>
    </row>
    <row r="276" spans="1:6" x14ac:dyDescent="0.25">
      <c r="A276">
        <v>274</v>
      </c>
      <c r="B276">
        <v>17</v>
      </c>
      <c r="C276">
        <v>4009</v>
      </c>
      <c r="D276" t="s">
        <v>3003</v>
      </c>
      <c r="E276">
        <v>813</v>
      </c>
      <c r="F276">
        <v>453</v>
      </c>
    </row>
    <row r="277" spans="1:6" x14ac:dyDescent="0.25">
      <c r="A277">
        <v>275</v>
      </c>
      <c r="B277">
        <v>17</v>
      </c>
      <c r="C277">
        <v>4044</v>
      </c>
      <c r="D277" t="s">
        <v>3004</v>
      </c>
      <c r="E277">
        <v>737</v>
      </c>
      <c r="F277">
        <v>458</v>
      </c>
    </row>
    <row r="278" spans="1:6" x14ac:dyDescent="0.25">
      <c r="A278">
        <v>276</v>
      </c>
      <c r="B278">
        <v>17</v>
      </c>
      <c r="C278">
        <v>4044</v>
      </c>
      <c r="D278" t="s">
        <v>3005</v>
      </c>
      <c r="E278">
        <v>758</v>
      </c>
      <c r="F278">
        <v>401</v>
      </c>
    </row>
    <row r="279" spans="1:6" x14ac:dyDescent="0.25">
      <c r="A279">
        <v>277</v>
      </c>
      <c r="B279">
        <v>17</v>
      </c>
      <c r="C279">
        <v>4044</v>
      </c>
      <c r="D279" t="s">
        <v>3006</v>
      </c>
      <c r="E279">
        <v>819</v>
      </c>
      <c r="F279">
        <v>383</v>
      </c>
    </row>
    <row r="280" spans="1:6" x14ac:dyDescent="0.25">
      <c r="A280">
        <v>278</v>
      </c>
      <c r="B280">
        <v>17</v>
      </c>
      <c r="C280">
        <v>4011</v>
      </c>
      <c r="D280" t="s">
        <v>3007</v>
      </c>
      <c r="E280">
        <v>753</v>
      </c>
      <c r="F280">
        <v>374</v>
      </c>
    </row>
    <row r="281" spans="1:6" x14ac:dyDescent="0.25">
      <c r="A281">
        <v>279</v>
      </c>
      <c r="B281">
        <v>17</v>
      </c>
      <c r="C281">
        <v>4011</v>
      </c>
      <c r="D281" t="s">
        <v>3008</v>
      </c>
      <c r="E281">
        <v>726</v>
      </c>
      <c r="F281">
        <v>384</v>
      </c>
    </row>
    <row r="282" spans="1:6" x14ac:dyDescent="0.25">
      <c r="A282">
        <v>280</v>
      </c>
      <c r="B282">
        <v>17</v>
      </c>
      <c r="C282">
        <v>4013</v>
      </c>
      <c r="D282" t="s">
        <v>3009</v>
      </c>
      <c r="E282">
        <v>780</v>
      </c>
      <c r="F282">
        <v>368</v>
      </c>
    </row>
    <row r="283" spans="1:6" x14ac:dyDescent="0.25">
      <c r="A283">
        <v>281</v>
      </c>
      <c r="B283">
        <v>17</v>
      </c>
      <c r="C283">
        <v>4013</v>
      </c>
      <c r="D283" t="s">
        <v>3010</v>
      </c>
      <c r="E283">
        <v>728</v>
      </c>
      <c r="F283">
        <v>400</v>
      </c>
    </row>
    <row r="284" spans="1:6" x14ac:dyDescent="0.25">
      <c r="A284">
        <v>282</v>
      </c>
      <c r="B284">
        <v>18</v>
      </c>
      <c r="C284">
        <v>4002</v>
      </c>
      <c r="D284" t="s">
        <v>3011</v>
      </c>
      <c r="E284">
        <v>900</v>
      </c>
      <c r="F284">
        <v>460</v>
      </c>
    </row>
    <row r="285" spans="1:6" x14ac:dyDescent="0.25">
      <c r="A285">
        <v>283</v>
      </c>
      <c r="B285">
        <v>18</v>
      </c>
      <c r="C285">
        <v>4002</v>
      </c>
      <c r="D285" t="s">
        <v>3012</v>
      </c>
      <c r="E285">
        <v>944</v>
      </c>
      <c r="F285">
        <v>375</v>
      </c>
    </row>
    <row r="286" spans="1:6" x14ac:dyDescent="0.25">
      <c r="A286">
        <v>284</v>
      </c>
      <c r="B286">
        <v>18</v>
      </c>
      <c r="C286">
        <v>4005</v>
      </c>
      <c r="D286" t="s">
        <v>3013</v>
      </c>
      <c r="E286">
        <v>856</v>
      </c>
      <c r="F286">
        <v>426</v>
      </c>
    </row>
    <row r="287" spans="1:6" x14ac:dyDescent="0.25">
      <c r="A287">
        <v>285</v>
      </c>
      <c r="B287">
        <v>18</v>
      </c>
      <c r="C287">
        <v>4005</v>
      </c>
      <c r="D287" t="s">
        <v>3014</v>
      </c>
      <c r="E287">
        <v>875</v>
      </c>
      <c r="F287">
        <v>389</v>
      </c>
    </row>
    <row r="288" spans="1:6" x14ac:dyDescent="0.25">
      <c r="A288">
        <v>286</v>
      </c>
      <c r="B288">
        <v>18</v>
      </c>
      <c r="C288">
        <v>4045</v>
      </c>
      <c r="D288" t="s">
        <v>3015</v>
      </c>
      <c r="E288">
        <v>858</v>
      </c>
      <c r="F288">
        <v>416</v>
      </c>
    </row>
    <row r="289" spans="1:6" x14ac:dyDescent="0.25">
      <c r="A289">
        <v>287</v>
      </c>
      <c r="B289">
        <v>18</v>
      </c>
      <c r="C289">
        <v>4008</v>
      </c>
      <c r="D289" t="s">
        <v>3016</v>
      </c>
      <c r="E289">
        <v>870</v>
      </c>
      <c r="F289">
        <v>447</v>
      </c>
    </row>
    <row r="290" spans="1:6" x14ac:dyDescent="0.25">
      <c r="A290">
        <v>288</v>
      </c>
      <c r="B290">
        <v>18</v>
      </c>
      <c r="C290">
        <v>4007</v>
      </c>
      <c r="D290" t="s">
        <v>3017</v>
      </c>
      <c r="E290">
        <v>872</v>
      </c>
      <c r="F290">
        <v>450</v>
      </c>
    </row>
    <row r="291" spans="1:6" x14ac:dyDescent="0.25">
      <c r="A291">
        <v>289</v>
      </c>
      <c r="B291">
        <v>18</v>
      </c>
      <c r="C291">
        <v>4004</v>
      </c>
      <c r="D291" t="s">
        <v>3018</v>
      </c>
      <c r="E291">
        <v>864</v>
      </c>
      <c r="F291">
        <v>425</v>
      </c>
    </row>
    <row r="292" spans="1:6" x14ac:dyDescent="0.25">
      <c r="A292">
        <v>290</v>
      </c>
      <c r="B292">
        <v>18</v>
      </c>
      <c r="C292">
        <v>4004</v>
      </c>
      <c r="D292" t="s">
        <v>3019</v>
      </c>
      <c r="E292">
        <v>873</v>
      </c>
      <c r="F292">
        <v>393</v>
      </c>
    </row>
    <row r="293" spans="1:6" x14ac:dyDescent="0.25">
      <c r="A293">
        <v>291</v>
      </c>
      <c r="B293">
        <v>18</v>
      </c>
      <c r="C293">
        <v>4004</v>
      </c>
      <c r="D293" t="s">
        <v>3020</v>
      </c>
      <c r="E293">
        <v>847</v>
      </c>
      <c r="F293">
        <v>384</v>
      </c>
    </row>
    <row r="294" spans="1:6" x14ac:dyDescent="0.25">
      <c r="A294">
        <v>292</v>
      </c>
      <c r="B294">
        <v>18</v>
      </c>
      <c r="C294">
        <v>4009</v>
      </c>
      <c r="D294" t="s">
        <v>3021</v>
      </c>
      <c r="E294">
        <v>924</v>
      </c>
      <c r="F294">
        <v>384</v>
      </c>
    </row>
    <row r="295" spans="1:6" x14ac:dyDescent="0.25">
      <c r="A295">
        <v>293</v>
      </c>
      <c r="B295">
        <v>18</v>
      </c>
      <c r="C295">
        <v>4009</v>
      </c>
      <c r="D295" t="s">
        <v>3022</v>
      </c>
      <c r="E295">
        <v>845</v>
      </c>
      <c r="F295">
        <v>366</v>
      </c>
    </row>
    <row r="296" spans="1:6" x14ac:dyDescent="0.25">
      <c r="A296">
        <v>294</v>
      </c>
      <c r="B296">
        <v>18</v>
      </c>
      <c r="C296">
        <v>4009</v>
      </c>
      <c r="D296" t="s">
        <v>3023</v>
      </c>
      <c r="E296">
        <v>848</v>
      </c>
      <c r="F296">
        <v>438</v>
      </c>
    </row>
    <row r="297" spans="1:6" x14ac:dyDescent="0.25">
      <c r="A297">
        <v>295</v>
      </c>
      <c r="B297">
        <v>18</v>
      </c>
      <c r="C297">
        <v>4044</v>
      </c>
      <c r="D297" t="s">
        <v>3024</v>
      </c>
      <c r="E297">
        <v>848</v>
      </c>
      <c r="F297">
        <v>453</v>
      </c>
    </row>
    <row r="298" spans="1:6" x14ac:dyDescent="0.25">
      <c r="A298">
        <v>296</v>
      </c>
      <c r="B298">
        <v>18</v>
      </c>
      <c r="C298">
        <v>4044</v>
      </c>
      <c r="D298" t="s">
        <v>3025</v>
      </c>
      <c r="E298">
        <v>923</v>
      </c>
      <c r="F298">
        <v>373</v>
      </c>
    </row>
    <row r="299" spans="1:6" x14ac:dyDescent="0.25">
      <c r="A299">
        <v>297</v>
      </c>
      <c r="B299">
        <v>18</v>
      </c>
      <c r="C299">
        <v>4044</v>
      </c>
      <c r="D299" t="s">
        <v>3026</v>
      </c>
      <c r="E299">
        <v>932</v>
      </c>
      <c r="F299">
        <v>456</v>
      </c>
    </row>
    <row r="300" spans="1:6" x14ac:dyDescent="0.25">
      <c r="A300">
        <v>298</v>
      </c>
      <c r="B300">
        <v>18</v>
      </c>
      <c r="C300">
        <v>4011</v>
      </c>
      <c r="D300" t="s">
        <v>3027</v>
      </c>
      <c r="E300">
        <v>896</v>
      </c>
      <c r="F300">
        <v>403</v>
      </c>
    </row>
    <row r="301" spans="1:6" x14ac:dyDescent="0.25">
      <c r="A301">
        <v>299</v>
      </c>
      <c r="B301">
        <v>18</v>
      </c>
      <c r="C301">
        <v>4011</v>
      </c>
      <c r="D301" t="s">
        <v>3028</v>
      </c>
      <c r="E301">
        <v>885</v>
      </c>
      <c r="F301">
        <v>369</v>
      </c>
    </row>
    <row r="302" spans="1:6" x14ac:dyDescent="0.25">
      <c r="A302">
        <v>300</v>
      </c>
      <c r="B302">
        <v>18</v>
      </c>
      <c r="C302">
        <v>4013</v>
      </c>
      <c r="D302" t="s">
        <v>3029</v>
      </c>
      <c r="E302">
        <v>874</v>
      </c>
      <c r="F302">
        <v>370</v>
      </c>
    </row>
    <row r="303" spans="1:6" x14ac:dyDescent="0.25">
      <c r="A303">
        <v>301</v>
      </c>
      <c r="B303">
        <v>18</v>
      </c>
      <c r="C303">
        <v>4013</v>
      </c>
      <c r="D303" t="s">
        <v>3030</v>
      </c>
      <c r="E303">
        <v>846</v>
      </c>
      <c r="F303">
        <v>387</v>
      </c>
    </row>
    <row r="304" spans="1:6" x14ac:dyDescent="0.25">
      <c r="A304">
        <v>302</v>
      </c>
      <c r="B304">
        <v>19</v>
      </c>
      <c r="C304">
        <v>4002</v>
      </c>
      <c r="D304" t="s">
        <v>3031</v>
      </c>
      <c r="E304">
        <v>1000</v>
      </c>
      <c r="F304">
        <v>460</v>
      </c>
    </row>
    <row r="305" spans="1:6" x14ac:dyDescent="0.25">
      <c r="A305">
        <v>303</v>
      </c>
      <c r="B305">
        <v>19</v>
      </c>
      <c r="C305">
        <v>4002</v>
      </c>
      <c r="D305" t="s">
        <v>3032</v>
      </c>
      <c r="E305">
        <v>1007</v>
      </c>
      <c r="F305">
        <v>393</v>
      </c>
    </row>
    <row r="306" spans="1:6" x14ac:dyDescent="0.25">
      <c r="A306">
        <v>304</v>
      </c>
      <c r="B306">
        <v>19</v>
      </c>
      <c r="C306">
        <v>4005</v>
      </c>
      <c r="D306" t="s">
        <v>3033</v>
      </c>
      <c r="E306">
        <v>997</v>
      </c>
      <c r="F306">
        <v>371</v>
      </c>
    </row>
    <row r="307" spans="1:6" x14ac:dyDescent="0.25">
      <c r="A307">
        <v>305</v>
      </c>
      <c r="B307">
        <v>19</v>
      </c>
      <c r="C307">
        <v>4005</v>
      </c>
      <c r="D307" t="s">
        <v>3034</v>
      </c>
      <c r="E307">
        <v>1007</v>
      </c>
      <c r="F307">
        <v>405</v>
      </c>
    </row>
    <row r="308" spans="1:6" x14ac:dyDescent="0.25">
      <c r="A308">
        <v>306</v>
      </c>
      <c r="B308">
        <v>19</v>
      </c>
      <c r="C308">
        <v>4045</v>
      </c>
      <c r="D308" t="s">
        <v>3035</v>
      </c>
      <c r="E308">
        <v>1061</v>
      </c>
      <c r="F308">
        <v>375</v>
      </c>
    </row>
    <row r="309" spans="1:6" x14ac:dyDescent="0.25">
      <c r="A309">
        <v>307</v>
      </c>
      <c r="B309">
        <v>19</v>
      </c>
      <c r="C309">
        <v>4008</v>
      </c>
      <c r="D309" t="s">
        <v>3036</v>
      </c>
      <c r="E309">
        <v>1020</v>
      </c>
      <c r="F309">
        <v>401</v>
      </c>
    </row>
    <row r="310" spans="1:6" x14ac:dyDescent="0.25">
      <c r="A310">
        <v>308</v>
      </c>
      <c r="B310">
        <v>19</v>
      </c>
      <c r="C310">
        <v>4007</v>
      </c>
      <c r="D310" t="s">
        <v>3037</v>
      </c>
      <c r="E310">
        <v>975</v>
      </c>
      <c r="F310">
        <v>377</v>
      </c>
    </row>
    <row r="311" spans="1:6" x14ac:dyDescent="0.25">
      <c r="A311">
        <v>309</v>
      </c>
      <c r="B311">
        <v>19</v>
      </c>
      <c r="C311">
        <v>4004</v>
      </c>
      <c r="D311" t="s">
        <v>3038</v>
      </c>
      <c r="E311">
        <v>981</v>
      </c>
      <c r="F311">
        <v>390</v>
      </c>
    </row>
    <row r="312" spans="1:6" x14ac:dyDescent="0.25">
      <c r="A312">
        <v>310</v>
      </c>
      <c r="B312">
        <v>19</v>
      </c>
      <c r="C312">
        <v>4004</v>
      </c>
      <c r="D312" t="s">
        <v>3039</v>
      </c>
      <c r="E312">
        <v>966</v>
      </c>
      <c r="F312">
        <v>439</v>
      </c>
    </row>
    <row r="313" spans="1:6" x14ac:dyDescent="0.25">
      <c r="A313">
        <v>311</v>
      </c>
      <c r="B313">
        <v>19</v>
      </c>
      <c r="C313">
        <v>4004</v>
      </c>
      <c r="D313" t="s">
        <v>3040</v>
      </c>
      <c r="E313">
        <v>1021</v>
      </c>
      <c r="F313">
        <v>399</v>
      </c>
    </row>
    <row r="314" spans="1:6" x14ac:dyDescent="0.25">
      <c r="A314">
        <v>312</v>
      </c>
      <c r="B314">
        <v>19</v>
      </c>
      <c r="C314">
        <v>4009</v>
      </c>
      <c r="D314" t="s">
        <v>3041</v>
      </c>
      <c r="E314">
        <v>968</v>
      </c>
      <c r="F314">
        <v>394</v>
      </c>
    </row>
    <row r="315" spans="1:6" x14ac:dyDescent="0.25">
      <c r="A315">
        <v>313</v>
      </c>
      <c r="B315">
        <v>19</v>
      </c>
      <c r="C315">
        <v>4009</v>
      </c>
      <c r="D315" t="s">
        <v>3042</v>
      </c>
      <c r="E315">
        <v>1012</v>
      </c>
      <c r="F315">
        <v>431</v>
      </c>
    </row>
    <row r="316" spans="1:6" x14ac:dyDescent="0.25">
      <c r="A316">
        <v>314</v>
      </c>
      <c r="B316">
        <v>19</v>
      </c>
      <c r="C316">
        <v>4009</v>
      </c>
      <c r="D316" t="s">
        <v>3043</v>
      </c>
      <c r="E316">
        <v>969</v>
      </c>
      <c r="F316">
        <v>446</v>
      </c>
    </row>
    <row r="317" spans="1:6" x14ac:dyDescent="0.25">
      <c r="A317">
        <v>315</v>
      </c>
      <c r="B317">
        <v>19</v>
      </c>
      <c r="C317">
        <v>4044</v>
      </c>
      <c r="D317" t="s">
        <v>3044</v>
      </c>
      <c r="E317">
        <v>1043</v>
      </c>
      <c r="F317">
        <v>430</v>
      </c>
    </row>
    <row r="318" spans="1:6" x14ac:dyDescent="0.25">
      <c r="A318">
        <v>316</v>
      </c>
      <c r="B318">
        <v>19</v>
      </c>
      <c r="C318">
        <v>4044</v>
      </c>
      <c r="D318" t="s">
        <v>3045</v>
      </c>
      <c r="E318">
        <v>1046</v>
      </c>
      <c r="F318">
        <v>385</v>
      </c>
    </row>
    <row r="319" spans="1:6" x14ac:dyDescent="0.25">
      <c r="A319">
        <v>317</v>
      </c>
      <c r="B319">
        <v>19</v>
      </c>
      <c r="C319">
        <v>4044</v>
      </c>
      <c r="D319" t="s">
        <v>3046</v>
      </c>
      <c r="E319">
        <v>1031</v>
      </c>
      <c r="F319">
        <v>454</v>
      </c>
    </row>
    <row r="320" spans="1:6" x14ac:dyDescent="0.25">
      <c r="A320">
        <v>318</v>
      </c>
      <c r="B320">
        <v>19</v>
      </c>
      <c r="C320">
        <v>4011</v>
      </c>
      <c r="D320" t="s">
        <v>3047</v>
      </c>
      <c r="E320">
        <v>1051</v>
      </c>
      <c r="F320">
        <v>385</v>
      </c>
    </row>
    <row r="321" spans="1:6" x14ac:dyDescent="0.25">
      <c r="A321">
        <v>319</v>
      </c>
      <c r="B321">
        <v>19</v>
      </c>
      <c r="C321">
        <v>4011</v>
      </c>
      <c r="D321" t="s">
        <v>3048</v>
      </c>
      <c r="E321">
        <v>965</v>
      </c>
      <c r="F321">
        <v>406</v>
      </c>
    </row>
    <row r="322" spans="1:6" x14ac:dyDescent="0.25">
      <c r="A322">
        <v>320</v>
      </c>
      <c r="B322">
        <v>19</v>
      </c>
      <c r="C322">
        <v>4013</v>
      </c>
      <c r="D322" t="s">
        <v>3049</v>
      </c>
      <c r="E322">
        <v>1043</v>
      </c>
      <c r="F322">
        <v>435</v>
      </c>
    </row>
    <row r="323" spans="1:6" x14ac:dyDescent="0.25">
      <c r="A323">
        <v>321</v>
      </c>
      <c r="B323">
        <v>19</v>
      </c>
      <c r="C323">
        <v>4013</v>
      </c>
      <c r="D323" t="s">
        <v>3050</v>
      </c>
      <c r="E323">
        <v>1015</v>
      </c>
      <c r="F323">
        <v>374</v>
      </c>
    </row>
    <row r="324" spans="1:6" x14ac:dyDescent="0.25">
      <c r="A324">
        <v>322</v>
      </c>
      <c r="B324">
        <v>21</v>
      </c>
      <c r="C324">
        <v>4002</v>
      </c>
      <c r="D324" t="s">
        <v>3051</v>
      </c>
      <c r="E324">
        <v>700</v>
      </c>
      <c r="F324">
        <v>1120</v>
      </c>
    </row>
    <row r="325" spans="1:6" x14ac:dyDescent="0.25">
      <c r="A325">
        <v>323</v>
      </c>
      <c r="B325">
        <v>21</v>
      </c>
      <c r="C325">
        <v>4005</v>
      </c>
      <c r="D325" t="s">
        <v>3052</v>
      </c>
      <c r="E325">
        <v>636</v>
      </c>
      <c r="F325">
        <v>1128</v>
      </c>
    </row>
    <row r="326" spans="1:6" x14ac:dyDescent="0.25">
      <c r="A326">
        <v>324</v>
      </c>
      <c r="B326">
        <v>21</v>
      </c>
      <c r="C326">
        <v>4007</v>
      </c>
      <c r="D326" t="s">
        <v>3053</v>
      </c>
      <c r="E326">
        <v>662</v>
      </c>
      <c r="F326">
        <v>1083</v>
      </c>
    </row>
    <row r="327" spans="1:6" x14ac:dyDescent="0.25">
      <c r="A327">
        <v>325</v>
      </c>
      <c r="B327">
        <v>21</v>
      </c>
      <c r="C327">
        <v>4004</v>
      </c>
      <c r="D327" t="s">
        <v>3054</v>
      </c>
      <c r="E327">
        <v>634</v>
      </c>
      <c r="F327">
        <v>1129</v>
      </c>
    </row>
    <row r="328" spans="1:6" x14ac:dyDescent="0.25">
      <c r="A328">
        <v>326</v>
      </c>
      <c r="B328">
        <v>21</v>
      </c>
      <c r="C328">
        <v>4004</v>
      </c>
      <c r="D328" t="s">
        <v>3055</v>
      </c>
      <c r="E328">
        <v>684</v>
      </c>
      <c r="F328">
        <v>1139</v>
      </c>
    </row>
    <row r="329" spans="1:6" x14ac:dyDescent="0.25">
      <c r="A329">
        <v>327</v>
      </c>
      <c r="B329">
        <v>21</v>
      </c>
      <c r="C329">
        <v>4004</v>
      </c>
      <c r="D329" t="s">
        <v>3056</v>
      </c>
      <c r="E329">
        <v>626</v>
      </c>
      <c r="F329">
        <v>1175</v>
      </c>
    </row>
    <row r="330" spans="1:6" x14ac:dyDescent="0.25">
      <c r="A330">
        <v>328</v>
      </c>
      <c r="B330">
        <v>21</v>
      </c>
      <c r="C330">
        <v>4009</v>
      </c>
      <c r="D330" t="s">
        <v>3057</v>
      </c>
      <c r="E330">
        <v>648</v>
      </c>
      <c r="F330">
        <v>1143</v>
      </c>
    </row>
    <row r="331" spans="1:6" x14ac:dyDescent="0.25">
      <c r="A331">
        <v>329</v>
      </c>
      <c r="B331">
        <v>21</v>
      </c>
      <c r="C331">
        <v>4009</v>
      </c>
      <c r="D331" t="s">
        <v>3058</v>
      </c>
      <c r="E331">
        <v>634</v>
      </c>
      <c r="F331">
        <v>1077</v>
      </c>
    </row>
    <row r="332" spans="1:6" x14ac:dyDescent="0.25">
      <c r="A332">
        <v>330</v>
      </c>
      <c r="B332">
        <v>21</v>
      </c>
      <c r="C332">
        <v>4009</v>
      </c>
      <c r="D332" t="s">
        <v>3059</v>
      </c>
      <c r="E332">
        <v>678</v>
      </c>
      <c r="F332">
        <v>1087</v>
      </c>
    </row>
    <row r="333" spans="1:6" x14ac:dyDescent="0.25">
      <c r="A333">
        <v>331</v>
      </c>
      <c r="B333">
        <v>21</v>
      </c>
      <c r="C333">
        <v>4044</v>
      </c>
      <c r="D333" t="s">
        <v>3060</v>
      </c>
      <c r="E333">
        <v>701</v>
      </c>
      <c r="F333">
        <v>1097</v>
      </c>
    </row>
    <row r="334" spans="1:6" x14ac:dyDescent="0.25">
      <c r="A334">
        <v>332</v>
      </c>
      <c r="B334">
        <v>21</v>
      </c>
      <c r="C334">
        <v>4044</v>
      </c>
      <c r="D334" t="s">
        <v>3061</v>
      </c>
      <c r="E334">
        <v>616</v>
      </c>
      <c r="F334">
        <v>1175</v>
      </c>
    </row>
    <row r="335" spans="1:6" x14ac:dyDescent="0.25">
      <c r="A335">
        <v>333</v>
      </c>
      <c r="B335">
        <v>21</v>
      </c>
      <c r="C335">
        <v>4044</v>
      </c>
      <c r="D335" t="s">
        <v>3062</v>
      </c>
      <c r="E335">
        <v>621</v>
      </c>
      <c r="F335">
        <v>1163</v>
      </c>
    </row>
    <row r="336" spans="1:6" x14ac:dyDescent="0.25">
      <c r="A336">
        <v>334</v>
      </c>
      <c r="B336">
        <v>21</v>
      </c>
      <c r="C336">
        <v>4011</v>
      </c>
      <c r="D336" t="s">
        <v>3063</v>
      </c>
      <c r="E336">
        <v>628</v>
      </c>
      <c r="F336">
        <v>1092</v>
      </c>
    </row>
    <row r="337" spans="1:6" x14ac:dyDescent="0.25">
      <c r="A337">
        <v>335</v>
      </c>
      <c r="B337">
        <v>21</v>
      </c>
      <c r="C337">
        <v>4011</v>
      </c>
      <c r="D337" t="s">
        <v>3064</v>
      </c>
      <c r="E337">
        <v>680</v>
      </c>
      <c r="F337">
        <v>1160</v>
      </c>
    </row>
    <row r="338" spans="1:6" x14ac:dyDescent="0.25">
      <c r="A338">
        <v>336</v>
      </c>
      <c r="B338">
        <v>21</v>
      </c>
      <c r="C338">
        <v>4011</v>
      </c>
      <c r="D338" t="s">
        <v>3065</v>
      </c>
      <c r="E338">
        <v>597</v>
      </c>
      <c r="F338">
        <v>1111</v>
      </c>
    </row>
    <row r="339" spans="1:6" x14ac:dyDescent="0.25">
      <c r="A339">
        <v>337</v>
      </c>
      <c r="B339">
        <v>21</v>
      </c>
      <c r="C339">
        <v>4013</v>
      </c>
      <c r="D339" t="s">
        <v>3066</v>
      </c>
      <c r="E339">
        <v>606</v>
      </c>
      <c r="F339">
        <v>1139</v>
      </c>
    </row>
    <row r="340" spans="1:6" x14ac:dyDescent="0.25">
      <c r="A340">
        <v>338</v>
      </c>
      <c r="B340">
        <v>21</v>
      </c>
      <c r="C340">
        <v>4013</v>
      </c>
      <c r="D340" t="s">
        <v>3067</v>
      </c>
      <c r="E340">
        <v>644</v>
      </c>
      <c r="F340">
        <v>1083</v>
      </c>
    </row>
    <row r="341" spans="1:6" x14ac:dyDescent="0.25">
      <c r="A341">
        <v>339</v>
      </c>
      <c r="B341">
        <v>21</v>
      </c>
      <c r="C341">
        <v>4013</v>
      </c>
      <c r="D341" t="s">
        <v>3068</v>
      </c>
      <c r="E341">
        <v>659</v>
      </c>
      <c r="F341">
        <v>1165</v>
      </c>
    </row>
    <row r="342" spans="1:6" x14ac:dyDescent="0.25">
      <c r="A342">
        <v>340</v>
      </c>
      <c r="B342">
        <v>22</v>
      </c>
      <c r="C342">
        <v>4002</v>
      </c>
      <c r="D342" t="s">
        <v>3069</v>
      </c>
      <c r="E342">
        <v>580</v>
      </c>
      <c r="F342">
        <v>1120</v>
      </c>
    </row>
    <row r="343" spans="1:6" x14ac:dyDescent="0.25">
      <c r="A343">
        <v>341</v>
      </c>
      <c r="B343">
        <v>22</v>
      </c>
      <c r="C343">
        <v>4005</v>
      </c>
      <c r="D343" t="s">
        <v>3070</v>
      </c>
      <c r="E343">
        <v>493</v>
      </c>
      <c r="F343">
        <v>1098</v>
      </c>
    </row>
    <row r="344" spans="1:6" x14ac:dyDescent="0.25">
      <c r="A344">
        <v>342</v>
      </c>
      <c r="B344">
        <v>22</v>
      </c>
      <c r="C344">
        <v>4007</v>
      </c>
      <c r="D344" t="s">
        <v>3071</v>
      </c>
      <c r="E344">
        <v>499</v>
      </c>
      <c r="F344">
        <v>1111</v>
      </c>
    </row>
    <row r="345" spans="1:6" x14ac:dyDescent="0.25">
      <c r="A345">
        <v>343</v>
      </c>
      <c r="B345">
        <v>22</v>
      </c>
      <c r="C345">
        <v>4004</v>
      </c>
      <c r="D345" t="s">
        <v>3072</v>
      </c>
      <c r="E345">
        <v>481</v>
      </c>
      <c r="F345">
        <v>1131</v>
      </c>
    </row>
    <row r="346" spans="1:6" x14ac:dyDescent="0.25">
      <c r="A346">
        <v>344</v>
      </c>
      <c r="B346">
        <v>22</v>
      </c>
      <c r="C346">
        <v>4004</v>
      </c>
      <c r="D346" t="s">
        <v>3073</v>
      </c>
      <c r="E346">
        <v>561</v>
      </c>
      <c r="F346">
        <v>1087</v>
      </c>
    </row>
    <row r="347" spans="1:6" x14ac:dyDescent="0.25">
      <c r="A347">
        <v>345</v>
      </c>
      <c r="B347">
        <v>22</v>
      </c>
      <c r="C347">
        <v>4004</v>
      </c>
      <c r="D347" t="s">
        <v>3074</v>
      </c>
      <c r="E347">
        <v>575</v>
      </c>
      <c r="F347">
        <v>1094</v>
      </c>
    </row>
    <row r="348" spans="1:6" x14ac:dyDescent="0.25">
      <c r="A348">
        <v>346</v>
      </c>
      <c r="B348">
        <v>22</v>
      </c>
      <c r="C348">
        <v>4009</v>
      </c>
      <c r="D348" t="s">
        <v>3075</v>
      </c>
      <c r="E348">
        <v>518</v>
      </c>
      <c r="F348">
        <v>1096</v>
      </c>
    </row>
    <row r="349" spans="1:6" x14ac:dyDescent="0.25">
      <c r="A349">
        <v>347</v>
      </c>
      <c r="B349">
        <v>22</v>
      </c>
      <c r="C349">
        <v>4009</v>
      </c>
      <c r="D349" t="s">
        <v>3076</v>
      </c>
      <c r="E349">
        <v>486</v>
      </c>
      <c r="F349">
        <v>1143</v>
      </c>
    </row>
    <row r="350" spans="1:6" x14ac:dyDescent="0.25">
      <c r="A350">
        <v>348</v>
      </c>
      <c r="B350">
        <v>22</v>
      </c>
      <c r="C350">
        <v>4009</v>
      </c>
      <c r="D350" t="s">
        <v>3077</v>
      </c>
      <c r="E350">
        <v>560</v>
      </c>
      <c r="F350">
        <v>1155</v>
      </c>
    </row>
    <row r="351" spans="1:6" x14ac:dyDescent="0.25">
      <c r="A351">
        <v>349</v>
      </c>
      <c r="B351">
        <v>22</v>
      </c>
      <c r="C351">
        <v>4044</v>
      </c>
      <c r="D351" t="s">
        <v>3078</v>
      </c>
      <c r="E351">
        <v>576</v>
      </c>
      <c r="F351">
        <v>1179</v>
      </c>
    </row>
    <row r="352" spans="1:6" x14ac:dyDescent="0.25">
      <c r="A352">
        <v>350</v>
      </c>
      <c r="B352">
        <v>22</v>
      </c>
      <c r="C352">
        <v>4044</v>
      </c>
      <c r="D352" t="s">
        <v>3079</v>
      </c>
      <c r="E352">
        <v>512</v>
      </c>
      <c r="F352">
        <v>1088</v>
      </c>
    </row>
    <row r="353" spans="1:6" x14ac:dyDescent="0.25">
      <c r="A353">
        <v>351</v>
      </c>
      <c r="B353">
        <v>22</v>
      </c>
      <c r="C353">
        <v>4044</v>
      </c>
      <c r="D353" t="s">
        <v>3080</v>
      </c>
      <c r="E353">
        <v>574</v>
      </c>
      <c r="F353">
        <v>1088</v>
      </c>
    </row>
    <row r="354" spans="1:6" x14ac:dyDescent="0.25">
      <c r="A354">
        <v>352</v>
      </c>
      <c r="B354">
        <v>22</v>
      </c>
      <c r="C354">
        <v>4011</v>
      </c>
      <c r="D354" t="s">
        <v>3081</v>
      </c>
      <c r="E354">
        <v>539</v>
      </c>
      <c r="F354">
        <v>1157</v>
      </c>
    </row>
    <row r="355" spans="1:6" x14ac:dyDescent="0.25">
      <c r="A355">
        <v>353</v>
      </c>
      <c r="B355">
        <v>22</v>
      </c>
      <c r="C355">
        <v>4011</v>
      </c>
      <c r="D355" t="s">
        <v>3082</v>
      </c>
      <c r="E355">
        <v>483</v>
      </c>
      <c r="F355">
        <v>1165</v>
      </c>
    </row>
    <row r="356" spans="1:6" x14ac:dyDescent="0.25">
      <c r="A356">
        <v>354</v>
      </c>
      <c r="B356">
        <v>22</v>
      </c>
      <c r="C356">
        <v>4011</v>
      </c>
      <c r="D356" t="s">
        <v>3083</v>
      </c>
      <c r="E356">
        <v>536</v>
      </c>
      <c r="F356">
        <v>1115</v>
      </c>
    </row>
    <row r="357" spans="1:6" x14ac:dyDescent="0.25">
      <c r="A357">
        <v>355</v>
      </c>
      <c r="B357">
        <v>22</v>
      </c>
      <c r="C357">
        <v>4013</v>
      </c>
      <c r="D357" t="s">
        <v>3084</v>
      </c>
      <c r="E357">
        <v>499</v>
      </c>
      <c r="F357">
        <v>1151</v>
      </c>
    </row>
    <row r="358" spans="1:6" x14ac:dyDescent="0.25">
      <c r="A358">
        <v>356</v>
      </c>
      <c r="B358">
        <v>22</v>
      </c>
      <c r="C358">
        <v>4013</v>
      </c>
      <c r="D358" t="s">
        <v>3085</v>
      </c>
      <c r="E358">
        <v>480</v>
      </c>
      <c r="F358">
        <v>1114</v>
      </c>
    </row>
    <row r="359" spans="1:6" x14ac:dyDescent="0.25">
      <c r="A359">
        <v>357</v>
      </c>
      <c r="B359">
        <v>22</v>
      </c>
      <c r="C359">
        <v>4013</v>
      </c>
      <c r="D359" t="s">
        <v>3086</v>
      </c>
      <c r="E359">
        <v>519</v>
      </c>
      <c r="F359">
        <v>1082</v>
      </c>
    </row>
    <row r="360" spans="1:6" x14ac:dyDescent="0.25">
      <c r="A360">
        <v>358</v>
      </c>
      <c r="B360">
        <v>23</v>
      </c>
      <c r="C360">
        <v>4002</v>
      </c>
      <c r="D360" t="s">
        <v>3087</v>
      </c>
      <c r="E360">
        <v>580</v>
      </c>
      <c r="F360">
        <v>1020</v>
      </c>
    </row>
    <row r="361" spans="1:6" x14ac:dyDescent="0.25">
      <c r="A361">
        <v>359</v>
      </c>
      <c r="B361">
        <v>23</v>
      </c>
      <c r="C361">
        <v>4005</v>
      </c>
      <c r="D361" t="s">
        <v>3088</v>
      </c>
      <c r="E361">
        <v>508</v>
      </c>
      <c r="F361">
        <v>970</v>
      </c>
    </row>
    <row r="362" spans="1:6" x14ac:dyDescent="0.25">
      <c r="A362">
        <v>360</v>
      </c>
      <c r="B362">
        <v>23</v>
      </c>
      <c r="C362">
        <v>4007</v>
      </c>
      <c r="D362" t="s">
        <v>3089</v>
      </c>
      <c r="E362">
        <v>490</v>
      </c>
      <c r="F362">
        <v>1050</v>
      </c>
    </row>
    <row r="363" spans="1:6" x14ac:dyDescent="0.25">
      <c r="A363">
        <v>361</v>
      </c>
      <c r="B363">
        <v>23</v>
      </c>
      <c r="C363">
        <v>4004</v>
      </c>
      <c r="D363" t="s">
        <v>3090</v>
      </c>
      <c r="E363">
        <v>507</v>
      </c>
      <c r="F363">
        <v>1050</v>
      </c>
    </row>
    <row r="364" spans="1:6" x14ac:dyDescent="0.25">
      <c r="A364">
        <v>362</v>
      </c>
      <c r="B364">
        <v>23</v>
      </c>
      <c r="C364">
        <v>4004</v>
      </c>
      <c r="D364" t="s">
        <v>3091</v>
      </c>
      <c r="E364">
        <v>494</v>
      </c>
      <c r="F364">
        <v>978</v>
      </c>
    </row>
    <row r="365" spans="1:6" x14ac:dyDescent="0.25">
      <c r="A365">
        <v>363</v>
      </c>
      <c r="B365">
        <v>23</v>
      </c>
      <c r="C365">
        <v>4004</v>
      </c>
      <c r="D365" t="s">
        <v>3092</v>
      </c>
      <c r="E365">
        <v>540</v>
      </c>
      <c r="F365">
        <v>976</v>
      </c>
    </row>
    <row r="366" spans="1:6" x14ac:dyDescent="0.25">
      <c r="A366">
        <v>364</v>
      </c>
      <c r="B366">
        <v>23</v>
      </c>
      <c r="C366">
        <v>4009</v>
      </c>
      <c r="D366" t="s">
        <v>3093</v>
      </c>
      <c r="E366">
        <v>575</v>
      </c>
      <c r="F366">
        <v>1045</v>
      </c>
    </row>
    <row r="367" spans="1:6" x14ac:dyDescent="0.25">
      <c r="A367">
        <v>365</v>
      </c>
      <c r="B367">
        <v>23</v>
      </c>
      <c r="C367">
        <v>4009</v>
      </c>
      <c r="D367" t="s">
        <v>3094</v>
      </c>
      <c r="E367">
        <v>544</v>
      </c>
      <c r="F367">
        <v>986</v>
      </c>
    </row>
    <row r="368" spans="1:6" x14ac:dyDescent="0.25">
      <c r="A368">
        <v>366</v>
      </c>
      <c r="B368">
        <v>23</v>
      </c>
      <c r="C368">
        <v>4009</v>
      </c>
      <c r="D368" t="s">
        <v>3095</v>
      </c>
      <c r="E368">
        <v>510</v>
      </c>
      <c r="F368">
        <v>986</v>
      </c>
    </row>
    <row r="369" spans="1:6" x14ac:dyDescent="0.25">
      <c r="A369">
        <v>367</v>
      </c>
      <c r="B369">
        <v>23</v>
      </c>
      <c r="C369">
        <v>4044</v>
      </c>
      <c r="D369" t="s">
        <v>3096</v>
      </c>
      <c r="E369">
        <v>576</v>
      </c>
      <c r="F369">
        <v>998</v>
      </c>
    </row>
    <row r="370" spans="1:6" x14ac:dyDescent="0.25">
      <c r="A370">
        <v>368</v>
      </c>
      <c r="B370">
        <v>23</v>
      </c>
      <c r="C370">
        <v>4044</v>
      </c>
      <c r="D370" t="s">
        <v>3097</v>
      </c>
      <c r="E370">
        <v>544</v>
      </c>
      <c r="F370">
        <v>970</v>
      </c>
    </row>
    <row r="371" spans="1:6" x14ac:dyDescent="0.25">
      <c r="A371">
        <v>369</v>
      </c>
      <c r="B371">
        <v>23</v>
      </c>
      <c r="C371">
        <v>4044</v>
      </c>
      <c r="D371" t="s">
        <v>3098</v>
      </c>
      <c r="E371">
        <v>491</v>
      </c>
      <c r="F371">
        <v>1042</v>
      </c>
    </row>
    <row r="372" spans="1:6" x14ac:dyDescent="0.25">
      <c r="A372">
        <v>370</v>
      </c>
      <c r="B372">
        <v>23</v>
      </c>
      <c r="C372">
        <v>4011</v>
      </c>
      <c r="D372" t="s">
        <v>3099</v>
      </c>
      <c r="E372">
        <v>532</v>
      </c>
      <c r="F372">
        <v>1024</v>
      </c>
    </row>
    <row r="373" spans="1:6" x14ac:dyDescent="0.25">
      <c r="A373">
        <v>371</v>
      </c>
      <c r="B373">
        <v>23</v>
      </c>
      <c r="C373">
        <v>4011</v>
      </c>
      <c r="D373" t="s">
        <v>3100</v>
      </c>
      <c r="E373">
        <v>489</v>
      </c>
      <c r="F373">
        <v>1000</v>
      </c>
    </row>
    <row r="374" spans="1:6" x14ac:dyDescent="0.25">
      <c r="A374">
        <v>372</v>
      </c>
      <c r="B374">
        <v>23</v>
      </c>
      <c r="C374">
        <v>4011</v>
      </c>
      <c r="D374" t="s">
        <v>3101</v>
      </c>
      <c r="E374">
        <v>553</v>
      </c>
      <c r="F374">
        <v>971</v>
      </c>
    </row>
    <row r="375" spans="1:6" x14ac:dyDescent="0.25">
      <c r="A375">
        <v>373</v>
      </c>
      <c r="B375">
        <v>23</v>
      </c>
      <c r="C375">
        <v>4013</v>
      </c>
      <c r="D375" t="s">
        <v>3102</v>
      </c>
      <c r="E375">
        <v>515</v>
      </c>
      <c r="F375">
        <v>999</v>
      </c>
    </row>
    <row r="376" spans="1:6" x14ac:dyDescent="0.25">
      <c r="A376">
        <v>374</v>
      </c>
      <c r="B376">
        <v>23</v>
      </c>
      <c r="C376">
        <v>4013</v>
      </c>
      <c r="D376" t="s">
        <v>3103</v>
      </c>
      <c r="E376">
        <v>491</v>
      </c>
      <c r="F376">
        <v>988</v>
      </c>
    </row>
    <row r="377" spans="1:6" x14ac:dyDescent="0.25">
      <c r="A377">
        <v>375</v>
      </c>
      <c r="B377">
        <v>23</v>
      </c>
      <c r="C377">
        <v>4013</v>
      </c>
      <c r="D377" t="s">
        <v>3104</v>
      </c>
      <c r="E377">
        <v>505</v>
      </c>
      <c r="F377">
        <v>974</v>
      </c>
    </row>
    <row r="378" spans="1:6" x14ac:dyDescent="0.25">
      <c r="A378">
        <v>376</v>
      </c>
      <c r="B378">
        <v>24</v>
      </c>
      <c r="C378">
        <v>4002</v>
      </c>
      <c r="D378" t="s">
        <v>3105</v>
      </c>
      <c r="E378">
        <v>536</v>
      </c>
      <c r="F378">
        <v>946</v>
      </c>
    </row>
    <row r="379" spans="1:6" x14ac:dyDescent="0.25">
      <c r="A379">
        <v>377</v>
      </c>
      <c r="B379">
        <v>24</v>
      </c>
      <c r="C379">
        <v>4005</v>
      </c>
      <c r="D379" t="s">
        <v>3106</v>
      </c>
      <c r="E379">
        <v>494</v>
      </c>
      <c r="F379">
        <v>946</v>
      </c>
    </row>
    <row r="380" spans="1:6" x14ac:dyDescent="0.25">
      <c r="A380">
        <v>378</v>
      </c>
      <c r="B380">
        <v>24</v>
      </c>
      <c r="C380">
        <v>4007</v>
      </c>
      <c r="D380" t="s">
        <v>3107</v>
      </c>
      <c r="E380">
        <v>492</v>
      </c>
      <c r="F380">
        <v>861</v>
      </c>
    </row>
    <row r="381" spans="1:6" x14ac:dyDescent="0.25">
      <c r="A381">
        <v>379</v>
      </c>
      <c r="B381">
        <v>24</v>
      </c>
      <c r="C381">
        <v>4004</v>
      </c>
      <c r="D381" t="s">
        <v>3108</v>
      </c>
      <c r="E381">
        <v>559</v>
      </c>
      <c r="F381">
        <v>868</v>
      </c>
    </row>
    <row r="382" spans="1:6" x14ac:dyDescent="0.25">
      <c r="A382">
        <v>380</v>
      </c>
      <c r="B382">
        <v>24</v>
      </c>
      <c r="C382">
        <v>4004</v>
      </c>
      <c r="D382" t="s">
        <v>3109</v>
      </c>
      <c r="E382">
        <v>569</v>
      </c>
      <c r="F382">
        <v>932</v>
      </c>
    </row>
    <row r="383" spans="1:6" x14ac:dyDescent="0.25">
      <c r="A383">
        <v>381</v>
      </c>
      <c r="B383">
        <v>24</v>
      </c>
      <c r="C383">
        <v>4004</v>
      </c>
      <c r="D383" t="s">
        <v>3110</v>
      </c>
      <c r="E383">
        <v>493</v>
      </c>
      <c r="F383">
        <v>905</v>
      </c>
    </row>
    <row r="384" spans="1:6" x14ac:dyDescent="0.25">
      <c r="A384">
        <v>382</v>
      </c>
      <c r="B384">
        <v>24</v>
      </c>
      <c r="C384">
        <v>4009</v>
      </c>
      <c r="D384" t="s">
        <v>3111</v>
      </c>
      <c r="E384">
        <v>492</v>
      </c>
      <c r="F384">
        <v>866</v>
      </c>
    </row>
    <row r="385" spans="1:6" x14ac:dyDescent="0.25">
      <c r="A385">
        <v>383</v>
      </c>
      <c r="B385">
        <v>24</v>
      </c>
      <c r="C385">
        <v>4009</v>
      </c>
      <c r="D385" t="s">
        <v>3112</v>
      </c>
      <c r="E385">
        <v>509</v>
      </c>
      <c r="F385">
        <v>876</v>
      </c>
    </row>
    <row r="386" spans="1:6" x14ac:dyDescent="0.25">
      <c r="A386">
        <v>384</v>
      </c>
      <c r="B386">
        <v>24</v>
      </c>
      <c r="C386">
        <v>4009</v>
      </c>
      <c r="D386" t="s">
        <v>3113</v>
      </c>
      <c r="E386">
        <v>496</v>
      </c>
      <c r="F386">
        <v>916</v>
      </c>
    </row>
    <row r="387" spans="1:6" x14ac:dyDescent="0.25">
      <c r="A387">
        <v>385</v>
      </c>
      <c r="B387">
        <v>24</v>
      </c>
      <c r="C387">
        <v>4044</v>
      </c>
      <c r="D387" t="s">
        <v>3114</v>
      </c>
      <c r="E387">
        <v>509</v>
      </c>
      <c r="F387">
        <v>940</v>
      </c>
    </row>
    <row r="388" spans="1:6" x14ac:dyDescent="0.25">
      <c r="A388">
        <v>386</v>
      </c>
      <c r="B388">
        <v>24</v>
      </c>
      <c r="C388">
        <v>4044</v>
      </c>
      <c r="D388" t="s">
        <v>3115</v>
      </c>
      <c r="E388">
        <v>558</v>
      </c>
      <c r="F388">
        <v>926</v>
      </c>
    </row>
    <row r="389" spans="1:6" x14ac:dyDescent="0.25">
      <c r="A389">
        <v>387</v>
      </c>
      <c r="B389">
        <v>24</v>
      </c>
      <c r="C389">
        <v>4044</v>
      </c>
      <c r="D389" t="s">
        <v>3116</v>
      </c>
      <c r="E389">
        <v>494</v>
      </c>
      <c r="F389">
        <v>927</v>
      </c>
    </row>
    <row r="390" spans="1:6" x14ac:dyDescent="0.25">
      <c r="A390">
        <v>388</v>
      </c>
      <c r="B390">
        <v>24</v>
      </c>
      <c r="C390">
        <v>4011</v>
      </c>
      <c r="D390" t="s">
        <v>3117</v>
      </c>
      <c r="E390">
        <v>524</v>
      </c>
      <c r="F390">
        <v>851</v>
      </c>
    </row>
    <row r="391" spans="1:6" x14ac:dyDescent="0.25">
      <c r="A391">
        <v>389</v>
      </c>
      <c r="B391">
        <v>24</v>
      </c>
      <c r="C391">
        <v>4011</v>
      </c>
      <c r="D391" t="s">
        <v>3118</v>
      </c>
      <c r="E391">
        <v>492</v>
      </c>
      <c r="F391">
        <v>867</v>
      </c>
    </row>
    <row r="392" spans="1:6" x14ac:dyDescent="0.25">
      <c r="A392">
        <v>390</v>
      </c>
      <c r="B392">
        <v>24</v>
      </c>
      <c r="C392">
        <v>4011</v>
      </c>
      <c r="D392" t="s">
        <v>3119</v>
      </c>
      <c r="E392">
        <v>533</v>
      </c>
      <c r="F392">
        <v>868</v>
      </c>
    </row>
    <row r="393" spans="1:6" x14ac:dyDescent="0.25">
      <c r="A393">
        <v>391</v>
      </c>
      <c r="B393">
        <v>24</v>
      </c>
      <c r="C393">
        <v>4013</v>
      </c>
      <c r="D393" t="s">
        <v>3120</v>
      </c>
      <c r="E393">
        <v>496</v>
      </c>
      <c r="F393">
        <v>874</v>
      </c>
    </row>
    <row r="394" spans="1:6" x14ac:dyDescent="0.25">
      <c r="A394">
        <v>392</v>
      </c>
      <c r="B394">
        <v>24</v>
      </c>
      <c r="C394">
        <v>4013</v>
      </c>
      <c r="D394" t="s">
        <v>3121</v>
      </c>
      <c r="E394">
        <v>546</v>
      </c>
      <c r="F394">
        <v>852</v>
      </c>
    </row>
    <row r="395" spans="1:6" x14ac:dyDescent="0.25">
      <c r="A395">
        <v>393</v>
      </c>
      <c r="B395">
        <v>24</v>
      </c>
      <c r="C395">
        <v>4013</v>
      </c>
      <c r="D395" t="s">
        <v>3122</v>
      </c>
      <c r="E395">
        <v>518</v>
      </c>
      <c r="F395">
        <v>902</v>
      </c>
    </row>
    <row r="396" spans="1:6" x14ac:dyDescent="0.25">
      <c r="A396">
        <v>394</v>
      </c>
      <c r="B396">
        <v>25</v>
      </c>
      <c r="C396">
        <v>4002</v>
      </c>
      <c r="D396" t="s">
        <v>3123</v>
      </c>
      <c r="E396">
        <v>496</v>
      </c>
      <c r="F396">
        <v>809</v>
      </c>
    </row>
    <row r="397" spans="1:6" x14ac:dyDescent="0.25">
      <c r="A397">
        <v>395</v>
      </c>
      <c r="B397">
        <v>25</v>
      </c>
      <c r="C397">
        <v>4005</v>
      </c>
      <c r="D397" t="s">
        <v>3124</v>
      </c>
      <c r="E397">
        <v>584</v>
      </c>
      <c r="F397">
        <v>781</v>
      </c>
    </row>
    <row r="398" spans="1:6" x14ac:dyDescent="0.25">
      <c r="A398">
        <v>396</v>
      </c>
      <c r="B398">
        <v>25</v>
      </c>
      <c r="C398">
        <v>4007</v>
      </c>
      <c r="D398" t="s">
        <v>3125</v>
      </c>
      <c r="E398">
        <v>491</v>
      </c>
      <c r="F398">
        <v>736</v>
      </c>
    </row>
    <row r="399" spans="1:6" x14ac:dyDescent="0.25">
      <c r="A399">
        <v>397</v>
      </c>
      <c r="B399">
        <v>25</v>
      </c>
      <c r="C399">
        <v>4004</v>
      </c>
      <c r="D399" t="s">
        <v>3126</v>
      </c>
      <c r="E399">
        <v>491</v>
      </c>
      <c r="F399">
        <v>774</v>
      </c>
    </row>
    <row r="400" spans="1:6" x14ac:dyDescent="0.25">
      <c r="A400">
        <v>398</v>
      </c>
      <c r="B400">
        <v>25</v>
      </c>
      <c r="C400">
        <v>4004</v>
      </c>
      <c r="D400" t="s">
        <v>3127</v>
      </c>
      <c r="E400">
        <v>497</v>
      </c>
      <c r="F400">
        <v>743</v>
      </c>
    </row>
    <row r="401" spans="1:6" x14ac:dyDescent="0.25">
      <c r="A401">
        <v>399</v>
      </c>
      <c r="B401">
        <v>25</v>
      </c>
      <c r="C401">
        <v>4004</v>
      </c>
      <c r="D401" t="s">
        <v>3128</v>
      </c>
      <c r="E401">
        <v>507</v>
      </c>
      <c r="F401">
        <v>735</v>
      </c>
    </row>
    <row r="402" spans="1:6" x14ac:dyDescent="0.25">
      <c r="A402">
        <v>400</v>
      </c>
      <c r="B402">
        <v>25</v>
      </c>
      <c r="C402">
        <v>4009</v>
      </c>
      <c r="D402" t="s">
        <v>3129</v>
      </c>
      <c r="E402">
        <v>573</v>
      </c>
      <c r="F402">
        <v>804</v>
      </c>
    </row>
    <row r="403" spans="1:6" x14ac:dyDescent="0.25">
      <c r="A403">
        <v>401</v>
      </c>
      <c r="B403">
        <v>25</v>
      </c>
      <c r="C403">
        <v>4009</v>
      </c>
      <c r="D403" t="s">
        <v>3130</v>
      </c>
      <c r="E403">
        <v>576</v>
      </c>
      <c r="F403">
        <v>731</v>
      </c>
    </row>
    <row r="404" spans="1:6" x14ac:dyDescent="0.25">
      <c r="A404">
        <v>402</v>
      </c>
      <c r="B404">
        <v>25</v>
      </c>
      <c r="C404">
        <v>4009</v>
      </c>
      <c r="D404" t="s">
        <v>3131</v>
      </c>
      <c r="E404">
        <v>511</v>
      </c>
      <c r="F404">
        <v>746</v>
      </c>
    </row>
    <row r="405" spans="1:6" x14ac:dyDescent="0.25">
      <c r="A405">
        <v>403</v>
      </c>
      <c r="B405">
        <v>25</v>
      </c>
      <c r="C405">
        <v>4044</v>
      </c>
      <c r="D405" t="s">
        <v>3132</v>
      </c>
      <c r="E405">
        <v>524</v>
      </c>
      <c r="F405">
        <v>768</v>
      </c>
    </row>
    <row r="406" spans="1:6" x14ac:dyDescent="0.25">
      <c r="A406">
        <v>404</v>
      </c>
      <c r="B406">
        <v>25</v>
      </c>
      <c r="C406">
        <v>4044</v>
      </c>
      <c r="D406" t="s">
        <v>3133</v>
      </c>
      <c r="E406">
        <v>526</v>
      </c>
      <c r="F406">
        <v>816</v>
      </c>
    </row>
    <row r="407" spans="1:6" x14ac:dyDescent="0.25">
      <c r="A407">
        <v>405</v>
      </c>
      <c r="B407">
        <v>25</v>
      </c>
      <c r="C407">
        <v>4044</v>
      </c>
      <c r="D407" t="s">
        <v>3134</v>
      </c>
      <c r="E407">
        <v>493</v>
      </c>
      <c r="F407">
        <v>817</v>
      </c>
    </row>
    <row r="408" spans="1:6" x14ac:dyDescent="0.25">
      <c r="A408">
        <v>406</v>
      </c>
      <c r="B408">
        <v>25</v>
      </c>
      <c r="C408">
        <v>4011</v>
      </c>
      <c r="D408" t="s">
        <v>3135</v>
      </c>
      <c r="E408">
        <v>490</v>
      </c>
      <c r="F408">
        <v>784</v>
      </c>
    </row>
    <row r="409" spans="1:6" x14ac:dyDescent="0.25">
      <c r="A409">
        <v>407</v>
      </c>
      <c r="B409">
        <v>25</v>
      </c>
      <c r="C409">
        <v>4011</v>
      </c>
      <c r="D409" t="s">
        <v>3136</v>
      </c>
      <c r="E409">
        <v>548</v>
      </c>
      <c r="F409">
        <v>788</v>
      </c>
    </row>
    <row r="410" spans="1:6" x14ac:dyDescent="0.25">
      <c r="A410">
        <v>408</v>
      </c>
      <c r="B410">
        <v>25</v>
      </c>
      <c r="C410">
        <v>4011</v>
      </c>
      <c r="D410" t="s">
        <v>3137</v>
      </c>
      <c r="E410">
        <v>519</v>
      </c>
      <c r="F410">
        <v>777</v>
      </c>
    </row>
    <row r="411" spans="1:6" x14ac:dyDescent="0.25">
      <c r="A411">
        <v>409</v>
      </c>
      <c r="B411">
        <v>25</v>
      </c>
      <c r="C411">
        <v>4013</v>
      </c>
      <c r="D411" t="s">
        <v>3138</v>
      </c>
      <c r="E411">
        <v>515</v>
      </c>
      <c r="F411">
        <v>770</v>
      </c>
    </row>
    <row r="412" spans="1:6" x14ac:dyDescent="0.25">
      <c r="A412">
        <v>410</v>
      </c>
      <c r="B412">
        <v>25</v>
      </c>
      <c r="C412">
        <v>4013</v>
      </c>
      <c r="D412" t="s">
        <v>3139</v>
      </c>
      <c r="E412">
        <v>520</v>
      </c>
      <c r="F412">
        <v>735</v>
      </c>
    </row>
    <row r="413" spans="1:6" x14ac:dyDescent="0.25">
      <c r="A413">
        <v>411</v>
      </c>
      <c r="B413">
        <v>25</v>
      </c>
      <c r="C413">
        <v>4013</v>
      </c>
      <c r="D413" t="s">
        <v>3140</v>
      </c>
      <c r="E413">
        <v>493</v>
      </c>
      <c r="F413">
        <v>749</v>
      </c>
    </row>
    <row r="414" spans="1:6" x14ac:dyDescent="0.25">
      <c r="A414">
        <v>412</v>
      </c>
      <c r="B414">
        <v>26</v>
      </c>
      <c r="C414">
        <v>4002</v>
      </c>
      <c r="D414" t="s">
        <v>3141</v>
      </c>
      <c r="E414">
        <v>494</v>
      </c>
      <c r="F414">
        <v>630</v>
      </c>
    </row>
    <row r="415" spans="1:6" x14ac:dyDescent="0.25">
      <c r="A415">
        <v>413</v>
      </c>
      <c r="B415">
        <v>26</v>
      </c>
      <c r="C415">
        <v>4005</v>
      </c>
      <c r="D415" t="s">
        <v>3142</v>
      </c>
      <c r="E415">
        <v>511</v>
      </c>
      <c r="F415">
        <v>638</v>
      </c>
    </row>
    <row r="416" spans="1:6" x14ac:dyDescent="0.25">
      <c r="A416">
        <v>414</v>
      </c>
      <c r="B416">
        <v>26</v>
      </c>
      <c r="C416">
        <v>4007</v>
      </c>
      <c r="D416" t="s">
        <v>3143</v>
      </c>
      <c r="E416">
        <v>497</v>
      </c>
      <c r="F416">
        <v>637</v>
      </c>
    </row>
    <row r="417" spans="1:6" x14ac:dyDescent="0.25">
      <c r="A417">
        <v>415</v>
      </c>
      <c r="B417">
        <v>26</v>
      </c>
      <c r="C417">
        <v>4004</v>
      </c>
      <c r="D417" t="s">
        <v>3144</v>
      </c>
      <c r="E417">
        <v>572</v>
      </c>
      <c r="F417">
        <v>619</v>
      </c>
    </row>
    <row r="418" spans="1:6" x14ac:dyDescent="0.25">
      <c r="A418">
        <v>416</v>
      </c>
      <c r="B418">
        <v>26</v>
      </c>
      <c r="C418">
        <v>4004</v>
      </c>
      <c r="D418" t="s">
        <v>3145</v>
      </c>
      <c r="E418">
        <v>496</v>
      </c>
      <c r="F418">
        <v>610</v>
      </c>
    </row>
    <row r="419" spans="1:6" x14ac:dyDescent="0.25">
      <c r="A419">
        <v>417</v>
      </c>
      <c r="B419">
        <v>26</v>
      </c>
      <c r="C419">
        <v>4004</v>
      </c>
      <c r="D419" t="s">
        <v>3146</v>
      </c>
      <c r="E419">
        <v>493</v>
      </c>
      <c r="F419">
        <v>692</v>
      </c>
    </row>
    <row r="420" spans="1:6" x14ac:dyDescent="0.25">
      <c r="A420">
        <v>418</v>
      </c>
      <c r="B420">
        <v>26</v>
      </c>
      <c r="C420">
        <v>4009</v>
      </c>
      <c r="D420" t="s">
        <v>3147</v>
      </c>
      <c r="E420">
        <v>507</v>
      </c>
      <c r="F420">
        <v>612</v>
      </c>
    </row>
    <row r="421" spans="1:6" x14ac:dyDescent="0.25">
      <c r="A421">
        <v>419</v>
      </c>
      <c r="B421">
        <v>26</v>
      </c>
      <c r="C421">
        <v>4009</v>
      </c>
      <c r="D421" t="s">
        <v>3148</v>
      </c>
      <c r="E421">
        <v>497</v>
      </c>
      <c r="F421">
        <v>680</v>
      </c>
    </row>
    <row r="422" spans="1:6" x14ac:dyDescent="0.25">
      <c r="A422">
        <v>420</v>
      </c>
      <c r="B422">
        <v>26</v>
      </c>
      <c r="C422">
        <v>4009</v>
      </c>
      <c r="D422" t="s">
        <v>3149</v>
      </c>
      <c r="E422">
        <v>573</v>
      </c>
      <c r="F422">
        <v>692</v>
      </c>
    </row>
    <row r="423" spans="1:6" x14ac:dyDescent="0.25">
      <c r="A423">
        <v>421</v>
      </c>
      <c r="B423">
        <v>26</v>
      </c>
      <c r="C423">
        <v>4044</v>
      </c>
      <c r="D423" t="s">
        <v>3150</v>
      </c>
      <c r="E423">
        <v>574</v>
      </c>
      <c r="F423">
        <v>686</v>
      </c>
    </row>
    <row r="424" spans="1:6" x14ac:dyDescent="0.25">
      <c r="A424">
        <v>422</v>
      </c>
      <c r="B424">
        <v>26</v>
      </c>
      <c r="C424">
        <v>4044</v>
      </c>
      <c r="D424" t="s">
        <v>3151</v>
      </c>
      <c r="E424">
        <v>550</v>
      </c>
      <c r="F424">
        <v>641</v>
      </c>
    </row>
    <row r="425" spans="1:6" x14ac:dyDescent="0.25">
      <c r="A425">
        <v>423</v>
      </c>
      <c r="B425">
        <v>26</v>
      </c>
      <c r="C425">
        <v>4044</v>
      </c>
      <c r="D425" t="s">
        <v>3152</v>
      </c>
      <c r="E425">
        <v>544</v>
      </c>
      <c r="F425">
        <v>699</v>
      </c>
    </row>
    <row r="426" spans="1:6" x14ac:dyDescent="0.25">
      <c r="A426">
        <v>424</v>
      </c>
      <c r="B426">
        <v>26</v>
      </c>
      <c r="C426">
        <v>4011</v>
      </c>
      <c r="D426" t="s">
        <v>3153</v>
      </c>
      <c r="E426">
        <v>515</v>
      </c>
      <c r="F426">
        <v>615</v>
      </c>
    </row>
    <row r="427" spans="1:6" x14ac:dyDescent="0.25">
      <c r="A427">
        <v>425</v>
      </c>
      <c r="B427">
        <v>26</v>
      </c>
      <c r="C427">
        <v>4011</v>
      </c>
      <c r="D427" t="s">
        <v>3154</v>
      </c>
      <c r="E427">
        <v>556</v>
      </c>
      <c r="F427">
        <v>656</v>
      </c>
    </row>
    <row r="428" spans="1:6" x14ac:dyDescent="0.25">
      <c r="A428">
        <v>426</v>
      </c>
      <c r="B428">
        <v>26</v>
      </c>
      <c r="C428">
        <v>4011</v>
      </c>
      <c r="D428" t="s">
        <v>3155</v>
      </c>
      <c r="E428">
        <v>533</v>
      </c>
      <c r="F428">
        <v>630</v>
      </c>
    </row>
    <row r="429" spans="1:6" x14ac:dyDescent="0.25">
      <c r="A429">
        <v>427</v>
      </c>
      <c r="B429">
        <v>26</v>
      </c>
      <c r="C429">
        <v>4013</v>
      </c>
      <c r="D429" t="s">
        <v>3156</v>
      </c>
      <c r="E429">
        <v>511</v>
      </c>
      <c r="F429">
        <v>643</v>
      </c>
    </row>
    <row r="430" spans="1:6" x14ac:dyDescent="0.25">
      <c r="A430">
        <v>428</v>
      </c>
      <c r="B430">
        <v>26</v>
      </c>
      <c r="C430">
        <v>4013</v>
      </c>
      <c r="D430" t="s">
        <v>3157</v>
      </c>
      <c r="E430">
        <v>491</v>
      </c>
      <c r="F430">
        <v>644</v>
      </c>
    </row>
    <row r="431" spans="1:6" x14ac:dyDescent="0.25">
      <c r="A431">
        <v>429</v>
      </c>
      <c r="B431">
        <v>26</v>
      </c>
      <c r="C431">
        <v>4013</v>
      </c>
      <c r="D431" t="s">
        <v>3158</v>
      </c>
      <c r="E431">
        <v>496</v>
      </c>
      <c r="F431">
        <v>672</v>
      </c>
    </row>
    <row r="432" spans="1:6" x14ac:dyDescent="0.25">
      <c r="A432">
        <v>430</v>
      </c>
      <c r="B432">
        <v>27</v>
      </c>
      <c r="C432">
        <v>4002</v>
      </c>
      <c r="D432" t="s">
        <v>3159</v>
      </c>
      <c r="E432">
        <v>491</v>
      </c>
      <c r="F432">
        <v>493</v>
      </c>
    </row>
    <row r="433" spans="1:6" x14ac:dyDescent="0.25">
      <c r="A433">
        <v>431</v>
      </c>
      <c r="B433">
        <v>27</v>
      </c>
      <c r="C433">
        <v>4005</v>
      </c>
      <c r="D433" t="s">
        <v>3160</v>
      </c>
      <c r="E433">
        <v>580</v>
      </c>
      <c r="F433">
        <v>560</v>
      </c>
    </row>
    <row r="434" spans="1:6" x14ac:dyDescent="0.25">
      <c r="A434">
        <v>432</v>
      </c>
      <c r="B434">
        <v>27</v>
      </c>
      <c r="C434">
        <v>4007</v>
      </c>
      <c r="D434" t="s">
        <v>3161</v>
      </c>
      <c r="E434">
        <v>495</v>
      </c>
      <c r="F434">
        <v>556</v>
      </c>
    </row>
    <row r="435" spans="1:6" x14ac:dyDescent="0.25">
      <c r="A435">
        <v>433</v>
      </c>
      <c r="B435">
        <v>27</v>
      </c>
      <c r="C435">
        <v>4004</v>
      </c>
      <c r="D435" t="s">
        <v>3162</v>
      </c>
      <c r="E435">
        <v>508</v>
      </c>
      <c r="F435">
        <v>574</v>
      </c>
    </row>
    <row r="436" spans="1:6" x14ac:dyDescent="0.25">
      <c r="A436">
        <v>434</v>
      </c>
      <c r="B436">
        <v>27</v>
      </c>
      <c r="C436">
        <v>4004</v>
      </c>
      <c r="D436" t="s">
        <v>3163</v>
      </c>
      <c r="E436">
        <v>551</v>
      </c>
      <c r="F436">
        <v>522</v>
      </c>
    </row>
    <row r="437" spans="1:6" x14ac:dyDescent="0.25">
      <c r="A437">
        <v>435</v>
      </c>
      <c r="B437">
        <v>27</v>
      </c>
      <c r="C437">
        <v>4004</v>
      </c>
      <c r="D437" t="s">
        <v>3164</v>
      </c>
      <c r="E437">
        <v>490</v>
      </c>
      <c r="F437">
        <v>500</v>
      </c>
    </row>
    <row r="438" spans="1:6" x14ac:dyDescent="0.25">
      <c r="A438">
        <v>436</v>
      </c>
      <c r="B438">
        <v>27</v>
      </c>
      <c r="C438">
        <v>4009</v>
      </c>
      <c r="D438" t="s">
        <v>3165</v>
      </c>
      <c r="E438">
        <v>521</v>
      </c>
      <c r="F438">
        <v>497</v>
      </c>
    </row>
    <row r="439" spans="1:6" x14ac:dyDescent="0.25">
      <c r="A439">
        <v>437</v>
      </c>
      <c r="B439">
        <v>27</v>
      </c>
      <c r="C439">
        <v>4009</v>
      </c>
      <c r="D439" t="s">
        <v>3166</v>
      </c>
      <c r="E439">
        <v>569</v>
      </c>
      <c r="F439">
        <v>511</v>
      </c>
    </row>
    <row r="440" spans="1:6" x14ac:dyDescent="0.25">
      <c r="A440">
        <v>438</v>
      </c>
      <c r="B440">
        <v>27</v>
      </c>
      <c r="C440">
        <v>4009</v>
      </c>
      <c r="D440" t="s">
        <v>3167</v>
      </c>
      <c r="E440">
        <v>561</v>
      </c>
      <c r="F440">
        <v>494</v>
      </c>
    </row>
    <row r="441" spans="1:6" x14ac:dyDescent="0.25">
      <c r="A441">
        <v>439</v>
      </c>
      <c r="B441">
        <v>27</v>
      </c>
      <c r="C441">
        <v>4044</v>
      </c>
      <c r="D441" t="s">
        <v>3168</v>
      </c>
      <c r="E441">
        <v>573</v>
      </c>
      <c r="F441">
        <v>579</v>
      </c>
    </row>
    <row r="442" spans="1:6" x14ac:dyDescent="0.25">
      <c r="A442">
        <v>440</v>
      </c>
      <c r="B442">
        <v>27</v>
      </c>
      <c r="C442">
        <v>4044</v>
      </c>
      <c r="D442" t="s">
        <v>3169</v>
      </c>
      <c r="E442">
        <v>504</v>
      </c>
      <c r="F442">
        <v>573</v>
      </c>
    </row>
    <row r="443" spans="1:6" x14ac:dyDescent="0.25">
      <c r="A443">
        <v>441</v>
      </c>
      <c r="B443">
        <v>27</v>
      </c>
      <c r="C443">
        <v>4044</v>
      </c>
      <c r="D443" t="s">
        <v>3170</v>
      </c>
      <c r="E443">
        <v>566</v>
      </c>
      <c r="F443">
        <v>508</v>
      </c>
    </row>
    <row r="444" spans="1:6" x14ac:dyDescent="0.25">
      <c r="A444">
        <v>442</v>
      </c>
      <c r="B444">
        <v>27</v>
      </c>
      <c r="C444">
        <v>4011</v>
      </c>
      <c r="D444" t="s">
        <v>3171</v>
      </c>
      <c r="E444">
        <v>530</v>
      </c>
      <c r="F444">
        <v>520</v>
      </c>
    </row>
    <row r="445" spans="1:6" x14ac:dyDescent="0.25">
      <c r="A445">
        <v>443</v>
      </c>
      <c r="B445">
        <v>27</v>
      </c>
      <c r="C445">
        <v>4011</v>
      </c>
      <c r="D445" t="s">
        <v>3172</v>
      </c>
      <c r="E445">
        <v>492</v>
      </c>
      <c r="F445">
        <v>508</v>
      </c>
    </row>
    <row r="446" spans="1:6" x14ac:dyDescent="0.25">
      <c r="A446">
        <v>444</v>
      </c>
      <c r="B446">
        <v>27</v>
      </c>
      <c r="C446">
        <v>4011</v>
      </c>
      <c r="D446" t="s">
        <v>3173</v>
      </c>
      <c r="E446">
        <v>494</v>
      </c>
      <c r="F446">
        <v>492</v>
      </c>
    </row>
    <row r="447" spans="1:6" x14ac:dyDescent="0.25">
      <c r="A447">
        <v>445</v>
      </c>
      <c r="B447">
        <v>27</v>
      </c>
      <c r="C447">
        <v>4013</v>
      </c>
      <c r="D447" t="s">
        <v>3174</v>
      </c>
      <c r="E447">
        <v>520</v>
      </c>
      <c r="F447">
        <v>497</v>
      </c>
    </row>
    <row r="448" spans="1:6" x14ac:dyDescent="0.25">
      <c r="A448">
        <v>446</v>
      </c>
      <c r="B448">
        <v>27</v>
      </c>
      <c r="C448">
        <v>4013</v>
      </c>
      <c r="D448" t="s">
        <v>3175</v>
      </c>
      <c r="E448">
        <v>498</v>
      </c>
      <c r="F448">
        <v>525</v>
      </c>
    </row>
    <row r="449" spans="1:6" x14ac:dyDescent="0.25">
      <c r="A449">
        <v>447</v>
      </c>
      <c r="B449">
        <v>27</v>
      </c>
      <c r="C449">
        <v>4013</v>
      </c>
      <c r="D449" t="s">
        <v>3176</v>
      </c>
      <c r="E449">
        <v>508</v>
      </c>
      <c r="F449">
        <v>527</v>
      </c>
    </row>
    <row r="450" spans="1:6" x14ac:dyDescent="0.25">
      <c r="A450">
        <v>448</v>
      </c>
      <c r="B450">
        <v>28</v>
      </c>
      <c r="C450">
        <v>4002</v>
      </c>
      <c r="D450" t="s">
        <v>3177</v>
      </c>
      <c r="E450">
        <v>580</v>
      </c>
      <c r="F450">
        <v>460</v>
      </c>
    </row>
    <row r="451" spans="1:6" x14ac:dyDescent="0.25">
      <c r="A451">
        <v>449</v>
      </c>
      <c r="B451">
        <v>28</v>
      </c>
      <c r="C451">
        <v>4005</v>
      </c>
      <c r="D451" t="s">
        <v>3178</v>
      </c>
      <c r="E451">
        <v>493</v>
      </c>
      <c r="F451">
        <v>404</v>
      </c>
    </row>
    <row r="452" spans="1:6" x14ac:dyDescent="0.25">
      <c r="A452">
        <v>450</v>
      </c>
      <c r="B452">
        <v>28</v>
      </c>
      <c r="C452">
        <v>4007</v>
      </c>
      <c r="D452" t="s">
        <v>3179</v>
      </c>
      <c r="E452">
        <v>562</v>
      </c>
      <c r="F452">
        <v>442</v>
      </c>
    </row>
    <row r="453" spans="1:6" x14ac:dyDescent="0.25">
      <c r="A453">
        <v>451</v>
      </c>
      <c r="B453">
        <v>28</v>
      </c>
      <c r="C453">
        <v>4004</v>
      </c>
      <c r="D453" t="s">
        <v>3180</v>
      </c>
      <c r="E453">
        <v>493</v>
      </c>
      <c r="F453">
        <v>438</v>
      </c>
    </row>
    <row r="454" spans="1:6" x14ac:dyDescent="0.25">
      <c r="A454">
        <v>452</v>
      </c>
      <c r="B454">
        <v>28</v>
      </c>
      <c r="C454">
        <v>4004</v>
      </c>
      <c r="D454" t="s">
        <v>3181</v>
      </c>
      <c r="E454">
        <v>572</v>
      </c>
      <c r="F454">
        <v>419</v>
      </c>
    </row>
    <row r="455" spans="1:6" x14ac:dyDescent="0.25">
      <c r="A455">
        <v>453</v>
      </c>
      <c r="B455">
        <v>28</v>
      </c>
      <c r="C455">
        <v>4004</v>
      </c>
      <c r="D455" t="s">
        <v>3182</v>
      </c>
      <c r="E455">
        <v>544</v>
      </c>
      <c r="F455">
        <v>380</v>
      </c>
    </row>
    <row r="456" spans="1:6" x14ac:dyDescent="0.25">
      <c r="A456">
        <v>454</v>
      </c>
      <c r="B456">
        <v>28</v>
      </c>
      <c r="C456">
        <v>4009</v>
      </c>
      <c r="D456" t="s">
        <v>3183</v>
      </c>
      <c r="E456">
        <v>487</v>
      </c>
      <c r="F456">
        <v>374</v>
      </c>
    </row>
    <row r="457" spans="1:6" x14ac:dyDescent="0.25">
      <c r="A457">
        <v>455</v>
      </c>
      <c r="B457">
        <v>28</v>
      </c>
      <c r="C457">
        <v>4009</v>
      </c>
      <c r="D457" t="s">
        <v>3184</v>
      </c>
      <c r="E457">
        <v>497</v>
      </c>
      <c r="F457">
        <v>445</v>
      </c>
    </row>
    <row r="458" spans="1:6" x14ac:dyDescent="0.25">
      <c r="A458">
        <v>456</v>
      </c>
      <c r="B458">
        <v>28</v>
      </c>
      <c r="C458">
        <v>4009</v>
      </c>
      <c r="D458" t="s">
        <v>3185</v>
      </c>
      <c r="E458">
        <v>554</v>
      </c>
      <c r="F458">
        <v>383</v>
      </c>
    </row>
    <row r="459" spans="1:6" x14ac:dyDescent="0.25">
      <c r="A459">
        <v>457</v>
      </c>
      <c r="B459">
        <v>28</v>
      </c>
      <c r="C459">
        <v>4044</v>
      </c>
      <c r="D459" t="s">
        <v>3186</v>
      </c>
      <c r="E459">
        <v>562</v>
      </c>
      <c r="F459">
        <v>400</v>
      </c>
    </row>
    <row r="460" spans="1:6" x14ac:dyDescent="0.25">
      <c r="A460">
        <v>458</v>
      </c>
      <c r="B460">
        <v>28</v>
      </c>
      <c r="C460">
        <v>4044</v>
      </c>
      <c r="D460" t="s">
        <v>3187</v>
      </c>
      <c r="E460">
        <v>572</v>
      </c>
      <c r="F460">
        <v>376</v>
      </c>
    </row>
    <row r="461" spans="1:6" x14ac:dyDescent="0.25">
      <c r="A461">
        <v>459</v>
      </c>
      <c r="B461">
        <v>28</v>
      </c>
      <c r="C461">
        <v>4044</v>
      </c>
      <c r="D461" t="s">
        <v>3188</v>
      </c>
      <c r="E461">
        <v>493</v>
      </c>
      <c r="F461">
        <v>449</v>
      </c>
    </row>
    <row r="462" spans="1:6" x14ac:dyDescent="0.25">
      <c r="A462">
        <v>460</v>
      </c>
      <c r="B462">
        <v>28</v>
      </c>
      <c r="C462">
        <v>4011</v>
      </c>
      <c r="D462" t="s">
        <v>3189</v>
      </c>
      <c r="E462">
        <v>524</v>
      </c>
      <c r="F462">
        <v>382</v>
      </c>
    </row>
    <row r="463" spans="1:6" x14ac:dyDescent="0.25">
      <c r="A463">
        <v>461</v>
      </c>
      <c r="B463">
        <v>28</v>
      </c>
      <c r="C463">
        <v>4011</v>
      </c>
      <c r="D463" t="s">
        <v>3190</v>
      </c>
      <c r="E463">
        <v>505</v>
      </c>
      <c r="F463">
        <v>408</v>
      </c>
    </row>
    <row r="464" spans="1:6" x14ac:dyDescent="0.25">
      <c r="A464">
        <v>462</v>
      </c>
      <c r="B464">
        <v>28</v>
      </c>
      <c r="C464">
        <v>4011</v>
      </c>
      <c r="D464" t="s">
        <v>3191</v>
      </c>
      <c r="E464">
        <v>490</v>
      </c>
      <c r="F464">
        <v>406</v>
      </c>
    </row>
    <row r="465" spans="1:6" x14ac:dyDescent="0.25">
      <c r="A465">
        <v>463</v>
      </c>
      <c r="B465">
        <v>28</v>
      </c>
      <c r="C465">
        <v>4013</v>
      </c>
      <c r="D465" t="s">
        <v>3192</v>
      </c>
      <c r="E465">
        <v>551</v>
      </c>
      <c r="F465">
        <v>371</v>
      </c>
    </row>
    <row r="466" spans="1:6" x14ac:dyDescent="0.25">
      <c r="A466">
        <v>464</v>
      </c>
      <c r="B466">
        <v>28</v>
      </c>
      <c r="C466">
        <v>4013</v>
      </c>
      <c r="D466" t="s">
        <v>3193</v>
      </c>
      <c r="E466">
        <v>501</v>
      </c>
      <c r="F466">
        <v>383</v>
      </c>
    </row>
    <row r="467" spans="1:6" x14ac:dyDescent="0.25">
      <c r="A467">
        <v>465</v>
      </c>
      <c r="B467">
        <v>28</v>
      </c>
      <c r="C467">
        <v>4013</v>
      </c>
      <c r="D467" t="s">
        <v>3194</v>
      </c>
      <c r="E467">
        <v>491</v>
      </c>
      <c r="F467">
        <v>375</v>
      </c>
    </row>
    <row r="468" spans="1:6" x14ac:dyDescent="0.25">
      <c r="A468">
        <v>466</v>
      </c>
      <c r="B468">
        <v>29</v>
      </c>
      <c r="C468">
        <v>4002</v>
      </c>
      <c r="D468" t="s">
        <v>3195</v>
      </c>
      <c r="E468">
        <v>580</v>
      </c>
      <c r="F468">
        <v>330</v>
      </c>
    </row>
    <row r="469" spans="1:6" x14ac:dyDescent="0.25">
      <c r="A469">
        <v>467</v>
      </c>
      <c r="B469">
        <v>29</v>
      </c>
      <c r="C469">
        <v>4005</v>
      </c>
      <c r="D469" t="s">
        <v>3196</v>
      </c>
      <c r="E469">
        <v>500</v>
      </c>
      <c r="F469">
        <v>256</v>
      </c>
    </row>
    <row r="470" spans="1:6" x14ac:dyDescent="0.25">
      <c r="A470">
        <v>468</v>
      </c>
      <c r="B470">
        <v>29</v>
      </c>
      <c r="C470">
        <v>4007</v>
      </c>
      <c r="D470" t="s">
        <v>3197</v>
      </c>
      <c r="E470">
        <v>579</v>
      </c>
      <c r="F470">
        <v>251</v>
      </c>
    </row>
    <row r="471" spans="1:6" x14ac:dyDescent="0.25">
      <c r="A471">
        <v>469</v>
      </c>
      <c r="B471">
        <v>29</v>
      </c>
      <c r="C471">
        <v>4004</v>
      </c>
      <c r="D471" t="s">
        <v>3198</v>
      </c>
      <c r="E471">
        <v>558</v>
      </c>
      <c r="F471">
        <v>281</v>
      </c>
    </row>
    <row r="472" spans="1:6" x14ac:dyDescent="0.25">
      <c r="A472">
        <v>470</v>
      </c>
      <c r="B472">
        <v>29</v>
      </c>
      <c r="C472">
        <v>4004</v>
      </c>
      <c r="D472" t="s">
        <v>3199</v>
      </c>
      <c r="E472">
        <v>504</v>
      </c>
      <c r="F472">
        <v>252</v>
      </c>
    </row>
    <row r="473" spans="1:6" x14ac:dyDescent="0.25">
      <c r="A473">
        <v>471</v>
      </c>
      <c r="B473">
        <v>29</v>
      </c>
      <c r="C473">
        <v>4004</v>
      </c>
      <c r="D473" t="s">
        <v>3200</v>
      </c>
      <c r="E473">
        <v>569</v>
      </c>
      <c r="F473">
        <v>335</v>
      </c>
    </row>
    <row r="474" spans="1:6" x14ac:dyDescent="0.25">
      <c r="A474">
        <v>472</v>
      </c>
      <c r="B474">
        <v>29</v>
      </c>
      <c r="C474">
        <v>4009</v>
      </c>
      <c r="D474" t="s">
        <v>3201</v>
      </c>
      <c r="E474">
        <v>567</v>
      </c>
      <c r="F474">
        <v>248</v>
      </c>
    </row>
    <row r="475" spans="1:6" x14ac:dyDescent="0.25">
      <c r="A475">
        <v>473</v>
      </c>
      <c r="B475">
        <v>29</v>
      </c>
      <c r="C475">
        <v>4009</v>
      </c>
      <c r="D475" t="s">
        <v>3202</v>
      </c>
      <c r="E475">
        <v>522</v>
      </c>
      <c r="F475">
        <v>337</v>
      </c>
    </row>
    <row r="476" spans="1:6" x14ac:dyDescent="0.25">
      <c r="A476">
        <v>474</v>
      </c>
      <c r="B476">
        <v>29</v>
      </c>
      <c r="C476">
        <v>4009</v>
      </c>
      <c r="D476" t="s">
        <v>3203</v>
      </c>
      <c r="E476">
        <v>490</v>
      </c>
      <c r="F476">
        <v>329</v>
      </c>
    </row>
    <row r="477" spans="1:6" x14ac:dyDescent="0.25">
      <c r="A477">
        <v>475</v>
      </c>
      <c r="B477">
        <v>29</v>
      </c>
      <c r="C477">
        <v>4044</v>
      </c>
      <c r="D477" t="s">
        <v>3204</v>
      </c>
      <c r="E477">
        <v>514</v>
      </c>
      <c r="F477">
        <v>269</v>
      </c>
    </row>
    <row r="478" spans="1:6" x14ac:dyDescent="0.25">
      <c r="A478">
        <v>476</v>
      </c>
      <c r="B478">
        <v>29</v>
      </c>
      <c r="C478">
        <v>4044</v>
      </c>
      <c r="D478" t="s">
        <v>3205</v>
      </c>
      <c r="E478">
        <v>580</v>
      </c>
      <c r="F478">
        <v>295</v>
      </c>
    </row>
    <row r="479" spans="1:6" x14ac:dyDescent="0.25">
      <c r="A479">
        <v>477</v>
      </c>
      <c r="B479">
        <v>29</v>
      </c>
      <c r="C479">
        <v>4044</v>
      </c>
      <c r="D479" t="s">
        <v>3206</v>
      </c>
      <c r="E479">
        <v>490</v>
      </c>
      <c r="F479">
        <v>321</v>
      </c>
    </row>
    <row r="480" spans="1:6" x14ac:dyDescent="0.25">
      <c r="A480">
        <v>478</v>
      </c>
      <c r="B480">
        <v>29</v>
      </c>
      <c r="C480">
        <v>4011</v>
      </c>
      <c r="D480" t="s">
        <v>3207</v>
      </c>
      <c r="E480">
        <v>497</v>
      </c>
      <c r="F480">
        <v>267</v>
      </c>
    </row>
    <row r="481" spans="1:6" x14ac:dyDescent="0.25">
      <c r="A481">
        <v>479</v>
      </c>
      <c r="B481">
        <v>29</v>
      </c>
      <c r="C481">
        <v>4011</v>
      </c>
      <c r="D481" t="s">
        <v>3208</v>
      </c>
      <c r="E481">
        <v>512</v>
      </c>
      <c r="F481">
        <v>259</v>
      </c>
    </row>
    <row r="482" spans="1:6" x14ac:dyDescent="0.25">
      <c r="A482">
        <v>480</v>
      </c>
      <c r="B482">
        <v>29</v>
      </c>
      <c r="C482">
        <v>4011</v>
      </c>
      <c r="D482" t="s">
        <v>3209</v>
      </c>
      <c r="E482">
        <v>529</v>
      </c>
      <c r="F482">
        <v>276</v>
      </c>
    </row>
    <row r="483" spans="1:6" x14ac:dyDescent="0.25">
      <c r="A483">
        <v>481</v>
      </c>
      <c r="B483">
        <v>29</v>
      </c>
      <c r="C483">
        <v>4013</v>
      </c>
      <c r="D483" t="s">
        <v>3210</v>
      </c>
      <c r="E483">
        <v>490</v>
      </c>
      <c r="F483">
        <v>287</v>
      </c>
    </row>
    <row r="484" spans="1:6" x14ac:dyDescent="0.25">
      <c r="A484">
        <v>482</v>
      </c>
      <c r="B484">
        <v>29</v>
      </c>
      <c r="C484">
        <v>4013</v>
      </c>
      <c r="D484" t="s">
        <v>3211</v>
      </c>
      <c r="E484">
        <v>540</v>
      </c>
      <c r="F484">
        <v>270</v>
      </c>
    </row>
    <row r="485" spans="1:6" x14ac:dyDescent="0.25">
      <c r="A485">
        <v>483</v>
      </c>
      <c r="B485">
        <v>29</v>
      </c>
      <c r="C485">
        <v>4013</v>
      </c>
      <c r="D485" t="s">
        <v>3212</v>
      </c>
      <c r="E485">
        <v>535</v>
      </c>
      <c r="F485">
        <v>267</v>
      </c>
    </row>
    <row r="486" spans="1:6" x14ac:dyDescent="0.25">
      <c r="A486">
        <v>484</v>
      </c>
      <c r="B486">
        <v>30</v>
      </c>
      <c r="C486">
        <v>4002</v>
      </c>
      <c r="D486" t="s">
        <v>3213</v>
      </c>
      <c r="E486">
        <v>706</v>
      </c>
      <c r="F486">
        <v>330</v>
      </c>
    </row>
    <row r="487" spans="1:6" x14ac:dyDescent="0.25">
      <c r="A487">
        <v>485</v>
      </c>
      <c r="B487">
        <v>30</v>
      </c>
      <c r="C487">
        <v>4005</v>
      </c>
      <c r="D487" t="s">
        <v>3214</v>
      </c>
      <c r="E487">
        <v>691</v>
      </c>
      <c r="F487">
        <v>249</v>
      </c>
    </row>
    <row r="488" spans="1:6" x14ac:dyDescent="0.25">
      <c r="A488">
        <v>486</v>
      </c>
      <c r="B488">
        <v>30</v>
      </c>
      <c r="C488">
        <v>4007</v>
      </c>
      <c r="D488" t="s">
        <v>3215</v>
      </c>
      <c r="E488">
        <v>697</v>
      </c>
      <c r="F488">
        <v>253</v>
      </c>
    </row>
    <row r="489" spans="1:6" x14ac:dyDescent="0.25">
      <c r="A489">
        <v>487</v>
      </c>
      <c r="B489">
        <v>30</v>
      </c>
      <c r="C489">
        <v>4004</v>
      </c>
      <c r="D489" t="s">
        <v>3216</v>
      </c>
      <c r="E489">
        <v>610</v>
      </c>
      <c r="F489">
        <v>323</v>
      </c>
    </row>
    <row r="490" spans="1:6" x14ac:dyDescent="0.25">
      <c r="A490">
        <v>488</v>
      </c>
      <c r="B490">
        <v>30</v>
      </c>
      <c r="C490">
        <v>4004</v>
      </c>
      <c r="D490" t="s">
        <v>3217</v>
      </c>
      <c r="E490">
        <v>693</v>
      </c>
      <c r="F490">
        <v>275</v>
      </c>
    </row>
    <row r="491" spans="1:6" x14ac:dyDescent="0.25">
      <c r="A491">
        <v>489</v>
      </c>
      <c r="B491">
        <v>30</v>
      </c>
      <c r="C491">
        <v>4004</v>
      </c>
      <c r="D491" t="s">
        <v>3218</v>
      </c>
      <c r="E491">
        <v>610</v>
      </c>
      <c r="F491">
        <v>262</v>
      </c>
    </row>
    <row r="492" spans="1:6" x14ac:dyDescent="0.25">
      <c r="A492">
        <v>490</v>
      </c>
      <c r="B492">
        <v>30</v>
      </c>
      <c r="C492">
        <v>4009</v>
      </c>
      <c r="D492" t="s">
        <v>3219</v>
      </c>
      <c r="E492">
        <v>614</v>
      </c>
      <c r="F492">
        <v>333</v>
      </c>
    </row>
    <row r="493" spans="1:6" x14ac:dyDescent="0.25">
      <c r="A493">
        <v>491</v>
      </c>
      <c r="B493">
        <v>30</v>
      </c>
      <c r="C493">
        <v>4009</v>
      </c>
      <c r="D493" t="s">
        <v>3220</v>
      </c>
      <c r="E493">
        <v>611</v>
      </c>
      <c r="F493">
        <v>260</v>
      </c>
    </row>
    <row r="494" spans="1:6" x14ac:dyDescent="0.25">
      <c r="A494">
        <v>492</v>
      </c>
      <c r="B494">
        <v>30</v>
      </c>
      <c r="C494">
        <v>4009</v>
      </c>
      <c r="D494" t="s">
        <v>3221</v>
      </c>
      <c r="E494">
        <v>694</v>
      </c>
      <c r="F494">
        <v>332</v>
      </c>
    </row>
    <row r="495" spans="1:6" x14ac:dyDescent="0.25">
      <c r="A495">
        <v>493</v>
      </c>
      <c r="B495">
        <v>30</v>
      </c>
      <c r="C495">
        <v>4044</v>
      </c>
      <c r="D495" t="s">
        <v>3222</v>
      </c>
      <c r="E495">
        <v>644</v>
      </c>
      <c r="F495">
        <v>291</v>
      </c>
    </row>
    <row r="496" spans="1:6" x14ac:dyDescent="0.25">
      <c r="A496">
        <v>494</v>
      </c>
      <c r="B496">
        <v>30</v>
      </c>
      <c r="C496">
        <v>4044</v>
      </c>
      <c r="D496" t="s">
        <v>3223</v>
      </c>
      <c r="E496">
        <v>614</v>
      </c>
      <c r="F496">
        <v>257</v>
      </c>
    </row>
    <row r="497" spans="1:6" x14ac:dyDescent="0.25">
      <c r="A497">
        <v>495</v>
      </c>
      <c r="B497">
        <v>30</v>
      </c>
      <c r="C497">
        <v>4044</v>
      </c>
      <c r="D497" t="s">
        <v>3224</v>
      </c>
      <c r="E497">
        <v>677</v>
      </c>
      <c r="F497">
        <v>304</v>
      </c>
    </row>
    <row r="498" spans="1:6" x14ac:dyDescent="0.25">
      <c r="A498">
        <v>496</v>
      </c>
      <c r="B498">
        <v>30</v>
      </c>
      <c r="C498">
        <v>4011</v>
      </c>
      <c r="D498" t="s">
        <v>3225</v>
      </c>
      <c r="E498">
        <v>619</v>
      </c>
      <c r="F498">
        <v>250</v>
      </c>
    </row>
    <row r="499" spans="1:6" x14ac:dyDescent="0.25">
      <c r="A499">
        <v>497</v>
      </c>
      <c r="B499">
        <v>30</v>
      </c>
      <c r="C499">
        <v>4011</v>
      </c>
      <c r="D499" t="s">
        <v>3226</v>
      </c>
      <c r="E499">
        <v>617</v>
      </c>
      <c r="F499">
        <v>268</v>
      </c>
    </row>
    <row r="500" spans="1:6" x14ac:dyDescent="0.25">
      <c r="A500">
        <v>498</v>
      </c>
      <c r="B500">
        <v>30</v>
      </c>
      <c r="C500">
        <v>4011</v>
      </c>
      <c r="D500" t="s">
        <v>3227</v>
      </c>
      <c r="E500">
        <v>655</v>
      </c>
      <c r="F500">
        <v>261</v>
      </c>
    </row>
    <row r="501" spans="1:6" x14ac:dyDescent="0.25">
      <c r="A501">
        <v>499</v>
      </c>
      <c r="B501">
        <v>30</v>
      </c>
      <c r="C501">
        <v>4013</v>
      </c>
      <c r="D501" t="s">
        <v>3228</v>
      </c>
      <c r="E501">
        <v>665</v>
      </c>
      <c r="F501">
        <v>255</v>
      </c>
    </row>
    <row r="502" spans="1:6" x14ac:dyDescent="0.25">
      <c r="A502">
        <v>500</v>
      </c>
      <c r="B502">
        <v>30</v>
      </c>
      <c r="C502">
        <v>4013</v>
      </c>
      <c r="D502" t="s">
        <v>3229</v>
      </c>
      <c r="E502">
        <v>652</v>
      </c>
      <c r="F502">
        <v>265</v>
      </c>
    </row>
    <row r="503" spans="1:6" x14ac:dyDescent="0.25">
      <c r="A503">
        <v>501</v>
      </c>
      <c r="B503">
        <v>30</v>
      </c>
      <c r="C503">
        <v>4013</v>
      </c>
      <c r="D503" t="s">
        <v>3230</v>
      </c>
      <c r="E503">
        <v>625</v>
      </c>
      <c r="F503">
        <v>283</v>
      </c>
    </row>
    <row r="504" spans="1:6" x14ac:dyDescent="0.25">
      <c r="A504">
        <v>502</v>
      </c>
      <c r="B504">
        <v>31</v>
      </c>
      <c r="C504">
        <v>4002</v>
      </c>
      <c r="D504" t="s">
        <v>3231</v>
      </c>
      <c r="E504">
        <v>823</v>
      </c>
      <c r="F504">
        <v>341</v>
      </c>
    </row>
    <row r="505" spans="1:6" x14ac:dyDescent="0.25">
      <c r="A505">
        <v>503</v>
      </c>
      <c r="B505">
        <v>31</v>
      </c>
      <c r="C505">
        <v>4005</v>
      </c>
      <c r="D505" t="s">
        <v>3232</v>
      </c>
      <c r="E505">
        <v>810</v>
      </c>
      <c r="F505">
        <v>258</v>
      </c>
    </row>
    <row r="506" spans="1:6" x14ac:dyDescent="0.25">
      <c r="A506">
        <v>504</v>
      </c>
      <c r="B506">
        <v>31</v>
      </c>
      <c r="C506">
        <v>4007</v>
      </c>
      <c r="D506" t="s">
        <v>3233</v>
      </c>
      <c r="E506">
        <v>730</v>
      </c>
      <c r="F506">
        <v>250</v>
      </c>
    </row>
    <row r="507" spans="1:6" x14ac:dyDescent="0.25">
      <c r="A507">
        <v>505</v>
      </c>
      <c r="B507">
        <v>31</v>
      </c>
      <c r="C507">
        <v>4004</v>
      </c>
      <c r="D507" t="s">
        <v>3234</v>
      </c>
      <c r="E507">
        <v>740</v>
      </c>
      <c r="F507">
        <v>309</v>
      </c>
    </row>
    <row r="508" spans="1:6" x14ac:dyDescent="0.25">
      <c r="A508">
        <v>506</v>
      </c>
      <c r="B508">
        <v>31</v>
      </c>
      <c r="C508">
        <v>4004</v>
      </c>
      <c r="D508" t="s">
        <v>3235</v>
      </c>
      <c r="E508">
        <v>744</v>
      </c>
      <c r="F508">
        <v>262</v>
      </c>
    </row>
    <row r="509" spans="1:6" x14ac:dyDescent="0.25">
      <c r="A509">
        <v>507</v>
      </c>
      <c r="B509">
        <v>31</v>
      </c>
      <c r="C509">
        <v>4004</v>
      </c>
      <c r="D509" t="s">
        <v>3236</v>
      </c>
      <c r="E509">
        <v>758</v>
      </c>
      <c r="F509">
        <v>334</v>
      </c>
    </row>
    <row r="510" spans="1:6" x14ac:dyDescent="0.25">
      <c r="A510">
        <v>508</v>
      </c>
      <c r="B510">
        <v>31</v>
      </c>
      <c r="C510">
        <v>4009</v>
      </c>
      <c r="D510" t="s">
        <v>3237</v>
      </c>
      <c r="E510">
        <v>740</v>
      </c>
      <c r="F510">
        <v>331</v>
      </c>
    </row>
    <row r="511" spans="1:6" x14ac:dyDescent="0.25">
      <c r="A511">
        <v>509</v>
      </c>
      <c r="B511">
        <v>31</v>
      </c>
      <c r="C511">
        <v>4009</v>
      </c>
      <c r="D511" t="s">
        <v>3238</v>
      </c>
      <c r="E511">
        <v>748</v>
      </c>
      <c r="F511">
        <v>239</v>
      </c>
    </row>
    <row r="512" spans="1:6" x14ac:dyDescent="0.25">
      <c r="A512">
        <v>510</v>
      </c>
      <c r="B512">
        <v>31</v>
      </c>
      <c r="C512">
        <v>4009</v>
      </c>
      <c r="D512" t="s">
        <v>3239</v>
      </c>
      <c r="E512">
        <v>810</v>
      </c>
      <c r="F512">
        <v>252</v>
      </c>
    </row>
    <row r="513" spans="1:6" x14ac:dyDescent="0.25">
      <c r="A513">
        <v>511</v>
      </c>
      <c r="B513">
        <v>31</v>
      </c>
      <c r="C513">
        <v>4044</v>
      </c>
      <c r="D513" t="s">
        <v>3240</v>
      </c>
      <c r="E513">
        <v>817</v>
      </c>
      <c r="F513">
        <v>286</v>
      </c>
    </row>
    <row r="514" spans="1:6" x14ac:dyDescent="0.25">
      <c r="A514">
        <v>512</v>
      </c>
      <c r="B514">
        <v>31</v>
      </c>
      <c r="C514">
        <v>4044</v>
      </c>
      <c r="D514" t="s">
        <v>3241</v>
      </c>
      <c r="E514">
        <v>741</v>
      </c>
      <c r="F514">
        <v>327</v>
      </c>
    </row>
    <row r="515" spans="1:6" x14ac:dyDescent="0.25">
      <c r="A515">
        <v>513</v>
      </c>
      <c r="B515">
        <v>31</v>
      </c>
      <c r="C515">
        <v>4044</v>
      </c>
      <c r="D515" t="s">
        <v>3242</v>
      </c>
      <c r="E515">
        <v>808</v>
      </c>
      <c r="F515">
        <v>322</v>
      </c>
    </row>
    <row r="516" spans="1:6" x14ac:dyDescent="0.25">
      <c r="A516">
        <v>514</v>
      </c>
      <c r="B516">
        <v>31</v>
      </c>
      <c r="C516">
        <v>4011</v>
      </c>
      <c r="D516" t="s">
        <v>3243</v>
      </c>
      <c r="E516">
        <v>731</v>
      </c>
      <c r="F516">
        <v>250</v>
      </c>
    </row>
    <row r="517" spans="1:6" x14ac:dyDescent="0.25">
      <c r="A517">
        <v>515</v>
      </c>
      <c r="B517">
        <v>31</v>
      </c>
      <c r="C517">
        <v>4011</v>
      </c>
      <c r="D517" t="s">
        <v>3244</v>
      </c>
      <c r="E517">
        <v>782</v>
      </c>
      <c r="F517">
        <v>251</v>
      </c>
    </row>
    <row r="518" spans="1:6" x14ac:dyDescent="0.25">
      <c r="A518">
        <v>516</v>
      </c>
      <c r="B518">
        <v>31</v>
      </c>
      <c r="C518">
        <v>4011</v>
      </c>
      <c r="D518" t="s">
        <v>3245</v>
      </c>
      <c r="E518">
        <v>719</v>
      </c>
      <c r="F518">
        <v>261</v>
      </c>
    </row>
    <row r="519" spans="1:6" x14ac:dyDescent="0.25">
      <c r="A519">
        <v>517</v>
      </c>
      <c r="B519">
        <v>31</v>
      </c>
      <c r="C519">
        <v>4013</v>
      </c>
      <c r="D519" t="s">
        <v>3246</v>
      </c>
      <c r="E519">
        <v>772</v>
      </c>
      <c r="F519">
        <v>268</v>
      </c>
    </row>
    <row r="520" spans="1:6" x14ac:dyDescent="0.25">
      <c r="A520">
        <v>518</v>
      </c>
      <c r="B520">
        <v>31</v>
      </c>
      <c r="C520">
        <v>4013</v>
      </c>
      <c r="D520" t="s">
        <v>3247</v>
      </c>
      <c r="E520">
        <v>768</v>
      </c>
      <c r="F520">
        <v>256</v>
      </c>
    </row>
    <row r="521" spans="1:6" x14ac:dyDescent="0.25">
      <c r="A521">
        <v>519</v>
      </c>
      <c r="B521">
        <v>31</v>
      </c>
      <c r="C521">
        <v>4013</v>
      </c>
      <c r="D521" t="s">
        <v>3248</v>
      </c>
      <c r="E521">
        <v>744</v>
      </c>
      <c r="F521">
        <v>281</v>
      </c>
    </row>
    <row r="522" spans="1:6" x14ac:dyDescent="0.25">
      <c r="A522">
        <v>520</v>
      </c>
      <c r="B522">
        <v>32</v>
      </c>
      <c r="C522">
        <v>4002</v>
      </c>
      <c r="D522" t="s">
        <v>3249</v>
      </c>
      <c r="E522">
        <v>857</v>
      </c>
      <c r="F522">
        <v>255</v>
      </c>
    </row>
    <row r="523" spans="1:6" x14ac:dyDescent="0.25">
      <c r="A523">
        <v>521</v>
      </c>
      <c r="B523">
        <v>32</v>
      </c>
      <c r="C523">
        <v>4005</v>
      </c>
      <c r="D523" t="s">
        <v>3250</v>
      </c>
      <c r="E523">
        <v>851</v>
      </c>
      <c r="F523">
        <v>319</v>
      </c>
    </row>
    <row r="524" spans="1:6" x14ac:dyDescent="0.25">
      <c r="A524">
        <v>522</v>
      </c>
      <c r="B524">
        <v>32</v>
      </c>
      <c r="C524">
        <v>4007</v>
      </c>
      <c r="D524" t="s">
        <v>3251</v>
      </c>
      <c r="E524">
        <v>880</v>
      </c>
      <c r="F524">
        <v>284</v>
      </c>
    </row>
    <row r="525" spans="1:6" x14ac:dyDescent="0.25">
      <c r="A525">
        <v>523</v>
      </c>
      <c r="B525">
        <v>32</v>
      </c>
      <c r="C525">
        <v>4004</v>
      </c>
      <c r="D525" t="s">
        <v>3252</v>
      </c>
      <c r="E525">
        <v>888</v>
      </c>
      <c r="F525">
        <v>328</v>
      </c>
    </row>
    <row r="526" spans="1:6" x14ac:dyDescent="0.25">
      <c r="A526">
        <v>524</v>
      </c>
      <c r="B526">
        <v>32</v>
      </c>
      <c r="C526">
        <v>4004</v>
      </c>
      <c r="D526" t="s">
        <v>3253</v>
      </c>
      <c r="E526">
        <v>875</v>
      </c>
      <c r="F526">
        <v>254</v>
      </c>
    </row>
    <row r="527" spans="1:6" x14ac:dyDescent="0.25">
      <c r="A527">
        <v>525</v>
      </c>
      <c r="B527">
        <v>32</v>
      </c>
      <c r="C527">
        <v>4004</v>
      </c>
      <c r="D527" t="s">
        <v>3254</v>
      </c>
      <c r="E527">
        <v>851</v>
      </c>
      <c r="F527">
        <v>329</v>
      </c>
    </row>
    <row r="528" spans="1:6" x14ac:dyDescent="0.25">
      <c r="A528">
        <v>526</v>
      </c>
      <c r="B528">
        <v>32</v>
      </c>
      <c r="C528">
        <v>4009</v>
      </c>
      <c r="D528" t="s">
        <v>3255</v>
      </c>
      <c r="E528">
        <v>870</v>
      </c>
      <c r="F528">
        <v>281</v>
      </c>
    </row>
    <row r="529" spans="1:6" x14ac:dyDescent="0.25">
      <c r="A529">
        <v>527</v>
      </c>
      <c r="B529">
        <v>32</v>
      </c>
      <c r="C529">
        <v>4009</v>
      </c>
      <c r="D529" t="s">
        <v>3256</v>
      </c>
      <c r="E529">
        <v>922</v>
      </c>
      <c r="F529">
        <v>280</v>
      </c>
    </row>
    <row r="530" spans="1:6" x14ac:dyDescent="0.25">
      <c r="A530">
        <v>528</v>
      </c>
      <c r="B530">
        <v>32</v>
      </c>
      <c r="C530">
        <v>4009</v>
      </c>
      <c r="D530" t="s">
        <v>3257</v>
      </c>
      <c r="E530">
        <v>862</v>
      </c>
      <c r="F530">
        <v>334</v>
      </c>
    </row>
    <row r="531" spans="1:6" x14ac:dyDescent="0.25">
      <c r="A531">
        <v>529</v>
      </c>
      <c r="B531">
        <v>32</v>
      </c>
      <c r="C531">
        <v>4044</v>
      </c>
      <c r="D531" t="s">
        <v>3258</v>
      </c>
      <c r="E531">
        <v>939</v>
      </c>
      <c r="F531">
        <v>252</v>
      </c>
    </row>
    <row r="532" spans="1:6" x14ac:dyDescent="0.25">
      <c r="A532">
        <v>530</v>
      </c>
      <c r="B532">
        <v>32</v>
      </c>
      <c r="C532">
        <v>4044</v>
      </c>
      <c r="D532" t="s">
        <v>3259</v>
      </c>
      <c r="E532">
        <v>861</v>
      </c>
      <c r="F532">
        <v>290</v>
      </c>
    </row>
    <row r="533" spans="1:6" x14ac:dyDescent="0.25">
      <c r="A533">
        <v>531</v>
      </c>
      <c r="B533">
        <v>32</v>
      </c>
      <c r="C533">
        <v>4044</v>
      </c>
      <c r="D533" t="s">
        <v>3260</v>
      </c>
      <c r="E533">
        <v>933</v>
      </c>
      <c r="F533">
        <v>330</v>
      </c>
    </row>
    <row r="534" spans="1:6" x14ac:dyDescent="0.25">
      <c r="A534">
        <v>532</v>
      </c>
      <c r="B534">
        <v>32</v>
      </c>
      <c r="C534">
        <v>4011</v>
      </c>
      <c r="D534" t="s">
        <v>3261</v>
      </c>
      <c r="E534">
        <v>889</v>
      </c>
      <c r="F534">
        <v>292</v>
      </c>
    </row>
    <row r="535" spans="1:6" x14ac:dyDescent="0.25">
      <c r="A535">
        <v>533</v>
      </c>
      <c r="B535">
        <v>32</v>
      </c>
      <c r="C535">
        <v>4011</v>
      </c>
      <c r="D535" t="s">
        <v>3262</v>
      </c>
      <c r="E535">
        <v>910</v>
      </c>
      <c r="F535">
        <v>250</v>
      </c>
    </row>
    <row r="536" spans="1:6" x14ac:dyDescent="0.25">
      <c r="A536">
        <v>534</v>
      </c>
      <c r="B536">
        <v>32</v>
      </c>
      <c r="C536">
        <v>4011</v>
      </c>
      <c r="D536" t="s">
        <v>3263</v>
      </c>
      <c r="E536">
        <v>858</v>
      </c>
      <c r="F536">
        <v>260</v>
      </c>
    </row>
    <row r="537" spans="1:6" x14ac:dyDescent="0.25">
      <c r="A537">
        <v>535</v>
      </c>
      <c r="B537">
        <v>32</v>
      </c>
      <c r="C537">
        <v>4013</v>
      </c>
      <c r="D537" t="s">
        <v>3264</v>
      </c>
      <c r="E537">
        <v>884</v>
      </c>
      <c r="F537">
        <v>255</v>
      </c>
    </row>
    <row r="538" spans="1:6" x14ac:dyDescent="0.25">
      <c r="A538">
        <v>536</v>
      </c>
      <c r="B538">
        <v>32</v>
      </c>
      <c r="C538">
        <v>4013</v>
      </c>
      <c r="D538" t="s">
        <v>3265</v>
      </c>
      <c r="E538">
        <v>897</v>
      </c>
      <c r="F538">
        <v>279</v>
      </c>
    </row>
    <row r="539" spans="1:6" x14ac:dyDescent="0.25">
      <c r="A539">
        <v>537</v>
      </c>
      <c r="B539">
        <v>32</v>
      </c>
      <c r="C539">
        <v>4013</v>
      </c>
      <c r="D539" t="s">
        <v>3266</v>
      </c>
      <c r="E539">
        <v>850</v>
      </c>
      <c r="F539">
        <v>269</v>
      </c>
    </row>
    <row r="540" spans="1:6" x14ac:dyDescent="0.25">
      <c r="A540">
        <v>538</v>
      </c>
      <c r="B540">
        <v>33</v>
      </c>
      <c r="C540">
        <v>4002</v>
      </c>
      <c r="D540" t="s">
        <v>3267</v>
      </c>
      <c r="E540">
        <v>1011</v>
      </c>
      <c r="F540">
        <v>340</v>
      </c>
    </row>
    <row r="541" spans="1:6" x14ac:dyDescent="0.25">
      <c r="A541">
        <v>539</v>
      </c>
      <c r="B541">
        <v>33</v>
      </c>
      <c r="C541">
        <v>4005</v>
      </c>
      <c r="D541" t="s">
        <v>3268</v>
      </c>
      <c r="E541">
        <v>1029</v>
      </c>
      <c r="F541">
        <v>294</v>
      </c>
    </row>
    <row r="542" spans="1:6" x14ac:dyDescent="0.25">
      <c r="A542">
        <v>540</v>
      </c>
      <c r="B542">
        <v>33</v>
      </c>
      <c r="C542">
        <v>4007</v>
      </c>
      <c r="D542" t="s">
        <v>3269</v>
      </c>
      <c r="E542">
        <v>973</v>
      </c>
      <c r="F542">
        <v>306</v>
      </c>
    </row>
    <row r="543" spans="1:6" x14ac:dyDescent="0.25">
      <c r="A543">
        <v>541</v>
      </c>
      <c r="B543">
        <v>33</v>
      </c>
      <c r="C543">
        <v>4004</v>
      </c>
      <c r="D543" t="s">
        <v>3270</v>
      </c>
      <c r="E543">
        <v>970</v>
      </c>
      <c r="F543">
        <v>252</v>
      </c>
    </row>
    <row r="544" spans="1:6" x14ac:dyDescent="0.25">
      <c r="A544">
        <v>542</v>
      </c>
      <c r="B544">
        <v>33</v>
      </c>
      <c r="C544">
        <v>4004</v>
      </c>
      <c r="D544" t="s">
        <v>3271</v>
      </c>
      <c r="E544">
        <v>1033</v>
      </c>
      <c r="F544">
        <v>298</v>
      </c>
    </row>
    <row r="545" spans="1:6" x14ac:dyDescent="0.25">
      <c r="A545">
        <v>543</v>
      </c>
      <c r="B545">
        <v>33</v>
      </c>
      <c r="C545">
        <v>4004</v>
      </c>
      <c r="D545" t="s">
        <v>3272</v>
      </c>
      <c r="E545">
        <v>979</v>
      </c>
      <c r="F545">
        <v>318</v>
      </c>
    </row>
    <row r="546" spans="1:6" x14ac:dyDescent="0.25">
      <c r="A546">
        <v>544</v>
      </c>
      <c r="B546">
        <v>33</v>
      </c>
      <c r="C546">
        <v>4009</v>
      </c>
      <c r="D546" t="s">
        <v>3273</v>
      </c>
      <c r="E546">
        <v>994</v>
      </c>
      <c r="F546">
        <v>268</v>
      </c>
    </row>
    <row r="547" spans="1:6" x14ac:dyDescent="0.25">
      <c r="A547">
        <v>545</v>
      </c>
      <c r="B547">
        <v>33</v>
      </c>
      <c r="C547">
        <v>4009</v>
      </c>
      <c r="D547" t="s">
        <v>3274</v>
      </c>
      <c r="E547">
        <v>971</v>
      </c>
      <c r="F547">
        <v>331</v>
      </c>
    </row>
    <row r="548" spans="1:6" x14ac:dyDescent="0.25">
      <c r="A548">
        <v>546</v>
      </c>
      <c r="B548">
        <v>33</v>
      </c>
      <c r="C548">
        <v>4009</v>
      </c>
      <c r="D548" t="s">
        <v>3275</v>
      </c>
      <c r="E548">
        <v>1035</v>
      </c>
      <c r="F548">
        <v>273</v>
      </c>
    </row>
    <row r="549" spans="1:6" x14ac:dyDescent="0.25">
      <c r="A549">
        <v>547</v>
      </c>
      <c r="B549">
        <v>33</v>
      </c>
      <c r="C549">
        <v>4044</v>
      </c>
      <c r="D549" t="s">
        <v>3276</v>
      </c>
      <c r="E549">
        <v>1032</v>
      </c>
      <c r="F549">
        <v>264</v>
      </c>
    </row>
    <row r="550" spans="1:6" x14ac:dyDescent="0.25">
      <c r="A550">
        <v>548</v>
      </c>
      <c r="B550">
        <v>33</v>
      </c>
      <c r="C550">
        <v>4044</v>
      </c>
      <c r="D550" t="s">
        <v>3277</v>
      </c>
      <c r="E550">
        <v>992</v>
      </c>
      <c r="F550">
        <v>340</v>
      </c>
    </row>
    <row r="551" spans="1:6" x14ac:dyDescent="0.25">
      <c r="A551">
        <v>549</v>
      </c>
      <c r="B551">
        <v>33</v>
      </c>
      <c r="C551">
        <v>4044</v>
      </c>
      <c r="D551" t="s">
        <v>3278</v>
      </c>
      <c r="E551">
        <v>987</v>
      </c>
      <c r="F551">
        <v>258</v>
      </c>
    </row>
    <row r="552" spans="1:6" x14ac:dyDescent="0.25">
      <c r="A552">
        <v>550</v>
      </c>
      <c r="B552">
        <v>33</v>
      </c>
      <c r="C552">
        <v>4011</v>
      </c>
      <c r="D552" t="s">
        <v>3279</v>
      </c>
      <c r="E552">
        <v>1058</v>
      </c>
      <c r="F552">
        <v>252</v>
      </c>
    </row>
    <row r="553" spans="1:6" x14ac:dyDescent="0.25">
      <c r="A553">
        <v>551</v>
      </c>
      <c r="B553">
        <v>33</v>
      </c>
      <c r="C553">
        <v>4011</v>
      </c>
      <c r="D553" t="s">
        <v>3280</v>
      </c>
      <c r="E553">
        <v>1033</v>
      </c>
      <c r="F553">
        <v>331</v>
      </c>
    </row>
    <row r="554" spans="1:6" x14ac:dyDescent="0.25">
      <c r="A554">
        <v>552</v>
      </c>
      <c r="B554">
        <v>33</v>
      </c>
      <c r="C554">
        <v>4011</v>
      </c>
      <c r="D554" t="s">
        <v>3281</v>
      </c>
      <c r="E554">
        <v>1036</v>
      </c>
      <c r="F554">
        <v>242</v>
      </c>
    </row>
    <row r="555" spans="1:6" x14ac:dyDescent="0.25">
      <c r="A555">
        <v>553</v>
      </c>
      <c r="B555">
        <v>33</v>
      </c>
      <c r="C555">
        <v>4013</v>
      </c>
      <c r="D555" t="s">
        <v>3282</v>
      </c>
      <c r="E555">
        <v>1059</v>
      </c>
      <c r="F555">
        <v>288</v>
      </c>
    </row>
    <row r="556" spans="1:6" x14ac:dyDescent="0.25">
      <c r="A556">
        <v>554</v>
      </c>
      <c r="B556">
        <v>33</v>
      </c>
      <c r="C556">
        <v>4013</v>
      </c>
      <c r="D556" t="s">
        <v>3283</v>
      </c>
      <c r="E556">
        <v>1041</v>
      </c>
      <c r="F556">
        <v>317</v>
      </c>
    </row>
    <row r="557" spans="1:6" x14ac:dyDescent="0.25">
      <c r="A557">
        <v>555</v>
      </c>
      <c r="B557">
        <v>33</v>
      </c>
      <c r="C557">
        <v>4013</v>
      </c>
      <c r="D557" t="s">
        <v>3284</v>
      </c>
      <c r="E557">
        <v>983</v>
      </c>
      <c r="F557">
        <v>291</v>
      </c>
    </row>
    <row r="558" spans="1:6" x14ac:dyDescent="0.25">
      <c r="A558">
        <v>556</v>
      </c>
      <c r="B558">
        <v>34</v>
      </c>
      <c r="C558">
        <v>4002</v>
      </c>
      <c r="D558" t="s">
        <v>3285</v>
      </c>
      <c r="E558">
        <v>1160</v>
      </c>
      <c r="F558">
        <v>392</v>
      </c>
    </row>
    <row r="559" spans="1:6" x14ac:dyDescent="0.25">
      <c r="A559">
        <v>557</v>
      </c>
      <c r="B559">
        <v>34</v>
      </c>
      <c r="C559">
        <v>4002</v>
      </c>
      <c r="D559" t="s">
        <v>3286</v>
      </c>
      <c r="E559">
        <v>1117</v>
      </c>
      <c r="F559">
        <v>416</v>
      </c>
    </row>
    <row r="560" spans="1:6" x14ac:dyDescent="0.25">
      <c r="A560">
        <v>558</v>
      </c>
      <c r="B560">
        <v>34</v>
      </c>
      <c r="C560">
        <v>4005</v>
      </c>
      <c r="D560" t="s">
        <v>3287</v>
      </c>
      <c r="E560">
        <v>1081</v>
      </c>
      <c r="F560">
        <v>366</v>
      </c>
    </row>
    <row r="561" spans="1:6" x14ac:dyDescent="0.25">
      <c r="A561">
        <v>559</v>
      </c>
      <c r="B561">
        <v>34</v>
      </c>
      <c r="C561">
        <v>4005</v>
      </c>
      <c r="D561" t="s">
        <v>3288</v>
      </c>
      <c r="E561">
        <v>1089</v>
      </c>
      <c r="F561">
        <v>437</v>
      </c>
    </row>
    <row r="562" spans="1:6" x14ac:dyDescent="0.25">
      <c r="A562">
        <v>560</v>
      </c>
      <c r="B562">
        <v>34</v>
      </c>
      <c r="C562">
        <v>4045</v>
      </c>
      <c r="D562" t="s">
        <v>3289</v>
      </c>
      <c r="E562">
        <v>1088</v>
      </c>
      <c r="F562">
        <v>399</v>
      </c>
    </row>
    <row r="563" spans="1:6" x14ac:dyDescent="0.25">
      <c r="A563">
        <v>561</v>
      </c>
      <c r="B563">
        <v>34</v>
      </c>
      <c r="C563">
        <v>4008</v>
      </c>
      <c r="D563" t="s">
        <v>3290</v>
      </c>
      <c r="E563">
        <v>1126</v>
      </c>
      <c r="F563">
        <v>418</v>
      </c>
    </row>
    <row r="564" spans="1:6" x14ac:dyDescent="0.25">
      <c r="A564">
        <v>562</v>
      </c>
      <c r="B564">
        <v>34</v>
      </c>
      <c r="C564">
        <v>4007</v>
      </c>
      <c r="D564" t="s">
        <v>3291</v>
      </c>
      <c r="E564">
        <v>1093</v>
      </c>
      <c r="F564">
        <v>411</v>
      </c>
    </row>
    <row r="565" spans="1:6" x14ac:dyDescent="0.25">
      <c r="A565">
        <v>563</v>
      </c>
      <c r="B565">
        <v>34</v>
      </c>
      <c r="C565">
        <v>4004</v>
      </c>
      <c r="D565" t="s">
        <v>3292</v>
      </c>
      <c r="E565">
        <v>1082</v>
      </c>
      <c r="F565">
        <v>374</v>
      </c>
    </row>
    <row r="566" spans="1:6" x14ac:dyDescent="0.25">
      <c r="A566">
        <v>564</v>
      </c>
      <c r="B566">
        <v>34</v>
      </c>
      <c r="C566">
        <v>4004</v>
      </c>
      <c r="D566" t="s">
        <v>3293</v>
      </c>
      <c r="E566">
        <v>1143</v>
      </c>
      <c r="F566">
        <v>451</v>
      </c>
    </row>
    <row r="567" spans="1:6" x14ac:dyDescent="0.25">
      <c r="A567">
        <v>565</v>
      </c>
      <c r="B567">
        <v>34</v>
      </c>
      <c r="C567">
        <v>4004</v>
      </c>
      <c r="D567" t="s">
        <v>3294</v>
      </c>
      <c r="E567">
        <v>1085</v>
      </c>
      <c r="F567">
        <v>454</v>
      </c>
    </row>
    <row r="568" spans="1:6" x14ac:dyDescent="0.25">
      <c r="A568">
        <v>566</v>
      </c>
      <c r="B568">
        <v>34</v>
      </c>
      <c r="C568">
        <v>4009</v>
      </c>
      <c r="D568" t="s">
        <v>3295</v>
      </c>
      <c r="E568">
        <v>1160</v>
      </c>
      <c r="F568">
        <v>380</v>
      </c>
    </row>
    <row r="569" spans="1:6" x14ac:dyDescent="0.25">
      <c r="A569">
        <v>567</v>
      </c>
      <c r="B569">
        <v>34</v>
      </c>
      <c r="C569">
        <v>4009</v>
      </c>
      <c r="D569" t="s">
        <v>3296</v>
      </c>
      <c r="E569">
        <v>1097</v>
      </c>
      <c r="F569">
        <v>377</v>
      </c>
    </row>
    <row r="570" spans="1:6" x14ac:dyDescent="0.25">
      <c r="A570">
        <v>568</v>
      </c>
      <c r="B570">
        <v>34</v>
      </c>
      <c r="C570">
        <v>4009</v>
      </c>
      <c r="D570" t="s">
        <v>3297</v>
      </c>
      <c r="E570">
        <v>1094</v>
      </c>
      <c r="F570">
        <v>443</v>
      </c>
    </row>
    <row r="571" spans="1:6" x14ac:dyDescent="0.25">
      <c r="A571">
        <v>569</v>
      </c>
      <c r="B571">
        <v>34</v>
      </c>
      <c r="C571">
        <v>4044</v>
      </c>
      <c r="D571" t="s">
        <v>3298</v>
      </c>
      <c r="E571">
        <v>1170</v>
      </c>
      <c r="F571">
        <v>451</v>
      </c>
    </row>
    <row r="572" spans="1:6" x14ac:dyDescent="0.25">
      <c r="A572">
        <v>570</v>
      </c>
      <c r="B572">
        <v>34</v>
      </c>
      <c r="C572">
        <v>4044</v>
      </c>
      <c r="D572" t="s">
        <v>3299</v>
      </c>
      <c r="E572">
        <v>1114</v>
      </c>
      <c r="F572">
        <v>422</v>
      </c>
    </row>
    <row r="573" spans="1:6" x14ac:dyDescent="0.25">
      <c r="A573">
        <v>571</v>
      </c>
      <c r="B573">
        <v>34</v>
      </c>
      <c r="C573">
        <v>4044</v>
      </c>
      <c r="D573" t="s">
        <v>3300</v>
      </c>
      <c r="E573">
        <v>1131</v>
      </c>
      <c r="F573">
        <v>378</v>
      </c>
    </row>
    <row r="574" spans="1:6" x14ac:dyDescent="0.25">
      <c r="A574">
        <v>572</v>
      </c>
      <c r="B574">
        <v>34</v>
      </c>
      <c r="C574">
        <v>4011</v>
      </c>
      <c r="D574" t="s">
        <v>3301</v>
      </c>
      <c r="E574">
        <v>1166</v>
      </c>
      <c r="F574">
        <v>416</v>
      </c>
    </row>
    <row r="575" spans="1:6" x14ac:dyDescent="0.25">
      <c r="A575">
        <v>573</v>
      </c>
      <c r="B575">
        <v>34</v>
      </c>
      <c r="C575">
        <v>4011</v>
      </c>
      <c r="D575" t="s">
        <v>3302</v>
      </c>
      <c r="E575">
        <v>1107</v>
      </c>
      <c r="F575">
        <v>429</v>
      </c>
    </row>
    <row r="576" spans="1:6" x14ac:dyDescent="0.25">
      <c r="A576">
        <v>574</v>
      </c>
      <c r="B576">
        <v>34</v>
      </c>
      <c r="C576">
        <v>4013</v>
      </c>
      <c r="D576" t="s">
        <v>3303</v>
      </c>
      <c r="E576">
        <v>1135</v>
      </c>
      <c r="F576">
        <v>428</v>
      </c>
    </row>
    <row r="577" spans="1:6" x14ac:dyDescent="0.25">
      <c r="A577">
        <v>575</v>
      </c>
      <c r="B577">
        <v>34</v>
      </c>
      <c r="C577">
        <v>4013</v>
      </c>
      <c r="D577" t="s">
        <v>3304</v>
      </c>
      <c r="E577">
        <v>1131</v>
      </c>
      <c r="F577">
        <v>398</v>
      </c>
    </row>
    <row r="578" spans="1:6" x14ac:dyDescent="0.25">
      <c r="A578">
        <v>576</v>
      </c>
      <c r="B578">
        <v>35</v>
      </c>
      <c r="C578">
        <v>4002</v>
      </c>
      <c r="D578" t="s">
        <v>3305</v>
      </c>
      <c r="E578">
        <v>1143</v>
      </c>
      <c r="F578">
        <v>538</v>
      </c>
    </row>
    <row r="579" spans="1:6" x14ac:dyDescent="0.25">
      <c r="A579">
        <v>577</v>
      </c>
      <c r="B579">
        <v>35</v>
      </c>
      <c r="C579">
        <v>4002</v>
      </c>
      <c r="D579" t="s">
        <v>3306</v>
      </c>
      <c r="E579">
        <v>1105</v>
      </c>
      <c r="F579">
        <v>538</v>
      </c>
    </row>
    <row r="580" spans="1:6" x14ac:dyDescent="0.25">
      <c r="A580">
        <v>578</v>
      </c>
      <c r="B580">
        <v>35</v>
      </c>
      <c r="C580">
        <v>4002</v>
      </c>
      <c r="D580" t="s">
        <v>3307</v>
      </c>
      <c r="E580">
        <v>1120</v>
      </c>
      <c r="F580">
        <v>510</v>
      </c>
    </row>
    <row r="581" spans="1:6" x14ac:dyDescent="0.25">
      <c r="A581">
        <v>579</v>
      </c>
      <c r="B581">
        <v>35</v>
      </c>
      <c r="C581">
        <v>4005</v>
      </c>
      <c r="D581" t="s">
        <v>3308</v>
      </c>
      <c r="E581">
        <v>1117</v>
      </c>
      <c r="F581">
        <v>553</v>
      </c>
    </row>
    <row r="582" spans="1:6" x14ac:dyDescent="0.25">
      <c r="A582">
        <v>580</v>
      </c>
      <c r="B582">
        <v>35</v>
      </c>
      <c r="C582">
        <v>4005</v>
      </c>
      <c r="D582" t="s">
        <v>3309</v>
      </c>
      <c r="E582">
        <v>1178</v>
      </c>
      <c r="F582">
        <v>563</v>
      </c>
    </row>
    <row r="583" spans="1:6" x14ac:dyDescent="0.25">
      <c r="A583">
        <v>581</v>
      </c>
      <c r="B583">
        <v>35</v>
      </c>
      <c r="C583">
        <v>4005</v>
      </c>
      <c r="D583" t="s">
        <v>3310</v>
      </c>
      <c r="E583">
        <v>1141</v>
      </c>
      <c r="F583">
        <v>520</v>
      </c>
    </row>
    <row r="584" spans="1:6" x14ac:dyDescent="0.25">
      <c r="A584">
        <v>582</v>
      </c>
      <c r="B584">
        <v>35</v>
      </c>
      <c r="C584">
        <v>4045</v>
      </c>
      <c r="D584" t="s">
        <v>3311</v>
      </c>
      <c r="E584">
        <v>1083</v>
      </c>
      <c r="F584">
        <v>530</v>
      </c>
    </row>
    <row r="585" spans="1:6" x14ac:dyDescent="0.25">
      <c r="A585">
        <v>583</v>
      </c>
      <c r="B585">
        <v>35</v>
      </c>
      <c r="C585">
        <v>4045</v>
      </c>
      <c r="D585" t="s">
        <v>3312</v>
      </c>
      <c r="E585">
        <v>1135</v>
      </c>
      <c r="F585">
        <v>580</v>
      </c>
    </row>
    <row r="586" spans="1:6" x14ac:dyDescent="0.25">
      <c r="A586">
        <v>584</v>
      </c>
      <c r="B586">
        <v>35</v>
      </c>
      <c r="C586">
        <v>4008</v>
      </c>
      <c r="D586" t="s">
        <v>3313</v>
      </c>
      <c r="E586">
        <v>1091</v>
      </c>
      <c r="F586">
        <v>571</v>
      </c>
    </row>
    <row r="587" spans="1:6" x14ac:dyDescent="0.25">
      <c r="A587">
        <v>585</v>
      </c>
      <c r="B587">
        <v>35</v>
      </c>
      <c r="C587">
        <v>4008</v>
      </c>
      <c r="D587" t="s">
        <v>3314</v>
      </c>
      <c r="E587">
        <v>1112</v>
      </c>
      <c r="F587">
        <v>484</v>
      </c>
    </row>
    <row r="588" spans="1:6" x14ac:dyDescent="0.25">
      <c r="A588">
        <v>586</v>
      </c>
      <c r="B588">
        <v>35</v>
      </c>
      <c r="C588">
        <v>4007</v>
      </c>
      <c r="D588" t="s">
        <v>3315</v>
      </c>
      <c r="E588">
        <v>1082</v>
      </c>
      <c r="F588">
        <v>545</v>
      </c>
    </row>
    <row r="589" spans="1:6" x14ac:dyDescent="0.25">
      <c r="A589">
        <v>587</v>
      </c>
      <c r="B589">
        <v>35</v>
      </c>
      <c r="C589">
        <v>4007</v>
      </c>
      <c r="D589" t="s">
        <v>3316</v>
      </c>
      <c r="E589">
        <v>1129</v>
      </c>
      <c r="F589">
        <v>491</v>
      </c>
    </row>
    <row r="590" spans="1:6" x14ac:dyDescent="0.25">
      <c r="A590">
        <v>588</v>
      </c>
      <c r="B590">
        <v>35</v>
      </c>
      <c r="C590">
        <v>4004</v>
      </c>
      <c r="D590" t="s">
        <v>3317</v>
      </c>
      <c r="E590">
        <v>1171</v>
      </c>
      <c r="F590">
        <v>568</v>
      </c>
    </row>
    <row r="591" spans="1:6" x14ac:dyDescent="0.25">
      <c r="A591">
        <v>589</v>
      </c>
      <c r="B591">
        <v>35</v>
      </c>
      <c r="C591">
        <v>4004</v>
      </c>
      <c r="D591" t="s">
        <v>3318</v>
      </c>
      <c r="E591">
        <v>1171</v>
      </c>
      <c r="F591">
        <v>523</v>
      </c>
    </row>
    <row r="592" spans="1:6" x14ac:dyDescent="0.25">
      <c r="A592">
        <v>590</v>
      </c>
      <c r="B592">
        <v>35</v>
      </c>
      <c r="C592">
        <v>4009</v>
      </c>
      <c r="D592" t="s">
        <v>3319</v>
      </c>
      <c r="E592">
        <v>1138</v>
      </c>
      <c r="F592">
        <v>502</v>
      </c>
    </row>
    <row r="593" spans="1:6" x14ac:dyDescent="0.25">
      <c r="A593">
        <v>591</v>
      </c>
      <c r="B593">
        <v>35</v>
      </c>
      <c r="C593">
        <v>4009</v>
      </c>
      <c r="D593" t="s">
        <v>3320</v>
      </c>
      <c r="E593">
        <v>1098</v>
      </c>
      <c r="F593">
        <v>555</v>
      </c>
    </row>
    <row r="594" spans="1:6" x14ac:dyDescent="0.25">
      <c r="A594">
        <v>592</v>
      </c>
      <c r="B594">
        <v>35</v>
      </c>
      <c r="C594">
        <v>4044</v>
      </c>
      <c r="D594" t="s">
        <v>3321</v>
      </c>
      <c r="E594">
        <v>1155</v>
      </c>
      <c r="F594">
        <v>496</v>
      </c>
    </row>
    <row r="595" spans="1:6" x14ac:dyDescent="0.25">
      <c r="A595">
        <v>593</v>
      </c>
      <c r="B595">
        <v>35</v>
      </c>
      <c r="C595">
        <v>4044</v>
      </c>
      <c r="D595" t="s">
        <v>3322</v>
      </c>
      <c r="E595">
        <v>1133</v>
      </c>
      <c r="F595">
        <v>561</v>
      </c>
    </row>
    <row r="596" spans="1:6" x14ac:dyDescent="0.25">
      <c r="A596">
        <v>594</v>
      </c>
      <c r="B596">
        <v>35</v>
      </c>
      <c r="C596">
        <v>4011</v>
      </c>
      <c r="D596" t="s">
        <v>3323</v>
      </c>
      <c r="E596">
        <v>1150</v>
      </c>
      <c r="F596">
        <v>521</v>
      </c>
    </row>
    <row r="597" spans="1:6" x14ac:dyDescent="0.25">
      <c r="A597">
        <v>595</v>
      </c>
      <c r="B597">
        <v>35</v>
      </c>
      <c r="C597">
        <v>4013</v>
      </c>
      <c r="D597" t="s">
        <v>3324</v>
      </c>
      <c r="E597">
        <v>1088</v>
      </c>
      <c r="F597">
        <v>503</v>
      </c>
    </row>
    <row r="598" spans="1:6" x14ac:dyDescent="0.25">
      <c r="A598">
        <v>596</v>
      </c>
      <c r="B598">
        <v>36</v>
      </c>
      <c r="C598">
        <v>4002</v>
      </c>
      <c r="D598" t="s">
        <v>3325</v>
      </c>
      <c r="E598">
        <v>1132</v>
      </c>
      <c r="F598">
        <v>644</v>
      </c>
    </row>
    <row r="599" spans="1:6" x14ac:dyDescent="0.25">
      <c r="A599">
        <v>597</v>
      </c>
      <c r="B599">
        <v>36</v>
      </c>
      <c r="C599">
        <v>4002</v>
      </c>
      <c r="D599" t="s">
        <v>3326</v>
      </c>
      <c r="E599">
        <v>1179</v>
      </c>
      <c r="F599">
        <v>683</v>
      </c>
    </row>
    <row r="600" spans="1:6" x14ac:dyDescent="0.25">
      <c r="A600">
        <v>598</v>
      </c>
      <c r="B600">
        <v>36</v>
      </c>
      <c r="C600">
        <v>4002</v>
      </c>
      <c r="D600" t="s">
        <v>3327</v>
      </c>
      <c r="E600">
        <v>1166</v>
      </c>
      <c r="F600">
        <v>685</v>
      </c>
    </row>
    <row r="601" spans="1:6" x14ac:dyDescent="0.25">
      <c r="A601">
        <v>599</v>
      </c>
      <c r="B601">
        <v>36</v>
      </c>
      <c r="C601">
        <v>4005</v>
      </c>
      <c r="D601" t="s">
        <v>3328</v>
      </c>
      <c r="E601">
        <v>1136</v>
      </c>
      <c r="F601">
        <v>695</v>
      </c>
    </row>
    <row r="602" spans="1:6" x14ac:dyDescent="0.25">
      <c r="A602">
        <v>600</v>
      </c>
      <c r="B602">
        <v>36</v>
      </c>
      <c r="C602">
        <v>4005</v>
      </c>
      <c r="D602" t="s">
        <v>3329</v>
      </c>
      <c r="E602">
        <v>1165</v>
      </c>
      <c r="F602">
        <v>650</v>
      </c>
    </row>
    <row r="603" spans="1:6" x14ac:dyDescent="0.25">
      <c r="A603">
        <v>601</v>
      </c>
      <c r="B603">
        <v>36</v>
      </c>
      <c r="C603">
        <v>4005</v>
      </c>
      <c r="D603" t="s">
        <v>3330</v>
      </c>
      <c r="E603">
        <v>1127</v>
      </c>
      <c r="F603">
        <v>668</v>
      </c>
    </row>
    <row r="604" spans="1:6" x14ac:dyDescent="0.25">
      <c r="A604">
        <v>602</v>
      </c>
      <c r="B604">
        <v>36</v>
      </c>
      <c r="C604">
        <v>4045</v>
      </c>
      <c r="D604" t="s">
        <v>3331</v>
      </c>
      <c r="E604">
        <v>1146</v>
      </c>
      <c r="F604">
        <v>626</v>
      </c>
    </row>
    <row r="605" spans="1:6" x14ac:dyDescent="0.25">
      <c r="A605">
        <v>603</v>
      </c>
      <c r="B605">
        <v>36</v>
      </c>
      <c r="C605">
        <v>4045</v>
      </c>
      <c r="D605" t="s">
        <v>3332</v>
      </c>
      <c r="E605">
        <v>1172</v>
      </c>
      <c r="F605">
        <v>696</v>
      </c>
    </row>
    <row r="606" spans="1:6" x14ac:dyDescent="0.25">
      <c r="A606">
        <v>604</v>
      </c>
      <c r="B606">
        <v>36</v>
      </c>
      <c r="C606">
        <v>4008</v>
      </c>
      <c r="D606" t="s">
        <v>3333</v>
      </c>
      <c r="E606">
        <v>1131</v>
      </c>
      <c r="F606">
        <v>658</v>
      </c>
    </row>
    <row r="607" spans="1:6" x14ac:dyDescent="0.25">
      <c r="A607">
        <v>605</v>
      </c>
      <c r="B607">
        <v>36</v>
      </c>
      <c r="C607">
        <v>4008</v>
      </c>
      <c r="D607" t="s">
        <v>3334</v>
      </c>
      <c r="E607">
        <v>1097</v>
      </c>
      <c r="F607">
        <v>660</v>
      </c>
    </row>
    <row r="608" spans="1:6" x14ac:dyDescent="0.25">
      <c r="A608">
        <v>606</v>
      </c>
      <c r="B608">
        <v>36</v>
      </c>
      <c r="C608">
        <v>4007</v>
      </c>
      <c r="D608" t="s">
        <v>3335</v>
      </c>
      <c r="E608">
        <v>1089</v>
      </c>
      <c r="F608">
        <v>689</v>
      </c>
    </row>
    <row r="609" spans="1:6" x14ac:dyDescent="0.25">
      <c r="A609">
        <v>607</v>
      </c>
      <c r="B609">
        <v>36</v>
      </c>
      <c r="C609">
        <v>4007</v>
      </c>
      <c r="D609" t="s">
        <v>3336</v>
      </c>
      <c r="E609">
        <v>1177</v>
      </c>
      <c r="F609">
        <v>654</v>
      </c>
    </row>
    <row r="610" spans="1:6" x14ac:dyDescent="0.25">
      <c r="A610">
        <v>608</v>
      </c>
      <c r="B610">
        <v>36</v>
      </c>
      <c r="C610">
        <v>4004</v>
      </c>
      <c r="D610" t="s">
        <v>3337</v>
      </c>
      <c r="E610">
        <v>1107</v>
      </c>
      <c r="F610">
        <v>664</v>
      </c>
    </row>
    <row r="611" spans="1:6" x14ac:dyDescent="0.25">
      <c r="A611">
        <v>609</v>
      </c>
      <c r="B611">
        <v>36</v>
      </c>
      <c r="C611">
        <v>4004</v>
      </c>
      <c r="D611" t="s">
        <v>3338</v>
      </c>
      <c r="E611">
        <v>1119</v>
      </c>
      <c r="F611">
        <v>615</v>
      </c>
    </row>
    <row r="612" spans="1:6" x14ac:dyDescent="0.25">
      <c r="A612">
        <v>610</v>
      </c>
      <c r="B612">
        <v>36</v>
      </c>
      <c r="C612">
        <v>4009</v>
      </c>
      <c r="D612" t="s">
        <v>3339</v>
      </c>
      <c r="E612">
        <v>1183</v>
      </c>
      <c r="F612">
        <v>693</v>
      </c>
    </row>
    <row r="613" spans="1:6" x14ac:dyDescent="0.25">
      <c r="A613">
        <v>611</v>
      </c>
      <c r="B613">
        <v>36</v>
      </c>
      <c r="C613">
        <v>4009</v>
      </c>
      <c r="D613" t="s">
        <v>3340</v>
      </c>
      <c r="E613">
        <v>1092</v>
      </c>
      <c r="F613">
        <v>610</v>
      </c>
    </row>
    <row r="614" spans="1:6" x14ac:dyDescent="0.25">
      <c r="A614">
        <v>612</v>
      </c>
      <c r="B614">
        <v>36</v>
      </c>
      <c r="C614">
        <v>4044</v>
      </c>
      <c r="D614" t="s">
        <v>3341</v>
      </c>
      <c r="E614">
        <v>1096</v>
      </c>
      <c r="F614">
        <v>629</v>
      </c>
    </row>
    <row r="615" spans="1:6" x14ac:dyDescent="0.25">
      <c r="A615">
        <v>613</v>
      </c>
      <c r="B615">
        <v>36</v>
      </c>
      <c r="C615">
        <v>4044</v>
      </c>
      <c r="D615" t="s">
        <v>3342</v>
      </c>
      <c r="E615">
        <v>1109</v>
      </c>
      <c r="F615">
        <v>692</v>
      </c>
    </row>
    <row r="616" spans="1:6" x14ac:dyDescent="0.25">
      <c r="A616">
        <v>614</v>
      </c>
      <c r="B616">
        <v>36</v>
      </c>
      <c r="C616">
        <v>4011</v>
      </c>
      <c r="D616" t="s">
        <v>3343</v>
      </c>
      <c r="E616">
        <v>1158</v>
      </c>
      <c r="F616">
        <v>613</v>
      </c>
    </row>
    <row r="617" spans="1:6" x14ac:dyDescent="0.25">
      <c r="A617">
        <v>615</v>
      </c>
      <c r="B617">
        <v>36</v>
      </c>
      <c r="C617">
        <v>4013</v>
      </c>
      <c r="D617" t="s">
        <v>3344</v>
      </c>
      <c r="E617">
        <v>1134</v>
      </c>
      <c r="F617">
        <v>672</v>
      </c>
    </row>
    <row r="618" spans="1:6" x14ac:dyDescent="0.25">
      <c r="A618">
        <v>616</v>
      </c>
      <c r="B618">
        <v>37</v>
      </c>
      <c r="C618">
        <v>4002</v>
      </c>
      <c r="D618" t="s">
        <v>3345</v>
      </c>
      <c r="E618">
        <v>1129</v>
      </c>
      <c r="F618">
        <v>757</v>
      </c>
    </row>
    <row r="619" spans="1:6" x14ac:dyDescent="0.25">
      <c r="A619">
        <v>617</v>
      </c>
      <c r="B619">
        <v>37</v>
      </c>
      <c r="C619">
        <v>4002</v>
      </c>
      <c r="D619" t="s">
        <v>3346</v>
      </c>
      <c r="E619">
        <v>1176</v>
      </c>
      <c r="F619">
        <v>811</v>
      </c>
    </row>
    <row r="620" spans="1:6" x14ac:dyDescent="0.25">
      <c r="A620">
        <v>618</v>
      </c>
      <c r="B620">
        <v>37</v>
      </c>
      <c r="C620">
        <v>4002</v>
      </c>
      <c r="D620" t="s">
        <v>3347</v>
      </c>
      <c r="E620">
        <v>1106</v>
      </c>
      <c r="F620">
        <v>748</v>
      </c>
    </row>
    <row r="621" spans="1:6" x14ac:dyDescent="0.25">
      <c r="A621">
        <v>619</v>
      </c>
      <c r="B621">
        <v>37</v>
      </c>
      <c r="C621">
        <v>4005</v>
      </c>
      <c r="D621" t="s">
        <v>3348</v>
      </c>
      <c r="E621">
        <v>1083</v>
      </c>
      <c r="F621">
        <v>779</v>
      </c>
    </row>
    <row r="622" spans="1:6" x14ac:dyDescent="0.25">
      <c r="A622">
        <v>620</v>
      </c>
      <c r="B622">
        <v>37</v>
      </c>
      <c r="C622">
        <v>4005</v>
      </c>
      <c r="D622" t="s">
        <v>3349</v>
      </c>
      <c r="E622">
        <v>1165</v>
      </c>
      <c r="F622">
        <v>805</v>
      </c>
    </row>
    <row r="623" spans="1:6" x14ac:dyDescent="0.25">
      <c r="A623">
        <v>621</v>
      </c>
      <c r="B623">
        <v>37</v>
      </c>
      <c r="C623">
        <v>4005</v>
      </c>
      <c r="D623" t="s">
        <v>3350</v>
      </c>
      <c r="E623">
        <v>1171</v>
      </c>
      <c r="F623">
        <v>783</v>
      </c>
    </row>
    <row r="624" spans="1:6" x14ac:dyDescent="0.25">
      <c r="A624">
        <v>622</v>
      </c>
      <c r="B624">
        <v>37</v>
      </c>
      <c r="C624">
        <v>4045</v>
      </c>
      <c r="D624" t="s">
        <v>3351</v>
      </c>
      <c r="E624">
        <v>1088</v>
      </c>
      <c r="F624">
        <v>771</v>
      </c>
    </row>
    <row r="625" spans="1:6" x14ac:dyDescent="0.25">
      <c r="A625">
        <v>623</v>
      </c>
      <c r="B625">
        <v>37</v>
      </c>
      <c r="C625">
        <v>4045</v>
      </c>
      <c r="D625" t="s">
        <v>3352</v>
      </c>
      <c r="E625">
        <v>1087</v>
      </c>
      <c r="F625">
        <v>748</v>
      </c>
    </row>
    <row r="626" spans="1:6" x14ac:dyDescent="0.25">
      <c r="A626">
        <v>624</v>
      </c>
      <c r="B626">
        <v>37</v>
      </c>
      <c r="C626">
        <v>4008</v>
      </c>
      <c r="D626" t="s">
        <v>3353</v>
      </c>
      <c r="E626">
        <v>1109</v>
      </c>
      <c r="F626">
        <v>791</v>
      </c>
    </row>
    <row r="627" spans="1:6" x14ac:dyDescent="0.25">
      <c r="A627">
        <v>625</v>
      </c>
      <c r="B627">
        <v>37</v>
      </c>
      <c r="C627">
        <v>4008</v>
      </c>
      <c r="D627" t="s">
        <v>3354</v>
      </c>
      <c r="E627">
        <v>1113</v>
      </c>
      <c r="F627">
        <v>725</v>
      </c>
    </row>
    <row r="628" spans="1:6" x14ac:dyDescent="0.25">
      <c r="A628">
        <v>626</v>
      </c>
      <c r="B628">
        <v>37</v>
      </c>
      <c r="C628">
        <v>4007</v>
      </c>
      <c r="D628" t="s">
        <v>3355</v>
      </c>
      <c r="E628">
        <v>1169</v>
      </c>
      <c r="F628">
        <v>764</v>
      </c>
    </row>
    <row r="629" spans="1:6" x14ac:dyDescent="0.25">
      <c r="A629">
        <v>627</v>
      </c>
      <c r="B629">
        <v>37</v>
      </c>
      <c r="C629">
        <v>4007</v>
      </c>
      <c r="D629" t="s">
        <v>3356</v>
      </c>
      <c r="E629">
        <v>1090</v>
      </c>
      <c r="F629">
        <v>786</v>
      </c>
    </row>
    <row r="630" spans="1:6" x14ac:dyDescent="0.25">
      <c r="A630">
        <v>628</v>
      </c>
      <c r="B630">
        <v>37</v>
      </c>
      <c r="C630">
        <v>4004</v>
      </c>
      <c r="D630" t="s">
        <v>3357</v>
      </c>
      <c r="E630">
        <v>1105</v>
      </c>
      <c r="F630">
        <v>802</v>
      </c>
    </row>
    <row r="631" spans="1:6" x14ac:dyDescent="0.25">
      <c r="A631">
        <v>629</v>
      </c>
      <c r="B631">
        <v>37</v>
      </c>
      <c r="C631">
        <v>4004</v>
      </c>
      <c r="D631" t="s">
        <v>3358</v>
      </c>
      <c r="E631">
        <v>1167</v>
      </c>
      <c r="F631">
        <v>737</v>
      </c>
    </row>
    <row r="632" spans="1:6" x14ac:dyDescent="0.25">
      <c r="A632">
        <v>630</v>
      </c>
      <c r="B632">
        <v>37</v>
      </c>
      <c r="C632">
        <v>4009</v>
      </c>
      <c r="D632" t="s">
        <v>3359</v>
      </c>
      <c r="E632">
        <v>1119</v>
      </c>
      <c r="F632">
        <v>727</v>
      </c>
    </row>
    <row r="633" spans="1:6" x14ac:dyDescent="0.25">
      <c r="A633">
        <v>631</v>
      </c>
      <c r="B633">
        <v>37</v>
      </c>
      <c r="C633">
        <v>4009</v>
      </c>
      <c r="D633" t="s">
        <v>3360</v>
      </c>
      <c r="E633">
        <v>1140</v>
      </c>
      <c r="F633">
        <v>806</v>
      </c>
    </row>
    <row r="634" spans="1:6" x14ac:dyDescent="0.25">
      <c r="A634">
        <v>632</v>
      </c>
      <c r="B634">
        <v>37</v>
      </c>
      <c r="C634">
        <v>4044</v>
      </c>
      <c r="D634" t="s">
        <v>3361</v>
      </c>
      <c r="E634">
        <v>1109</v>
      </c>
      <c r="F634">
        <v>730</v>
      </c>
    </row>
    <row r="635" spans="1:6" x14ac:dyDescent="0.25">
      <c r="A635">
        <v>633</v>
      </c>
      <c r="B635">
        <v>37</v>
      </c>
      <c r="C635">
        <v>4044</v>
      </c>
      <c r="D635" t="s">
        <v>3362</v>
      </c>
      <c r="E635">
        <v>1133</v>
      </c>
      <c r="F635">
        <v>787</v>
      </c>
    </row>
    <row r="636" spans="1:6" x14ac:dyDescent="0.25">
      <c r="A636">
        <v>634</v>
      </c>
      <c r="B636">
        <v>37</v>
      </c>
      <c r="C636">
        <v>4011</v>
      </c>
      <c r="D636" t="s">
        <v>3363</v>
      </c>
      <c r="E636">
        <v>1093</v>
      </c>
      <c r="F636">
        <v>808</v>
      </c>
    </row>
    <row r="637" spans="1:6" x14ac:dyDescent="0.25">
      <c r="A637">
        <v>635</v>
      </c>
      <c r="B637">
        <v>37</v>
      </c>
      <c r="C637">
        <v>4013</v>
      </c>
      <c r="D637" t="s">
        <v>3364</v>
      </c>
      <c r="E637">
        <v>1140</v>
      </c>
      <c r="F637">
        <v>726</v>
      </c>
    </row>
    <row r="638" spans="1:6" x14ac:dyDescent="0.25">
      <c r="A638">
        <v>636</v>
      </c>
      <c r="B638">
        <v>38</v>
      </c>
      <c r="C638">
        <v>4002</v>
      </c>
      <c r="D638" t="s">
        <v>3365</v>
      </c>
      <c r="E638">
        <v>1125</v>
      </c>
      <c r="F638">
        <v>892</v>
      </c>
    </row>
    <row r="639" spans="1:6" x14ac:dyDescent="0.25">
      <c r="A639">
        <v>637</v>
      </c>
      <c r="B639">
        <v>38</v>
      </c>
      <c r="C639">
        <v>4002</v>
      </c>
      <c r="D639" t="s">
        <v>3366</v>
      </c>
      <c r="E639">
        <v>1092</v>
      </c>
      <c r="F639">
        <v>931</v>
      </c>
    </row>
    <row r="640" spans="1:6" x14ac:dyDescent="0.25">
      <c r="A640">
        <v>638</v>
      </c>
      <c r="B640">
        <v>38</v>
      </c>
      <c r="C640">
        <v>4002</v>
      </c>
      <c r="D640" t="s">
        <v>3367</v>
      </c>
      <c r="E640">
        <v>1091</v>
      </c>
      <c r="F640">
        <v>845</v>
      </c>
    </row>
    <row r="641" spans="1:6" x14ac:dyDescent="0.25">
      <c r="A641">
        <v>639</v>
      </c>
      <c r="B641">
        <v>38</v>
      </c>
      <c r="C641">
        <v>4005</v>
      </c>
      <c r="D641" t="s">
        <v>3368</v>
      </c>
      <c r="E641">
        <v>1177</v>
      </c>
      <c r="F641">
        <v>933</v>
      </c>
    </row>
    <row r="642" spans="1:6" x14ac:dyDescent="0.25">
      <c r="A642">
        <v>640</v>
      </c>
      <c r="B642">
        <v>38</v>
      </c>
      <c r="C642">
        <v>4005</v>
      </c>
      <c r="D642" t="s">
        <v>3369</v>
      </c>
      <c r="E642">
        <v>1152</v>
      </c>
      <c r="F642">
        <v>917</v>
      </c>
    </row>
    <row r="643" spans="1:6" x14ac:dyDescent="0.25">
      <c r="A643">
        <v>641</v>
      </c>
      <c r="B643">
        <v>38</v>
      </c>
      <c r="C643">
        <v>4005</v>
      </c>
      <c r="D643" t="s">
        <v>3370</v>
      </c>
      <c r="E643">
        <v>1096</v>
      </c>
      <c r="F643">
        <v>929</v>
      </c>
    </row>
    <row r="644" spans="1:6" x14ac:dyDescent="0.25">
      <c r="A644">
        <v>642</v>
      </c>
      <c r="B644">
        <v>38</v>
      </c>
      <c r="C644">
        <v>4045</v>
      </c>
      <c r="D644" t="s">
        <v>3371</v>
      </c>
      <c r="E644">
        <v>1105</v>
      </c>
      <c r="F644">
        <v>920</v>
      </c>
    </row>
    <row r="645" spans="1:6" x14ac:dyDescent="0.25">
      <c r="A645">
        <v>643</v>
      </c>
      <c r="B645">
        <v>38</v>
      </c>
      <c r="C645">
        <v>4045</v>
      </c>
      <c r="D645" t="s">
        <v>3372</v>
      </c>
      <c r="E645">
        <v>1084</v>
      </c>
      <c r="F645">
        <v>873</v>
      </c>
    </row>
    <row r="646" spans="1:6" x14ac:dyDescent="0.25">
      <c r="A646">
        <v>644</v>
      </c>
      <c r="B646">
        <v>38</v>
      </c>
      <c r="C646">
        <v>4008</v>
      </c>
      <c r="D646" t="s">
        <v>3373</v>
      </c>
      <c r="E646">
        <v>1157</v>
      </c>
      <c r="F646">
        <v>884</v>
      </c>
    </row>
    <row r="647" spans="1:6" x14ac:dyDescent="0.25">
      <c r="A647">
        <v>645</v>
      </c>
      <c r="B647">
        <v>38</v>
      </c>
      <c r="C647">
        <v>4008</v>
      </c>
      <c r="D647" t="s">
        <v>3374</v>
      </c>
      <c r="E647">
        <v>1093</v>
      </c>
      <c r="F647">
        <v>902</v>
      </c>
    </row>
    <row r="648" spans="1:6" x14ac:dyDescent="0.25">
      <c r="A648">
        <v>646</v>
      </c>
      <c r="B648">
        <v>38</v>
      </c>
      <c r="C648">
        <v>4007</v>
      </c>
      <c r="D648" t="s">
        <v>3375</v>
      </c>
      <c r="E648">
        <v>1157</v>
      </c>
      <c r="F648">
        <v>928</v>
      </c>
    </row>
    <row r="649" spans="1:6" x14ac:dyDescent="0.25">
      <c r="A649">
        <v>647</v>
      </c>
      <c r="B649">
        <v>38</v>
      </c>
      <c r="C649">
        <v>4007</v>
      </c>
      <c r="D649" t="s">
        <v>3376</v>
      </c>
      <c r="E649">
        <v>1160</v>
      </c>
      <c r="F649">
        <v>855</v>
      </c>
    </row>
    <row r="650" spans="1:6" x14ac:dyDescent="0.25">
      <c r="A650">
        <v>648</v>
      </c>
      <c r="B650">
        <v>38</v>
      </c>
      <c r="C650">
        <v>4004</v>
      </c>
      <c r="D650" t="s">
        <v>3377</v>
      </c>
      <c r="E650">
        <v>1084</v>
      </c>
      <c r="F650">
        <v>858</v>
      </c>
    </row>
    <row r="651" spans="1:6" x14ac:dyDescent="0.25">
      <c r="A651">
        <v>649</v>
      </c>
      <c r="B651">
        <v>38</v>
      </c>
      <c r="C651">
        <v>4004</v>
      </c>
      <c r="D651" t="s">
        <v>3378</v>
      </c>
      <c r="E651">
        <v>1109</v>
      </c>
      <c r="F651">
        <v>933</v>
      </c>
    </row>
    <row r="652" spans="1:6" x14ac:dyDescent="0.25">
      <c r="A652">
        <v>650</v>
      </c>
      <c r="B652">
        <v>38</v>
      </c>
      <c r="C652">
        <v>4009</v>
      </c>
      <c r="D652" t="s">
        <v>3379</v>
      </c>
      <c r="E652">
        <v>1099</v>
      </c>
      <c r="F652">
        <v>848</v>
      </c>
    </row>
    <row r="653" spans="1:6" x14ac:dyDescent="0.25">
      <c r="A653">
        <v>651</v>
      </c>
      <c r="B653">
        <v>38</v>
      </c>
      <c r="C653">
        <v>4009</v>
      </c>
      <c r="D653" t="s">
        <v>3380</v>
      </c>
      <c r="E653">
        <v>1169</v>
      </c>
      <c r="F653">
        <v>872</v>
      </c>
    </row>
    <row r="654" spans="1:6" x14ac:dyDescent="0.25">
      <c r="A654">
        <v>652</v>
      </c>
      <c r="B654">
        <v>38</v>
      </c>
      <c r="C654">
        <v>4044</v>
      </c>
      <c r="D654" t="s">
        <v>3381</v>
      </c>
      <c r="E654">
        <v>1140</v>
      </c>
      <c r="F654">
        <v>849</v>
      </c>
    </row>
    <row r="655" spans="1:6" x14ac:dyDescent="0.25">
      <c r="A655">
        <v>653</v>
      </c>
      <c r="B655">
        <v>38</v>
      </c>
      <c r="C655">
        <v>4044</v>
      </c>
      <c r="D655" t="s">
        <v>3382</v>
      </c>
      <c r="E655">
        <v>1129</v>
      </c>
      <c r="F655">
        <v>903</v>
      </c>
    </row>
    <row r="656" spans="1:6" x14ac:dyDescent="0.25">
      <c r="A656">
        <v>654</v>
      </c>
      <c r="B656">
        <v>38</v>
      </c>
      <c r="C656">
        <v>4011</v>
      </c>
      <c r="D656" t="s">
        <v>3383</v>
      </c>
      <c r="E656">
        <v>1165</v>
      </c>
      <c r="F656">
        <v>904</v>
      </c>
    </row>
    <row r="657" spans="1:6" x14ac:dyDescent="0.25">
      <c r="A657">
        <v>655</v>
      </c>
      <c r="B657">
        <v>38</v>
      </c>
      <c r="C657">
        <v>4013</v>
      </c>
      <c r="D657" t="s">
        <v>3384</v>
      </c>
      <c r="E657">
        <v>1125</v>
      </c>
      <c r="F657">
        <v>923</v>
      </c>
    </row>
    <row r="658" spans="1:6" x14ac:dyDescent="0.25">
      <c r="A658">
        <v>656</v>
      </c>
      <c r="B658">
        <v>39</v>
      </c>
      <c r="C658">
        <v>4002</v>
      </c>
      <c r="D658" t="s">
        <v>3385</v>
      </c>
      <c r="E658">
        <v>1140</v>
      </c>
      <c r="F658">
        <v>1016</v>
      </c>
    </row>
    <row r="659" spans="1:6" x14ac:dyDescent="0.25">
      <c r="A659">
        <v>657</v>
      </c>
      <c r="B659">
        <v>39</v>
      </c>
      <c r="C659">
        <v>4002</v>
      </c>
      <c r="D659" t="s">
        <v>3386</v>
      </c>
      <c r="E659">
        <v>1099</v>
      </c>
      <c r="F659">
        <v>969</v>
      </c>
    </row>
    <row r="660" spans="1:6" x14ac:dyDescent="0.25">
      <c r="A660">
        <v>658</v>
      </c>
      <c r="B660">
        <v>39</v>
      </c>
      <c r="C660">
        <v>4005</v>
      </c>
      <c r="D660" t="s">
        <v>3387</v>
      </c>
      <c r="E660">
        <v>1137</v>
      </c>
      <c r="F660">
        <v>1001</v>
      </c>
    </row>
    <row r="661" spans="1:6" x14ac:dyDescent="0.25">
      <c r="A661">
        <v>659</v>
      </c>
      <c r="B661">
        <v>39</v>
      </c>
      <c r="C661">
        <v>4005</v>
      </c>
      <c r="D661" t="s">
        <v>3388</v>
      </c>
      <c r="E661">
        <v>1187</v>
      </c>
      <c r="F661">
        <v>1043</v>
      </c>
    </row>
    <row r="662" spans="1:6" x14ac:dyDescent="0.25">
      <c r="A662">
        <v>660</v>
      </c>
      <c r="B662">
        <v>39</v>
      </c>
      <c r="C662">
        <v>4045</v>
      </c>
      <c r="D662" t="s">
        <v>3389</v>
      </c>
      <c r="E662">
        <v>1097</v>
      </c>
      <c r="F662">
        <v>1046</v>
      </c>
    </row>
    <row r="663" spans="1:6" x14ac:dyDescent="0.25">
      <c r="A663">
        <v>661</v>
      </c>
      <c r="B663">
        <v>39</v>
      </c>
      <c r="C663">
        <v>4008</v>
      </c>
      <c r="D663" t="s">
        <v>3390</v>
      </c>
      <c r="E663">
        <v>1091</v>
      </c>
      <c r="F663">
        <v>1014</v>
      </c>
    </row>
    <row r="664" spans="1:6" x14ac:dyDescent="0.25">
      <c r="A664">
        <v>662</v>
      </c>
      <c r="B664">
        <v>39</v>
      </c>
      <c r="C664">
        <v>4007</v>
      </c>
      <c r="D664" t="s">
        <v>3391</v>
      </c>
      <c r="E664">
        <v>1126</v>
      </c>
      <c r="F664">
        <v>981</v>
      </c>
    </row>
    <row r="665" spans="1:6" x14ac:dyDescent="0.25">
      <c r="A665">
        <v>663</v>
      </c>
      <c r="B665">
        <v>39</v>
      </c>
      <c r="C665">
        <v>4004</v>
      </c>
      <c r="D665" t="s">
        <v>3392</v>
      </c>
      <c r="E665">
        <v>1141</v>
      </c>
      <c r="F665">
        <v>1034</v>
      </c>
    </row>
    <row r="666" spans="1:6" x14ac:dyDescent="0.25">
      <c r="A666">
        <v>664</v>
      </c>
      <c r="B666">
        <v>39</v>
      </c>
      <c r="C666">
        <v>4004</v>
      </c>
      <c r="D666" t="s">
        <v>3393</v>
      </c>
      <c r="E666">
        <v>1116</v>
      </c>
      <c r="F666">
        <v>1055</v>
      </c>
    </row>
    <row r="667" spans="1:6" x14ac:dyDescent="0.25">
      <c r="A667">
        <v>665</v>
      </c>
      <c r="B667">
        <v>39</v>
      </c>
      <c r="C667">
        <v>4004</v>
      </c>
      <c r="D667" t="s">
        <v>3394</v>
      </c>
      <c r="E667">
        <v>1093</v>
      </c>
      <c r="F667">
        <v>1023</v>
      </c>
    </row>
    <row r="668" spans="1:6" x14ac:dyDescent="0.25">
      <c r="A668">
        <v>666</v>
      </c>
      <c r="B668">
        <v>39</v>
      </c>
      <c r="C668">
        <v>4009</v>
      </c>
      <c r="D668" t="s">
        <v>3395</v>
      </c>
      <c r="E668">
        <v>1156</v>
      </c>
      <c r="F668">
        <v>1044</v>
      </c>
    </row>
    <row r="669" spans="1:6" x14ac:dyDescent="0.25">
      <c r="A669">
        <v>667</v>
      </c>
      <c r="B669">
        <v>39</v>
      </c>
      <c r="C669">
        <v>4009</v>
      </c>
      <c r="D669" t="s">
        <v>3396</v>
      </c>
      <c r="E669">
        <v>1159</v>
      </c>
      <c r="F669">
        <v>979</v>
      </c>
    </row>
    <row r="670" spans="1:6" x14ac:dyDescent="0.25">
      <c r="A670">
        <v>668</v>
      </c>
      <c r="B670">
        <v>39</v>
      </c>
      <c r="C670">
        <v>4009</v>
      </c>
      <c r="D670" t="s">
        <v>3397</v>
      </c>
      <c r="E670">
        <v>1113</v>
      </c>
      <c r="F670">
        <v>1030</v>
      </c>
    </row>
    <row r="671" spans="1:6" x14ac:dyDescent="0.25">
      <c r="A671">
        <v>669</v>
      </c>
      <c r="B671">
        <v>39</v>
      </c>
      <c r="C671">
        <v>4044</v>
      </c>
      <c r="D671" t="s">
        <v>3398</v>
      </c>
      <c r="E671">
        <v>1089</v>
      </c>
      <c r="F671">
        <v>1054</v>
      </c>
    </row>
    <row r="672" spans="1:6" x14ac:dyDescent="0.25">
      <c r="A672">
        <v>670</v>
      </c>
      <c r="B672">
        <v>39</v>
      </c>
      <c r="C672">
        <v>4044</v>
      </c>
      <c r="D672" t="s">
        <v>3399</v>
      </c>
      <c r="E672">
        <v>1097</v>
      </c>
      <c r="F672">
        <v>1000</v>
      </c>
    </row>
    <row r="673" spans="1:6" x14ac:dyDescent="0.25">
      <c r="A673">
        <v>671</v>
      </c>
      <c r="B673">
        <v>39</v>
      </c>
      <c r="C673">
        <v>4044</v>
      </c>
      <c r="D673" t="s">
        <v>3400</v>
      </c>
      <c r="E673">
        <v>1141</v>
      </c>
      <c r="F673">
        <v>969</v>
      </c>
    </row>
    <row r="674" spans="1:6" x14ac:dyDescent="0.25">
      <c r="A674">
        <v>672</v>
      </c>
      <c r="B674">
        <v>39</v>
      </c>
      <c r="C674">
        <v>4011</v>
      </c>
      <c r="D674" t="s">
        <v>3401</v>
      </c>
      <c r="E674">
        <v>1163</v>
      </c>
      <c r="F674">
        <v>996</v>
      </c>
    </row>
    <row r="675" spans="1:6" x14ac:dyDescent="0.25">
      <c r="A675">
        <v>673</v>
      </c>
      <c r="B675">
        <v>39</v>
      </c>
      <c r="C675">
        <v>4011</v>
      </c>
      <c r="D675" t="s">
        <v>3402</v>
      </c>
      <c r="E675">
        <v>1134</v>
      </c>
      <c r="F675">
        <v>1042</v>
      </c>
    </row>
    <row r="676" spans="1:6" x14ac:dyDescent="0.25">
      <c r="A676">
        <v>674</v>
      </c>
      <c r="B676">
        <v>39</v>
      </c>
      <c r="C676">
        <v>4013</v>
      </c>
      <c r="D676" t="s">
        <v>3403</v>
      </c>
      <c r="E676">
        <v>1163</v>
      </c>
      <c r="F676">
        <v>1038</v>
      </c>
    </row>
    <row r="677" spans="1:6" x14ac:dyDescent="0.25">
      <c r="A677">
        <v>675</v>
      </c>
      <c r="B677">
        <v>39</v>
      </c>
      <c r="C677">
        <v>4013</v>
      </c>
      <c r="D677" t="s">
        <v>3404</v>
      </c>
      <c r="E677">
        <v>1116</v>
      </c>
      <c r="F677">
        <v>976</v>
      </c>
    </row>
    <row r="678" spans="1:6" x14ac:dyDescent="0.25">
      <c r="A678">
        <v>676</v>
      </c>
      <c r="B678">
        <v>40</v>
      </c>
      <c r="C678">
        <v>4002</v>
      </c>
      <c r="D678" t="s">
        <v>3405</v>
      </c>
      <c r="E678">
        <v>1140</v>
      </c>
      <c r="F678">
        <v>1137</v>
      </c>
    </row>
    <row r="679" spans="1:6" x14ac:dyDescent="0.25">
      <c r="A679">
        <v>677</v>
      </c>
      <c r="B679">
        <v>40</v>
      </c>
      <c r="C679">
        <v>4005</v>
      </c>
      <c r="D679" t="s">
        <v>3406</v>
      </c>
      <c r="E679">
        <v>1171</v>
      </c>
      <c r="F679">
        <v>1151</v>
      </c>
    </row>
    <row r="680" spans="1:6" x14ac:dyDescent="0.25">
      <c r="A680">
        <v>678</v>
      </c>
      <c r="B680">
        <v>40</v>
      </c>
      <c r="C680">
        <v>4007</v>
      </c>
      <c r="D680" t="s">
        <v>3407</v>
      </c>
      <c r="E680">
        <v>1130</v>
      </c>
      <c r="F680">
        <v>1085</v>
      </c>
    </row>
    <row r="681" spans="1:6" x14ac:dyDescent="0.25">
      <c r="A681">
        <v>679</v>
      </c>
      <c r="B681">
        <v>40</v>
      </c>
      <c r="C681">
        <v>4004</v>
      </c>
      <c r="D681" t="s">
        <v>3408</v>
      </c>
      <c r="E681">
        <v>1139</v>
      </c>
      <c r="F681">
        <v>1103</v>
      </c>
    </row>
    <row r="682" spans="1:6" x14ac:dyDescent="0.25">
      <c r="A682">
        <v>680</v>
      </c>
      <c r="B682">
        <v>40</v>
      </c>
      <c r="C682">
        <v>4004</v>
      </c>
      <c r="D682" t="s">
        <v>3409</v>
      </c>
      <c r="E682">
        <v>1113</v>
      </c>
      <c r="F682">
        <v>1144</v>
      </c>
    </row>
    <row r="683" spans="1:6" x14ac:dyDescent="0.25">
      <c r="A683">
        <v>681</v>
      </c>
      <c r="B683">
        <v>40</v>
      </c>
      <c r="C683">
        <v>4004</v>
      </c>
      <c r="D683" t="s">
        <v>3410</v>
      </c>
      <c r="E683">
        <v>1087</v>
      </c>
      <c r="F683">
        <v>1090</v>
      </c>
    </row>
    <row r="684" spans="1:6" x14ac:dyDescent="0.25">
      <c r="A684">
        <v>682</v>
      </c>
      <c r="B684">
        <v>40</v>
      </c>
      <c r="C684">
        <v>4009</v>
      </c>
      <c r="D684" t="s">
        <v>3411</v>
      </c>
      <c r="E684">
        <v>1146</v>
      </c>
      <c r="F684">
        <v>1085</v>
      </c>
    </row>
    <row r="685" spans="1:6" x14ac:dyDescent="0.25">
      <c r="A685">
        <v>683</v>
      </c>
      <c r="B685">
        <v>40</v>
      </c>
      <c r="C685">
        <v>4009</v>
      </c>
      <c r="D685" t="s">
        <v>3412</v>
      </c>
      <c r="E685">
        <v>1174</v>
      </c>
      <c r="F685">
        <v>1137</v>
      </c>
    </row>
    <row r="686" spans="1:6" x14ac:dyDescent="0.25">
      <c r="A686">
        <v>684</v>
      </c>
      <c r="B686">
        <v>40</v>
      </c>
      <c r="C686">
        <v>4009</v>
      </c>
      <c r="D686" t="s">
        <v>3413</v>
      </c>
      <c r="E686">
        <v>1089</v>
      </c>
      <c r="F686">
        <v>1091</v>
      </c>
    </row>
    <row r="687" spans="1:6" x14ac:dyDescent="0.25">
      <c r="A687">
        <v>685</v>
      </c>
      <c r="B687">
        <v>40</v>
      </c>
      <c r="C687">
        <v>4044</v>
      </c>
      <c r="D687" t="s">
        <v>3414</v>
      </c>
      <c r="E687">
        <v>1131</v>
      </c>
      <c r="F687">
        <v>1171</v>
      </c>
    </row>
    <row r="688" spans="1:6" x14ac:dyDescent="0.25">
      <c r="A688">
        <v>686</v>
      </c>
      <c r="B688">
        <v>40</v>
      </c>
      <c r="C688">
        <v>4044</v>
      </c>
      <c r="D688" t="s">
        <v>3415</v>
      </c>
      <c r="E688">
        <v>1086</v>
      </c>
      <c r="F688">
        <v>1147</v>
      </c>
    </row>
    <row r="689" spans="1:6" x14ac:dyDescent="0.25">
      <c r="A689">
        <v>687</v>
      </c>
      <c r="B689">
        <v>40</v>
      </c>
      <c r="C689">
        <v>4044</v>
      </c>
      <c r="D689" t="s">
        <v>3416</v>
      </c>
      <c r="E689">
        <v>1100</v>
      </c>
      <c r="F689">
        <v>1170</v>
      </c>
    </row>
    <row r="690" spans="1:6" x14ac:dyDescent="0.25">
      <c r="A690">
        <v>688</v>
      </c>
      <c r="B690">
        <v>40</v>
      </c>
      <c r="C690">
        <v>4011</v>
      </c>
      <c r="D690" t="s">
        <v>3417</v>
      </c>
      <c r="E690">
        <v>1163</v>
      </c>
      <c r="F690">
        <v>1106</v>
      </c>
    </row>
    <row r="691" spans="1:6" x14ac:dyDescent="0.25">
      <c r="A691">
        <v>689</v>
      </c>
      <c r="B691">
        <v>40</v>
      </c>
      <c r="C691">
        <v>4011</v>
      </c>
      <c r="D691" t="s">
        <v>3418</v>
      </c>
      <c r="E691">
        <v>1136</v>
      </c>
      <c r="F691">
        <v>1159</v>
      </c>
    </row>
    <row r="692" spans="1:6" x14ac:dyDescent="0.25">
      <c r="A692">
        <v>690</v>
      </c>
      <c r="B692">
        <v>40</v>
      </c>
      <c r="C692">
        <v>4011</v>
      </c>
      <c r="D692" t="s">
        <v>3419</v>
      </c>
      <c r="E692">
        <v>1096</v>
      </c>
      <c r="F692">
        <v>1113</v>
      </c>
    </row>
    <row r="693" spans="1:6" x14ac:dyDescent="0.25">
      <c r="A693">
        <v>691</v>
      </c>
      <c r="B693">
        <v>40</v>
      </c>
      <c r="C693">
        <v>4013</v>
      </c>
      <c r="D693" t="s">
        <v>3420</v>
      </c>
      <c r="E693">
        <v>1101</v>
      </c>
      <c r="F693">
        <v>1159</v>
      </c>
    </row>
    <row r="694" spans="1:6" x14ac:dyDescent="0.25">
      <c r="A694">
        <v>692</v>
      </c>
      <c r="B694">
        <v>40</v>
      </c>
      <c r="C694">
        <v>4013</v>
      </c>
      <c r="D694" t="s">
        <v>3421</v>
      </c>
      <c r="E694">
        <v>1176</v>
      </c>
      <c r="F694">
        <v>1101</v>
      </c>
    </row>
    <row r="695" spans="1:6" x14ac:dyDescent="0.25">
      <c r="A695">
        <v>693</v>
      </c>
      <c r="B695">
        <v>40</v>
      </c>
      <c r="C695">
        <v>4013</v>
      </c>
      <c r="D695" t="s">
        <v>3422</v>
      </c>
      <c r="E695">
        <v>1164</v>
      </c>
      <c r="F695">
        <v>1167</v>
      </c>
    </row>
    <row r="696" spans="1:6" x14ac:dyDescent="0.25">
      <c r="A696">
        <v>694</v>
      </c>
      <c r="B696">
        <v>41</v>
      </c>
      <c r="C696">
        <v>4002</v>
      </c>
      <c r="D696" t="s">
        <v>3423</v>
      </c>
      <c r="E696">
        <v>1090</v>
      </c>
      <c r="F696">
        <v>260</v>
      </c>
    </row>
    <row r="697" spans="1:6" x14ac:dyDescent="0.25">
      <c r="A697">
        <v>695</v>
      </c>
      <c r="B697">
        <v>41</v>
      </c>
      <c r="C697">
        <v>4002</v>
      </c>
      <c r="D697" t="s">
        <v>3424</v>
      </c>
      <c r="E697">
        <v>1135</v>
      </c>
      <c r="F697">
        <v>280</v>
      </c>
    </row>
    <row r="698" spans="1:6" x14ac:dyDescent="0.25">
      <c r="A698">
        <v>696</v>
      </c>
      <c r="B698">
        <v>41</v>
      </c>
      <c r="C698">
        <v>4002</v>
      </c>
      <c r="D698" t="s">
        <v>3425</v>
      </c>
      <c r="E698">
        <v>1178</v>
      </c>
      <c r="F698">
        <v>300</v>
      </c>
    </row>
    <row r="699" spans="1:6" x14ac:dyDescent="0.25">
      <c r="A699">
        <v>697</v>
      </c>
      <c r="B699">
        <v>41</v>
      </c>
      <c r="C699">
        <v>4002</v>
      </c>
      <c r="D699" t="s">
        <v>3426</v>
      </c>
      <c r="E699">
        <v>1103</v>
      </c>
      <c r="F699">
        <v>320</v>
      </c>
    </row>
    <row r="700" spans="1:6" x14ac:dyDescent="0.25">
      <c r="A700">
        <v>698</v>
      </c>
      <c r="B700">
        <v>41</v>
      </c>
      <c r="C700">
        <v>4005</v>
      </c>
      <c r="D700" t="s">
        <v>3427</v>
      </c>
      <c r="E700">
        <v>1143</v>
      </c>
      <c r="F700">
        <v>340</v>
      </c>
    </row>
    <row r="701" spans="1:6" x14ac:dyDescent="0.25">
      <c r="A701">
        <v>699</v>
      </c>
      <c r="B701">
        <v>41</v>
      </c>
      <c r="C701">
        <v>4007</v>
      </c>
      <c r="D701" t="s">
        <v>3428</v>
      </c>
      <c r="E701">
        <v>1122</v>
      </c>
      <c r="F701">
        <v>300</v>
      </c>
    </row>
    <row r="702" spans="1:6" x14ac:dyDescent="0.25">
      <c r="A702">
        <v>700</v>
      </c>
      <c r="B702">
        <v>41</v>
      </c>
      <c r="C702">
        <v>4004</v>
      </c>
      <c r="D702" t="s">
        <v>3429</v>
      </c>
      <c r="E702">
        <v>1099</v>
      </c>
      <c r="F702">
        <v>255</v>
      </c>
    </row>
    <row r="703" spans="1:6" x14ac:dyDescent="0.25">
      <c r="A703">
        <v>701</v>
      </c>
      <c r="B703">
        <v>41</v>
      </c>
      <c r="C703">
        <v>4004</v>
      </c>
      <c r="D703" t="s">
        <v>3430</v>
      </c>
      <c r="E703">
        <v>1114</v>
      </c>
      <c r="F703">
        <v>280</v>
      </c>
    </row>
    <row r="704" spans="1:6" x14ac:dyDescent="0.25">
      <c r="A704">
        <v>702</v>
      </c>
      <c r="B704">
        <v>41</v>
      </c>
      <c r="C704">
        <v>4004</v>
      </c>
      <c r="D704" t="s">
        <v>3431</v>
      </c>
      <c r="E704">
        <v>1152</v>
      </c>
      <c r="F704">
        <v>314</v>
      </c>
    </row>
    <row r="705" spans="1:6" x14ac:dyDescent="0.25">
      <c r="A705">
        <v>703</v>
      </c>
      <c r="B705">
        <v>41</v>
      </c>
      <c r="C705">
        <v>4005</v>
      </c>
      <c r="D705" t="s">
        <v>3432</v>
      </c>
      <c r="E705">
        <v>1186</v>
      </c>
      <c r="F705">
        <v>333</v>
      </c>
    </row>
    <row r="706" spans="1:6" x14ac:dyDescent="0.25">
      <c r="A706">
        <v>704</v>
      </c>
      <c r="B706">
        <v>41</v>
      </c>
      <c r="C706">
        <v>4005</v>
      </c>
      <c r="D706" t="s">
        <v>3433</v>
      </c>
      <c r="E706">
        <v>1117</v>
      </c>
      <c r="F706">
        <v>268</v>
      </c>
    </row>
    <row r="707" spans="1:6" x14ac:dyDescent="0.25">
      <c r="A707">
        <v>705</v>
      </c>
      <c r="B707">
        <v>41</v>
      </c>
      <c r="C707">
        <v>4005</v>
      </c>
      <c r="D707" t="s">
        <v>3434</v>
      </c>
      <c r="E707">
        <v>1165</v>
      </c>
      <c r="F707">
        <v>290</v>
      </c>
    </row>
    <row r="708" spans="1:6" x14ac:dyDescent="0.25">
      <c r="A708">
        <v>706</v>
      </c>
      <c r="B708">
        <v>41</v>
      </c>
      <c r="C708">
        <v>4009</v>
      </c>
      <c r="D708" t="s">
        <v>3435</v>
      </c>
      <c r="E708">
        <v>1121</v>
      </c>
      <c r="F708">
        <v>329</v>
      </c>
    </row>
    <row r="709" spans="1:6" x14ac:dyDescent="0.25">
      <c r="A709">
        <v>707</v>
      </c>
      <c r="B709">
        <v>41</v>
      </c>
      <c r="C709">
        <v>4009</v>
      </c>
      <c r="D709" t="s">
        <v>3436</v>
      </c>
      <c r="E709">
        <v>1177</v>
      </c>
      <c r="F709">
        <v>344</v>
      </c>
    </row>
    <row r="710" spans="1:6" x14ac:dyDescent="0.25">
      <c r="A710">
        <v>708</v>
      </c>
      <c r="B710">
        <v>41</v>
      </c>
      <c r="C710">
        <v>4009</v>
      </c>
      <c r="D710" t="s">
        <v>3437</v>
      </c>
      <c r="E710">
        <v>1144</v>
      </c>
      <c r="F710">
        <v>315</v>
      </c>
    </row>
    <row r="711" spans="1:6" x14ac:dyDescent="0.25">
      <c r="A711">
        <v>709</v>
      </c>
      <c r="B711">
        <v>41</v>
      </c>
      <c r="C711">
        <v>4044</v>
      </c>
      <c r="D711" t="s">
        <v>3438</v>
      </c>
      <c r="E711">
        <v>1132</v>
      </c>
      <c r="F711">
        <v>250</v>
      </c>
    </row>
    <row r="712" spans="1:6" x14ac:dyDescent="0.25">
      <c r="A712">
        <v>710</v>
      </c>
      <c r="B712">
        <v>41</v>
      </c>
      <c r="C712">
        <v>4044</v>
      </c>
      <c r="D712" t="s">
        <v>3439</v>
      </c>
      <c r="E712">
        <v>1105</v>
      </c>
      <c r="F712">
        <v>335</v>
      </c>
    </row>
    <row r="713" spans="1:6" x14ac:dyDescent="0.25">
      <c r="A713">
        <v>711</v>
      </c>
      <c r="B713">
        <v>41</v>
      </c>
      <c r="C713">
        <v>4044</v>
      </c>
      <c r="D713" t="s">
        <v>3440</v>
      </c>
      <c r="E713">
        <v>1170</v>
      </c>
      <c r="F713">
        <v>288</v>
      </c>
    </row>
    <row r="714" spans="1:6" x14ac:dyDescent="0.25">
      <c r="A714">
        <v>712</v>
      </c>
      <c r="B714">
        <v>41</v>
      </c>
      <c r="C714">
        <v>4045</v>
      </c>
      <c r="D714" t="s">
        <v>3441</v>
      </c>
      <c r="E714">
        <v>1090</v>
      </c>
      <c r="F714">
        <v>268</v>
      </c>
    </row>
    <row r="715" spans="1:6" x14ac:dyDescent="0.25">
      <c r="A715">
        <v>713</v>
      </c>
      <c r="B715">
        <v>41</v>
      </c>
      <c r="C715">
        <v>4045</v>
      </c>
      <c r="D715" t="s">
        <v>3442</v>
      </c>
      <c r="E715">
        <v>1185</v>
      </c>
      <c r="F715">
        <v>300</v>
      </c>
    </row>
    <row r="716" spans="1:6" x14ac:dyDescent="0.25">
      <c r="A716">
        <v>714</v>
      </c>
      <c r="B716">
        <v>41</v>
      </c>
      <c r="C716">
        <v>4011</v>
      </c>
      <c r="D716" t="s">
        <v>3443</v>
      </c>
      <c r="E716">
        <v>1145</v>
      </c>
      <c r="F716">
        <v>312</v>
      </c>
    </row>
    <row r="717" spans="1:6" x14ac:dyDescent="0.25">
      <c r="A717">
        <v>715</v>
      </c>
      <c r="B717">
        <v>41</v>
      </c>
      <c r="C717">
        <v>4011</v>
      </c>
      <c r="D717" t="s">
        <v>3444</v>
      </c>
      <c r="E717">
        <v>1097</v>
      </c>
      <c r="F717">
        <v>290</v>
      </c>
    </row>
    <row r="718" spans="1:6" x14ac:dyDescent="0.25">
      <c r="A718">
        <v>716</v>
      </c>
      <c r="B718">
        <v>41</v>
      </c>
      <c r="C718">
        <v>4011</v>
      </c>
      <c r="D718" t="s">
        <v>3445</v>
      </c>
      <c r="E718">
        <v>1173</v>
      </c>
      <c r="F718">
        <v>297</v>
      </c>
    </row>
    <row r="719" spans="1:6" x14ac:dyDescent="0.25">
      <c r="A719">
        <v>717</v>
      </c>
      <c r="B719">
        <v>41</v>
      </c>
      <c r="C719">
        <v>4013</v>
      </c>
      <c r="D719" t="s">
        <v>3446</v>
      </c>
      <c r="E719">
        <v>1144</v>
      </c>
      <c r="F719">
        <v>254</v>
      </c>
    </row>
    <row r="720" spans="1:6" x14ac:dyDescent="0.25">
      <c r="A720">
        <v>718</v>
      </c>
      <c r="B720">
        <v>41</v>
      </c>
      <c r="C720">
        <v>4013</v>
      </c>
      <c r="D720" t="s">
        <v>3447</v>
      </c>
      <c r="E720">
        <v>1099</v>
      </c>
      <c r="F720">
        <v>238</v>
      </c>
    </row>
    <row r="721" spans="1:6" x14ac:dyDescent="0.25">
      <c r="A721">
        <v>719</v>
      </c>
      <c r="B721">
        <v>41</v>
      </c>
      <c r="C721">
        <v>4013</v>
      </c>
      <c r="D721" t="s">
        <v>3448</v>
      </c>
      <c r="E721">
        <v>1120</v>
      </c>
      <c r="F721">
        <v>244</v>
      </c>
    </row>
    <row r="722" spans="1:6" x14ac:dyDescent="0.25">
      <c r="A722">
        <v>720</v>
      </c>
      <c r="B722">
        <v>42</v>
      </c>
      <c r="C722">
        <v>2300</v>
      </c>
      <c r="D722" t="s">
        <v>3449</v>
      </c>
      <c r="E722">
        <v>1301</v>
      </c>
      <c r="F722">
        <v>330</v>
      </c>
    </row>
    <row r="723" spans="1:6" x14ac:dyDescent="0.25">
      <c r="A723">
        <v>721</v>
      </c>
      <c r="B723">
        <v>42</v>
      </c>
      <c r="C723">
        <v>2301</v>
      </c>
      <c r="D723" t="s">
        <v>3450</v>
      </c>
      <c r="E723">
        <v>1286</v>
      </c>
      <c r="F723">
        <v>249</v>
      </c>
    </row>
    <row r="724" spans="1:6" x14ac:dyDescent="0.25">
      <c r="A724">
        <v>722</v>
      </c>
      <c r="B724">
        <v>42</v>
      </c>
      <c r="C724">
        <v>2302</v>
      </c>
      <c r="D724" t="s">
        <v>3451</v>
      </c>
      <c r="E724">
        <v>1292</v>
      </c>
      <c r="F724">
        <v>253</v>
      </c>
    </row>
    <row r="725" spans="1:6" x14ac:dyDescent="0.25">
      <c r="A725">
        <v>723</v>
      </c>
      <c r="B725">
        <v>42</v>
      </c>
      <c r="C725">
        <v>2303</v>
      </c>
      <c r="D725" t="s">
        <v>3452</v>
      </c>
      <c r="E725">
        <v>1205</v>
      </c>
      <c r="F725">
        <v>323</v>
      </c>
    </row>
    <row r="726" spans="1:6" x14ac:dyDescent="0.25">
      <c r="A726">
        <v>724</v>
      </c>
      <c r="B726">
        <v>42</v>
      </c>
      <c r="C726">
        <v>2303</v>
      </c>
      <c r="D726" t="s">
        <v>3453</v>
      </c>
      <c r="E726">
        <v>1288</v>
      </c>
      <c r="F726">
        <v>275</v>
      </c>
    </row>
    <row r="727" spans="1:6" x14ac:dyDescent="0.25">
      <c r="A727">
        <v>725</v>
      </c>
      <c r="B727">
        <v>42</v>
      </c>
      <c r="C727">
        <v>2303</v>
      </c>
      <c r="D727" t="s">
        <v>3454</v>
      </c>
      <c r="E727">
        <v>1205</v>
      </c>
      <c r="F727">
        <v>262</v>
      </c>
    </row>
    <row r="728" spans="1:6" x14ac:dyDescent="0.25">
      <c r="A728">
        <v>726</v>
      </c>
      <c r="B728">
        <v>42</v>
      </c>
      <c r="C728">
        <v>2304</v>
      </c>
      <c r="D728" t="s">
        <v>3455</v>
      </c>
      <c r="E728">
        <v>1209</v>
      </c>
      <c r="F728">
        <v>333</v>
      </c>
    </row>
    <row r="729" spans="1:6" x14ac:dyDescent="0.25">
      <c r="A729">
        <v>727</v>
      </c>
      <c r="B729">
        <v>42</v>
      </c>
      <c r="C729">
        <v>2304</v>
      </c>
      <c r="D729" t="s">
        <v>3456</v>
      </c>
      <c r="E729">
        <v>1206</v>
      </c>
      <c r="F729">
        <v>260</v>
      </c>
    </row>
    <row r="730" spans="1:6" x14ac:dyDescent="0.25">
      <c r="A730">
        <v>728</v>
      </c>
      <c r="B730">
        <v>42</v>
      </c>
      <c r="C730">
        <v>2304</v>
      </c>
      <c r="D730" t="s">
        <v>3457</v>
      </c>
      <c r="E730">
        <v>1289</v>
      </c>
      <c r="F730">
        <v>332</v>
      </c>
    </row>
    <row r="731" spans="1:6" x14ac:dyDescent="0.25">
      <c r="A731">
        <v>729</v>
      </c>
      <c r="B731">
        <v>42</v>
      </c>
      <c r="C731">
        <v>2305</v>
      </c>
      <c r="D731" t="s">
        <v>3458</v>
      </c>
      <c r="E731">
        <v>1219</v>
      </c>
      <c r="F731">
        <v>291</v>
      </c>
    </row>
    <row r="732" spans="1:6" x14ac:dyDescent="0.25">
      <c r="A732">
        <v>730</v>
      </c>
      <c r="B732">
        <v>42</v>
      </c>
      <c r="C732">
        <v>2305</v>
      </c>
      <c r="D732" t="s">
        <v>3459</v>
      </c>
      <c r="E732">
        <v>1249</v>
      </c>
      <c r="F732">
        <v>257</v>
      </c>
    </row>
    <row r="733" spans="1:6" x14ac:dyDescent="0.25">
      <c r="A733">
        <v>731</v>
      </c>
      <c r="B733">
        <v>42</v>
      </c>
      <c r="C733">
        <v>2305</v>
      </c>
      <c r="D733" t="s">
        <v>3460</v>
      </c>
      <c r="E733">
        <v>1272</v>
      </c>
      <c r="F733">
        <v>304</v>
      </c>
    </row>
    <row r="734" spans="1:6" x14ac:dyDescent="0.25">
      <c r="A734">
        <v>732</v>
      </c>
      <c r="B734">
        <v>42</v>
      </c>
      <c r="C734">
        <v>2306</v>
      </c>
      <c r="D734" t="s">
        <v>3461</v>
      </c>
      <c r="E734">
        <v>1214</v>
      </c>
      <c r="F734">
        <v>250</v>
      </c>
    </row>
    <row r="735" spans="1:6" x14ac:dyDescent="0.25">
      <c r="A735">
        <v>733</v>
      </c>
      <c r="B735">
        <v>42</v>
      </c>
      <c r="C735">
        <v>2306</v>
      </c>
      <c r="D735" t="s">
        <v>3462</v>
      </c>
      <c r="E735">
        <v>1212</v>
      </c>
      <c r="F735">
        <v>268</v>
      </c>
    </row>
    <row r="736" spans="1:6" x14ac:dyDescent="0.25">
      <c r="A736">
        <v>734</v>
      </c>
      <c r="B736">
        <v>42</v>
      </c>
      <c r="C736">
        <v>2306</v>
      </c>
      <c r="D736" t="s">
        <v>3463</v>
      </c>
      <c r="E736">
        <v>1250</v>
      </c>
      <c r="F736">
        <v>261</v>
      </c>
    </row>
    <row r="737" spans="1:6" x14ac:dyDescent="0.25">
      <c r="A737">
        <v>735</v>
      </c>
      <c r="B737">
        <v>42</v>
      </c>
      <c r="C737">
        <v>2307</v>
      </c>
      <c r="D737" t="s">
        <v>3464</v>
      </c>
      <c r="E737">
        <v>1260</v>
      </c>
      <c r="F737">
        <v>255</v>
      </c>
    </row>
    <row r="738" spans="1:6" x14ac:dyDescent="0.25">
      <c r="A738">
        <v>736</v>
      </c>
      <c r="B738">
        <v>42</v>
      </c>
      <c r="C738">
        <v>2307</v>
      </c>
      <c r="D738" t="s">
        <v>3465</v>
      </c>
      <c r="E738">
        <v>1247</v>
      </c>
      <c r="F738">
        <v>265</v>
      </c>
    </row>
    <row r="739" spans="1:6" x14ac:dyDescent="0.25">
      <c r="A739">
        <v>737</v>
      </c>
      <c r="B739">
        <v>42</v>
      </c>
      <c r="C739">
        <v>2307</v>
      </c>
      <c r="D739" t="s">
        <v>3466</v>
      </c>
      <c r="E739">
        <v>1220</v>
      </c>
      <c r="F739">
        <v>283</v>
      </c>
    </row>
    <row r="740" spans="1:6" x14ac:dyDescent="0.25">
      <c r="A740">
        <v>738</v>
      </c>
      <c r="B740">
        <v>43</v>
      </c>
      <c r="C740">
        <v>2300</v>
      </c>
      <c r="D740" t="s">
        <v>3467</v>
      </c>
      <c r="E740">
        <v>1295</v>
      </c>
      <c r="F740">
        <v>460</v>
      </c>
    </row>
    <row r="741" spans="1:6" x14ac:dyDescent="0.25">
      <c r="A741">
        <v>739</v>
      </c>
      <c r="B741">
        <v>43</v>
      </c>
      <c r="C741">
        <v>2300</v>
      </c>
      <c r="D741" t="s">
        <v>3468</v>
      </c>
      <c r="E741">
        <v>1203</v>
      </c>
      <c r="F741">
        <v>370</v>
      </c>
    </row>
    <row r="742" spans="1:6" x14ac:dyDescent="0.25">
      <c r="A742">
        <v>740</v>
      </c>
      <c r="B742">
        <v>43</v>
      </c>
      <c r="C742">
        <v>2301</v>
      </c>
      <c r="D742" t="s">
        <v>3469</v>
      </c>
      <c r="E742">
        <v>1274</v>
      </c>
      <c r="F742">
        <v>366</v>
      </c>
    </row>
    <row r="743" spans="1:6" x14ac:dyDescent="0.25">
      <c r="A743">
        <v>741</v>
      </c>
      <c r="B743">
        <v>43</v>
      </c>
      <c r="C743">
        <v>2301</v>
      </c>
      <c r="D743" t="s">
        <v>3470</v>
      </c>
      <c r="E743">
        <v>1262</v>
      </c>
      <c r="F743">
        <v>381</v>
      </c>
    </row>
    <row r="744" spans="1:6" x14ac:dyDescent="0.25">
      <c r="A744">
        <v>742</v>
      </c>
      <c r="B744">
        <v>43</v>
      </c>
      <c r="C744">
        <v>2309</v>
      </c>
      <c r="D744" t="s">
        <v>3471</v>
      </c>
      <c r="E744">
        <v>1287</v>
      </c>
      <c r="F744">
        <v>468</v>
      </c>
    </row>
    <row r="745" spans="1:6" x14ac:dyDescent="0.25">
      <c r="A745">
        <v>743</v>
      </c>
      <c r="B745">
        <v>43</v>
      </c>
      <c r="C745">
        <v>2308</v>
      </c>
      <c r="D745" t="s">
        <v>3472</v>
      </c>
      <c r="E745">
        <v>1212</v>
      </c>
      <c r="F745">
        <v>368</v>
      </c>
    </row>
    <row r="746" spans="1:6" x14ac:dyDescent="0.25">
      <c r="A746">
        <v>744</v>
      </c>
      <c r="B746">
        <v>43</v>
      </c>
      <c r="C746">
        <v>2302</v>
      </c>
      <c r="D746" t="s">
        <v>3473</v>
      </c>
      <c r="E746">
        <v>1208</v>
      </c>
      <c r="F746">
        <v>437</v>
      </c>
    </row>
    <row r="747" spans="1:6" x14ac:dyDescent="0.25">
      <c r="A747">
        <v>745</v>
      </c>
      <c r="B747">
        <v>43</v>
      </c>
      <c r="C747">
        <v>2303</v>
      </c>
      <c r="D747" t="s">
        <v>3474</v>
      </c>
      <c r="E747">
        <v>1202</v>
      </c>
      <c r="F747">
        <v>430</v>
      </c>
    </row>
    <row r="748" spans="1:6" x14ac:dyDescent="0.25">
      <c r="A748">
        <v>746</v>
      </c>
      <c r="B748">
        <v>43</v>
      </c>
      <c r="C748">
        <v>2303</v>
      </c>
      <c r="D748" t="s">
        <v>3475</v>
      </c>
      <c r="E748">
        <v>1227</v>
      </c>
      <c r="F748">
        <v>366</v>
      </c>
    </row>
    <row r="749" spans="1:6" x14ac:dyDescent="0.25">
      <c r="A749">
        <v>747</v>
      </c>
      <c r="B749">
        <v>43</v>
      </c>
      <c r="C749">
        <v>2303</v>
      </c>
      <c r="D749" t="s">
        <v>3476</v>
      </c>
      <c r="E749">
        <v>1210</v>
      </c>
      <c r="F749">
        <v>365</v>
      </c>
    </row>
    <row r="750" spans="1:6" x14ac:dyDescent="0.25">
      <c r="A750">
        <v>748</v>
      </c>
      <c r="B750">
        <v>43</v>
      </c>
      <c r="C750">
        <v>2304</v>
      </c>
      <c r="D750" t="s">
        <v>3477</v>
      </c>
      <c r="E750">
        <v>1271</v>
      </c>
      <c r="F750">
        <v>387</v>
      </c>
    </row>
    <row r="751" spans="1:6" x14ac:dyDescent="0.25">
      <c r="A751">
        <v>749</v>
      </c>
      <c r="B751">
        <v>43</v>
      </c>
      <c r="C751">
        <v>2304</v>
      </c>
      <c r="D751" t="s">
        <v>3478</v>
      </c>
      <c r="E751">
        <v>1270</v>
      </c>
      <c r="F751">
        <v>426</v>
      </c>
    </row>
    <row r="752" spans="1:6" x14ac:dyDescent="0.25">
      <c r="A752">
        <v>750</v>
      </c>
      <c r="B752">
        <v>43</v>
      </c>
      <c r="C752">
        <v>2304</v>
      </c>
      <c r="D752" t="s">
        <v>3479</v>
      </c>
      <c r="E752">
        <v>1226</v>
      </c>
      <c r="F752">
        <v>387</v>
      </c>
    </row>
    <row r="753" spans="1:6" x14ac:dyDescent="0.25">
      <c r="A753">
        <v>751</v>
      </c>
      <c r="B753">
        <v>43</v>
      </c>
      <c r="C753">
        <v>2305</v>
      </c>
      <c r="D753" t="s">
        <v>3480</v>
      </c>
      <c r="E753">
        <v>1203</v>
      </c>
      <c r="F753">
        <v>451</v>
      </c>
    </row>
    <row r="754" spans="1:6" x14ac:dyDescent="0.25">
      <c r="A754">
        <v>752</v>
      </c>
      <c r="B754">
        <v>43</v>
      </c>
      <c r="C754">
        <v>2305</v>
      </c>
      <c r="D754" t="s">
        <v>3481</v>
      </c>
      <c r="E754">
        <v>1229</v>
      </c>
      <c r="F754">
        <v>452</v>
      </c>
    </row>
    <row r="755" spans="1:6" x14ac:dyDescent="0.25">
      <c r="A755">
        <v>753</v>
      </c>
      <c r="B755">
        <v>43</v>
      </c>
      <c r="C755">
        <v>2305</v>
      </c>
      <c r="D755" t="s">
        <v>3482</v>
      </c>
      <c r="E755">
        <v>1287</v>
      </c>
      <c r="F755">
        <v>370</v>
      </c>
    </row>
    <row r="756" spans="1:6" x14ac:dyDescent="0.25">
      <c r="A756">
        <v>754</v>
      </c>
      <c r="B756">
        <v>43</v>
      </c>
      <c r="C756">
        <v>2306</v>
      </c>
      <c r="D756" t="s">
        <v>3483</v>
      </c>
      <c r="E756">
        <v>1204</v>
      </c>
      <c r="F756">
        <v>379</v>
      </c>
    </row>
    <row r="757" spans="1:6" x14ac:dyDescent="0.25">
      <c r="A757">
        <v>755</v>
      </c>
      <c r="B757">
        <v>43</v>
      </c>
      <c r="C757">
        <v>2306</v>
      </c>
      <c r="D757" t="s">
        <v>3484</v>
      </c>
      <c r="E757">
        <v>1259</v>
      </c>
      <c r="F757">
        <v>365</v>
      </c>
    </row>
    <row r="758" spans="1:6" x14ac:dyDescent="0.25">
      <c r="A758">
        <v>756</v>
      </c>
      <c r="B758">
        <v>43</v>
      </c>
      <c r="C758">
        <v>2307</v>
      </c>
      <c r="D758" t="s">
        <v>3485</v>
      </c>
      <c r="E758">
        <v>1235</v>
      </c>
      <c r="F758">
        <v>373</v>
      </c>
    </row>
    <row r="759" spans="1:6" x14ac:dyDescent="0.25">
      <c r="A759">
        <v>757</v>
      </c>
      <c r="B759">
        <v>43</v>
      </c>
      <c r="C759">
        <v>2307</v>
      </c>
      <c r="D759" t="s">
        <v>3486</v>
      </c>
      <c r="E759">
        <v>1201</v>
      </c>
      <c r="F759">
        <v>396</v>
      </c>
    </row>
    <row r="760" spans="1:6" x14ac:dyDescent="0.25">
      <c r="A760">
        <v>758</v>
      </c>
      <c r="B760">
        <v>44</v>
      </c>
      <c r="C760">
        <v>2300</v>
      </c>
      <c r="D760" t="s">
        <v>3487</v>
      </c>
      <c r="E760">
        <v>1296</v>
      </c>
      <c r="F760">
        <v>520</v>
      </c>
    </row>
    <row r="761" spans="1:6" x14ac:dyDescent="0.25">
      <c r="A761">
        <v>759</v>
      </c>
      <c r="B761">
        <v>44</v>
      </c>
      <c r="C761">
        <v>2300</v>
      </c>
      <c r="D761" t="s">
        <v>3488</v>
      </c>
      <c r="E761">
        <v>1280</v>
      </c>
      <c r="F761">
        <v>485</v>
      </c>
    </row>
    <row r="762" spans="1:6" x14ac:dyDescent="0.25">
      <c r="A762">
        <v>760</v>
      </c>
      <c r="B762">
        <v>44</v>
      </c>
      <c r="C762">
        <v>2301</v>
      </c>
      <c r="D762" t="s">
        <v>3489</v>
      </c>
      <c r="E762">
        <v>1281</v>
      </c>
      <c r="F762">
        <v>569</v>
      </c>
    </row>
    <row r="763" spans="1:6" x14ac:dyDescent="0.25">
      <c r="A763">
        <v>761</v>
      </c>
      <c r="B763">
        <v>44</v>
      </c>
      <c r="C763">
        <v>2301</v>
      </c>
      <c r="D763" t="s">
        <v>3490</v>
      </c>
      <c r="E763">
        <v>1254</v>
      </c>
      <c r="F763">
        <v>576</v>
      </c>
    </row>
    <row r="764" spans="1:6" x14ac:dyDescent="0.25">
      <c r="A764">
        <v>762</v>
      </c>
      <c r="B764">
        <v>44</v>
      </c>
      <c r="C764">
        <v>2309</v>
      </c>
      <c r="D764" t="s">
        <v>3491</v>
      </c>
      <c r="E764">
        <v>1209</v>
      </c>
      <c r="F764">
        <v>497</v>
      </c>
    </row>
    <row r="765" spans="1:6" x14ac:dyDescent="0.25">
      <c r="A765">
        <v>763</v>
      </c>
      <c r="B765">
        <v>44</v>
      </c>
      <c r="C765">
        <v>2308</v>
      </c>
      <c r="D765" t="s">
        <v>3492</v>
      </c>
      <c r="E765">
        <v>1206</v>
      </c>
      <c r="F765">
        <v>505</v>
      </c>
    </row>
    <row r="766" spans="1:6" x14ac:dyDescent="0.25">
      <c r="A766">
        <v>764</v>
      </c>
      <c r="B766">
        <v>44</v>
      </c>
      <c r="C766">
        <v>2302</v>
      </c>
      <c r="D766" t="s">
        <v>3493</v>
      </c>
      <c r="E766">
        <v>1275</v>
      </c>
      <c r="F766">
        <v>492</v>
      </c>
    </row>
    <row r="767" spans="1:6" x14ac:dyDescent="0.25">
      <c r="A767">
        <v>765</v>
      </c>
      <c r="B767">
        <v>44</v>
      </c>
      <c r="C767">
        <v>2303</v>
      </c>
      <c r="D767" t="s">
        <v>3494</v>
      </c>
      <c r="E767">
        <v>1287</v>
      </c>
      <c r="F767">
        <v>488</v>
      </c>
    </row>
    <row r="768" spans="1:6" x14ac:dyDescent="0.25">
      <c r="A768">
        <v>766</v>
      </c>
      <c r="B768">
        <v>44</v>
      </c>
      <c r="C768">
        <v>2303</v>
      </c>
      <c r="D768" t="s">
        <v>3495</v>
      </c>
      <c r="E768">
        <v>1211</v>
      </c>
      <c r="F768">
        <v>505</v>
      </c>
    </row>
    <row r="769" spans="1:6" x14ac:dyDescent="0.25">
      <c r="A769">
        <v>767</v>
      </c>
      <c r="B769">
        <v>44</v>
      </c>
      <c r="C769">
        <v>2303</v>
      </c>
      <c r="D769" t="s">
        <v>3496</v>
      </c>
      <c r="E769">
        <v>1201</v>
      </c>
      <c r="F769">
        <v>567</v>
      </c>
    </row>
    <row r="770" spans="1:6" x14ac:dyDescent="0.25">
      <c r="A770">
        <v>768</v>
      </c>
      <c r="B770">
        <v>44</v>
      </c>
      <c r="C770">
        <v>2304</v>
      </c>
      <c r="D770" t="s">
        <v>3497</v>
      </c>
      <c r="E770">
        <v>1252</v>
      </c>
      <c r="F770">
        <v>487</v>
      </c>
    </row>
    <row r="771" spans="1:6" x14ac:dyDescent="0.25">
      <c r="A771">
        <v>769</v>
      </c>
      <c r="B771">
        <v>44</v>
      </c>
      <c r="C771">
        <v>2304</v>
      </c>
      <c r="D771" t="s">
        <v>3498</v>
      </c>
      <c r="E771">
        <v>1218</v>
      </c>
      <c r="F771">
        <v>574</v>
      </c>
    </row>
    <row r="772" spans="1:6" x14ac:dyDescent="0.25">
      <c r="A772">
        <v>770</v>
      </c>
      <c r="B772">
        <v>44</v>
      </c>
      <c r="C772">
        <v>2304</v>
      </c>
      <c r="D772" t="s">
        <v>3499</v>
      </c>
      <c r="E772">
        <v>1203</v>
      </c>
      <c r="F772">
        <v>519</v>
      </c>
    </row>
    <row r="773" spans="1:6" x14ac:dyDescent="0.25">
      <c r="A773">
        <v>771</v>
      </c>
      <c r="B773">
        <v>44</v>
      </c>
      <c r="C773">
        <v>2305</v>
      </c>
      <c r="D773" t="s">
        <v>3500</v>
      </c>
      <c r="E773">
        <v>1291</v>
      </c>
      <c r="F773">
        <v>577</v>
      </c>
    </row>
    <row r="774" spans="1:6" x14ac:dyDescent="0.25">
      <c r="A774">
        <v>772</v>
      </c>
      <c r="B774">
        <v>44</v>
      </c>
      <c r="C774">
        <v>2305</v>
      </c>
      <c r="D774" t="s">
        <v>3501</v>
      </c>
      <c r="E774">
        <v>1234</v>
      </c>
      <c r="F774">
        <v>551</v>
      </c>
    </row>
    <row r="775" spans="1:6" x14ac:dyDescent="0.25">
      <c r="A775">
        <v>773</v>
      </c>
      <c r="B775">
        <v>44</v>
      </c>
      <c r="C775">
        <v>2305</v>
      </c>
      <c r="D775" t="s">
        <v>3502</v>
      </c>
      <c r="E775">
        <v>1293</v>
      </c>
      <c r="F775">
        <v>552</v>
      </c>
    </row>
    <row r="776" spans="1:6" x14ac:dyDescent="0.25">
      <c r="A776">
        <v>774</v>
      </c>
      <c r="B776">
        <v>44</v>
      </c>
      <c r="C776">
        <v>2306</v>
      </c>
      <c r="D776" t="s">
        <v>3503</v>
      </c>
      <c r="E776">
        <v>1212</v>
      </c>
      <c r="F776">
        <v>489</v>
      </c>
    </row>
    <row r="777" spans="1:6" x14ac:dyDescent="0.25">
      <c r="A777">
        <v>775</v>
      </c>
      <c r="B777">
        <v>44</v>
      </c>
      <c r="C777">
        <v>2306</v>
      </c>
      <c r="D777" t="s">
        <v>3504</v>
      </c>
      <c r="E777">
        <v>1202</v>
      </c>
      <c r="F777">
        <v>530</v>
      </c>
    </row>
    <row r="778" spans="1:6" x14ac:dyDescent="0.25">
      <c r="A778">
        <v>776</v>
      </c>
      <c r="B778">
        <v>44</v>
      </c>
      <c r="C778">
        <v>2307</v>
      </c>
      <c r="D778" t="s">
        <v>3505</v>
      </c>
      <c r="E778">
        <v>1218</v>
      </c>
      <c r="F778">
        <v>526</v>
      </c>
    </row>
    <row r="779" spans="1:6" x14ac:dyDescent="0.25">
      <c r="A779">
        <v>777</v>
      </c>
      <c r="B779">
        <v>44</v>
      </c>
      <c r="C779">
        <v>2307</v>
      </c>
      <c r="D779" t="s">
        <v>3506</v>
      </c>
      <c r="E779">
        <v>1234</v>
      </c>
      <c r="F779">
        <v>488</v>
      </c>
    </row>
    <row r="780" spans="1:6" x14ac:dyDescent="0.25">
      <c r="A780">
        <v>778</v>
      </c>
      <c r="B780">
        <v>45</v>
      </c>
      <c r="C780">
        <v>2300</v>
      </c>
      <c r="D780" t="s">
        <v>3507</v>
      </c>
      <c r="E780">
        <v>1295</v>
      </c>
      <c r="F780">
        <v>620</v>
      </c>
    </row>
    <row r="781" spans="1:6" x14ac:dyDescent="0.25">
      <c r="A781">
        <v>779</v>
      </c>
      <c r="B781">
        <v>45</v>
      </c>
      <c r="C781">
        <v>2300</v>
      </c>
      <c r="D781" t="s">
        <v>3508</v>
      </c>
      <c r="E781">
        <v>1298</v>
      </c>
      <c r="F781">
        <v>618</v>
      </c>
    </row>
    <row r="782" spans="1:6" x14ac:dyDescent="0.25">
      <c r="A782">
        <v>780</v>
      </c>
      <c r="B782">
        <v>45</v>
      </c>
      <c r="C782">
        <v>2301</v>
      </c>
      <c r="D782" t="s">
        <v>3509</v>
      </c>
      <c r="E782">
        <v>1229</v>
      </c>
      <c r="F782">
        <v>648</v>
      </c>
    </row>
    <row r="783" spans="1:6" x14ac:dyDescent="0.25">
      <c r="A783">
        <v>781</v>
      </c>
      <c r="B783">
        <v>45</v>
      </c>
      <c r="C783">
        <v>2301</v>
      </c>
      <c r="D783" t="s">
        <v>3510</v>
      </c>
      <c r="E783">
        <v>1202</v>
      </c>
      <c r="F783">
        <v>655</v>
      </c>
    </row>
    <row r="784" spans="1:6" x14ac:dyDescent="0.25">
      <c r="A784">
        <v>782</v>
      </c>
      <c r="B784">
        <v>45</v>
      </c>
      <c r="C784">
        <v>2309</v>
      </c>
      <c r="D784" t="s">
        <v>3511</v>
      </c>
      <c r="E784">
        <v>1249</v>
      </c>
      <c r="F784">
        <v>609</v>
      </c>
    </row>
    <row r="785" spans="1:6" x14ac:dyDescent="0.25">
      <c r="A785">
        <v>783</v>
      </c>
      <c r="B785">
        <v>45</v>
      </c>
      <c r="C785">
        <v>2308</v>
      </c>
      <c r="D785" t="s">
        <v>3512</v>
      </c>
      <c r="E785">
        <v>1237</v>
      </c>
      <c r="F785">
        <v>685</v>
      </c>
    </row>
    <row r="786" spans="1:6" x14ac:dyDescent="0.25">
      <c r="A786">
        <v>784</v>
      </c>
      <c r="B786">
        <v>45</v>
      </c>
      <c r="C786">
        <v>2302</v>
      </c>
      <c r="D786" t="s">
        <v>3513</v>
      </c>
      <c r="E786">
        <v>1210</v>
      </c>
      <c r="F786">
        <v>687</v>
      </c>
    </row>
    <row r="787" spans="1:6" x14ac:dyDescent="0.25">
      <c r="A787">
        <v>785</v>
      </c>
      <c r="B787">
        <v>45</v>
      </c>
      <c r="C787">
        <v>2303</v>
      </c>
      <c r="D787" t="s">
        <v>3514</v>
      </c>
      <c r="E787">
        <v>1202</v>
      </c>
      <c r="F787">
        <v>658</v>
      </c>
    </row>
    <row r="788" spans="1:6" x14ac:dyDescent="0.25">
      <c r="A788">
        <v>786</v>
      </c>
      <c r="B788">
        <v>45</v>
      </c>
      <c r="C788">
        <v>2303</v>
      </c>
      <c r="D788" t="s">
        <v>3515</v>
      </c>
      <c r="E788">
        <v>1223</v>
      </c>
      <c r="F788">
        <v>699</v>
      </c>
    </row>
    <row r="789" spans="1:6" x14ac:dyDescent="0.25">
      <c r="A789">
        <v>787</v>
      </c>
      <c r="B789">
        <v>45</v>
      </c>
      <c r="C789">
        <v>2303</v>
      </c>
      <c r="D789" t="s">
        <v>3516</v>
      </c>
      <c r="E789">
        <v>1225</v>
      </c>
      <c r="F789">
        <v>688</v>
      </c>
    </row>
    <row r="790" spans="1:6" x14ac:dyDescent="0.25">
      <c r="A790">
        <v>788</v>
      </c>
      <c r="B790">
        <v>45</v>
      </c>
      <c r="C790">
        <v>2304</v>
      </c>
      <c r="D790" t="s">
        <v>3517</v>
      </c>
      <c r="E790">
        <v>1286</v>
      </c>
      <c r="F790">
        <v>682</v>
      </c>
    </row>
    <row r="791" spans="1:6" x14ac:dyDescent="0.25">
      <c r="A791">
        <v>789</v>
      </c>
      <c r="B791">
        <v>45</v>
      </c>
      <c r="C791">
        <v>2304</v>
      </c>
      <c r="D791" t="s">
        <v>3518</v>
      </c>
      <c r="E791">
        <v>1236</v>
      </c>
      <c r="F791">
        <v>692</v>
      </c>
    </row>
    <row r="792" spans="1:6" x14ac:dyDescent="0.25">
      <c r="A792">
        <v>790</v>
      </c>
      <c r="B792">
        <v>45</v>
      </c>
      <c r="C792">
        <v>2304</v>
      </c>
      <c r="D792" t="s">
        <v>3519</v>
      </c>
      <c r="E792">
        <v>1285</v>
      </c>
      <c r="F792">
        <v>637</v>
      </c>
    </row>
    <row r="793" spans="1:6" x14ac:dyDescent="0.25">
      <c r="A793">
        <v>791</v>
      </c>
      <c r="B793">
        <v>45</v>
      </c>
      <c r="C793">
        <v>2305</v>
      </c>
      <c r="D793" t="s">
        <v>3520</v>
      </c>
      <c r="E793">
        <v>1290</v>
      </c>
      <c r="F793">
        <v>652</v>
      </c>
    </row>
    <row r="794" spans="1:6" x14ac:dyDescent="0.25">
      <c r="A794">
        <v>792</v>
      </c>
      <c r="B794">
        <v>45</v>
      </c>
      <c r="C794">
        <v>2305</v>
      </c>
      <c r="D794" t="s">
        <v>3521</v>
      </c>
      <c r="E794">
        <v>1251</v>
      </c>
      <c r="F794">
        <v>617</v>
      </c>
    </row>
    <row r="795" spans="1:6" x14ac:dyDescent="0.25">
      <c r="A795">
        <v>793</v>
      </c>
      <c r="B795">
        <v>45</v>
      </c>
      <c r="C795">
        <v>2305</v>
      </c>
      <c r="D795" t="s">
        <v>3522</v>
      </c>
      <c r="E795">
        <v>1276</v>
      </c>
      <c r="F795">
        <v>626</v>
      </c>
    </row>
    <row r="796" spans="1:6" x14ac:dyDescent="0.25">
      <c r="A796">
        <v>794</v>
      </c>
      <c r="B796">
        <v>45</v>
      </c>
      <c r="C796">
        <v>2306</v>
      </c>
      <c r="D796" t="s">
        <v>3523</v>
      </c>
      <c r="E796">
        <v>1262</v>
      </c>
      <c r="F796">
        <v>685</v>
      </c>
    </row>
    <row r="797" spans="1:6" x14ac:dyDescent="0.25">
      <c r="A797">
        <v>795</v>
      </c>
      <c r="B797">
        <v>45</v>
      </c>
      <c r="C797">
        <v>2306</v>
      </c>
      <c r="D797" t="s">
        <v>3524</v>
      </c>
      <c r="E797">
        <v>1204</v>
      </c>
      <c r="F797">
        <v>624</v>
      </c>
    </row>
    <row r="798" spans="1:6" x14ac:dyDescent="0.25">
      <c r="A798">
        <v>796</v>
      </c>
      <c r="B798">
        <v>45</v>
      </c>
      <c r="C798">
        <v>2307</v>
      </c>
      <c r="D798" t="s">
        <v>3525</v>
      </c>
      <c r="E798">
        <v>1224</v>
      </c>
      <c r="F798">
        <v>605</v>
      </c>
    </row>
    <row r="799" spans="1:6" x14ac:dyDescent="0.25">
      <c r="A799">
        <v>797</v>
      </c>
      <c r="B799">
        <v>45</v>
      </c>
      <c r="C799">
        <v>2307</v>
      </c>
      <c r="D799" t="s">
        <v>3526</v>
      </c>
      <c r="E799">
        <v>1203</v>
      </c>
      <c r="F799">
        <v>605</v>
      </c>
    </row>
    <row r="800" spans="1:6" x14ac:dyDescent="0.25">
      <c r="A800">
        <v>798</v>
      </c>
      <c r="B800">
        <v>46</v>
      </c>
      <c r="C800">
        <v>2300</v>
      </c>
      <c r="D800" t="s">
        <v>3527</v>
      </c>
      <c r="E800">
        <v>1296</v>
      </c>
      <c r="F800">
        <v>760</v>
      </c>
    </row>
    <row r="801" spans="1:6" x14ac:dyDescent="0.25">
      <c r="A801">
        <v>799</v>
      </c>
      <c r="B801">
        <v>46</v>
      </c>
      <c r="C801">
        <v>2300</v>
      </c>
      <c r="D801" t="s">
        <v>3528</v>
      </c>
      <c r="E801">
        <v>1280</v>
      </c>
      <c r="F801">
        <v>725</v>
      </c>
    </row>
    <row r="802" spans="1:6" x14ac:dyDescent="0.25">
      <c r="A802">
        <v>800</v>
      </c>
      <c r="B802">
        <v>46</v>
      </c>
      <c r="C802">
        <v>2301</v>
      </c>
      <c r="D802" t="s">
        <v>3529</v>
      </c>
      <c r="E802">
        <v>1281</v>
      </c>
      <c r="F802">
        <v>809</v>
      </c>
    </row>
    <row r="803" spans="1:6" x14ac:dyDescent="0.25">
      <c r="A803">
        <v>801</v>
      </c>
      <c r="B803">
        <v>46</v>
      </c>
      <c r="C803">
        <v>2301</v>
      </c>
      <c r="D803" t="s">
        <v>3530</v>
      </c>
      <c r="E803">
        <v>1254</v>
      </c>
      <c r="F803">
        <v>816</v>
      </c>
    </row>
    <row r="804" spans="1:6" x14ac:dyDescent="0.25">
      <c r="A804">
        <v>802</v>
      </c>
      <c r="B804">
        <v>46</v>
      </c>
      <c r="C804">
        <v>2309</v>
      </c>
      <c r="D804" t="s">
        <v>3531</v>
      </c>
      <c r="E804">
        <v>1209</v>
      </c>
      <c r="F804">
        <v>737</v>
      </c>
    </row>
    <row r="805" spans="1:6" x14ac:dyDescent="0.25">
      <c r="A805">
        <v>803</v>
      </c>
      <c r="B805">
        <v>46</v>
      </c>
      <c r="C805">
        <v>2308</v>
      </c>
      <c r="D805" t="s">
        <v>3532</v>
      </c>
      <c r="E805">
        <v>1206</v>
      </c>
      <c r="F805">
        <v>745</v>
      </c>
    </row>
    <row r="806" spans="1:6" x14ac:dyDescent="0.25">
      <c r="A806">
        <v>804</v>
      </c>
      <c r="B806">
        <v>46</v>
      </c>
      <c r="C806">
        <v>2302</v>
      </c>
      <c r="D806" t="s">
        <v>3533</v>
      </c>
      <c r="E806">
        <v>1275</v>
      </c>
      <c r="F806">
        <v>732</v>
      </c>
    </row>
    <row r="807" spans="1:6" x14ac:dyDescent="0.25">
      <c r="A807">
        <v>805</v>
      </c>
      <c r="B807">
        <v>46</v>
      </c>
      <c r="C807">
        <v>2303</v>
      </c>
      <c r="D807" t="s">
        <v>3534</v>
      </c>
      <c r="E807">
        <v>1287</v>
      </c>
      <c r="F807">
        <v>728</v>
      </c>
    </row>
    <row r="808" spans="1:6" x14ac:dyDescent="0.25">
      <c r="A808">
        <v>806</v>
      </c>
      <c r="B808">
        <v>46</v>
      </c>
      <c r="C808">
        <v>2303</v>
      </c>
      <c r="D808" t="s">
        <v>3535</v>
      </c>
      <c r="E808">
        <v>1211</v>
      </c>
      <c r="F808">
        <v>745</v>
      </c>
    </row>
    <row r="809" spans="1:6" x14ac:dyDescent="0.25">
      <c r="A809">
        <v>807</v>
      </c>
      <c r="B809">
        <v>46</v>
      </c>
      <c r="C809">
        <v>2303</v>
      </c>
      <c r="D809" t="s">
        <v>3536</v>
      </c>
      <c r="E809">
        <v>1201</v>
      </c>
      <c r="F809">
        <v>807</v>
      </c>
    </row>
    <row r="810" spans="1:6" x14ac:dyDescent="0.25">
      <c r="A810">
        <v>808</v>
      </c>
      <c r="B810">
        <v>46</v>
      </c>
      <c r="C810">
        <v>2304</v>
      </c>
      <c r="D810" t="s">
        <v>3537</v>
      </c>
      <c r="E810">
        <v>1252</v>
      </c>
      <c r="F810">
        <v>727</v>
      </c>
    </row>
    <row r="811" spans="1:6" x14ac:dyDescent="0.25">
      <c r="A811">
        <v>809</v>
      </c>
      <c r="B811">
        <v>46</v>
      </c>
      <c r="C811">
        <v>2304</v>
      </c>
      <c r="D811" t="s">
        <v>3538</v>
      </c>
      <c r="E811">
        <v>1218</v>
      </c>
      <c r="F811">
        <v>814</v>
      </c>
    </row>
    <row r="812" spans="1:6" x14ac:dyDescent="0.25">
      <c r="A812">
        <v>810</v>
      </c>
      <c r="B812">
        <v>46</v>
      </c>
      <c r="C812">
        <v>2304</v>
      </c>
      <c r="D812" t="s">
        <v>3539</v>
      </c>
      <c r="E812">
        <v>1203</v>
      </c>
      <c r="F812">
        <v>759</v>
      </c>
    </row>
    <row r="813" spans="1:6" x14ac:dyDescent="0.25">
      <c r="A813">
        <v>811</v>
      </c>
      <c r="B813">
        <v>46</v>
      </c>
      <c r="C813">
        <v>2305</v>
      </c>
      <c r="D813" t="s">
        <v>3540</v>
      </c>
      <c r="E813">
        <v>1291</v>
      </c>
      <c r="F813">
        <v>817</v>
      </c>
    </row>
    <row r="814" spans="1:6" x14ac:dyDescent="0.25">
      <c r="A814">
        <v>812</v>
      </c>
      <c r="B814">
        <v>46</v>
      </c>
      <c r="C814">
        <v>2305</v>
      </c>
      <c r="D814" t="s">
        <v>3541</v>
      </c>
      <c r="E814">
        <v>1234</v>
      </c>
      <c r="F814">
        <v>791</v>
      </c>
    </row>
    <row r="815" spans="1:6" x14ac:dyDescent="0.25">
      <c r="A815">
        <v>813</v>
      </c>
      <c r="B815">
        <v>46</v>
      </c>
      <c r="C815">
        <v>2305</v>
      </c>
      <c r="D815" t="s">
        <v>3542</v>
      </c>
      <c r="E815">
        <v>1293</v>
      </c>
      <c r="F815">
        <v>792</v>
      </c>
    </row>
    <row r="816" spans="1:6" x14ac:dyDescent="0.25">
      <c r="A816">
        <v>814</v>
      </c>
      <c r="B816">
        <v>46</v>
      </c>
      <c r="C816">
        <v>2306</v>
      </c>
      <c r="D816" t="s">
        <v>3543</v>
      </c>
      <c r="E816">
        <v>1212</v>
      </c>
      <c r="F816">
        <v>729</v>
      </c>
    </row>
    <row r="817" spans="1:6" x14ac:dyDescent="0.25">
      <c r="A817">
        <v>815</v>
      </c>
      <c r="B817">
        <v>46</v>
      </c>
      <c r="C817">
        <v>2306</v>
      </c>
      <c r="D817" t="s">
        <v>3544</v>
      </c>
      <c r="E817">
        <v>1202</v>
      </c>
      <c r="F817">
        <v>770</v>
      </c>
    </row>
    <row r="818" spans="1:6" x14ac:dyDescent="0.25">
      <c r="A818">
        <v>816</v>
      </c>
      <c r="B818">
        <v>46</v>
      </c>
      <c r="C818">
        <v>2307</v>
      </c>
      <c r="D818" t="s">
        <v>3545</v>
      </c>
      <c r="E818">
        <v>1218</v>
      </c>
      <c r="F818">
        <v>766</v>
      </c>
    </row>
    <row r="819" spans="1:6" x14ac:dyDescent="0.25">
      <c r="A819">
        <v>817</v>
      </c>
      <c r="B819">
        <v>46</v>
      </c>
      <c r="C819">
        <v>2307</v>
      </c>
      <c r="D819" t="s">
        <v>3546</v>
      </c>
      <c r="E819">
        <v>1234</v>
      </c>
      <c r="F819">
        <v>728</v>
      </c>
    </row>
    <row r="820" spans="1:6" x14ac:dyDescent="0.25">
      <c r="A820">
        <v>818</v>
      </c>
      <c r="B820">
        <v>47</v>
      </c>
      <c r="C820">
        <v>2300</v>
      </c>
      <c r="D820" t="s">
        <v>3547</v>
      </c>
      <c r="E820">
        <v>1280</v>
      </c>
      <c r="F820">
        <v>895</v>
      </c>
    </row>
    <row r="821" spans="1:6" x14ac:dyDescent="0.25">
      <c r="A821">
        <v>819</v>
      </c>
      <c r="B821">
        <v>47</v>
      </c>
      <c r="C821">
        <v>2300</v>
      </c>
      <c r="D821" t="s">
        <v>3548</v>
      </c>
      <c r="E821">
        <v>1200</v>
      </c>
      <c r="F821">
        <v>887</v>
      </c>
    </row>
    <row r="822" spans="1:6" x14ac:dyDescent="0.25">
      <c r="A822">
        <v>820</v>
      </c>
      <c r="B822">
        <v>47</v>
      </c>
      <c r="C822">
        <v>2301</v>
      </c>
      <c r="D822" t="s">
        <v>3549</v>
      </c>
      <c r="E822">
        <v>1240</v>
      </c>
      <c r="F822">
        <v>849</v>
      </c>
    </row>
    <row r="823" spans="1:6" x14ac:dyDescent="0.25">
      <c r="A823">
        <v>821</v>
      </c>
      <c r="B823">
        <v>47</v>
      </c>
      <c r="C823">
        <v>2301</v>
      </c>
      <c r="D823" t="s">
        <v>3550</v>
      </c>
      <c r="E823">
        <v>1201</v>
      </c>
      <c r="F823">
        <v>925</v>
      </c>
    </row>
    <row r="824" spans="1:6" x14ac:dyDescent="0.25">
      <c r="A824">
        <v>822</v>
      </c>
      <c r="B824">
        <v>47</v>
      </c>
      <c r="C824">
        <v>2309</v>
      </c>
      <c r="D824" t="s">
        <v>3551</v>
      </c>
      <c r="E824">
        <v>1273</v>
      </c>
      <c r="F824">
        <v>862</v>
      </c>
    </row>
    <row r="825" spans="1:6" x14ac:dyDescent="0.25">
      <c r="A825">
        <v>823</v>
      </c>
      <c r="B825">
        <v>47</v>
      </c>
      <c r="C825">
        <v>2308</v>
      </c>
      <c r="D825" t="s">
        <v>3552</v>
      </c>
      <c r="E825">
        <v>1247</v>
      </c>
      <c r="F825">
        <v>845</v>
      </c>
    </row>
    <row r="826" spans="1:6" x14ac:dyDescent="0.25">
      <c r="A826">
        <v>824</v>
      </c>
      <c r="B826">
        <v>47</v>
      </c>
      <c r="C826">
        <v>2302</v>
      </c>
      <c r="D826" t="s">
        <v>3553</v>
      </c>
      <c r="E826">
        <v>1289</v>
      </c>
      <c r="F826">
        <v>853</v>
      </c>
    </row>
    <row r="827" spans="1:6" x14ac:dyDescent="0.25">
      <c r="A827">
        <v>825</v>
      </c>
      <c r="B827">
        <v>47</v>
      </c>
      <c r="C827">
        <v>2303</v>
      </c>
      <c r="D827" t="s">
        <v>3554</v>
      </c>
      <c r="E827">
        <v>1243</v>
      </c>
      <c r="F827">
        <v>848</v>
      </c>
    </row>
    <row r="828" spans="1:6" x14ac:dyDescent="0.25">
      <c r="A828">
        <v>826</v>
      </c>
      <c r="B828">
        <v>47</v>
      </c>
      <c r="C828">
        <v>2303</v>
      </c>
      <c r="D828" t="s">
        <v>3555</v>
      </c>
      <c r="E828">
        <v>1269</v>
      </c>
      <c r="F828">
        <v>866</v>
      </c>
    </row>
    <row r="829" spans="1:6" x14ac:dyDescent="0.25">
      <c r="A829">
        <v>827</v>
      </c>
      <c r="B829">
        <v>47</v>
      </c>
      <c r="C829">
        <v>2303</v>
      </c>
      <c r="D829" t="s">
        <v>3556</v>
      </c>
      <c r="E829">
        <v>1226</v>
      </c>
      <c r="F829">
        <v>874</v>
      </c>
    </row>
    <row r="830" spans="1:6" x14ac:dyDescent="0.25">
      <c r="A830">
        <v>828</v>
      </c>
      <c r="B830">
        <v>47</v>
      </c>
      <c r="C830">
        <v>2304</v>
      </c>
      <c r="D830" t="s">
        <v>3557</v>
      </c>
      <c r="E830">
        <v>1206</v>
      </c>
      <c r="F830">
        <v>928</v>
      </c>
    </row>
    <row r="831" spans="1:6" x14ac:dyDescent="0.25">
      <c r="A831">
        <v>829</v>
      </c>
      <c r="B831">
        <v>47</v>
      </c>
      <c r="C831">
        <v>2304</v>
      </c>
      <c r="D831" t="s">
        <v>3558</v>
      </c>
      <c r="E831">
        <v>1228</v>
      </c>
      <c r="F831">
        <v>935</v>
      </c>
    </row>
    <row r="832" spans="1:6" x14ac:dyDescent="0.25">
      <c r="A832">
        <v>830</v>
      </c>
      <c r="B832">
        <v>47</v>
      </c>
      <c r="C832">
        <v>2304</v>
      </c>
      <c r="D832" t="s">
        <v>3559</v>
      </c>
      <c r="E832">
        <v>1282</v>
      </c>
      <c r="F832">
        <v>868</v>
      </c>
    </row>
    <row r="833" spans="1:6" x14ac:dyDescent="0.25">
      <c r="A833">
        <v>831</v>
      </c>
      <c r="B833">
        <v>47</v>
      </c>
      <c r="C833">
        <v>2305</v>
      </c>
      <c r="D833" t="s">
        <v>3560</v>
      </c>
      <c r="E833">
        <v>1286</v>
      </c>
      <c r="F833">
        <v>883</v>
      </c>
    </row>
    <row r="834" spans="1:6" x14ac:dyDescent="0.25">
      <c r="A834">
        <v>832</v>
      </c>
      <c r="B834">
        <v>47</v>
      </c>
      <c r="C834">
        <v>2305</v>
      </c>
      <c r="D834" t="s">
        <v>3561</v>
      </c>
      <c r="E834">
        <v>1213</v>
      </c>
      <c r="F834">
        <v>924</v>
      </c>
    </row>
    <row r="835" spans="1:6" x14ac:dyDescent="0.25">
      <c r="A835">
        <v>833</v>
      </c>
      <c r="B835">
        <v>47</v>
      </c>
      <c r="C835">
        <v>2305</v>
      </c>
      <c r="D835" t="s">
        <v>3562</v>
      </c>
      <c r="E835">
        <v>1290</v>
      </c>
      <c r="F835">
        <v>936</v>
      </c>
    </row>
    <row r="836" spans="1:6" x14ac:dyDescent="0.25">
      <c r="A836">
        <v>834</v>
      </c>
      <c r="B836">
        <v>47</v>
      </c>
      <c r="C836">
        <v>2306</v>
      </c>
      <c r="D836" t="s">
        <v>3563</v>
      </c>
      <c r="E836">
        <v>1205</v>
      </c>
      <c r="F836">
        <v>864</v>
      </c>
    </row>
    <row r="837" spans="1:6" x14ac:dyDescent="0.25">
      <c r="A837">
        <v>835</v>
      </c>
      <c r="B837">
        <v>47</v>
      </c>
      <c r="C837">
        <v>2306</v>
      </c>
      <c r="D837" t="s">
        <v>3564</v>
      </c>
      <c r="E837">
        <v>1215</v>
      </c>
      <c r="F837">
        <v>845</v>
      </c>
    </row>
    <row r="838" spans="1:6" x14ac:dyDescent="0.25">
      <c r="A838">
        <v>836</v>
      </c>
      <c r="B838">
        <v>47</v>
      </c>
      <c r="C838">
        <v>2307</v>
      </c>
      <c r="D838" t="s">
        <v>3565</v>
      </c>
      <c r="E838">
        <v>1205</v>
      </c>
      <c r="F838">
        <v>889</v>
      </c>
    </row>
    <row r="839" spans="1:6" x14ac:dyDescent="0.25">
      <c r="A839">
        <v>837</v>
      </c>
      <c r="B839">
        <v>47</v>
      </c>
      <c r="C839">
        <v>2307</v>
      </c>
      <c r="D839" t="s">
        <v>3566</v>
      </c>
      <c r="E839">
        <v>1251</v>
      </c>
      <c r="F839">
        <v>911</v>
      </c>
    </row>
    <row r="840" spans="1:6" x14ac:dyDescent="0.25">
      <c r="A840">
        <v>838</v>
      </c>
      <c r="B840">
        <v>1000</v>
      </c>
      <c r="C840">
        <v>4002</v>
      </c>
      <c r="D840" t="s">
        <v>3567</v>
      </c>
      <c r="E840">
        <v>1090</v>
      </c>
      <c r="F840">
        <v>137</v>
      </c>
    </row>
    <row r="841" spans="1:6" x14ac:dyDescent="0.25">
      <c r="A841">
        <v>839</v>
      </c>
      <c r="B841">
        <v>1000</v>
      </c>
      <c r="C841">
        <v>4002</v>
      </c>
      <c r="D841" t="s">
        <v>3568</v>
      </c>
      <c r="E841">
        <v>1135</v>
      </c>
      <c r="F841">
        <v>145</v>
      </c>
    </row>
    <row r="842" spans="1:6" x14ac:dyDescent="0.25">
      <c r="A842">
        <v>840</v>
      </c>
      <c r="B842">
        <v>1000</v>
      </c>
      <c r="C842">
        <v>4002</v>
      </c>
      <c r="D842" t="s">
        <v>3569</v>
      </c>
      <c r="E842">
        <v>1178</v>
      </c>
      <c r="F842">
        <v>166</v>
      </c>
    </row>
    <row r="843" spans="1:6" x14ac:dyDescent="0.25">
      <c r="A843">
        <v>841</v>
      </c>
      <c r="B843">
        <v>1000</v>
      </c>
      <c r="C843">
        <v>4002</v>
      </c>
      <c r="D843" t="s">
        <v>3570</v>
      </c>
      <c r="E843">
        <v>1103</v>
      </c>
      <c r="F843">
        <v>186</v>
      </c>
    </row>
    <row r="844" spans="1:6" x14ac:dyDescent="0.25">
      <c r="A844">
        <v>842</v>
      </c>
      <c r="B844">
        <v>1000</v>
      </c>
      <c r="C844">
        <v>4005</v>
      </c>
      <c r="D844" t="s">
        <v>3571</v>
      </c>
      <c r="E844">
        <v>1143</v>
      </c>
      <c r="F844">
        <v>222</v>
      </c>
    </row>
    <row r="845" spans="1:6" x14ac:dyDescent="0.25">
      <c r="A845">
        <v>843</v>
      </c>
      <c r="B845">
        <v>1000</v>
      </c>
      <c r="C845">
        <v>4007</v>
      </c>
      <c r="D845" t="s">
        <v>3572</v>
      </c>
      <c r="E845">
        <v>1122</v>
      </c>
      <c r="F845">
        <v>207</v>
      </c>
    </row>
    <row r="846" spans="1:6" x14ac:dyDescent="0.25">
      <c r="A846">
        <v>844</v>
      </c>
      <c r="B846">
        <v>1000</v>
      </c>
      <c r="C846">
        <v>4004</v>
      </c>
      <c r="D846" t="s">
        <v>3573</v>
      </c>
      <c r="E846">
        <v>1099</v>
      </c>
      <c r="F846">
        <v>155</v>
      </c>
    </row>
    <row r="847" spans="1:6" x14ac:dyDescent="0.25">
      <c r="A847">
        <v>845</v>
      </c>
      <c r="B847">
        <v>1000</v>
      </c>
      <c r="C847">
        <v>4004</v>
      </c>
      <c r="D847" t="s">
        <v>3574</v>
      </c>
      <c r="E847">
        <v>1114</v>
      </c>
      <c r="F847">
        <v>188</v>
      </c>
    </row>
    <row r="848" spans="1:6" x14ac:dyDescent="0.25">
      <c r="A848">
        <v>846</v>
      </c>
      <c r="B848">
        <v>1000</v>
      </c>
      <c r="C848">
        <v>4004</v>
      </c>
      <c r="D848" t="s">
        <v>3575</v>
      </c>
      <c r="E848">
        <v>1152</v>
      </c>
      <c r="F848">
        <v>145</v>
      </c>
    </row>
    <row r="849" spans="1:6" x14ac:dyDescent="0.25">
      <c r="A849">
        <v>847</v>
      </c>
      <c r="B849">
        <v>1000</v>
      </c>
      <c r="C849">
        <v>4005</v>
      </c>
      <c r="D849" t="s">
        <v>3576</v>
      </c>
      <c r="E849">
        <v>1186</v>
      </c>
      <c r="F849">
        <v>204</v>
      </c>
    </row>
    <row r="850" spans="1:6" x14ac:dyDescent="0.25">
      <c r="A850">
        <v>848</v>
      </c>
      <c r="B850">
        <v>1000</v>
      </c>
      <c r="C850">
        <v>4005</v>
      </c>
      <c r="D850" t="s">
        <v>3577</v>
      </c>
      <c r="E850">
        <v>1117</v>
      </c>
      <c r="F850">
        <v>222</v>
      </c>
    </row>
    <row r="851" spans="1:6" x14ac:dyDescent="0.25">
      <c r="A851">
        <v>849</v>
      </c>
      <c r="B851">
        <v>1000</v>
      </c>
      <c r="C851">
        <v>4005</v>
      </c>
      <c r="D851" t="s">
        <v>3578</v>
      </c>
      <c r="E851">
        <v>1165</v>
      </c>
      <c r="F851">
        <v>225</v>
      </c>
    </row>
    <row r="852" spans="1:6" x14ac:dyDescent="0.25">
      <c r="A852">
        <v>850</v>
      </c>
      <c r="B852">
        <v>1000</v>
      </c>
      <c r="C852">
        <v>4009</v>
      </c>
      <c r="D852" t="s">
        <v>3579</v>
      </c>
      <c r="E852">
        <v>1090</v>
      </c>
      <c r="F852">
        <v>135</v>
      </c>
    </row>
    <row r="853" spans="1:6" x14ac:dyDescent="0.25">
      <c r="A853">
        <v>851</v>
      </c>
      <c r="B853">
        <v>1000</v>
      </c>
      <c r="C853">
        <v>4009</v>
      </c>
      <c r="D853" t="s">
        <v>3580</v>
      </c>
      <c r="E853">
        <v>1177</v>
      </c>
      <c r="F853">
        <v>199</v>
      </c>
    </row>
    <row r="854" spans="1:6" x14ac:dyDescent="0.25">
      <c r="A854">
        <v>852</v>
      </c>
      <c r="B854">
        <v>1000</v>
      </c>
      <c r="C854">
        <v>4009</v>
      </c>
      <c r="D854" t="s">
        <v>3581</v>
      </c>
      <c r="E854">
        <v>1144</v>
      </c>
      <c r="F854">
        <v>135</v>
      </c>
    </row>
    <row r="855" spans="1:6" x14ac:dyDescent="0.25">
      <c r="A855">
        <v>853</v>
      </c>
      <c r="B855">
        <v>1000</v>
      </c>
      <c r="C855">
        <v>4044</v>
      </c>
      <c r="D855" t="s">
        <v>3582</v>
      </c>
      <c r="E855">
        <v>1132</v>
      </c>
      <c r="F855">
        <v>225</v>
      </c>
    </row>
    <row r="856" spans="1:6" x14ac:dyDescent="0.25">
      <c r="A856">
        <v>854</v>
      </c>
      <c r="B856">
        <v>1000</v>
      </c>
      <c r="C856">
        <v>4044</v>
      </c>
      <c r="D856" t="s">
        <v>3583</v>
      </c>
      <c r="E856">
        <v>1111</v>
      </c>
      <c r="F856">
        <v>214</v>
      </c>
    </row>
    <row r="857" spans="1:6" x14ac:dyDescent="0.25">
      <c r="A857">
        <v>855</v>
      </c>
      <c r="B857">
        <v>1000</v>
      </c>
      <c r="C857">
        <v>4044</v>
      </c>
      <c r="D857" t="s">
        <v>3584</v>
      </c>
      <c r="E857">
        <v>1170</v>
      </c>
      <c r="F857">
        <v>205</v>
      </c>
    </row>
    <row r="858" spans="1:6" x14ac:dyDescent="0.25">
      <c r="A858">
        <v>856</v>
      </c>
      <c r="B858">
        <v>1000</v>
      </c>
      <c r="C858">
        <v>4045</v>
      </c>
      <c r="D858" t="s">
        <v>3585</v>
      </c>
      <c r="E858">
        <v>1095</v>
      </c>
      <c r="F858">
        <v>222</v>
      </c>
    </row>
    <row r="859" spans="1:6" x14ac:dyDescent="0.25">
      <c r="A859">
        <v>857</v>
      </c>
      <c r="B859">
        <v>1000</v>
      </c>
      <c r="C859">
        <v>4045</v>
      </c>
      <c r="D859" t="s">
        <v>3586</v>
      </c>
      <c r="E859">
        <v>1185</v>
      </c>
      <c r="F859">
        <v>144</v>
      </c>
    </row>
    <row r="860" spans="1:6" x14ac:dyDescent="0.25">
      <c r="A860">
        <v>858</v>
      </c>
      <c r="B860">
        <v>1000</v>
      </c>
      <c r="C860">
        <v>4011</v>
      </c>
      <c r="D860" t="s">
        <v>3587</v>
      </c>
      <c r="E860">
        <v>1145</v>
      </c>
      <c r="F860">
        <v>174</v>
      </c>
    </row>
    <row r="861" spans="1:6" x14ac:dyDescent="0.25">
      <c r="A861">
        <v>859</v>
      </c>
      <c r="B861">
        <v>1000</v>
      </c>
      <c r="C861">
        <v>4011</v>
      </c>
      <c r="D861" t="s">
        <v>3588</v>
      </c>
      <c r="E861">
        <v>1123</v>
      </c>
      <c r="F861">
        <v>199</v>
      </c>
    </row>
    <row r="862" spans="1:6" x14ac:dyDescent="0.25">
      <c r="A862">
        <v>860</v>
      </c>
      <c r="B862">
        <v>1000</v>
      </c>
      <c r="C862">
        <v>4011</v>
      </c>
      <c r="D862" t="s">
        <v>3589</v>
      </c>
      <c r="E862">
        <v>1173</v>
      </c>
      <c r="F862">
        <v>138</v>
      </c>
    </row>
    <row r="863" spans="1:6" x14ac:dyDescent="0.25">
      <c r="A863">
        <v>861</v>
      </c>
      <c r="B863">
        <v>1000</v>
      </c>
      <c r="C863">
        <v>4013</v>
      </c>
      <c r="D863" t="s">
        <v>3590</v>
      </c>
      <c r="E863">
        <v>1144</v>
      </c>
      <c r="F863">
        <v>166</v>
      </c>
    </row>
    <row r="864" spans="1:6" x14ac:dyDescent="0.25">
      <c r="A864">
        <v>862</v>
      </c>
      <c r="B864">
        <v>1000</v>
      </c>
      <c r="C864">
        <v>4013</v>
      </c>
      <c r="D864" t="s">
        <v>3591</v>
      </c>
      <c r="E864">
        <v>1099</v>
      </c>
      <c r="F864">
        <v>158</v>
      </c>
    </row>
    <row r="865" spans="1:6" x14ac:dyDescent="0.25">
      <c r="A865">
        <v>863</v>
      </c>
      <c r="B865">
        <v>1000</v>
      </c>
      <c r="C865">
        <v>4013</v>
      </c>
      <c r="D865" t="s">
        <v>3592</v>
      </c>
      <c r="E865">
        <v>1120</v>
      </c>
      <c r="F865">
        <v>186</v>
      </c>
    </row>
    <row r="866" spans="1:6" x14ac:dyDescent="0.25">
      <c r="A866">
        <v>864</v>
      </c>
      <c r="B866">
        <v>1000</v>
      </c>
      <c r="C866">
        <v>4002</v>
      </c>
      <c r="D866" t="s">
        <v>3593</v>
      </c>
      <c r="E866">
        <v>970</v>
      </c>
      <c r="F866">
        <v>135</v>
      </c>
    </row>
    <row r="867" spans="1:6" x14ac:dyDescent="0.25">
      <c r="A867">
        <v>865</v>
      </c>
      <c r="B867">
        <v>1000</v>
      </c>
      <c r="C867">
        <v>4002</v>
      </c>
      <c r="D867" t="s">
        <v>3594</v>
      </c>
      <c r="E867">
        <v>1040</v>
      </c>
      <c r="F867">
        <v>225</v>
      </c>
    </row>
    <row r="868" spans="1:6" x14ac:dyDescent="0.25">
      <c r="A868">
        <v>866</v>
      </c>
      <c r="B868">
        <v>1000</v>
      </c>
      <c r="C868">
        <v>4002</v>
      </c>
      <c r="D868" t="s">
        <v>3595</v>
      </c>
      <c r="E868">
        <v>998</v>
      </c>
      <c r="F868">
        <v>165</v>
      </c>
    </row>
    <row r="869" spans="1:6" x14ac:dyDescent="0.25">
      <c r="A869">
        <v>867</v>
      </c>
      <c r="B869">
        <v>1000</v>
      </c>
      <c r="C869">
        <v>4002</v>
      </c>
      <c r="D869" t="s">
        <v>3596</v>
      </c>
      <c r="E869">
        <v>1020</v>
      </c>
      <c r="F869">
        <v>186</v>
      </c>
    </row>
    <row r="870" spans="1:6" x14ac:dyDescent="0.25">
      <c r="A870">
        <v>868</v>
      </c>
      <c r="B870">
        <v>1000</v>
      </c>
      <c r="C870">
        <v>4005</v>
      </c>
      <c r="D870" t="s">
        <v>3597</v>
      </c>
      <c r="E870">
        <v>1046</v>
      </c>
      <c r="F870">
        <v>150</v>
      </c>
    </row>
    <row r="871" spans="1:6" x14ac:dyDescent="0.25">
      <c r="A871">
        <v>869</v>
      </c>
      <c r="B871">
        <v>1000</v>
      </c>
      <c r="C871">
        <v>4007</v>
      </c>
      <c r="D871" t="s">
        <v>3598</v>
      </c>
      <c r="E871">
        <v>1000</v>
      </c>
      <c r="F871">
        <v>180</v>
      </c>
    </row>
    <row r="872" spans="1:6" x14ac:dyDescent="0.25">
      <c r="A872">
        <v>870</v>
      </c>
      <c r="B872">
        <v>1000</v>
      </c>
      <c r="C872">
        <v>4004</v>
      </c>
      <c r="D872" t="s">
        <v>3599</v>
      </c>
      <c r="E872">
        <v>975</v>
      </c>
      <c r="F872">
        <v>195</v>
      </c>
    </row>
    <row r="873" spans="1:6" x14ac:dyDescent="0.25">
      <c r="A873">
        <v>871</v>
      </c>
      <c r="B873">
        <v>1000</v>
      </c>
      <c r="C873">
        <v>4004</v>
      </c>
      <c r="D873" t="s">
        <v>3600</v>
      </c>
      <c r="E873">
        <v>1070</v>
      </c>
      <c r="F873">
        <v>214</v>
      </c>
    </row>
    <row r="874" spans="1:6" x14ac:dyDescent="0.25">
      <c r="A874">
        <v>872</v>
      </c>
      <c r="B874">
        <v>1000</v>
      </c>
      <c r="C874">
        <v>4004</v>
      </c>
      <c r="D874" t="s">
        <v>3601</v>
      </c>
      <c r="E874">
        <v>1060</v>
      </c>
      <c r="F874">
        <v>200</v>
      </c>
    </row>
    <row r="875" spans="1:6" x14ac:dyDescent="0.25">
      <c r="A875">
        <v>873</v>
      </c>
      <c r="B875">
        <v>1000</v>
      </c>
      <c r="C875">
        <v>4005</v>
      </c>
      <c r="D875" t="s">
        <v>3602</v>
      </c>
      <c r="E875">
        <v>980</v>
      </c>
      <c r="F875">
        <v>210</v>
      </c>
    </row>
    <row r="876" spans="1:6" x14ac:dyDescent="0.25">
      <c r="A876">
        <v>874</v>
      </c>
      <c r="B876">
        <v>1000</v>
      </c>
      <c r="C876">
        <v>4005</v>
      </c>
      <c r="D876" t="s">
        <v>3603</v>
      </c>
      <c r="E876">
        <v>995</v>
      </c>
      <c r="F876">
        <v>180</v>
      </c>
    </row>
    <row r="877" spans="1:6" x14ac:dyDescent="0.25">
      <c r="A877">
        <v>875</v>
      </c>
      <c r="B877">
        <v>1000</v>
      </c>
      <c r="C877">
        <v>4005</v>
      </c>
      <c r="D877" t="s">
        <v>3604</v>
      </c>
      <c r="E877">
        <v>1030</v>
      </c>
      <c r="F877">
        <v>165</v>
      </c>
    </row>
    <row r="878" spans="1:6" x14ac:dyDescent="0.25">
      <c r="A878">
        <v>876</v>
      </c>
      <c r="B878">
        <v>1000</v>
      </c>
      <c r="C878">
        <v>4009</v>
      </c>
      <c r="D878" t="s">
        <v>3605</v>
      </c>
      <c r="E878">
        <v>1050</v>
      </c>
      <c r="F878">
        <v>140</v>
      </c>
    </row>
    <row r="879" spans="1:6" x14ac:dyDescent="0.25">
      <c r="A879">
        <v>877</v>
      </c>
      <c r="B879">
        <v>1000</v>
      </c>
      <c r="C879">
        <v>4009</v>
      </c>
      <c r="D879" t="s">
        <v>3606</v>
      </c>
      <c r="E879">
        <v>1045</v>
      </c>
      <c r="F879">
        <v>160</v>
      </c>
    </row>
    <row r="880" spans="1:6" x14ac:dyDescent="0.25">
      <c r="A880">
        <v>878</v>
      </c>
      <c r="B880">
        <v>1000</v>
      </c>
      <c r="C880">
        <v>4009</v>
      </c>
      <c r="D880" t="s">
        <v>3607</v>
      </c>
      <c r="E880">
        <v>1000</v>
      </c>
      <c r="F880">
        <v>190</v>
      </c>
    </row>
    <row r="881" spans="1:6" x14ac:dyDescent="0.25">
      <c r="A881">
        <v>879</v>
      </c>
      <c r="B881">
        <v>1000</v>
      </c>
      <c r="C881">
        <v>4044</v>
      </c>
      <c r="D881" t="s">
        <v>3608</v>
      </c>
      <c r="E881">
        <v>1005</v>
      </c>
      <c r="F881">
        <v>144</v>
      </c>
    </row>
    <row r="882" spans="1:6" x14ac:dyDescent="0.25">
      <c r="A882">
        <v>880</v>
      </c>
      <c r="B882">
        <v>1000</v>
      </c>
      <c r="C882">
        <v>4044</v>
      </c>
      <c r="D882" t="s">
        <v>3609</v>
      </c>
      <c r="E882">
        <v>1015</v>
      </c>
      <c r="F882">
        <v>230</v>
      </c>
    </row>
    <row r="883" spans="1:6" x14ac:dyDescent="0.25">
      <c r="A883">
        <v>881</v>
      </c>
      <c r="B883">
        <v>1000</v>
      </c>
      <c r="C883">
        <v>4044</v>
      </c>
      <c r="D883" t="s">
        <v>3610</v>
      </c>
      <c r="E883">
        <v>1070</v>
      </c>
      <c r="F883">
        <v>222</v>
      </c>
    </row>
    <row r="884" spans="1:6" x14ac:dyDescent="0.25">
      <c r="A884">
        <v>882</v>
      </c>
      <c r="B884">
        <v>1000</v>
      </c>
      <c r="C884">
        <v>4045</v>
      </c>
      <c r="D884" t="s">
        <v>3611</v>
      </c>
      <c r="E884">
        <v>1015</v>
      </c>
      <c r="F884">
        <v>213</v>
      </c>
    </row>
    <row r="885" spans="1:6" x14ac:dyDescent="0.25">
      <c r="A885">
        <v>883</v>
      </c>
      <c r="B885">
        <v>1000</v>
      </c>
      <c r="C885">
        <v>4045</v>
      </c>
      <c r="D885" t="s">
        <v>3612</v>
      </c>
      <c r="E885">
        <v>1055</v>
      </c>
      <c r="F885">
        <v>140</v>
      </c>
    </row>
    <row r="886" spans="1:6" x14ac:dyDescent="0.25">
      <c r="A886">
        <v>884</v>
      </c>
      <c r="B886">
        <v>1000</v>
      </c>
      <c r="C886">
        <v>4011</v>
      </c>
      <c r="D886" t="s">
        <v>3613</v>
      </c>
      <c r="E886">
        <v>1035</v>
      </c>
      <c r="F886">
        <v>155</v>
      </c>
    </row>
    <row r="887" spans="1:6" x14ac:dyDescent="0.25">
      <c r="A887">
        <v>885</v>
      </c>
      <c r="B887">
        <v>1000</v>
      </c>
      <c r="C887">
        <v>4011</v>
      </c>
      <c r="D887" t="s">
        <v>3614</v>
      </c>
      <c r="E887">
        <v>1012</v>
      </c>
      <c r="F887">
        <v>170</v>
      </c>
    </row>
    <row r="888" spans="1:6" x14ac:dyDescent="0.25">
      <c r="A888">
        <v>886</v>
      </c>
      <c r="B888">
        <v>1000</v>
      </c>
      <c r="C888">
        <v>4011</v>
      </c>
      <c r="D888" t="s">
        <v>3615</v>
      </c>
      <c r="E888">
        <v>1040</v>
      </c>
      <c r="F888">
        <v>143</v>
      </c>
    </row>
    <row r="889" spans="1:6" x14ac:dyDescent="0.25">
      <c r="A889">
        <v>887</v>
      </c>
      <c r="B889">
        <v>1000</v>
      </c>
      <c r="C889">
        <v>4013</v>
      </c>
      <c r="D889" t="s">
        <v>3616</v>
      </c>
      <c r="E889">
        <v>1065</v>
      </c>
      <c r="F889">
        <v>199</v>
      </c>
    </row>
    <row r="890" spans="1:6" x14ac:dyDescent="0.25">
      <c r="A890">
        <v>888</v>
      </c>
      <c r="B890">
        <v>1000</v>
      </c>
      <c r="C890">
        <v>4013</v>
      </c>
      <c r="D890" t="s">
        <v>3617</v>
      </c>
      <c r="E890">
        <v>999</v>
      </c>
      <c r="F890">
        <v>137</v>
      </c>
    </row>
    <row r="891" spans="1:6" x14ac:dyDescent="0.25">
      <c r="A891">
        <v>889</v>
      </c>
      <c r="B891">
        <v>1000</v>
      </c>
      <c r="C891">
        <v>4013</v>
      </c>
      <c r="D891" t="s">
        <v>3618</v>
      </c>
      <c r="E891">
        <v>975</v>
      </c>
      <c r="F891">
        <v>225</v>
      </c>
    </row>
    <row r="892" spans="1:6" x14ac:dyDescent="0.25">
      <c r="A892">
        <v>890</v>
      </c>
      <c r="B892">
        <v>1000</v>
      </c>
      <c r="C892">
        <v>4002</v>
      </c>
      <c r="D892" t="s">
        <v>3619</v>
      </c>
      <c r="E892">
        <v>850</v>
      </c>
      <c r="F892">
        <v>130</v>
      </c>
    </row>
    <row r="893" spans="1:6" x14ac:dyDescent="0.25">
      <c r="A893">
        <v>891</v>
      </c>
      <c r="B893">
        <v>1000</v>
      </c>
      <c r="C893">
        <v>4002</v>
      </c>
      <c r="D893" t="s">
        <v>3620</v>
      </c>
      <c r="E893">
        <v>856</v>
      </c>
      <c r="F893">
        <v>167</v>
      </c>
    </row>
    <row r="894" spans="1:6" x14ac:dyDescent="0.25">
      <c r="A894">
        <v>892</v>
      </c>
      <c r="B894">
        <v>1000</v>
      </c>
      <c r="C894">
        <v>4002</v>
      </c>
      <c r="D894" t="s">
        <v>3621</v>
      </c>
      <c r="E894">
        <v>903</v>
      </c>
      <c r="F894">
        <v>197</v>
      </c>
    </row>
    <row r="895" spans="1:6" x14ac:dyDescent="0.25">
      <c r="A895">
        <v>893</v>
      </c>
      <c r="B895">
        <v>1000</v>
      </c>
      <c r="C895">
        <v>4002</v>
      </c>
      <c r="D895" t="s">
        <v>3622</v>
      </c>
      <c r="E895">
        <v>880</v>
      </c>
      <c r="F895">
        <v>213</v>
      </c>
    </row>
    <row r="896" spans="1:6" x14ac:dyDescent="0.25">
      <c r="A896">
        <v>894</v>
      </c>
      <c r="B896">
        <v>1000</v>
      </c>
      <c r="C896">
        <v>4005</v>
      </c>
      <c r="D896" t="s">
        <v>3623</v>
      </c>
      <c r="E896">
        <v>895</v>
      </c>
      <c r="F896">
        <v>230</v>
      </c>
    </row>
    <row r="897" spans="1:6" x14ac:dyDescent="0.25">
      <c r="A897">
        <v>895</v>
      </c>
      <c r="B897">
        <v>1000</v>
      </c>
      <c r="C897">
        <v>4007</v>
      </c>
      <c r="D897" t="s">
        <v>3624</v>
      </c>
      <c r="E897">
        <v>866</v>
      </c>
      <c r="F897">
        <v>178</v>
      </c>
    </row>
    <row r="898" spans="1:6" x14ac:dyDescent="0.25">
      <c r="A898">
        <v>896</v>
      </c>
      <c r="B898">
        <v>1000</v>
      </c>
      <c r="C898">
        <v>4004</v>
      </c>
      <c r="D898" t="s">
        <v>3625</v>
      </c>
      <c r="E898">
        <v>889</v>
      </c>
      <c r="F898">
        <v>148</v>
      </c>
    </row>
    <row r="899" spans="1:6" x14ac:dyDescent="0.25">
      <c r="A899">
        <v>897</v>
      </c>
      <c r="B899">
        <v>1000</v>
      </c>
      <c r="C899">
        <v>4004</v>
      </c>
      <c r="D899" t="s">
        <v>3626</v>
      </c>
      <c r="E899">
        <v>945</v>
      </c>
      <c r="F899">
        <v>190</v>
      </c>
    </row>
    <row r="900" spans="1:6" x14ac:dyDescent="0.25">
      <c r="A900">
        <v>898</v>
      </c>
      <c r="B900">
        <v>1000</v>
      </c>
      <c r="C900">
        <v>4004</v>
      </c>
      <c r="D900" t="s">
        <v>3627</v>
      </c>
      <c r="E900">
        <v>932</v>
      </c>
      <c r="F900">
        <v>220</v>
      </c>
    </row>
    <row r="901" spans="1:6" x14ac:dyDescent="0.25">
      <c r="A901">
        <v>899</v>
      </c>
      <c r="B901">
        <v>1000</v>
      </c>
      <c r="C901">
        <v>4005</v>
      </c>
      <c r="D901" t="s">
        <v>3628</v>
      </c>
      <c r="E901">
        <v>906</v>
      </c>
      <c r="F901">
        <v>226</v>
      </c>
    </row>
    <row r="902" spans="1:6" x14ac:dyDescent="0.25">
      <c r="A902">
        <v>900</v>
      </c>
      <c r="B902">
        <v>1000</v>
      </c>
      <c r="C902">
        <v>4005</v>
      </c>
      <c r="D902" t="s">
        <v>3629</v>
      </c>
      <c r="E902">
        <v>890</v>
      </c>
      <c r="F902">
        <v>144</v>
      </c>
    </row>
    <row r="903" spans="1:6" x14ac:dyDescent="0.25">
      <c r="A903">
        <v>901</v>
      </c>
      <c r="B903">
        <v>1000</v>
      </c>
      <c r="C903">
        <v>4005</v>
      </c>
      <c r="D903" t="s">
        <v>3630</v>
      </c>
      <c r="E903">
        <v>855</v>
      </c>
      <c r="F903">
        <v>199</v>
      </c>
    </row>
    <row r="904" spans="1:6" x14ac:dyDescent="0.25">
      <c r="A904">
        <v>902</v>
      </c>
      <c r="B904">
        <v>1000</v>
      </c>
      <c r="C904">
        <v>4009</v>
      </c>
      <c r="D904" t="s">
        <v>3631</v>
      </c>
      <c r="E904">
        <v>867</v>
      </c>
      <c r="F904">
        <v>230</v>
      </c>
    </row>
    <row r="905" spans="1:6" x14ac:dyDescent="0.25">
      <c r="A905">
        <v>903</v>
      </c>
      <c r="B905">
        <v>1000</v>
      </c>
      <c r="C905">
        <v>4009</v>
      </c>
      <c r="D905" t="s">
        <v>3632</v>
      </c>
      <c r="E905">
        <v>889</v>
      </c>
      <c r="F905">
        <v>212</v>
      </c>
    </row>
    <row r="906" spans="1:6" x14ac:dyDescent="0.25">
      <c r="A906">
        <v>904</v>
      </c>
      <c r="B906">
        <v>1000</v>
      </c>
      <c r="C906">
        <v>4009</v>
      </c>
      <c r="D906" t="s">
        <v>3633</v>
      </c>
      <c r="E906">
        <v>912</v>
      </c>
      <c r="F906">
        <v>130</v>
      </c>
    </row>
    <row r="907" spans="1:6" x14ac:dyDescent="0.25">
      <c r="A907">
        <v>905</v>
      </c>
      <c r="B907">
        <v>1000</v>
      </c>
      <c r="C907">
        <v>4044</v>
      </c>
      <c r="D907" t="s">
        <v>3634</v>
      </c>
      <c r="E907">
        <v>920</v>
      </c>
      <c r="F907">
        <v>177</v>
      </c>
    </row>
    <row r="908" spans="1:6" x14ac:dyDescent="0.25">
      <c r="A908">
        <v>906</v>
      </c>
      <c r="B908">
        <v>1000</v>
      </c>
      <c r="C908">
        <v>4044</v>
      </c>
      <c r="D908" t="s">
        <v>3635</v>
      </c>
      <c r="E908">
        <v>930</v>
      </c>
      <c r="F908">
        <v>199</v>
      </c>
    </row>
    <row r="909" spans="1:6" x14ac:dyDescent="0.25">
      <c r="A909">
        <v>907</v>
      </c>
      <c r="B909">
        <v>1000</v>
      </c>
      <c r="C909">
        <v>4044</v>
      </c>
      <c r="D909" t="s">
        <v>3636</v>
      </c>
      <c r="E909">
        <v>870</v>
      </c>
      <c r="F909">
        <v>227</v>
      </c>
    </row>
    <row r="910" spans="1:6" x14ac:dyDescent="0.25">
      <c r="A910">
        <v>908</v>
      </c>
      <c r="B910">
        <v>1000</v>
      </c>
      <c r="C910">
        <v>4045</v>
      </c>
      <c r="D910" t="s">
        <v>3637</v>
      </c>
      <c r="E910">
        <v>880</v>
      </c>
      <c r="F910">
        <v>216</v>
      </c>
    </row>
    <row r="911" spans="1:6" x14ac:dyDescent="0.25">
      <c r="A911">
        <v>909</v>
      </c>
      <c r="B911">
        <v>1000</v>
      </c>
      <c r="C911">
        <v>4045</v>
      </c>
      <c r="D911" t="s">
        <v>3638</v>
      </c>
      <c r="E911">
        <v>945</v>
      </c>
      <c r="F911">
        <v>166</v>
      </c>
    </row>
    <row r="912" spans="1:6" x14ac:dyDescent="0.25">
      <c r="A912">
        <v>910</v>
      </c>
      <c r="B912">
        <v>1000</v>
      </c>
      <c r="C912">
        <v>4011</v>
      </c>
      <c r="D912" t="s">
        <v>3639</v>
      </c>
      <c r="E912">
        <v>855</v>
      </c>
      <c r="F912">
        <v>172</v>
      </c>
    </row>
    <row r="913" spans="1:6" x14ac:dyDescent="0.25">
      <c r="A913">
        <v>911</v>
      </c>
      <c r="B913">
        <v>1000</v>
      </c>
      <c r="C913">
        <v>4011</v>
      </c>
      <c r="D913" t="s">
        <v>3640</v>
      </c>
      <c r="E913">
        <v>867</v>
      </c>
      <c r="F913">
        <v>193</v>
      </c>
    </row>
    <row r="914" spans="1:6" x14ac:dyDescent="0.25">
      <c r="A914">
        <v>912</v>
      </c>
      <c r="B914">
        <v>1000</v>
      </c>
      <c r="C914">
        <v>4011</v>
      </c>
      <c r="D914" t="s">
        <v>3641</v>
      </c>
      <c r="E914">
        <v>890</v>
      </c>
      <c r="F914">
        <v>132</v>
      </c>
    </row>
    <row r="915" spans="1:6" x14ac:dyDescent="0.25">
      <c r="A915">
        <v>913</v>
      </c>
      <c r="B915">
        <v>1000</v>
      </c>
      <c r="C915">
        <v>4013</v>
      </c>
      <c r="D915" t="s">
        <v>3642</v>
      </c>
      <c r="E915">
        <v>900</v>
      </c>
      <c r="F915">
        <v>201</v>
      </c>
    </row>
    <row r="916" spans="1:6" x14ac:dyDescent="0.25">
      <c r="A916">
        <v>914</v>
      </c>
      <c r="B916">
        <v>1000</v>
      </c>
      <c r="C916">
        <v>4013</v>
      </c>
      <c r="D916" t="s">
        <v>3643</v>
      </c>
      <c r="E916">
        <v>910</v>
      </c>
      <c r="F916">
        <v>214</v>
      </c>
    </row>
    <row r="917" spans="1:6" x14ac:dyDescent="0.25">
      <c r="A917">
        <v>915</v>
      </c>
      <c r="B917">
        <v>1000</v>
      </c>
      <c r="C917">
        <v>4013</v>
      </c>
      <c r="D917" t="s">
        <v>3644</v>
      </c>
      <c r="E917">
        <v>930</v>
      </c>
      <c r="F917">
        <v>135</v>
      </c>
    </row>
    <row r="918" spans="1:6" x14ac:dyDescent="0.25">
      <c r="A918">
        <v>916</v>
      </c>
      <c r="B918">
        <v>1000</v>
      </c>
      <c r="C918">
        <v>4002</v>
      </c>
      <c r="D918" t="s">
        <v>3645</v>
      </c>
      <c r="E918">
        <v>825</v>
      </c>
      <c r="F918">
        <v>145</v>
      </c>
    </row>
    <row r="919" spans="1:6" x14ac:dyDescent="0.25">
      <c r="A919">
        <v>917</v>
      </c>
      <c r="B919">
        <v>1000</v>
      </c>
      <c r="C919">
        <v>4002</v>
      </c>
      <c r="D919" t="s">
        <v>3646</v>
      </c>
      <c r="E919">
        <v>735</v>
      </c>
      <c r="F919">
        <v>165</v>
      </c>
    </row>
    <row r="920" spans="1:6" x14ac:dyDescent="0.25">
      <c r="A920">
        <v>918</v>
      </c>
      <c r="B920">
        <v>1000</v>
      </c>
      <c r="C920">
        <v>4002</v>
      </c>
      <c r="D920" t="s">
        <v>3647</v>
      </c>
      <c r="E920">
        <v>750</v>
      </c>
      <c r="F920">
        <v>189</v>
      </c>
    </row>
    <row r="921" spans="1:6" x14ac:dyDescent="0.25">
      <c r="A921">
        <v>919</v>
      </c>
      <c r="B921">
        <v>1000</v>
      </c>
      <c r="C921">
        <v>4002</v>
      </c>
      <c r="D921" t="s">
        <v>3648</v>
      </c>
      <c r="E921">
        <v>766</v>
      </c>
      <c r="F921">
        <v>215</v>
      </c>
    </row>
    <row r="922" spans="1:6" x14ac:dyDescent="0.25">
      <c r="A922">
        <v>920</v>
      </c>
      <c r="B922">
        <v>1000</v>
      </c>
      <c r="C922">
        <v>4005</v>
      </c>
      <c r="D922" t="s">
        <v>3649</v>
      </c>
      <c r="E922">
        <v>780</v>
      </c>
      <c r="F922">
        <v>135</v>
      </c>
    </row>
    <row r="923" spans="1:6" x14ac:dyDescent="0.25">
      <c r="A923">
        <v>921</v>
      </c>
      <c r="B923">
        <v>1000</v>
      </c>
      <c r="C923">
        <v>4007</v>
      </c>
      <c r="D923" t="s">
        <v>3650</v>
      </c>
      <c r="E923">
        <v>799</v>
      </c>
      <c r="F923">
        <v>167</v>
      </c>
    </row>
    <row r="924" spans="1:6" x14ac:dyDescent="0.25">
      <c r="A924">
        <v>922</v>
      </c>
      <c r="B924">
        <v>1000</v>
      </c>
      <c r="C924">
        <v>4004</v>
      </c>
      <c r="D924" t="s">
        <v>3651</v>
      </c>
      <c r="E924">
        <v>812</v>
      </c>
      <c r="F924">
        <v>173</v>
      </c>
    </row>
    <row r="925" spans="1:6" x14ac:dyDescent="0.25">
      <c r="A925">
        <v>923</v>
      </c>
      <c r="B925">
        <v>1000</v>
      </c>
      <c r="C925">
        <v>4004</v>
      </c>
      <c r="D925" t="s">
        <v>3652</v>
      </c>
      <c r="E925">
        <v>822</v>
      </c>
      <c r="F925">
        <v>198</v>
      </c>
    </row>
    <row r="926" spans="1:6" x14ac:dyDescent="0.25">
      <c r="A926">
        <v>924</v>
      </c>
      <c r="B926">
        <v>1000</v>
      </c>
      <c r="C926">
        <v>4004</v>
      </c>
      <c r="D926" t="s">
        <v>3653</v>
      </c>
      <c r="E926">
        <v>755</v>
      </c>
      <c r="F926">
        <v>202</v>
      </c>
    </row>
    <row r="927" spans="1:6" x14ac:dyDescent="0.25">
      <c r="A927">
        <v>925</v>
      </c>
      <c r="B927">
        <v>1000</v>
      </c>
      <c r="C927">
        <v>4005</v>
      </c>
      <c r="D927" t="s">
        <v>3654</v>
      </c>
      <c r="E927">
        <v>733</v>
      </c>
      <c r="F927">
        <v>145</v>
      </c>
    </row>
    <row r="928" spans="1:6" x14ac:dyDescent="0.25">
      <c r="A928">
        <v>926</v>
      </c>
      <c r="B928">
        <v>1000</v>
      </c>
      <c r="C928">
        <v>4005</v>
      </c>
      <c r="D928" t="s">
        <v>3655</v>
      </c>
      <c r="E928">
        <v>790</v>
      </c>
      <c r="F928">
        <v>177</v>
      </c>
    </row>
    <row r="929" spans="1:6" x14ac:dyDescent="0.25">
      <c r="A929">
        <v>927</v>
      </c>
      <c r="B929">
        <v>1000</v>
      </c>
      <c r="C929">
        <v>4005</v>
      </c>
      <c r="D929" t="s">
        <v>3656</v>
      </c>
      <c r="E929">
        <v>822</v>
      </c>
      <c r="F929">
        <v>188</v>
      </c>
    </row>
    <row r="930" spans="1:6" x14ac:dyDescent="0.25">
      <c r="A930">
        <v>928</v>
      </c>
      <c r="B930">
        <v>1000</v>
      </c>
      <c r="C930">
        <v>4009</v>
      </c>
      <c r="D930" t="s">
        <v>3657</v>
      </c>
      <c r="E930">
        <v>817</v>
      </c>
      <c r="F930">
        <v>155</v>
      </c>
    </row>
    <row r="931" spans="1:6" x14ac:dyDescent="0.25">
      <c r="A931">
        <v>929</v>
      </c>
      <c r="B931">
        <v>1000</v>
      </c>
      <c r="C931">
        <v>4009</v>
      </c>
      <c r="D931" t="s">
        <v>3658</v>
      </c>
      <c r="E931">
        <v>748</v>
      </c>
      <c r="F931">
        <v>199</v>
      </c>
    </row>
    <row r="932" spans="1:6" x14ac:dyDescent="0.25">
      <c r="A932">
        <v>930</v>
      </c>
      <c r="B932">
        <v>1000</v>
      </c>
      <c r="C932">
        <v>4009</v>
      </c>
      <c r="D932" t="s">
        <v>3659</v>
      </c>
      <c r="E932">
        <v>787</v>
      </c>
      <c r="F932">
        <v>222</v>
      </c>
    </row>
    <row r="933" spans="1:6" x14ac:dyDescent="0.25">
      <c r="A933">
        <v>931</v>
      </c>
      <c r="B933">
        <v>1000</v>
      </c>
      <c r="C933">
        <v>4044</v>
      </c>
      <c r="D933" t="s">
        <v>3660</v>
      </c>
      <c r="E933">
        <v>755</v>
      </c>
      <c r="F933">
        <v>212</v>
      </c>
    </row>
    <row r="934" spans="1:6" x14ac:dyDescent="0.25">
      <c r="A934">
        <v>932</v>
      </c>
      <c r="B934">
        <v>1000</v>
      </c>
      <c r="C934">
        <v>4044</v>
      </c>
      <c r="D934" t="s">
        <v>3661</v>
      </c>
      <c r="E934">
        <v>733</v>
      </c>
      <c r="F934">
        <v>188</v>
      </c>
    </row>
    <row r="935" spans="1:6" x14ac:dyDescent="0.25">
      <c r="A935">
        <v>933</v>
      </c>
      <c r="B935">
        <v>1000</v>
      </c>
      <c r="C935">
        <v>4044</v>
      </c>
      <c r="D935" t="s">
        <v>3662</v>
      </c>
      <c r="E935">
        <v>766</v>
      </c>
      <c r="F935">
        <v>153</v>
      </c>
    </row>
    <row r="936" spans="1:6" x14ac:dyDescent="0.25">
      <c r="A936">
        <v>934</v>
      </c>
      <c r="B936">
        <v>1000</v>
      </c>
      <c r="C936">
        <v>4045</v>
      </c>
      <c r="D936" t="s">
        <v>3663</v>
      </c>
      <c r="E936">
        <v>810</v>
      </c>
      <c r="F936">
        <v>183</v>
      </c>
    </row>
    <row r="937" spans="1:6" x14ac:dyDescent="0.25">
      <c r="A937">
        <v>935</v>
      </c>
      <c r="B937">
        <v>1000</v>
      </c>
      <c r="C937">
        <v>4045</v>
      </c>
      <c r="D937" t="s">
        <v>3664</v>
      </c>
      <c r="E937">
        <v>830</v>
      </c>
      <c r="F937">
        <v>132</v>
      </c>
    </row>
    <row r="938" spans="1:6" x14ac:dyDescent="0.25">
      <c r="A938">
        <v>936</v>
      </c>
      <c r="B938">
        <v>1000</v>
      </c>
      <c r="C938">
        <v>4011</v>
      </c>
      <c r="D938" t="s">
        <v>3665</v>
      </c>
      <c r="E938">
        <v>822</v>
      </c>
      <c r="F938">
        <v>165</v>
      </c>
    </row>
    <row r="939" spans="1:6" x14ac:dyDescent="0.25">
      <c r="A939">
        <v>937</v>
      </c>
      <c r="B939">
        <v>1000</v>
      </c>
      <c r="C939">
        <v>4011</v>
      </c>
      <c r="D939" t="s">
        <v>3666</v>
      </c>
      <c r="E939">
        <v>766</v>
      </c>
      <c r="F939">
        <v>143</v>
      </c>
    </row>
    <row r="940" spans="1:6" x14ac:dyDescent="0.25">
      <c r="A940">
        <v>938</v>
      </c>
      <c r="B940">
        <v>1000</v>
      </c>
      <c r="C940">
        <v>4011</v>
      </c>
      <c r="D940" t="s">
        <v>3667</v>
      </c>
      <c r="E940">
        <v>734</v>
      </c>
      <c r="F940">
        <v>213</v>
      </c>
    </row>
    <row r="941" spans="1:6" x14ac:dyDescent="0.25">
      <c r="A941">
        <v>939</v>
      </c>
      <c r="B941">
        <v>1000</v>
      </c>
      <c r="C941">
        <v>4013</v>
      </c>
      <c r="D941" t="s">
        <v>3668</v>
      </c>
      <c r="E941">
        <v>784</v>
      </c>
      <c r="F941">
        <v>230</v>
      </c>
    </row>
    <row r="942" spans="1:6" x14ac:dyDescent="0.25">
      <c r="A942">
        <v>940</v>
      </c>
      <c r="B942">
        <v>1000</v>
      </c>
      <c r="C942">
        <v>4013</v>
      </c>
      <c r="D942" t="s">
        <v>3669</v>
      </c>
      <c r="E942">
        <v>777</v>
      </c>
      <c r="F942">
        <v>158</v>
      </c>
    </row>
    <row r="943" spans="1:6" x14ac:dyDescent="0.25">
      <c r="A943">
        <v>941</v>
      </c>
      <c r="B943">
        <v>1000</v>
      </c>
      <c r="C943">
        <v>4013</v>
      </c>
      <c r="D943" t="s">
        <v>3670</v>
      </c>
      <c r="E943">
        <v>738</v>
      </c>
      <c r="F943">
        <v>225</v>
      </c>
    </row>
    <row r="944" spans="1:6" x14ac:dyDescent="0.25">
      <c r="A944">
        <v>942</v>
      </c>
      <c r="B944">
        <v>1000</v>
      </c>
      <c r="C944">
        <v>4002</v>
      </c>
      <c r="D944" t="s">
        <v>3671</v>
      </c>
      <c r="E944">
        <v>710</v>
      </c>
      <c r="F944">
        <v>145</v>
      </c>
    </row>
    <row r="945" spans="1:6" x14ac:dyDescent="0.25">
      <c r="A945">
        <v>943</v>
      </c>
      <c r="B945">
        <v>1000</v>
      </c>
      <c r="C945">
        <v>4002</v>
      </c>
      <c r="D945" t="s">
        <v>3672</v>
      </c>
      <c r="E945">
        <v>610</v>
      </c>
      <c r="F945">
        <v>156</v>
      </c>
    </row>
    <row r="946" spans="1:6" x14ac:dyDescent="0.25">
      <c r="A946">
        <v>944</v>
      </c>
      <c r="B946">
        <v>1000</v>
      </c>
      <c r="C946">
        <v>4002</v>
      </c>
      <c r="D946" t="s">
        <v>3673</v>
      </c>
      <c r="E946">
        <v>634</v>
      </c>
      <c r="F946">
        <v>168</v>
      </c>
    </row>
    <row r="947" spans="1:6" x14ac:dyDescent="0.25">
      <c r="A947">
        <v>945</v>
      </c>
      <c r="B947">
        <v>1000</v>
      </c>
      <c r="C947">
        <v>4002</v>
      </c>
      <c r="D947" t="s">
        <v>3674</v>
      </c>
      <c r="E947">
        <v>622</v>
      </c>
      <c r="F947">
        <v>178</v>
      </c>
    </row>
    <row r="948" spans="1:6" x14ac:dyDescent="0.25">
      <c r="A948">
        <v>946</v>
      </c>
      <c r="B948">
        <v>1000</v>
      </c>
      <c r="C948">
        <v>4005</v>
      </c>
      <c r="D948" t="s">
        <v>3675</v>
      </c>
      <c r="E948">
        <v>649</v>
      </c>
      <c r="F948">
        <v>204</v>
      </c>
    </row>
    <row r="949" spans="1:6" x14ac:dyDescent="0.25">
      <c r="A949">
        <v>947</v>
      </c>
      <c r="B949">
        <v>1000</v>
      </c>
      <c r="C949">
        <v>4007</v>
      </c>
      <c r="D949" t="s">
        <v>3676</v>
      </c>
      <c r="E949">
        <v>680</v>
      </c>
      <c r="F949">
        <v>214</v>
      </c>
    </row>
    <row r="950" spans="1:6" x14ac:dyDescent="0.25">
      <c r="A950">
        <v>948</v>
      </c>
      <c r="B950">
        <v>1000</v>
      </c>
      <c r="C950">
        <v>4004</v>
      </c>
      <c r="D950" t="s">
        <v>3677</v>
      </c>
      <c r="E950">
        <v>698</v>
      </c>
      <c r="F950">
        <v>143</v>
      </c>
    </row>
    <row r="951" spans="1:6" x14ac:dyDescent="0.25">
      <c r="A951">
        <v>949</v>
      </c>
      <c r="B951">
        <v>1000</v>
      </c>
      <c r="C951">
        <v>4004</v>
      </c>
      <c r="D951" t="s">
        <v>3678</v>
      </c>
      <c r="E951">
        <v>703</v>
      </c>
      <c r="F951">
        <v>167</v>
      </c>
    </row>
    <row r="952" spans="1:6" x14ac:dyDescent="0.25">
      <c r="A952">
        <v>950</v>
      </c>
      <c r="B952">
        <v>1000</v>
      </c>
      <c r="C952">
        <v>4004</v>
      </c>
      <c r="D952" t="s">
        <v>3679</v>
      </c>
      <c r="E952">
        <v>706</v>
      </c>
      <c r="F952">
        <v>188</v>
      </c>
    </row>
    <row r="953" spans="1:6" x14ac:dyDescent="0.25">
      <c r="A953">
        <v>951</v>
      </c>
      <c r="B953">
        <v>1000</v>
      </c>
      <c r="C953">
        <v>4005</v>
      </c>
      <c r="D953" t="s">
        <v>3680</v>
      </c>
      <c r="E953">
        <v>613</v>
      </c>
      <c r="F953">
        <v>199</v>
      </c>
    </row>
    <row r="954" spans="1:6" x14ac:dyDescent="0.25">
      <c r="A954">
        <v>952</v>
      </c>
      <c r="B954">
        <v>1000</v>
      </c>
      <c r="C954">
        <v>4005</v>
      </c>
      <c r="D954" t="s">
        <v>3681</v>
      </c>
      <c r="E954">
        <v>627</v>
      </c>
      <c r="F954">
        <v>133</v>
      </c>
    </row>
    <row r="955" spans="1:6" x14ac:dyDescent="0.25">
      <c r="A955">
        <v>953</v>
      </c>
      <c r="B955">
        <v>1000</v>
      </c>
      <c r="C955">
        <v>4005</v>
      </c>
      <c r="D955" t="s">
        <v>3682</v>
      </c>
      <c r="E955">
        <v>638</v>
      </c>
      <c r="F955">
        <v>156</v>
      </c>
    </row>
    <row r="956" spans="1:6" x14ac:dyDescent="0.25">
      <c r="A956">
        <v>954</v>
      </c>
      <c r="B956">
        <v>1000</v>
      </c>
      <c r="C956">
        <v>4009</v>
      </c>
      <c r="D956" t="s">
        <v>3683</v>
      </c>
      <c r="E956">
        <v>687</v>
      </c>
      <c r="F956">
        <v>149</v>
      </c>
    </row>
    <row r="957" spans="1:6" x14ac:dyDescent="0.25">
      <c r="A957">
        <v>955</v>
      </c>
      <c r="B957">
        <v>1000</v>
      </c>
      <c r="C957">
        <v>4009</v>
      </c>
      <c r="D957" t="s">
        <v>3684</v>
      </c>
      <c r="E957">
        <v>699</v>
      </c>
      <c r="F957">
        <v>216</v>
      </c>
    </row>
    <row r="958" spans="1:6" x14ac:dyDescent="0.25">
      <c r="A958">
        <v>956</v>
      </c>
      <c r="B958">
        <v>1000</v>
      </c>
      <c r="C958">
        <v>4009</v>
      </c>
      <c r="D958" t="s">
        <v>3685</v>
      </c>
      <c r="E958">
        <v>605</v>
      </c>
      <c r="F958">
        <v>225</v>
      </c>
    </row>
    <row r="959" spans="1:6" x14ac:dyDescent="0.25">
      <c r="A959">
        <v>957</v>
      </c>
      <c r="B959">
        <v>1000</v>
      </c>
      <c r="C959">
        <v>4044</v>
      </c>
      <c r="D959" t="s">
        <v>3686</v>
      </c>
      <c r="E959">
        <v>666</v>
      </c>
      <c r="F959">
        <v>225</v>
      </c>
    </row>
    <row r="960" spans="1:6" x14ac:dyDescent="0.25">
      <c r="A960">
        <v>958</v>
      </c>
      <c r="B960">
        <v>1000</v>
      </c>
      <c r="C960">
        <v>4044</v>
      </c>
      <c r="D960" t="s">
        <v>3687</v>
      </c>
      <c r="E960">
        <v>689</v>
      </c>
      <c r="F960">
        <v>207</v>
      </c>
    </row>
    <row r="961" spans="1:6" x14ac:dyDescent="0.25">
      <c r="A961">
        <v>959</v>
      </c>
      <c r="B961">
        <v>1000</v>
      </c>
      <c r="C961">
        <v>4044</v>
      </c>
      <c r="D961" t="s">
        <v>3688</v>
      </c>
      <c r="E961">
        <v>710</v>
      </c>
      <c r="F961">
        <v>188</v>
      </c>
    </row>
    <row r="962" spans="1:6" x14ac:dyDescent="0.25">
      <c r="A962">
        <v>960</v>
      </c>
      <c r="B962">
        <v>1000</v>
      </c>
      <c r="C962">
        <v>4045</v>
      </c>
      <c r="D962" t="s">
        <v>3689</v>
      </c>
      <c r="E962">
        <v>705</v>
      </c>
      <c r="F962">
        <v>156</v>
      </c>
    </row>
    <row r="963" spans="1:6" x14ac:dyDescent="0.25">
      <c r="A963">
        <v>961</v>
      </c>
      <c r="B963">
        <v>1000</v>
      </c>
      <c r="C963">
        <v>4045</v>
      </c>
      <c r="D963" t="s">
        <v>3690</v>
      </c>
      <c r="E963">
        <v>703</v>
      </c>
      <c r="F963">
        <v>135</v>
      </c>
    </row>
    <row r="964" spans="1:6" x14ac:dyDescent="0.25">
      <c r="A964">
        <v>962</v>
      </c>
      <c r="B964">
        <v>1000</v>
      </c>
      <c r="C964">
        <v>4011</v>
      </c>
      <c r="D964" t="s">
        <v>3691</v>
      </c>
      <c r="E964">
        <v>610</v>
      </c>
      <c r="F964">
        <v>175</v>
      </c>
    </row>
    <row r="965" spans="1:6" x14ac:dyDescent="0.25">
      <c r="A965">
        <v>963</v>
      </c>
      <c r="B965">
        <v>1000</v>
      </c>
      <c r="C965">
        <v>4011</v>
      </c>
      <c r="D965" t="s">
        <v>3692</v>
      </c>
      <c r="E965">
        <v>625</v>
      </c>
      <c r="F965">
        <v>188</v>
      </c>
    </row>
    <row r="966" spans="1:6" x14ac:dyDescent="0.25">
      <c r="A966">
        <v>964</v>
      </c>
      <c r="B966">
        <v>1000</v>
      </c>
      <c r="C966">
        <v>4011</v>
      </c>
      <c r="D966" t="s">
        <v>3693</v>
      </c>
      <c r="E966">
        <v>676</v>
      </c>
      <c r="F966">
        <v>194</v>
      </c>
    </row>
    <row r="967" spans="1:6" x14ac:dyDescent="0.25">
      <c r="A967">
        <v>965</v>
      </c>
      <c r="B967">
        <v>1000</v>
      </c>
      <c r="C967">
        <v>4013</v>
      </c>
      <c r="D967" t="s">
        <v>3694</v>
      </c>
      <c r="E967">
        <v>700</v>
      </c>
      <c r="F967">
        <v>205</v>
      </c>
    </row>
    <row r="968" spans="1:6" x14ac:dyDescent="0.25">
      <c r="A968">
        <v>966</v>
      </c>
      <c r="B968">
        <v>1000</v>
      </c>
      <c r="C968">
        <v>4013</v>
      </c>
      <c r="D968" t="s">
        <v>3695</v>
      </c>
      <c r="E968">
        <v>645</v>
      </c>
      <c r="F968">
        <v>154</v>
      </c>
    </row>
    <row r="969" spans="1:6" x14ac:dyDescent="0.25">
      <c r="A969">
        <v>967</v>
      </c>
      <c r="B969">
        <v>1000</v>
      </c>
      <c r="C969">
        <v>4013</v>
      </c>
      <c r="D969" t="s">
        <v>3696</v>
      </c>
      <c r="E969">
        <v>633</v>
      </c>
      <c r="F969">
        <v>187</v>
      </c>
    </row>
    <row r="970" spans="1:6" x14ac:dyDescent="0.25">
      <c r="A970">
        <v>968</v>
      </c>
      <c r="B970">
        <v>1000</v>
      </c>
      <c r="C970">
        <v>4002</v>
      </c>
      <c r="D970" t="s">
        <v>3697</v>
      </c>
      <c r="E970">
        <v>582</v>
      </c>
      <c r="F970">
        <v>225</v>
      </c>
    </row>
    <row r="971" spans="1:6" x14ac:dyDescent="0.25">
      <c r="A971">
        <v>969</v>
      </c>
      <c r="B971">
        <v>1000</v>
      </c>
      <c r="C971">
        <v>4002</v>
      </c>
      <c r="D971" t="s">
        <v>3698</v>
      </c>
      <c r="E971">
        <v>590</v>
      </c>
      <c r="F971">
        <v>145</v>
      </c>
    </row>
    <row r="972" spans="1:6" x14ac:dyDescent="0.25">
      <c r="A972">
        <v>970</v>
      </c>
      <c r="B972">
        <v>1000</v>
      </c>
      <c r="C972">
        <v>4002</v>
      </c>
      <c r="D972" t="s">
        <v>3699</v>
      </c>
      <c r="E972">
        <v>495</v>
      </c>
      <c r="F972">
        <v>167</v>
      </c>
    </row>
    <row r="973" spans="1:6" x14ac:dyDescent="0.25">
      <c r="A973">
        <v>971</v>
      </c>
      <c r="B973">
        <v>1000</v>
      </c>
      <c r="C973">
        <v>4002</v>
      </c>
      <c r="D973" t="s">
        <v>3700</v>
      </c>
      <c r="E973">
        <v>495</v>
      </c>
      <c r="F973">
        <v>176</v>
      </c>
    </row>
    <row r="974" spans="1:6" x14ac:dyDescent="0.25">
      <c r="A974">
        <v>972</v>
      </c>
      <c r="B974">
        <v>1000</v>
      </c>
      <c r="C974">
        <v>4005</v>
      </c>
      <c r="D974" t="s">
        <v>3701</v>
      </c>
      <c r="E974">
        <v>512</v>
      </c>
      <c r="F974">
        <v>198</v>
      </c>
    </row>
    <row r="975" spans="1:6" x14ac:dyDescent="0.25">
      <c r="A975">
        <v>973</v>
      </c>
      <c r="B975">
        <v>1000</v>
      </c>
      <c r="C975">
        <v>4007</v>
      </c>
      <c r="D975" t="s">
        <v>3702</v>
      </c>
      <c r="E975">
        <v>554</v>
      </c>
      <c r="F975">
        <v>145</v>
      </c>
    </row>
    <row r="976" spans="1:6" x14ac:dyDescent="0.25">
      <c r="A976">
        <v>974</v>
      </c>
      <c r="B976">
        <v>1000</v>
      </c>
      <c r="C976">
        <v>4004</v>
      </c>
      <c r="D976" t="s">
        <v>3703</v>
      </c>
      <c r="E976">
        <v>512</v>
      </c>
      <c r="F976">
        <v>167</v>
      </c>
    </row>
    <row r="977" spans="1:6" x14ac:dyDescent="0.25">
      <c r="A977">
        <v>975</v>
      </c>
      <c r="B977">
        <v>1000</v>
      </c>
      <c r="C977">
        <v>4004</v>
      </c>
      <c r="D977" t="s">
        <v>3704</v>
      </c>
      <c r="E977">
        <v>589</v>
      </c>
      <c r="F977">
        <v>189</v>
      </c>
    </row>
    <row r="978" spans="1:6" x14ac:dyDescent="0.25">
      <c r="A978">
        <v>976</v>
      </c>
      <c r="B978">
        <v>1000</v>
      </c>
      <c r="C978">
        <v>4004</v>
      </c>
      <c r="D978" t="s">
        <v>3705</v>
      </c>
      <c r="E978">
        <v>545</v>
      </c>
      <c r="F978">
        <v>230</v>
      </c>
    </row>
    <row r="979" spans="1:6" x14ac:dyDescent="0.25">
      <c r="A979">
        <v>977</v>
      </c>
      <c r="B979">
        <v>1000</v>
      </c>
      <c r="C979">
        <v>4005</v>
      </c>
      <c r="D979" t="s">
        <v>3706</v>
      </c>
      <c r="E979">
        <v>588</v>
      </c>
      <c r="F979">
        <v>138</v>
      </c>
    </row>
    <row r="980" spans="1:6" x14ac:dyDescent="0.25">
      <c r="A980">
        <v>978</v>
      </c>
      <c r="B980">
        <v>1000</v>
      </c>
      <c r="C980">
        <v>4005</v>
      </c>
      <c r="D980" t="s">
        <v>3707</v>
      </c>
      <c r="E980">
        <v>511</v>
      </c>
      <c r="F980">
        <v>156</v>
      </c>
    </row>
    <row r="981" spans="1:6" x14ac:dyDescent="0.25">
      <c r="A981">
        <v>979</v>
      </c>
      <c r="B981">
        <v>1000</v>
      </c>
      <c r="C981">
        <v>4005</v>
      </c>
      <c r="D981" t="s">
        <v>3708</v>
      </c>
      <c r="E981">
        <v>533</v>
      </c>
      <c r="F981">
        <v>176</v>
      </c>
    </row>
    <row r="982" spans="1:6" x14ac:dyDescent="0.25">
      <c r="A982">
        <v>980</v>
      </c>
      <c r="B982">
        <v>1000</v>
      </c>
      <c r="C982">
        <v>4009</v>
      </c>
      <c r="D982" t="s">
        <v>3709</v>
      </c>
      <c r="E982">
        <v>499</v>
      </c>
      <c r="F982">
        <v>143</v>
      </c>
    </row>
    <row r="983" spans="1:6" x14ac:dyDescent="0.25">
      <c r="A983">
        <v>981</v>
      </c>
      <c r="B983">
        <v>1000</v>
      </c>
      <c r="C983">
        <v>4009</v>
      </c>
      <c r="D983" t="s">
        <v>3710</v>
      </c>
      <c r="E983">
        <v>500</v>
      </c>
      <c r="F983">
        <v>199</v>
      </c>
    </row>
    <row r="984" spans="1:6" x14ac:dyDescent="0.25">
      <c r="A984">
        <v>982</v>
      </c>
      <c r="B984">
        <v>1000</v>
      </c>
      <c r="C984">
        <v>4009</v>
      </c>
      <c r="D984" t="s">
        <v>3711</v>
      </c>
      <c r="E984">
        <v>534</v>
      </c>
      <c r="F984">
        <v>144</v>
      </c>
    </row>
    <row r="985" spans="1:6" x14ac:dyDescent="0.25">
      <c r="A985">
        <v>983</v>
      </c>
      <c r="B985">
        <v>1000</v>
      </c>
      <c r="C985">
        <v>4044</v>
      </c>
      <c r="D985" t="s">
        <v>3712</v>
      </c>
      <c r="E985">
        <v>566</v>
      </c>
      <c r="F985">
        <v>223</v>
      </c>
    </row>
    <row r="986" spans="1:6" x14ac:dyDescent="0.25">
      <c r="A986">
        <v>984</v>
      </c>
      <c r="B986">
        <v>1000</v>
      </c>
      <c r="C986">
        <v>4044</v>
      </c>
      <c r="D986" t="s">
        <v>3713</v>
      </c>
      <c r="E986">
        <v>583</v>
      </c>
      <c r="F986">
        <v>222</v>
      </c>
    </row>
    <row r="987" spans="1:6" x14ac:dyDescent="0.25">
      <c r="A987">
        <v>985</v>
      </c>
      <c r="B987">
        <v>1000</v>
      </c>
      <c r="C987">
        <v>4044</v>
      </c>
      <c r="D987" t="s">
        <v>3714</v>
      </c>
      <c r="E987">
        <v>513</v>
      </c>
      <c r="F987">
        <v>177</v>
      </c>
    </row>
    <row r="988" spans="1:6" x14ac:dyDescent="0.25">
      <c r="A988">
        <v>986</v>
      </c>
      <c r="B988">
        <v>1000</v>
      </c>
      <c r="C988">
        <v>4045</v>
      </c>
      <c r="D988" t="s">
        <v>3715</v>
      </c>
      <c r="E988">
        <v>576</v>
      </c>
      <c r="F988">
        <v>143</v>
      </c>
    </row>
    <row r="989" spans="1:6" x14ac:dyDescent="0.25">
      <c r="A989">
        <v>987</v>
      </c>
      <c r="B989">
        <v>1000</v>
      </c>
      <c r="C989">
        <v>4045</v>
      </c>
      <c r="D989" t="s">
        <v>3716</v>
      </c>
      <c r="E989">
        <v>523</v>
      </c>
      <c r="F989">
        <v>186</v>
      </c>
    </row>
    <row r="990" spans="1:6" x14ac:dyDescent="0.25">
      <c r="A990">
        <v>988</v>
      </c>
      <c r="B990">
        <v>1000</v>
      </c>
      <c r="C990">
        <v>4011</v>
      </c>
      <c r="D990" t="s">
        <v>3717</v>
      </c>
      <c r="E990">
        <v>493</v>
      </c>
      <c r="F990">
        <v>133</v>
      </c>
    </row>
    <row r="991" spans="1:6" x14ac:dyDescent="0.25">
      <c r="A991">
        <v>989</v>
      </c>
      <c r="B991">
        <v>1000</v>
      </c>
      <c r="C991">
        <v>4011</v>
      </c>
      <c r="D991" t="s">
        <v>3718</v>
      </c>
      <c r="E991">
        <v>577</v>
      </c>
      <c r="F991">
        <v>176</v>
      </c>
    </row>
    <row r="992" spans="1:6" x14ac:dyDescent="0.25">
      <c r="A992">
        <v>990</v>
      </c>
      <c r="B992">
        <v>1000</v>
      </c>
      <c r="C992">
        <v>4011</v>
      </c>
      <c r="D992" t="s">
        <v>3719</v>
      </c>
      <c r="E992">
        <v>543</v>
      </c>
      <c r="F992">
        <v>214</v>
      </c>
    </row>
    <row r="993" spans="1:6" x14ac:dyDescent="0.25">
      <c r="A993">
        <v>991</v>
      </c>
      <c r="B993">
        <v>1000</v>
      </c>
      <c r="C993">
        <v>4013</v>
      </c>
      <c r="D993" t="s">
        <v>3720</v>
      </c>
      <c r="E993">
        <v>582</v>
      </c>
      <c r="F993">
        <v>145</v>
      </c>
    </row>
    <row r="994" spans="1:6" x14ac:dyDescent="0.25">
      <c r="A994">
        <v>992</v>
      </c>
      <c r="B994">
        <v>1000</v>
      </c>
      <c r="C994">
        <v>4013</v>
      </c>
      <c r="D994" t="s">
        <v>3721</v>
      </c>
      <c r="E994">
        <v>535</v>
      </c>
      <c r="F994">
        <v>199</v>
      </c>
    </row>
    <row r="995" spans="1:6" x14ac:dyDescent="0.25">
      <c r="A995">
        <v>993</v>
      </c>
      <c r="B995">
        <v>1000</v>
      </c>
      <c r="C995">
        <v>4013</v>
      </c>
      <c r="D995" t="s">
        <v>3722</v>
      </c>
      <c r="E995">
        <v>585</v>
      </c>
      <c r="F995">
        <v>225</v>
      </c>
    </row>
    <row r="996" spans="1:6" x14ac:dyDescent="0.25">
      <c r="A996">
        <v>994</v>
      </c>
      <c r="B996">
        <v>1000</v>
      </c>
      <c r="C996">
        <v>4002</v>
      </c>
      <c r="D996" t="s">
        <v>3723</v>
      </c>
      <c r="E996">
        <v>465</v>
      </c>
      <c r="F996">
        <v>156</v>
      </c>
    </row>
    <row r="997" spans="1:6" x14ac:dyDescent="0.25">
      <c r="A997">
        <v>995</v>
      </c>
      <c r="B997">
        <v>1000</v>
      </c>
      <c r="C997">
        <v>4002</v>
      </c>
      <c r="D997" t="s">
        <v>3724</v>
      </c>
      <c r="E997">
        <v>370</v>
      </c>
      <c r="F997">
        <v>185</v>
      </c>
    </row>
    <row r="998" spans="1:6" x14ac:dyDescent="0.25">
      <c r="A998">
        <v>996</v>
      </c>
      <c r="B998">
        <v>1000</v>
      </c>
      <c r="C998">
        <v>4002</v>
      </c>
      <c r="D998" t="s">
        <v>3725</v>
      </c>
      <c r="E998">
        <v>380</v>
      </c>
      <c r="F998">
        <v>137</v>
      </c>
    </row>
    <row r="999" spans="1:6" x14ac:dyDescent="0.25">
      <c r="A999">
        <v>997</v>
      </c>
      <c r="B999">
        <v>1000</v>
      </c>
      <c r="C999">
        <v>4002</v>
      </c>
      <c r="D999" t="s">
        <v>3726</v>
      </c>
      <c r="E999">
        <v>413</v>
      </c>
      <c r="F999">
        <v>186</v>
      </c>
    </row>
    <row r="1000" spans="1:6" x14ac:dyDescent="0.25">
      <c r="A1000">
        <v>998</v>
      </c>
      <c r="B1000">
        <v>1000</v>
      </c>
      <c r="C1000">
        <v>4005</v>
      </c>
      <c r="D1000" t="s">
        <v>3727</v>
      </c>
      <c r="E1000">
        <v>454</v>
      </c>
      <c r="F1000">
        <v>226</v>
      </c>
    </row>
    <row r="1001" spans="1:6" x14ac:dyDescent="0.25">
      <c r="A1001">
        <v>999</v>
      </c>
      <c r="B1001">
        <v>1000</v>
      </c>
      <c r="C1001">
        <v>4007</v>
      </c>
      <c r="D1001" t="s">
        <v>3728</v>
      </c>
      <c r="E1001">
        <v>468</v>
      </c>
      <c r="F1001">
        <v>230</v>
      </c>
    </row>
    <row r="1002" spans="1:6" x14ac:dyDescent="0.25">
      <c r="A1002">
        <v>1000</v>
      </c>
      <c r="B1002">
        <v>1000</v>
      </c>
      <c r="C1002">
        <v>4004</v>
      </c>
      <c r="D1002" t="s">
        <v>3729</v>
      </c>
      <c r="E1002">
        <v>411</v>
      </c>
      <c r="F1002">
        <v>185</v>
      </c>
    </row>
    <row r="1003" spans="1:6" x14ac:dyDescent="0.25">
      <c r="A1003">
        <v>1001</v>
      </c>
      <c r="B1003">
        <v>1000</v>
      </c>
      <c r="C1003">
        <v>4004</v>
      </c>
      <c r="D1003" t="s">
        <v>3730</v>
      </c>
      <c r="E1003">
        <v>433</v>
      </c>
      <c r="F1003">
        <v>143</v>
      </c>
    </row>
    <row r="1004" spans="1:6" x14ac:dyDescent="0.25">
      <c r="A1004">
        <v>1002</v>
      </c>
      <c r="B1004">
        <v>1000</v>
      </c>
      <c r="C1004">
        <v>4004</v>
      </c>
      <c r="D1004" t="s">
        <v>3731</v>
      </c>
      <c r="E1004">
        <v>444</v>
      </c>
      <c r="F1004">
        <v>177</v>
      </c>
    </row>
    <row r="1005" spans="1:6" x14ac:dyDescent="0.25">
      <c r="A1005">
        <v>1003</v>
      </c>
      <c r="B1005">
        <v>1000</v>
      </c>
      <c r="C1005">
        <v>4005</v>
      </c>
      <c r="D1005" t="s">
        <v>3732</v>
      </c>
      <c r="E1005">
        <v>378</v>
      </c>
      <c r="F1005">
        <v>146</v>
      </c>
    </row>
    <row r="1006" spans="1:6" x14ac:dyDescent="0.25">
      <c r="A1006">
        <v>1004</v>
      </c>
      <c r="B1006">
        <v>1000</v>
      </c>
      <c r="C1006">
        <v>4005</v>
      </c>
      <c r="D1006" t="s">
        <v>3733</v>
      </c>
      <c r="E1006">
        <v>380</v>
      </c>
      <c r="F1006">
        <v>216</v>
      </c>
    </row>
    <row r="1007" spans="1:6" x14ac:dyDescent="0.25">
      <c r="A1007">
        <v>1005</v>
      </c>
      <c r="B1007">
        <v>1000</v>
      </c>
      <c r="C1007">
        <v>4005</v>
      </c>
      <c r="D1007" t="s">
        <v>3734</v>
      </c>
      <c r="E1007">
        <v>399</v>
      </c>
      <c r="F1007">
        <v>223</v>
      </c>
    </row>
    <row r="1008" spans="1:6" x14ac:dyDescent="0.25">
      <c r="A1008">
        <v>1006</v>
      </c>
      <c r="B1008">
        <v>1000</v>
      </c>
      <c r="C1008">
        <v>4009</v>
      </c>
      <c r="D1008" t="s">
        <v>3735</v>
      </c>
      <c r="E1008">
        <v>378</v>
      </c>
      <c r="F1008">
        <v>138</v>
      </c>
    </row>
    <row r="1009" spans="1:6" x14ac:dyDescent="0.25">
      <c r="A1009">
        <v>1007</v>
      </c>
      <c r="B1009">
        <v>1000</v>
      </c>
      <c r="C1009">
        <v>4009</v>
      </c>
      <c r="D1009" t="s">
        <v>3736</v>
      </c>
      <c r="E1009">
        <v>423</v>
      </c>
      <c r="F1009">
        <v>199</v>
      </c>
    </row>
    <row r="1010" spans="1:6" x14ac:dyDescent="0.25">
      <c r="A1010">
        <v>1008</v>
      </c>
      <c r="B1010">
        <v>1000</v>
      </c>
      <c r="C1010">
        <v>4009</v>
      </c>
      <c r="D1010" t="s">
        <v>3737</v>
      </c>
      <c r="E1010">
        <v>470</v>
      </c>
      <c r="F1010">
        <v>158</v>
      </c>
    </row>
    <row r="1011" spans="1:6" x14ac:dyDescent="0.25">
      <c r="A1011">
        <v>1009</v>
      </c>
      <c r="B1011">
        <v>1000</v>
      </c>
      <c r="C1011">
        <v>4044</v>
      </c>
      <c r="D1011" t="s">
        <v>3738</v>
      </c>
      <c r="E1011">
        <v>455</v>
      </c>
      <c r="F1011">
        <v>143</v>
      </c>
    </row>
    <row r="1012" spans="1:6" x14ac:dyDescent="0.25">
      <c r="A1012">
        <v>1010</v>
      </c>
      <c r="B1012">
        <v>1000</v>
      </c>
      <c r="C1012">
        <v>4044</v>
      </c>
      <c r="D1012" t="s">
        <v>3739</v>
      </c>
      <c r="E1012">
        <v>412</v>
      </c>
      <c r="F1012">
        <v>175</v>
      </c>
    </row>
    <row r="1013" spans="1:6" x14ac:dyDescent="0.25">
      <c r="A1013">
        <v>1011</v>
      </c>
      <c r="B1013">
        <v>1000</v>
      </c>
      <c r="C1013">
        <v>4044</v>
      </c>
      <c r="D1013" t="s">
        <v>3740</v>
      </c>
      <c r="E1013">
        <v>389</v>
      </c>
      <c r="F1013">
        <v>148</v>
      </c>
    </row>
    <row r="1014" spans="1:6" x14ac:dyDescent="0.25">
      <c r="A1014">
        <v>1012</v>
      </c>
      <c r="B1014">
        <v>1000</v>
      </c>
      <c r="C1014">
        <v>4045</v>
      </c>
      <c r="D1014" t="s">
        <v>3741</v>
      </c>
      <c r="E1014">
        <v>399</v>
      </c>
      <c r="F1014">
        <v>217</v>
      </c>
    </row>
    <row r="1015" spans="1:6" x14ac:dyDescent="0.25">
      <c r="A1015">
        <v>1013</v>
      </c>
      <c r="B1015">
        <v>1000</v>
      </c>
      <c r="C1015">
        <v>4045</v>
      </c>
      <c r="D1015" t="s">
        <v>3742</v>
      </c>
      <c r="E1015">
        <v>374</v>
      </c>
      <c r="F1015">
        <v>230</v>
      </c>
    </row>
    <row r="1016" spans="1:6" x14ac:dyDescent="0.25">
      <c r="A1016">
        <v>1014</v>
      </c>
      <c r="B1016">
        <v>1000</v>
      </c>
      <c r="C1016">
        <v>4011</v>
      </c>
      <c r="D1016" t="s">
        <v>3743</v>
      </c>
      <c r="E1016">
        <v>383</v>
      </c>
      <c r="F1016">
        <v>205</v>
      </c>
    </row>
    <row r="1017" spans="1:6" x14ac:dyDescent="0.25">
      <c r="A1017">
        <v>1015</v>
      </c>
      <c r="B1017">
        <v>1000</v>
      </c>
      <c r="C1017">
        <v>4011</v>
      </c>
      <c r="D1017" t="s">
        <v>3744</v>
      </c>
      <c r="E1017">
        <v>404</v>
      </c>
      <c r="F1017">
        <v>148</v>
      </c>
    </row>
    <row r="1018" spans="1:6" x14ac:dyDescent="0.25">
      <c r="A1018">
        <v>1016</v>
      </c>
      <c r="B1018">
        <v>1000</v>
      </c>
      <c r="C1018">
        <v>4011</v>
      </c>
      <c r="D1018" t="s">
        <v>3745</v>
      </c>
      <c r="E1018">
        <v>415</v>
      </c>
      <c r="F1018">
        <v>179</v>
      </c>
    </row>
    <row r="1019" spans="1:6" x14ac:dyDescent="0.25">
      <c r="A1019">
        <v>1017</v>
      </c>
      <c r="B1019">
        <v>1000</v>
      </c>
      <c r="C1019">
        <v>4013</v>
      </c>
      <c r="D1019" t="s">
        <v>3746</v>
      </c>
      <c r="E1019">
        <v>454</v>
      </c>
      <c r="F1019">
        <v>133</v>
      </c>
    </row>
    <row r="1020" spans="1:6" x14ac:dyDescent="0.25">
      <c r="A1020">
        <v>1018</v>
      </c>
      <c r="B1020">
        <v>1000</v>
      </c>
      <c r="C1020">
        <v>4013</v>
      </c>
      <c r="D1020" t="s">
        <v>3747</v>
      </c>
      <c r="E1020">
        <v>468</v>
      </c>
      <c r="F1020">
        <v>174</v>
      </c>
    </row>
    <row r="1021" spans="1:6" x14ac:dyDescent="0.25">
      <c r="A1021">
        <v>1019</v>
      </c>
      <c r="B1021">
        <v>1000</v>
      </c>
      <c r="C1021">
        <v>4013</v>
      </c>
      <c r="D1021" t="s">
        <v>3748</v>
      </c>
      <c r="E1021">
        <v>374</v>
      </c>
      <c r="F1021">
        <v>225</v>
      </c>
    </row>
    <row r="1022" spans="1:6" x14ac:dyDescent="0.25">
      <c r="A1022">
        <v>1020</v>
      </c>
      <c r="B1022">
        <v>1000</v>
      </c>
      <c r="C1022">
        <v>4002</v>
      </c>
      <c r="D1022" t="s">
        <v>3749</v>
      </c>
      <c r="E1022">
        <v>369</v>
      </c>
      <c r="F1022">
        <v>255</v>
      </c>
    </row>
    <row r="1023" spans="1:6" x14ac:dyDescent="0.25">
      <c r="A1023">
        <v>1021</v>
      </c>
      <c r="B1023">
        <v>1000</v>
      </c>
      <c r="C1023">
        <v>4002</v>
      </c>
      <c r="D1023" t="s">
        <v>3750</v>
      </c>
      <c r="E1023">
        <v>374</v>
      </c>
      <c r="F1023">
        <v>267</v>
      </c>
    </row>
    <row r="1024" spans="1:6" x14ac:dyDescent="0.25">
      <c r="A1024">
        <v>1022</v>
      </c>
      <c r="B1024">
        <v>1000</v>
      </c>
      <c r="C1024">
        <v>4002</v>
      </c>
      <c r="D1024" t="s">
        <v>3751</v>
      </c>
      <c r="E1024">
        <v>385</v>
      </c>
      <c r="F1024">
        <v>280</v>
      </c>
    </row>
    <row r="1025" spans="1:6" x14ac:dyDescent="0.25">
      <c r="A1025">
        <v>1023</v>
      </c>
      <c r="B1025">
        <v>1000</v>
      </c>
      <c r="C1025">
        <v>4002</v>
      </c>
      <c r="D1025" t="s">
        <v>3752</v>
      </c>
      <c r="E1025">
        <v>396</v>
      </c>
      <c r="F1025">
        <v>325</v>
      </c>
    </row>
    <row r="1026" spans="1:6" x14ac:dyDescent="0.25">
      <c r="A1026">
        <v>1024</v>
      </c>
      <c r="B1026">
        <v>1000</v>
      </c>
      <c r="C1026">
        <v>4005</v>
      </c>
      <c r="D1026" t="s">
        <v>3753</v>
      </c>
      <c r="E1026">
        <v>405</v>
      </c>
      <c r="F1026">
        <v>342</v>
      </c>
    </row>
    <row r="1027" spans="1:6" x14ac:dyDescent="0.25">
      <c r="A1027">
        <v>1025</v>
      </c>
      <c r="B1027">
        <v>1000</v>
      </c>
      <c r="C1027">
        <v>4007</v>
      </c>
      <c r="D1027" t="s">
        <v>3754</v>
      </c>
      <c r="E1027">
        <v>434</v>
      </c>
      <c r="F1027">
        <v>265</v>
      </c>
    </row>
    <row r="1028" spans="1:6" x14ac:dyDescent="0.25">
      <c r="A1028">
        <v>1026</v>
      </c>
      <c r="B1028">
        <v>1000</v>
      </c>
      <c r="C1028">
        <v>4004</v>
      </c>
      <c r="D1028" t="s">
        <v>3755</v>
      </c>
      <c r="E1028">
        <v>467</v>
      </c>
      <c r="F1028">
        <v>278</v>
      </c>
    </row>
    <row r="1029" spans="1:6" x14ac:dyDescent="0.25">
      <c r="A1029">
        <v>1027</v>
      </c>
      <c r="B1029">
        <v>1000</v>
      </c>
      <c r="C1029">
        <v>4004</v>
      </c>
      <c r="D1029" t="s">
        <v>3756</v>
      </c>
      <c r="E1029">
        <v>423</v>
      </c>
      <c r="F1029">
        <v>290</v>
      </c>
    </row>
    <row r="1030" spans="1:6" x14ac:dyDescent="0.25">
      <c r="A1030">
        <v>1028</v>
      </c>
      <c r="B1030">
        <v>1000</v>
      </c>
      <c r="C1030">
        <v>4004</v>
      </c>
      <c r="D1030" t="s">
        <v>3757</v>
      </c>
      <c r="E1030">
        <v>378</v>
      </c>
      <c r="F1030">
        <v>305</v>
      </c>
    </row>
    <row r="1031" spans="1:6" x14ac:dyDescent="0.25">
      <c r="A1031">
        <v>1029</v>
      </c>
      <c r="B1031">
        <v>1000</v>
      </c>
      <c r="C1031">
        <v>4005</v>
      </c>
      <c r="D1031" t="s">
        <v>3758</v>
      </c>
      <c r="E1031">
        <v>395</v>
      </c>
      <c r="F1031">
        <v>343</v>
      </c>
    </row>
    <row r="1032" spans="1:6" x14ac:dyDescent="0.25">
      <c r="A1032">
        <v>1030</v>
      </c>
      <c r="B1032">
        <v>1000</v>
      </c>
      <c r="C1032">
        <v>4005</v>
      </c>
      <c r="D1032" t="s">
        <v>3759</v>
      </c>
      <c r="E1032">
        <v>388</v>
      </c>
      <c r="F1032">
        <v>333</v>
      </c>
    </row>
    <row r="1033" spans="1:6" x14ac:dyDescent="0.25">
      <c r="A1033">
        <v>1031</v>
      </c>
      <c r="B1033">
        <v>1000</v>
      </c>
      <c r="C1033">
        <v>4005</v>
      </c>
      <c r="D1033" t="s">
        <v>3760</v>
      </c>
      <c r="E1033">
        <v>464</v>
      </c>
      <c r="F1033">
        <v>302</v>
      </c>
    </row>
    <row r="1034" spans="1:6" x14ac:dyDescent="0.25">
      <c r="A1034">
        <v>1032</v>
      </c>
      <c r="B1034">
        <v>1000</v>
      </c>
      <c r="C1034">
        <v>4009</v>
      </c>
      <c r="D1034" t="s">
        <v>3761</v>
      </c>
      <c r="E1034">
        <v>434</v>
      </c>
      <c r="F1034">
        <v>250</v>
      </c>
    </row>
    <row r="1035" spans="1:6" x14ac:dyDescent="0.25">
      <c r="A1035">
        <v>1033</v>
      </c>
      <c r="B1035">
        <v>1000</v>
      </c>
      <c r="C1035">
        <v>4009</v>
      </c>
      <c r="D1035" t="s">
        <v>3762</v>
      </c>
      <c r="E1035">
        <v>417</v>
      </c>
      <c r="F1035">
        <v>265</v>
      </c>
    </row>
    <row r="1036" spans="1:6" x14ac:dyDescent="0.25">
      <c r="A1036">
        <v>1034</v>
      </c>
      <c r="B1036">
        <v>1000</v>
      </c>
      <c r="C1036">
        <v>4009</v>
      </c>
      <c r="D1036" t="s">
        <v>3763</v>
      </c>
      <c r="E1036">
        <v>465</v>
      </c>
      <c r="F1036">
        <v>296</v>
      </c>
    </row>
    <row r="1037" spans="1:6" x14ac:dyDescent="0.25">
      <c r="A1037">
        <v>1035</v>
      </c>
      <c r="B1037">
        <v>1000</v>
      </c>
      <c r="C1037">
        <v>4044</v>
      </c>
      <c r="D1037" t="s">
        <v>3764</v>
      </c>
      <c r="E1037">
        <v>465</v>
      </c>
      <c r="F1037">
        <v>308</v>
      </c>
    </row>
    <row r="1038" spans="1:6" x14ac:dyDescent="0.25">
      <c r="A1038">
        <v>1036</v>
      </c>
      <c r="B1038">
        <v>1000</v>
      </c>
      <c r="C1038">
        <v>4044</v>
      </c>
      <c r="D1038" t="s">
        <v>3765</v>
      </c>
      <c r="E1038">
        <v>374</v>
      </c>
      <c r="F1038">
        <v>315</v>
      </c>
    </row>
    <row r="1039" spans="1:6" x14ac:dyDescent="0.25">
      <c r="A1039">
        <v>1037</v>
      </c>
      <c r="B1039">
        <v>1000</v>
      </c>
      <c r="C1039">
        <v>4044</v>
      </c>
      <c r="D1039" t="s">
        <v>3766</v>
      </c>
      <c r="E1039">
        <v>395</v>
      </c>
      <c r="F1039">
        <v>277</v>
      </c>
    </row>
    <row r="1040" spans="1:6" x14ac:dyDescent="0.25">
      <c r="A1040">
        <v>1038</v>
      </c>
      <c r="B1040">
        <v>1000</v>
      </c>
      <c r="C1040">
        <v>4045</v>
      </c>
      <c r="D1040" t="s">
        <v>3767</v>
      </c>
      <c r="E1040">
        <v>404</v>
      </c>
      <c r="F1040">
        <v>283</v>
      </c>
    </row>
    <row r="1041" spans="1:6" x14ac:dyDescent="0.25">
      <c r="A1041">
        <v>1039</v>
      </c>
      <c r="B1041">
        <v>1000</v>
      </c>
      <c r="C1041">
        <v>4045</v>
      </c>
      <c r="D1041" t="s">
        <v>3768</v>
      </c>
      <c r="E1041">
        <v>415</v>
      </c>
      <c r="F1041">
        <v>290</v>
      </c>
    </row>
    <row r="1042" spans="1:6" x14ac:dyDescent="0.25">
      <c r="A1042">
        <v>1040</v>
      </c>
      <c r="B1042">
        <v>1000</v>
      </c>
      <c r="C1042">
        <v>4011</v>
      </c>
      <c r="D1042" t="s">
        <v>3769</v>
      </c>
      <c r="E1042">
        <v>386</v>
      </c>
      <c r="F1042">
        <v>256</v>
      </c>
    </row>
    <row r="1043" spans="1:6" x14ac:dyDescent="0.25">
      <c r="A1043">
        <v>1041</v>
      </c>
      <c r="B1043">
        <v>1000</v>
      </c>
      <c r="C1043">
        <v>4011</v>
      </c>
      <c r="D1043" t="s">
        <v>3770</v>
      </c>
      <c r="E1043">
        <v>468</v>
      </c>
      <c r="F1043">
        <v>269</v>
      </c>
    </row>
    <row r="1044" spans="1:6" x14ac:dyDescent="0.25">
      <c r="A1044">
        <v>1042</v>
      </c>
      <c r="B1044">
        <v>1000</v>
      </c>
      <c r="C1044">
        <v>4011</v>
      </c>
      <c r="D1044" t="s">
        <v>3771</v>
      </c>
      <c r="E1044">
        <v>427</v>
      </c>
      <c r="F1044">
        <v>350</v>
      </c>
    </row>
    <row r="1045" spans="1:6" x14ac:dyDescent="0.25">
      <c r="A1045">
        <v>1043</v>
      </c>
      <c r="B1045">
        <v>1000</v>
      </c>
      <c r="C1045">
        <v>4013</v>
      </c>
      <c r="D1045" t="s">
        <v>3772</v>
      </c>
      <c r="E1045">
        <v>453</v>
      </c>
      <c r="F1045">
        <v>347</v>
      </c>
    </row>
    <row r="1046" spans="1:6" x14ac:dyDescent="0.25">
      <c r="A1046">
        <v>1044</v>
      </c>
      <c r="B1046">
        <v>1000</v>
      </c>
      <c r="C1046">
        <v>4013</v>
      </c>
      <c r="D1046" t="s">
        <v>3773</v>
      </c>
      <c r="E1046">
        <v>377</v>
      </c>
      <c r="F1046">
        <v>317</v>
      </c>
    </row>
    <row r="1047" spans="1:6" x14ac:dyDescent="0.25">
      <c r="A1047">
        <v>1045</v>
      </c>
      <c r="B1047">
        <v>1000</v>
      </c>
      <c r="C1047">
        <v>4013</v>
      </c>
      <c r="D1047" t="s">
        <v>3774</v>
      </c>
      <c r="E1047">
        <v>384</v>
      </c>
      <c r="F1047">
        <v>345</v>
      </c>
    </row>
    <row r="1048" spans="1:6" x14ac:dyDescent="0.25">
      <c r="A1048">
        <v>1046</v>
      </c>
      <c r="B1048">
        <v>1000</v>
      </c>
      <c r="C1048">
        <v>4002</v>
      </c>
      <c r="D1048" t="s">
        <v>3775</v>
      </c>
      <c r="E1048">
        <v>375</v>
      </c>
      <c r="F1048">
        <v>375</v>
      </c>
    </row>
    <row r="1049" spans="1:6" x14ac:dyDescent="0.25">
      <c r="A1049">
        <v>1047</v>
      </c>
      <c r="B1049">
        <v>1000</v>
      </c>
      <c r="C1049">
        <v>4002</v>
      </c>
      <c r="D1049" t="s">
        <v>3776</v>
      </c>
      <c r="E1049">
        <v>376</v>
      </c>
      <c r="F1049">
        <v>385</v>
      </c>
    </row>
    <row r="1050" spans="1:6" x14ac:dyDescent="0.25">
      <c r="A1050">
        <v>1048</v>
      </c>
      <c r="B1050">
        <v>1000</v>
      </c>
      <c r="C1050">
        <v>4002</v>
      </c>
      <c r="D1050" t="s">
        <v>3777</v>
      </c>
      <c r="E1050">
        <v>387</v>
      </c>
      <c r="F1050">
        <v>399</v>
      </c>
    </row>
    <row r="1051" spans="1:6" x14ac:dyDescent="0.25">
      <c r="A1051">
        <v>1049</v>
      </c>
      <c r="B1051">
        <v>1000</v>
      </c>
      <c r="C1051">
        <v>4002</v>
      </c>
      <c r="D1051" t="s">
        <v>3778</v>
      </c>
      <c r="E1051">
        <v>399</v>
      </c>
      <c r="F1051">
        <v>404</v>
      </c>
    </row>
    <row r="1052" spans="1:6" x14ac:dyDescent="0.25">
      <c r="A1052">
        <v>1050</v>
      </c>
      <c r="B1052">
        <v>1000</v>
      </c>
      <c r="C1052">
        <v>4005</v>
      </c>
      <c r="D1052" t="s">
        <v>3779</v>
      </c>
      <c r="E1052">
        <v>415</v>
      </c>
      <c r="F1052">
        <v>434</v>
      </c>
    </row>
    <row r="1053" spans="1:6" x14ac:dyDescent="0.25">
      <c r="A1053">
        <v>1051</v>
      </c>
      <c r="B1053">
        <v>1000</v>
      </c>
      <c r="C1053">
        <v>4007</v>
      </c>
      <c r="D1053" t="s">
        <v>3780</v>
      </c>
      <c r="E1053">
        <v>423</v>
      </c>
      <c r="F1053">
        <v>464</v>
      </c>
    </row>
    <row r="1054" spans="1:6" x14ac:dyDescent="0.25">
      <c r="A1054">
        <v>1052</v>
      </c>
      <c r="B1054">
        <v>1000</v>
      </c>
      <c r="C1054">
        <v>4004</v>
      </c>
      <c r="D1054" t="s">
        <v>3781</v>
      </c>
      <c r="E1054">
        <v>438</v>
      </c>
      <c r="F1054">
        <v>402</v>
      </c>
    </row>
    <row r="1055" spans="1:6" x14ac:dyDescent="0.25">
      <c r="A1055">
        <v>1053</v>
      </c>
      <c r="B1055">
        <v>1000</v>
      </c>
      <c r="C1055">
        <v>4004</v>
      </c>
      <c r="D1055" t="s">
        <v>3782</v>
      </c>
      <c r="E1055">
        <v>466</v>
      </c>
      <c r="F1055">
        <v>388</v>
      </c>
    </row>
    <row r="1056" spans="1:6" x14ac:dyDescent="0.25">
      <c r="A1056">
        <v>1054</v>
      </c>
      <c r="B1056">
        <v>1000</v>
      </c>
      <c r="C1056">
        <v>4004</v>
      </c>
      <c r="D1056" t="s">
        <v>3783</v>
      </c>
      <c r="E1056">
        <v>389</v>
      </c>
      <c r="F1056">
        <v>408</v>
      </c>
    </row>
    <row r="1057" spans="1:6" x14ac:dyDescent="0.25">
      <c r="A1057">
        <v>1055</v>
      </c>
      <c r="B1057">
        <v>1000</v>
      </c>
      <c r="C1057">
        <v>4005</v>
      </c>
      <c r="D1057" t="s">
        <v>3784</v>
      </c>
      <c r="E1057">
        <v>402</v>
      </c>
      <c r="F1057">
        <v>434</v>
      </c>
    </row>
    <row r="1058" spans="1:6" x14ac:dyDescent="0.25">
      <c r="A1058">
        <v>1056</v>
      </c>
      <c r="B1058">
        <v>1000</v>
      </c>
      <c r="C1058">
        <v>4005</v>
      </c>
      <c r="D1058" t="s">
        <v>3785</v>
      </c>
      <c r="E1058">
        <v>378</v>
      </c>
      <c r="F1058">
        <v>465</v>
      </c>
    </row>
    <row r="1059" spans="1:6" x14ac:dyDescent="0.25">
      <c r="A1059">
        <v>1057</v>
      </c>
      <c r="B1059">
        <v>1000</v>
      </c>
      <c r="C1059">
        <v>4005</v>
      </c>
      <c r="D1059" t="s">
        <v>3786</v>
      </c>
      <c r="E1059">
        <v>383</v>
      </c>
      <c r="F1059">
        <v>444</v>
      </c>
    </row>
    <row r="1060" spans="1:6" x14ac:dyDescent="0.25">
      <c r="A1060">
        <v>1058</v>
      </c>
      <c r="B1060">
        <v>1000</v>
      </c>
      <c r="C1060">
        <v>4009</v>
      </c>
      <c r="D1060" t="s">
        <v>3787</v>
      </c>
      <c r="E1060">
        <v>399</v>
      </c>
      <c r="F1060">
        <v>421</v>
      </c>
    </row>
    <row r="1061" spans="1:6" x14ac:dyDescent="0.25">
      <c r="A1061">
        <v>1059</v>
      </c>
      <c r="B1061">
        <v>1000</v>
      </c>
      <c r="C1061">
        <v>4009</v>
      </c>
      <c r="D1061" t="s">
        <v>3788</v>
      </c>
      <c r="E1061">
        <v>405</v>
      </c>
      <c r="F1061">
        <v>432</v>
      </c>
    </row>
    <row r="1062" spans="1:6" x14ac:dyDescent="0.25">
      <c r="A1062">
        <v>1060</v>
      </c>
      <c r="B1062">
        <v>1000</v>
      </c>
      <c r="C1062">
        <v>4009</v>
      </c>
      <c r="D1062" t="s">
        <v>3789</v>
      </c>
      <c r="E1062">
        <v>415</v>
      </c>
      <c r="F1062">
        <v>394</v>
      </c>
    </row>
    <row r="1063" spans="1:6" x14ac:dyDescent="0.25">
      <c r="A1063">
        <v>1061</v>
      </c>
      <c r="B1063">
        <v>1000</v>
      </c>
      <c r="C1063">
        <v>4044</v>
      </c>
      <c r="D1063" t="s">
        <v>3790</v>
      </c>
      <c r="E1063">
        <v>468</v>
      </c>
      <c r="F1063">
        <v>377</v>
      </c>
    </row>
    <row r="1064" spans="1:6" x14ac:dyDescent="0.25">
      <c r="A1064">
        <v>1062</v>
      </c>
      <c r="B1064">
        <v>1000</v>
      </c>
      <c r="C1064">
        <v>4044</v>
      </c>
      <c r="D1064" t="s">
        <v>3791</v>
      </c>
      <c r="E1064">
        <v>426</v>
      </c>
      <c r="F1064">
        <v>415</v>
      </c>
    </row>
    <row r="1065" spans="1:6" x14ac:dyDescent="0.25">
      <c r="A1065">
        <v>1063</v>
      </c>
      <c r="B1065">
        <v>1000</v>
      </c>
      <c r="C1065">
        <v>4044</v>
      </c>
      <c r="D1065" t="s">
        <v>3792</v>
      </c>
      <c r="E1065">
        <v>447</v>
      </c>
      <c r="F1065">
        <v>434</v>
      </c>
    </row>
    <row r="1066" spans="1:6" x14ac:dyDescent="0.25">
      <c r="A1066">
        <v>1064</v>
      </c>
      <c r="B1066">
        <v>1000</v>
      </c>
      <c r="C1066">
        <v>4045</v>
      </c>
      <c r="D1066" t="s">
        <v>3793</v>
      </c>
      <c r="E1066">
        <v>452</v>
      </c>
      <c r="F1066">
        <v>463</v>
      </c>
    </row>
    <row r="1067" spans="1:6" x14ac:dyDescent="0.25">
      <c r="A1067">
        <v>1065</v>
      </c>
      <c r="B1067">
        <v>1000</v>
      </c>
      <c r="C1067">
        <v>4045</v>
      </c>
      <c r="D1067" t="s">
        <v>3794</v>
      </c>
      <c r="E1067">
        <v>374</v>
      </c>
      <c r="F1067">
        <v>379</v>
      </c>
    </row>
    <row r="1068" spans="1:6" x14ac:dyDescent="0.25">
      <c r="A1068">
        <v>1066</v>
      </c>
      <c r="B1068">
        <v>1000</v>
      </c>
      <c r="C1068">
        <v>4011</v>
      </c>
      <c r="D1068" t="s">
        <v>3795</v>
      </c>
      <c r="E1068">
        <v>394</v>
      </c>
      <c r="F1068">
        <v>386</v>
      </c>
    </row>
    <row r="1069" spans="1:6" x14ac:dyDescent="0.25">
      <c r="A1069">
        <v>1067</v>
      </c>
      <c r="B1069">
        <v>1000</v>
      </c>
      <c r="C1069">
        <v>4011</v>
      </c>
      <c r="D1069" t="s">
        <v>3796</v>
      </c>
      <c r="E1069">
        <v>465</v>
      </c>
      <c r="F1069">
        <v>406</v>
      </c>
    </row>
    <row r="1070" spans="1:6" x14ac:dyDescent="0.25">
      <c r="A1070">
        <v>1068</v>
      </c>
      <c r="B1070">
        <v>1000</v>
      </c>
      <c r="C1070">
        <v>4011</v>
      </c>
      <c r="D1070" t="s">
        <v>3797</v>
      </c>
      <c r="E1070">
        <v>399</v>
      </c>
      <c r="F1070">
        <v>416</v>
      </c>
    </row>
    <row r="1071" spans="1:6" x14ac:dyDescent="0.25">
      <c r="A1071">
        <v>1069</v>
      </c>
      <c r="B1071">
        <v>1000</v>
      </c>
      <c r="C1071">
        <v>4013</v>
      </c>
      <c r="D1071" t="s">
        <v>3798</v>
      </c>
      <c r="E1071">
        <v>373</v>
      </c>
      <c r="F1071">
        <v>464</v>
      </c>
    </row>
    <row r="1072" spans="1:6" x14ac:dyDescent="0.25">
      <c r="A1072">
        <v>1070</v>
      </c>
      <c r="B1072">
        <v>1000</v>
      </c>
      <c r="C1072">
        <v>4013</v>
      </c>
      <c r="D1072" t="s">
        <v>3799</v>
      </c>
      <c r="E1072">
        <v>394</v>
      </c>
      <c r="F1072">
        <v>423</v>
      </c>
    </row>
    <row r="1073" spans="1:6" x14ac:dyDescent="0.25">
      <c r="A1073">
        <v>1071</v>
      </c>
      <c r="B1073">
        <v>1000</v>
      </c>
      <c r="C1073">
        <v>4013</v>
      </c>
      <c r="D1073" t="s">
        <v>3800</v>
      </c>
      <c r="E1073">
        <v>464</v>
      </c>
      <c r="F1073">
        <v>470</v>
      </c>
    </row>
    <row r="1074" spans="1:6" x14ac:dyDescent="0.25">
      <c r="A1074">
        <v>1072</v>
      </c>
      <c r="B1074">
        <v>1000</v>
      </c>
      <c r="C1074">
        <v>4002</v>
      </c>
      <c r="D1074" t="s">
        <v>3801</v>
      </c>
      <c r="E1074">
        <v>465</v>
      </c>
      <c r="F1074">
        <v>495</v>
      </c>
    </row>
    <row r="1075" spans="1:6" x14ac:dyDescent="0.25">
      <c r="A1075">
        <v>1073</v>
      </c>
      <c r="B1075">
        <v>1000</v>
      </c>
      <c r="C1075">
        <v>4002</v>
      </c>
      <c r="D1075" t="s">
        <v>3802</v>
      </c>
      <c r="E1075">
        <v>378</v>
      </c>
      <c r="F1075">
        <v>499</v>
      </c>
    </row>
    <row r="1076" spans="1:6" x14ac:dyDescent="0.25">
      <c r="A1076">
        <v>1074</v>
      </c>
      <c r="B1076">
        <v>1000</v>
      </c>
      <c r="C1076">
        <v>4002</v>
      </c>
      <c r="D1076" t="s">
        <v>3803</v>
      </c>
      <c r="E1076">
        <v>398</v>
      </c>
      <c r="F1076">
        <v>504</v>
      </c>
    </row>
    <row r="1077" spans="1:6" x14ac:dyDescent="0.25">
      <c r="A1077">
        <v>1075</v>
      </c>
      <c r="B1077">
        <v>1000</v>
      </c>
      <c r="C1077">
        <v>4002</v>
      </c>
      <c r="D1077" t="s">
        <v>3804</v>
      </c>
      <c r="E1077">
        <v>434</v>
      </c>
      <c r="F1077">
        <v>557</v>
      </c>
    </row>
    <row r="1078" spans="1:6" x14ac:dyDescent="0.25">
      <c r="A1078">
        <v>1076</v>
      </c>
      <c r="B1078">
        <v>1000</v>
      </c>
      <c r="C1078">
        <v>4005</v>
      </c>
      <c r="D1078" t="s">
        <v>3805</v>
      </c>
      <c r="E1078">
        <v>456</v>
      </c>
      <c r="F1078">
        <v>535</v>
      </c>
    </row>
    <row r="1079" spans="1:6" x14ac:dyDescent="0.25">
      <c r="A1079">
        <v>1077</v>
      </c>
      <c r="B1079">
        <v>1000</v>
      </c>
      <c r="C1079">
        <v>4007</v>
      </c>
      <c r="D1079" t="s">
        <v>3806</v>
      </c>
      <c r="E1079">
        <v>395</v>
      </c>
      <c r="F1079">
        <v>588</v>
      </c>
    </row>
    <row r="1080" spans="1:6" x14ac:dyDescent="0.25">
      <c r="A1080">
        <v>1078</v>
      </c>
      <c r="B1080">
        <v>1000</v>
      </c>
      <c r="C1080">
        <v>4004</v>
      </c>
      <c r="D1080" t="s">
        <v>3807</v>
      </c>
      <c r="E1080">
        <v>387</v>
      </c>
      <c r="F1080">
        <v>504</v>
      </c>
    </row>
    <row r="1081" spans="1:6" x14ac:dyDescent="0.25">
      <c r="A1081">
        <v>1079</v>
      </c>
      <c r="B1081">
        <v>1000</v>
      </c>
      <c r="C1081">
        <v>4004</v>
      </c>
      <c r="D1081" t="s">
        <v>3808</v>
      </c>
      <c r="E1081">
        <v>417</v>
      </c>
      <c r="F1081">
        <v>533</v>
      </c>
    </row>
    <row r="1082" spans="1:6" x14ac:dyDescent="0.25">
      <c r="A1082">
        <v>1080</v>
      </c>
      <c r="B1082">
        <v>1000</v>
      </c>
      <c r="C1082">
        <v>4004</v>
      </c>
      <c r="D1082" t="s">
        <v>3809</v>
      </c>
      <c r="E1082">
        <v>434</v>
      </c>
      <c r="F1082">
        <v>557</v>
      </c>
    </row>
    <row r="1083" spans="1:6" x14ac:dyDescent="0.25">
      <c r="A1083">
        <v>1081</v>
      </c>
      <c r="B1083">
        <v>1000</v>
      </c>
      <c r="C1083">
        <v>4005</v>
      </c>
      <c r="D1083" t="s">
        <v>3810</v>
      </c>
      <c r="E1083">
        <v>456</v>
      </c>
      <c r="F1083">
        <v>587</v>
      </c>
    </row>
    <row r="1084" spans="1:6" x14ac:dyDescent="0.25">
      <c r="A1084">
        <v>1082</v>
      </c>
      <c r="B1084">
        <v>1000</v>
      </c>
      <c r="C1084">
        <v>4005</v>
      </c>
      <c r="D1084" t="s">
        <v>3811</v>
      </c>
      <c r="E1084">
        <v>422</v>
      </c>
      <c r="F1084">
        <v>563</v>
      </c>
    </row>
    <row r="1085" spans="1:6" x14ac:dyDescent="0.25">
      <c r="A1085">
        <v>1083</v>
      </c>
      <c r="B1085">
        <v>1000</v>
      </c>
      <c r="C1085">
        <v>4005</v>
      </c>
      <c r="D1085" t="s">
        <v>3812</v>
      </c>
      <c r="E1085">
        <v>462</v>
      </c>
      <c r="F1085">
        <v>499</v>
      </c>
    </row>
    <row r="1086" spans="1:6" x14ac:dyDescent="0.25">
      <c r="A1086">
        <v>1084</v>
      </c>
      <c r="B1086">
        <v>1000</v>
      </c>
      <c r="C1086">
        <v>4009</v>
      </c>
      <c r="D1086" t="s">
        <v>3813</v>
      </c>
      <c r="E1086">
        <v>388</v>
      </c>
      <c r="F1086">
        <v>504</v>
      </c>
    </row>
    <row r="1087" spans="1:6" x14ac:dyDescent="0.25">
      <c r="A1087">
        <v>1085</v>
      </c>
      <c r="B1087">
        <v>1000</v>
      </c>
      <c r="C1087">
        <v>4009</v>
      </c>
      <c r="D1087" t="s">
        <v>3814</v>
      </c>
      <c r="E1087">
        <v>397</v>
      </c>
      <c r="F1087">
        <v>516</v>
      </c>
    </row>
    <row r="1088" spans="1:6" x14ac:dyDescent="0.25">
      <c r="A1088">
        <v>1086</v>
      </c>
      <c r="B1088">
        <v>1000</v>
      </c>
      <c r="C1088">
        <v>4009</v>
      </c>
      <c r="D1088" t="s">
        <v>3815</v>
      </c>
      <c r="E1088">
        <v>405</v>
      </c>
      <c r="F1088">
        <v>533</v>
      </c>
    </row>
    <row r="1089" spans="1:6" x14ac:dyDescent="0.25">
      <c r="A1089">
        <v>1087</v>
      </c>
      <c r="B1089">
        <v>1000</v>
      </c>
      <c r="C1089">
        <v>4044</v>
      </c>
      <c r="D1089" t="s">
        <v>3816</v>
      </c>
      <c r="E1089">
        <v>411</v>
      </c>
      <c r="F1089">
        <v>574</v>
      </c>
    </row>
    <row r="1090" spans="1:6" x14ac:dyDescent="0.25">
      <c r="A1090">
        <v>1088</v>
      </c>
      <c r="B1090">
        <v>1000</v>
      </c>
      <c r="C1090">
        <v>4044</v>
      </c>
      <c r="D1090" t="s">
        <v>3817</v>
      </c>
      <c r="E1090">
        <v>445</v>
      </c>
      <c r="F1090">
        <v>526</v>
      </c>
    </row>
    <row r="1091" spans="1:6" x14ac:dyDescent="0.25">
      <c r="A1091">
        <v>1089</v>
      </c>
      <c r="B1091">
        <v>1000</v>
      </c>
      <c r="C1091">
        <v>4044</v>
      </c>
      <c r="D1091" t="s">
        <v>3818</v>
      </c>
      <c r="E1091">
        <v>377</v>
      </c>
      <c r="F1091">
        <v>574</v>
      </c>
    </row>
    <row r="1092" spans="1:6" x14ac:dyDescent="0.25">
      <c r="A1092">
        <v>1090</v>
      </c>
      <c r="B1092">
        <v>1000</v>
      </c>
      <c r="C1092">
        <v>4045</v>
      </c>
      <c r="D1092" t="s">
        <v>3819</v>
      </c>
      <c r="E1092">
        <v>384</v>
      </c>
      <c r="F1092">
        <v>523</v>
      </c>
    </row>
    <row r="1093" spans="1:6" x14ac:dyDescent="0.25">
      <c r="A1093">
        <v>1091</v>
      </c>
      <c r="B1093">
        <v>1000</v>
      </c>
      <c r="C1093">
        <v>4045</v>
      </c>
      <c r="D1093" t="s">
        <v>3820</v>
      </c>
      <c r="E1093">
        <v>399</v>
      </c>
      <c r="F1093">
        <v>516</v>
      </c>
    </row>
    <row r="1094" spans="1:6" x14ac:dyDescent="0.25">
      <c r="A1094">
        <v>1092</v>
      </c>
      <c r="B1094">
        <v>1000</v>
      </c>
      <c r="C1094">
        <v>4011</v>
      </c>
      <c r="D1094" t="s">
        <v>3821</v>
      </c>
      <c r="E1094">
        <v>369</v>
      </c>
      <c r="F1094">
        <v>490</v>
      </c>
    </row>
    <row r="1095" spans="1:6" x14ac:dyDescent="0.25">
      <c r="A1095">
        <v>1093</v>
      </c>
      <c r="B1095">
        <v>1000</v>
      </c>
      <c r="C1095">
        <v>4011</v>
      </c>
      <c r="D1095" t="s">
        <v>3822</v>
      </c>
      <c r="E1095">
        <v>414</v>
      </c>
      <c r="F1095">
        <v>505</v>
      </c>
    </row>
    <row r="1096" spans="1:6" x14ac:dyDescent="0.25">
      <c r="A1096">
        <v>1094</v>
      </c>
      <c r="B1096">
        <v>1000</v>
      </c>
      <c r="C1096">
        <v>4011</v>
      </c>
      <c r="D1096" t="s">
        <v>3823</v>
      </c>
      <c r="E1096">
        <v>427</v>
      </c>
      <c r="F1096">
        <v>574</v>
      </c>
    </row>
    <row r="1097" spans="1:6" x14ac:dyDescent="0.25">
      <c r="A1097">
        <v>1095</v>
      </c>
      <c r="B1097">
        <v>1000</v>
      </c>
      <c r="C1097">
        <v>4013</v>
      </c>
      <c r="D1097" t="s">
        <v>3824</v>
      </c>
      <c r="E1097">
        <v>465</v>
      </c>
      <c r="F1097">
        <v>536</v>
      </c>
    </row>
    <row r="1098" spans="1:6" x14ac:dyDescent="0.25">
      <c r="A1098">
        <v>1096</v>
      </c>
      <c r="B1098">
        <v>1000</v>
      </c>
      <c r="C1098">
        <v>4013</v>
      </c>
      <c r="D1098" t="s">
        <v>3825</v>
      </c>
      <c r="E1098">
        <v>444</v>
      </c>
      <c r="F1098">
        <v>522</v>
      </c>
    </row>
    <row r="1099" spans="1:6" x14ac:dyDescent="0.25">
      <c r="A1099">
        <v>1097</v>
      </c>
      <c r="B1099">
        <v>1000</v>
      </c>
      <c r="C1099">
        <v>4013</v>
      </c>
      <c r="D1099" t="s">
        <v>3826</v>
      </c>
      <c r="E1099">
        <v>470</v>
      </c>
      <c r="F1099">
        <v>585</v>
      </c>
    </row>
    <row r="1100" spans="1:6" x14ac:dyDescent="0.25">
      <c r="A1100">
        <v>1098</v>
      </c>
      <c r="B1100">
        <v>1000</v>
      </c>
      <c r="C1100">
        <v>4002</v>
      </c>
      <c r="D1100" t="s">
        <v>3827</v>
      </c>
      <c r="E1100">
        <v>465</v>
      </c>
      <c r="F1100">
        <v>615</v>
      </c>
    </row>
    <row r="1101" spans="1:6" x14ac:dyDescent="0.25">
      <c r="A1101">
        <v>1099</v>
      </c>
      <c r="B1101">
        <v>1000</v>
      </c>
      <c r="C1101">
        <v>4002</v>
      </c>
      <c r="D1101" t="s">
        <v>3828</v>
      </c>
      <c r="E1101">
        <v>404</v>
      </c>
      <c r="F1101">
        <v>615</v>
      </c>
    </row>
    <row r="1102" spans="1:6" x14ac:dyDescent="0.25">
      <c r="A1102">
        <v>1100</v>
      </c>
      <c r="B1102">
        <v>1000</v>
      </c>
      <c r="C1102">
        <v>4002</v>
      </c>
      <c r="D1102" t="s">
        <v>3829</v>
      </c>
      <c r="E1102">
        <v>379</v>
      </c>
      <c r="F1102">
        <v>635</v>
      </c>
    </row>
    <row r="1103" spans="1:6" x14ac:dyDescent="0.25">
      <c r="A1103">
        <v>1101</v>
      </c>
      <c r="B1103">
        <v>1000</v>
      </c>
      <c r="C1103">
        <v>4002</v>
      </c>
      <c r="D1103" t="s">
        <v>3830</v>
      </c>
      <c r="E1103">
        <v>399</v>
      </c>
      <c r="F1103">
        <v>674</v>
      </c>
    </row>
    <row r="1104" spans="1:6" x14ac:dyDescent="0.25">
      <c r="A1104">
        <v>1102</v>
      </c>
      <c r="B1104">
        <v>1000</v>
      </c>
      <c r="C1104">
        <v>4005</v>
      </c>
      <c r="D1104" t="s">
        <v>3831</v>
      </c>
      <c r="E1104">
        <v>386</v>
      </c>
      <c r="F1104">
        <v>710</v>
      </c>
    </row>
    <row r="1105" spans="1:6" x14ac:dyDescent="0.25">
      <c r="A1105">
        <v>1103</v>
      </c>
      <c r="B1105">
        <v>1000</v>
      </c>
      <c r="C1105">
        <v>4007</v>
      </c>
      <c r="D1105" t="s">
        <v>3832</v>
      </c>
      <c r="E1105">
        <v>412</v>
      </c>
      <c r="F1105">
        <v>684</v>
      </c>
    </row>
    <row r="1106" spans="1:6" x14ac:dyDescent="0.25">
      <c r="A1106">
        <v>1104</v>
      </c>
      <c r="B1106">
        <v>1000</v>
      </c>
      <c r="C1106">
        <v>4004</v>
      </c>
      <c r="D1106" t="s">
        <v>3833</v>
      </c>
      <c r="E1106">
        <v>436</v>
      </c>
      <c r="F1106">
        <v>634</v>
      </c>
    </row>
    <row r="1107" spans="1:6" x14ac:dyDescent="0.25">
      <c r="A1107">
        <v>1105</v>
      </c>
      <c r="B1107">
        <v>1000</v>
      </c>
      <c r="C1107">
        <v>4004</v>
      </c>
      <c r="D1107" t="s">
        <v>3834</v>
      </c>
      <c r="E1107">
        <v>453</v>
      </c>
      <c r="F1107">
        <v>623</v>
      </c>
    </row>
    <row r="1108" spans="1:6" x14ac:dyDescent="0.25">
      <c r="A1108">
        <v>1106</v>
      </c>
      <c r="B1108">
        <v>1000</v>
      </c>
      <c r="C1108">
        <v>4004</v>
      </c>
      <c r="D1108" t="s">
        <v>3835</v>
      </c>
      <c r="E1108">
        <v>418</v>
      </c>
      <c r="F1108">
        <v>678</v>
      </c>
    </row>
    <row r="1109" spans="1:6" x14ac:dyDescent="0.25">
      <c r="A1109">
        <v>1107</v>
      </c>
      <c r="B1109">
        <v>1000</v>
      </c>
      <c r="C1109">
        <v>4005</v>
      </c>
      <c r="D1109" t="s">
        <v>3836</v>
      </c>
      <c r="E1109">
        <v>451</v>
      </c>
      <c r="F1109">
        <v>612</v>
      </c>
    </row>
    <row r="1110" spans="1:6" x14ac:dyDescent="0.25">
      <c r="A1110">
        <v>1108</v>
      </c>
      <c r="B1110">
        <v>1000</v>
      </c>
      <c r="C1110">
        <v>4005</v>
      </c>
      <c r="D1110" t="s">
        <v>3837</v>
      </c>
      <c r="E1110">
        <v>444</v>
      </c>
      <c r="F1110">
        <v>705</v>
      </c>
    </row>
    <row r="1111" spans="1:6" x14ac:dyDescent="0.25">
      <c r="A1111">
        <v>1109</v>
      </c>
      <c r="B1111">
        <v>1000</v>
      </c>
      <c r="C1111">
        <v>4005</v>
      </c>
      <c r="D1111" t="s">
        <v>3838</v>
      </c>
      <c r="E1111">
        <v>427</v>
      </c>
      <c r="F1111">
        <v>645</v>
      </c>
    </row>
    <row r="1112" spans="1:6" x14ac:dyDescent="0.25">
      <c r="A1112">
        <v>1110</v>
      </c>
      <c r="B1112">
        <v>1000</v>
      </c>
      <c r="C1112">
        <v>4009</v>
      </c>
      <c r="D1112" t="s">
        <v>3839</v>
      </c>
      <c r="E1112">
        <v>465</v>
      </c>
      <c r="F1112">
        <v>687</v>
      </c>
    </row>
    <row r="1113" spans="1:6" x14ac:dyDescent="0.25">
      <c r="A1113">
        <v>1111</v>
      </c>
      <c r="B1113">
        <v>1000</v>
      </c>
      <c r="C1113">
        <v>4009</v>
      </c>
      <c r="D1113" t="s">
        <v>3840</v>
      </c>
      <c r="E1113">
        <v>453</v>
      </c>
      <c r="F1113">
        <v>643</v>
      </c>
    </row>
    <row r="1114" spans="1:6" x14ac:dyDescent="0.25">
      <c r="A1114">
        <v>1112</v>
      </c>
      <c r="B1114">
        <v>1000</v>
      </c>
      <c r="C1114">
        <v>4009</v>
      </c>
      <c r="D1114" t="s">
        <v>3841</v>
      </c>
      <c r="E1114">
        <v>396</v>
      </c>
      <c r="F1114">
        <v>687</v>
      </c>
    </row>
    <row r="1115" spans="1:6" x14ac:dyDescent="0.25">
      <c r="A1115">
        <v>1113</v>
      </c>
      <c r="B1115">
        <v>1000</v>
      </c>
      <c r="C1115">
        <v>4044</v>
      </c>
      <c r="D1115" t="s">
        <v>3842</v>
      </c>
      <c r="E1115">
        <v>406</v>
      </c>
      <c r="F1115">
        <v>622</v>
      </c>
    </row>
    <row r="1116" spans="1:6" x14ac:dyDescent="0.25">
      <c r="A1116">
        <v>1114</v>
      </c>
      <c r="B1116">
        <v>1000</v>
      </c>
      <c r="C1116">
        <v>4044</v>
      </c>
      <c r="D1116" t="s">
        <v>3843</v>
      </c>
      <c r="E1116">
        <v>412</v>
      </c>
      <c r="F1116">
        <v>703</v>
      </c>
    </row>
    <row r="1117" spans="1:6" x14ac:dyDescent="0.25">
      <c r="A1117">
        <v>1115</v>
      </c>
      <c r="B1117">
        <v>1000</v>
      </c>
      <c r="C1117">
        <v>4044</v>
      </c>
      <c r="D1117" t="s">
        <v>3844</v>
      </c>
      <c r="E1117">
        <v>379</v>
      </c>
      <c r="F1117">
        <v>658</v>
      </c>
    </row>
    <row r="1118" spans="1:6" x14ac:dyDescent="0.25">
      <c r="A1118">
        <v>1116</v>
      </c>
      <c r="B1118">
        <v>1000</v>
      </c>
      <c r="C1118">
        <v>4045</v>
      </c>
      <c r="D1118" t="s">
        <v>3845</v>
      </c>
      <c r="E1118">
        <v>394</v>
      </c>
      <c r="F1118">
        <v>698</v>
      </c>
    </row>
    <row r="1119" spans="1:6" x14ac:dyDescent="0.25">
      <c r="A1119">
        <v>1117</v>
      </c>
      <c r="B1119">
        <v>1000</v>
      </c>
      <c r="C1119">
        <v>4045</v>
      </c>
      <c r="D1119" t="s">
        <v>3846</v>
      </c>
      <c r="E1119">
        <v>453</v>
      </c>
      <c r="F1119">
        <v>627</v>
      </c>
    </row>
    <row r="1120" spans="1:6" x14ac:dyDescent="0.25">
      <c r="A1120">
        <v>1118</v>
      </c>
      <c r="B1120">
        <v>1000</v>
      </c>
      <c r="C1120">
        <v>4011</v>
      </c>
      <c r="D1120" t="s">
        <v>3847</v>
      </c>
      <c r="E1120">
        <v>463</v>
      </c>
      <c r="F1120">
        <v>664</v>
      </c>
    </row>
    <row r="1121" spans="1:6" x14ac:dyDescent="0.25">
      <c r="A1121">
        <v>1119</v>
      </c>
      <c r="B1121">
        <v>1000</v>
      </c>
      <c r="C1121">
        <v>4011</v>
      </c>
      <c r="D1121" t="s">
        <v>3848</v>
      </c>
      <c r="E1121">
        <v>427</v>
      </c>
      <c r="F1121">
        <v>684</v>
      </c>
    </row>
    <row r="1122" spans="1:6" x14ac:dyDescent="0.25">
      <c r="A1122">
        <v>1120</v>
      </c>
      <c r="B1122">
        <v>1000</v>
      </c>
      <c r="C1122">
        <v>4011</v>
      </c>
      <c r="D1122" t="s">
        <v>3849</v>
      </c>
      <c r="E1122">
        <v>447</v>
      </c>
      <c r="F1122">
        <v>616</v>
      </c>
    </row>
    <row r="1123" spans="1:6" x14ac:dyDescent="0.25">
      <c r="A1123">
        <v>1121</v>
      </c>
      <c r="B1123">
        <v>1000</v>
      </c>
      <c r="C1123">
        <v>4013</v>
      </c>
      <c r="D1123" t="s">
        <v>3850</v>
      </c>
      <c r="E1123">
        <v>463</v>
      </c>
      <c r="F1123">
        <v>625</v>
      </c>
    </row>
    <row r="1124" spans="1:6" x14ac:dyDescent="0.25">
      <c r="A1124">
        <v>1122</v>
      </c>
      <c r="B1124">
        <v>1000</v>
      </c>
      <c r="C1124">
        <v>4013</v>
      </c>
      <c r="D1124" t="s">
        <v>3851</v>
      </c>
      <c r="E1124">
        <v>374</v>
      </c>
      <c r="F1124">
        <v>710</v>
      </c>
    </row>
    <row r="1125" spans="1:6" x14ac:dyDescent="0.25">
      <c r="A1125">
        <v>1123</v>
      </c>
      <c r="B1125">
        <v>1000</v>
      </c>
      <c r="C1125">
        <v>4013</v>
      </c>
      <c r="D1125" t="s">
        <v>3852</v>
      </c>
      <c r="E1125">
        <v>385</v>
      </c>
      <c r="F1125">
        <v>705</v>
      </c>
    </row>
    <row r="1126" spans="1:6" x14ac:dyDescent="0.25">
      <c r="A1126">
        <v>1124</v>
      </c>
      <c r="B1126">
        <v>1000</v>
      </c>
      <c r="C1126">
        <v>4002</v>
      </c>
      <c r="D1126" t="s">
        <v>3853</v>
      </c>
      <c r="E1126">
        <v>375</v>
      </c>
      <c r="F1126">
        <v>736</v>
      </c>
    </row>
    <row r="1127" spans="1:6" x14ac:dyDescent="0.25">
      <c r="A1127">
        <v>1125</v>
      </c>
      <c r="B1127">
        <v>1000</v>
      </c>
      <c r="C1127">
        <v>4002</v>
      </c>
      <c r="D1127" t="s">
        <v>3854</v>
      </c>
      <c r="E1127">
        <v>378</v>
      </c>
      <c r="F1127">
        <v>745</v>
      </c>
    </row>
    <row r="1128" spans="1:6" x14ac:dyDescent="0.25">
      <c r="A1128">
        <v>1126</v>
      </c>
      <c r="B1128">
        <v>1000</v>
      </c>
      <c r="C1128">
        <v>4002</v>
      </c>
      <c r="D1128" t="s">
        <v>3855</v>
      </c>
      <c r="E1128">
        <v>390</v>
      </c>
      <c r="F1128">
        <v>767</v>
      </c>
    </row>
    <row r="1129" spans="1:6" x14ac:dyDescent="0.25">
      <c r="A1129">
        <v>1127</v>
      </c>
      <c r="B1129">
        <v>1000</v>
      </c>
      <c r="C1129">
        <v>4002</v>
      </c>
      <c r="D1129" t="s">
        <v>3856</v>
      </c>
      <c r="E1129">
        <v>404</v>
      </c>
      <c r="F1129">
        <v>730</v>
      </c>
    </row>
    <row r="1130" spans="1:6" x14ac:dyDescent="0.25">
      <c r="A1130">
        <v>1128</v>
      </c>
      <c r="B1130">
        <v>1000</v>
      </c>
      <c r="C1130">
        <v>4005</v>
      </c>
      <c r="D1130" t="s">
        <v>3857</v>
      </c>
      <c r="E1130">
        <v>416</v>
      </c>
      <c r="F1130">
        <v>820</v>
      </c>
    </row>
    <row r="1131" spans="1:6" x14ac:dyDescent="0.25">
      <c r="A1131">
        <v>1129</v>
      </c>
      <c r="B1131">
        <v>1000</v>
      </c>
      <c r="C1131">
        <v>4007</v>
      </c>
      <c r="D1131" t="s">
        <v>3858</v>
      </c>
      <c r="E1131">
        <v>436</v>
      </c>
      <c r="F1131">
        <v>812</v>
      </c>
    </row>
    <row r="1132" spans="1:6" x14ac:dyDescent="0.25">
      <c r="A1132">
        <v>1130</v>
      </c>
      <c r="B1132">
        <v>1000</v>
      </c>
      <c r="C1132">
        <v>4004</v>
      </c>
      <c r="D1132" t="s">
        <v>3859</v>
      </c>
      <c r="E1132">
        <v>466</v>
      </c>
      <c r="F1132">
        <v>826</v>
      </c>
    </row>
    <row r="1133" spans="1:6" x14ac:dyDescent="0.25">
      <c r="A1133">
        <v>1131</v>
      </c>
      <c r="B1133">
        <v>1000</v>
      </c>
      <c r="C1133">
        <v>4004</v>
      </c>
      <c r="D1133" t="s">
        <v>3860</v>
      </c>
      <c r="E1133">
        <v>380</v>
      </c>
      <c r="F1133">
        <v>804</v>
      </c>
    </row>
    <row r="1134" spans="1:6" x14ac:dyDescent="0.25">
      <c r="A1134">
        <v>1132</v>
      </c>
      <c r="B1134">
        <v>1000</v>
      </c>
      <c r="C1134">
        <v>4004</v>
      </c>
      <c r="D1134" t="s">
        <v>3861</v>
      </c>
      <c r="E1134">
        <v>378</v>
      </c>
      <c r="F1134">
        <v>767</v>
      </c>
    </row>
    <row r="1135" spans="1:6" x14ac:dyDescent="0.25">
      <c r="A1135">
        <v>1133</v>
      </c>
      <c r="B1135">
        <v>1000</v>
      </c>
      <c r="C1135">
        <v>4005</v>
      </c>
      <c r="D1135" t="s">
        <v>3862</v>
      </c>
      <c r="E1135">
        <v>398</v>
      </c>
      <c r="F1135">
        <v>787</v>
      </c>
    </row>
    <row r="1136" spans="1:6" x14ac:dyDescent="0.25">
      <c r="A1136">
        <v>1134</v>
      </c>
      <c r="B1136">
        <v>1000</v>
      </c>
      <c r="C1136">
        <v>4005</v>
      </c>
      <c r="D1136" t="s">
        <v>3863</v>
      </c>
      <c r="E1136">
        <v>423</v>
      </c>
      <c r="F1136">
        <v>734</v>
      </c>
    </row>
    <row r="1137" spans="1:6" x14ac:dyDescent="0.25">
      <c r="A1137">
        <v>1135</v>
      </c>
      <c r="B1137">
        <v>1000</v>
      </c>
      <c r="C1137">
        <v>4005</v>
      </c>
      <c r="D1137" t="s">
        <v>3864</v>
      </c>
      <c r="E1137">
        <v>447</v>
      </c>
      <c r="F1137">
        <v>756</v>
      </c>
    </row>
    <row r="1138" spans="1:6" x14ac:dyDescent="0.25">
      <c r="A1138">
        <v>1136</v>
      </c>
      <c r="B1138">
        <v>1000</v>
      </c>
      <c r="C1138">
        <v>4009</v>
      </c>
      <c r="D1138" t="s">
        <v>3865</v>
      </c>
      <c r="E1138">
        <v>460</v>
      </c>
      <c r="F1138">
        <v>798</v>
      </c>
    </row>
    <row r="1139" spans="1:6" x14ac:dyDescent="0.25">
      <c r="A1139">
        <v>1137</v>
      </c>
      <c r="B1139">
        <v>1000</v>
      </c>
      <c r="C1139">
        <v>4009</v>
      </c>
      <c r="D1139" t="s">
        <v>3866</v>
      </c>
      <c r="E1139">
        <v>375</v>
      </c>
      <c r="F1139">
        <v>787</v>
      </c>
    </row>
    <row r="1140" spans="1:6" x14ac:dyDescent="0.25">
      <c r="A1140">
        <v>1138</v>
      </c>
      <c r="B1140">
        <v>1000</v>
      </c>
      <c r="C1140">
        <v>4009</v>
      </c>
      <c r="D1140" t="s">
        <v>3867</v>
      </c>
      <c r="E1140">
        <v>376</v>
      </c>
      <c r="F1140">
        <v>738</v>
      </c>
    </row>
    <row r="1141" spans="1:6" x14ac:dyDescent="0.25">
      <c r="A1141">
        <v>1139</v>
      </c>
      <c r="B1141">
        <v>1000</v>
      </c>
      <c r="C1141">
        <v>4044</v>
      </c>
      <c r="D1141" t="s">
        <v>3868</v>
      </c>
      <c r="E1141">
        <v>412</v>
      </c>
      <c r="F1141">
        <v>745</v>
      </c>
    </row>
    <row r="1142" spans="1:6" x14ac:dyDescent="0.25">
      <c r="A1142">
        <v>1140</v>
      </c>
      <c r="B1142">
        <v>1000</v>
      </c>
      <c r="C1142">
        <v>4044</v>
      </c>
      <c r="D1142" t="s">
        <v>3869</v>
      </c>
      <c r="E1142">
        <v>422</v>
      </c>
      <c r="F1142">
        <v>775</v>
      </c>
    </row>
    <row r="1143" spans="1:6" x14ac:dyDescent="0.25">
      <c r="A1143">
        <v>1141</v>
      </c>
      <c r="B1143">
        <v>1000</v>
      </c>
      <c r="C1143">
        <v>4044</v>
      </c>
      <c r="D1143" t="s">
        <v>3870</v>
      </c>
      <c r="E1143">
        <v>435</v>
      </c>
      <c r="F1143">
        <v>767</v>
      </c>
    </row>
    <row r="1144" spans="1:6" x14ac:dyDescent="0.25">
      <c r="A1144">
        <v>1142</v>
      </c>
      <c r="B1144">
        <v>1000</v>
      </c>
      <c r="C1144">
        <v>4045</v>
      </c>
      <c r="D1144" t="s">
        <v>3871</v>
      </c>
      <c r="E1144">
        <v>466</v>
      </c>
      <c r="F1144">
        <v>789</v>
      </c>
    </row>
    <row r="1145" spans="1:6" x14ac:dyDescent="0.25">
      <c r="A1145">
        <v>1143</v>
      </c>
      <c r="B1145">
        <v>1000</v>
      </c>
      <c r="C1145">
        <v>4045</v>
      </c>
      <c r="D1145" t="s">
        <v>3872</v>
      </c>
      <c r="E1145">
        <v>390</v>
      </c>
      <c r="F1145">
        <v>800</v>
      </c>
    </row>
    <row r="1146" spans="1:6" x14ac:dyDescent="0.25">
      <c r="A1146">
        <v>1144</v>
      </c>
      <c r="B1146">
        <v>1000</v>
      </c>
      <c r="C1146">
        <v>4011</v>
      </c>
      <c r="D1146" t="s">
        <v>3873</v>
      </c>
      <c r="E1146">
        <v>405</v>
      </c>
      <c r="F1146">
        <v>830</v>
      </c>
    </row>
    <row r="1147" spans="1:6" x14ac:dyDescent="0.25">
      <c r="A1147">
        <v>1145</v>
      </c>
      <c r="B1147">
        <v>1000</v>
      </c>
      <c r="C1147">
        <v>4011</v>
      </c>
      <c r="D1147" t="s">
        <v>3874</v>
      </c>
      <c r="E1147">
        <v>432</v>
      </c>
      <c r="F1147">
        <v>822</v>
      </c>
    </row>
    <row r="1148" spans="1:6" x14ac:dyDescent="0.25">
      <c r="A1148">
        <v>1146</v>
      </c>
      <c r="B1148">
        <v>1000</v>
      </c>
      <c r="C1148">
        <v>4011</v>
      </c>
      <c r="D1148" t="s">
        <v>3875</v>
      </c>
      <c r="E1148">
        <v>416</v>
      </c>
      <c r="F1148">
        <v>735</v>
      </c>
    </row>
    <row r="1149" spans="1:6" x14ac:dyDescent="0.25">
      <c r="A1149">
        <v>1147</v>
      </c>
      <c r="B1149">
        <v>1000</v>
      </c>
      <c r="C1149">
        <v>4013</v>
      </c>
      <c r="D1149" t="s">
        <v>3876</v>
      </c>
      <c r="E1149">
        <v>444</v>
      </c>
      <c r="F1149">
        <v>756</v>
      </c>
    </row>
    <row r="1150" spans="1:6" x14ac:dyDescent="0.25">
      <c r="A1150">
        <v>1148</v>
      </c>
      <c r="B1150">
        <v>1000</v>
      </c>
      <c r="C1150">
        <v>4013</v>
      </c>
      <c r="D1150" t="s">
        <v>3877</v>
      </c>
      <c r="E1150">
        <v>464</v>
      </c>
      <c r="F1150">
        <v>768</v>
      </c>
    </row>
    <row r="1151" spans="1:6" x14ac:dyDescent="0.25">
      <c r="A1151">
        <v>1149</v>
      </c>
      <c r="B1151">
        <v>1000</v>
      </c>
      <c r="C1151">
        <v>4013</v>
      </c>
      <c r="D1151" t="s">
        <v>3878</v>
      </c>
      <c r="E1151">
        <v>470</v>
      </c>
      <c r="F1151">
        <v>825</v>
      </c>
    </row>
    <row r="1152" spans="1:6" x14ac:dyDescent="0.25">
      <c r="A1152">
        <v>1150</v>
      </c>
      <c r="B1152">
        <v>1000</v>
      </c>
      <c r="C1152">
        <v>4002</v>
      </c>
      <c r="D1152" t="s">
        <v>3879</v>
      </c>
      <c r="E1152">
        <v>375</v>
      </c>
      <c r="F1152">
        <v>850</v>
      </c>
    </row>
    <row r="1153" spans="1:6" x14ac:dyDescent="0.25">
      <c r="A1153">
        <v>1151</v>
      </c>
      <c r="B1153">
        <v>1000</v>
      </c>
      <c r="C1153">
        <v>4002</v>
      </c>
      <c r="D1153" t="s">
        <v>3880</v>
      </c>
      <c r="E1153">
        <v>389</v>
      </c>
      <c r="F1153">
        <v>868</v>
      </c>
    </row>
    <row r="1154" spans="1:6" x14ac:dyDescent="0.25">
      <c r="A1154">
        <v>1152</v>
      </c>
      <c r="B1154">
        <v>1000</v>
      </c>
      <c r="C1154">
        <v>4002</v>
      </c>
      <c r="D1154" t="s">
        <v>3881</v>
      </c>
      <c r="E1154">
        <v>415</v>
      </c>
      <c r="F1154">
        <v>940</v>
      </c>
    </row>
    <row r="1155" spans="1:6" x14ac:dyDescent="0.25">
      <c r="A1155">
        <v>1153</v>
      </c>
      <c r="B1155">
        <v>1000</v>
      </c>
      <c r="C1155">
        <v>4002</v>
      </c>
      <c r="D1155" t="s">
        <v>3882</v>
      </c>
      <c r="E1155">
        <v>436</v>
      </c>
      <c r="F1155">
        <v>910</v>
      </c>
    </row>
    <row r="1156" spans="1:6" x14ac:dyDescent="0.25">
      <c r="A1156">
        <v>1154</v>
      </c>
      <c r="B1156">
        <v>1000</v>
      </c>
      <c r="C1156">
        <v>4005</v>
      </c>
      <c r="D1156" t="s">
        <v>3883</v>
      </c>
      <c r="E1156">
        <v>465</v>
      </c>
      <c r="F1156">
        <v>878</v>
      </c>
    </row>
    <row r="1157" spans="1:6" x14ac:dyDescent="0.25">
      <c r="A1157">
        <v>1155</v>
      </c>
      <c r="B1157">
        <v>1000</v>
      </c>
      <c r="C1157">
        <v>4007</v>
      </c>
      <c r="D1157" t="s">
        <v>3884</v>
      </c>
      <c r="E1157">
        <v>377</v>
      </c>
      <c r="F1157">
        <v>903</v>
      </c>
    </row>
    <row r="1158" spans="1:6" x14ac:dyDescent="0.25">
      <c r="A1158">
        <v>1156</v>
      </c>
      <c r="B1158">
        <v>1000</v>
      </c>
      <c r="C1158">
        <v>4004</v>
      </c>
      <c r="D1158" t="s">
        <v>3885</v>
      </c>
      <c r="E1158">
        <v>383</v>
      </c>
      <c r="F1158">
        <v>945</v>
      </c>
    </row>
    <row r="1159" spans="1:6" x14ac:dyDescent="0.25">
      <c r="A1159">
        <v>1157</v>
      </c>
      <c r="B1159">
        <v>1000</v>
      </c>
      <c r="C1159">
        <v>4004</v>
      </c>
      <c r="D1159" t="s">
        <v>3886</v>
      </c>
      <c r="E1159">
        <v>395</v>
      </c>
      <c r="F1159">
        <v>899</v>
      </c>
    </row>
    <row r="1160" spans="1:6" x14ac:dyDescent="0.25">
      <c r="A1160">
        <v>1158</v>
      </c>
      <c r="B1160">
        <v>1000</v>
      </c>
      <c r="C1160">
        <v>4004</v>
      </c>
      <c r="D1160" t="s">
        <v>3887</v>
      </c>
      <c r="E1160">
        <v>405</v>
      </c>
      <c r="F1160">
        <v>916</v>
      </c>
    </row>
    <row r="1161" spans="1:6" x14ac:dyDescent="0.25">
      <c r="A1161">
        <v>1159</v>
      </c>
      <c r="B1161">
        <v>1000</v>
      </c>
      <c r="C1161">
        <v>4005</v>
      </c>
      <c r="D1161" t="s">
        <v>3888</v>
      </c>
      <c r="E1161">
        <v>416</v>
      </c>
      <c r="F1161">
        <v>927</v>
      </c>
    </row>
    <row r="1162" spans="1:6" x14ac:dyDescent="0.25">
      <c r="A1162">
        <v>1160</v>
      </c>
      <c r="B1162">
        <v>1000</v>
      </c>
      <c r="C1162">
        <v>4005</v>
      </c>
      <c r="D1162" t="s">
        <v>3889</v>
      </c>
      <c r="E1162">
        <v>456</v>
      </c>
      <c r="F1162">
        <v>933</v>
      </c>
    </row>
    <row r="1163" spans="1:6" x14ac:dyDescent="0.25">
      <c r="A1163">
        <v>1161</v>
      </c>
      <c r="B1163">
        <v>1000</v>
      </c>
      <c r="C1163">
        <v>4005</v>
      </c>
      <c r="D1163" t="s">
        <v>3890</v>
      </c>
      <c r="E1163">
        <v>423</v>
      </c>
      <c r="F1163">
        <v>888</v>
      </c>
    </row>
    <row r="1164" spans="1:6" x14ac:dyDescent="0.25">
      <c r="A1164">
        <v>1162</v>
      </c>
      <c r="B1164">
        <v>1000</v>
      </c>
      <c r="C1164">
        <v>4009</v>
      </c>
      <c r="D1164" t="s">
        <v>3891</v>
      </c>
      <c r="E1164">
        <v>387</v>
      </c>
      <c r="F1164">
        <v>922</v>
      </c>
    </row>
    <row r="1165" spans="1:6" x14ac:dyDescent="0.25">
      <c r="A1165">
        <v>1163</v>
      </c>
      <c r="B1165">
        <v>1000</v>
      </c>
      <c r="C1165">
        <v>4009</v>
      </c>
      <c r="D1165" t="s">
        <v>3892</v>
      </c>
      <c r="E1165">
        <v>406</v>
      </c>
      <c r="F1165">
        <v>942</v>
      </c>
    </row>
    <row r="1166" spans="1:6" x14ac:dyDescent="0.25">
      <c r="A1166">
        <v>1164</v>
      </c>
      <c r="B1166">
        <v>1000</v>
      </c>
      <c r="C1166">
        <v>4009</v>
      </c>
      <c r="D1166" t="s">
        <v>3893</v>
      </c>
      <c r="E1166">
        <v>445</v>
      </c>
      <c r="F1166">
        <v>878</v>
      </c>
    </row>
    <row r="1167" spans="1:6" x14ac:dyDescent="0.25">
      <c r="A1167">
        <v>1165</v>
      </c>
      <c r="B1167">
        <v>1000</v>
      </c>
      <c r="C1167">
        <v>4044</v>
      </c>
      <c r="D1167" t="s">
        <v>3894</v>
      </c>
      <c r="E1167">
        <v>466</v>
      </c>
      <c r="F1167">
        <v>856</v>
      </c>
    </row>
    <row r="1168" spans="1:6" x14ac:dyDescent="0.25">
      <c r="A1168">
        <v>1166</v>
      </c>
      <c r="B1168">
        <v>1000</v>
      </c>
      <c r="C1168">
        <v>4044</v>
      </c>
      <c r="D1168" t="s">
        <v>3895</v>
      </c>
      <c r="E1168">
        <v>423</v>
      </c>
      <c r="F1168">
        <v>945</v>
      </c>
    </row>
    <row r="1169" spans="1:6" x14ac:dyDescent="0.25">
      <c r="A1169">
        <v>1167</v>
      </c>
      <c r="B1169">
        <v>1000</v>
      </c>
      <c r="C1169">
        <v>4044</v>
      </c>
      <c r="D1169" t="s">
        <v>3896</v>
      </c>
      <c r="E1169">
        <v>411</v>
      </c>
      <c r="F1169">
        <v>935</v>
      </c>
    </row>
    <row r="1170" spans="1:6" x14ac:dyDescent="0.25">
      <c r="A1170">
        <v>1168</v>
      </c>
      <c r="B1170">
        <v>1000</v>
      </c>
      <c r="C1170">
        <v>4045</v>
      </c>
      <c r="D1170" t="s">
        <v>3897</v>
      </c>
      <c r="E1170">
        <v>465</v>
      </c>
      <c r="F1170">
        <v>917</v>
      </c>
    </row>
    <row r="1171" spans="1:6" x14ac:dyDescent="0.25">
      <c r="A1171">
        <v>1169</v>
      </c>
      <c r="B1171">
        <v>1000</v>
      </c>
      <c r="C1171">
        <v>4045</v>
      </c>
      <c r="D1171" t="s">
        <v>3898</v>
      </c>
      <c r="E1171">
        <v>454</v>
      </c>
      <c r="F1171">
        <v>893</v>
      </c>
    </row>
    <row r="1172" spans="1:6" x14ac:dyDescent="0.25">
      <c r="A1172">
        <v>1170</v>
      </c>
      <c r="B1172">
        <v>1000</v>
      </c>
      <c r="C1172">
        <v>4011</v>
      </c>
      <c r="D1172" t="s">
        <v>3899</v>
      </c>
      <c r="E1172">
        <v>434</v>
      </c>
      <c r="F1172">
        <v>922</v>
      </c>
    </row>
    <row r="1173" spans="1:6" x14ac:dyDescent="0.25">
      <c r="A1173">
        <v>1171</v>
      </c>
      <c r="B1173">
        <v>1000</v>
      </c>
      <c r="C1173">
        <v>4011</v>
      </c>
      <c r="D1173" t="s">
        <v>3900</v>
      </c>
      <c r="E1173">
        <v>460</v>
      </c>
      <c r="F1173">
        <v>934</v>
      </c>
    </row>
    <row r="1174" spans="1:6" x14ac:dyDescent="0.25">
      <c r="A1174">
        <v>1172</v>
      </c>
      <c r="B1174">
        <v>1000</v>
      </c>
      <c r="C1174">
        <v>4011</v>
      </c>
      <c r="D1174" t="s">
        <v>3901</v>
      </c>
      <c r="E1174">
        <v>385</v>
      </c>
      <c r="F1174">
        <v>914</v>
      </c>
    </row>
    <row r="1175" spans="1:6" x14ac:dyDescent="0.25">
      <c r="A1175">
        <v>1173</v>
      </c>
      <c r="B1175">
        <v>1000</v>
      </c>
      <c r="C1175">
        <v>4013</v>
      </c>
      <c r="D1175" t="s">
        <v>3902</v>
      </c>
      <c r="E1175">
        <v>399</v>
      </c>
      <c r="F1175">
        <v>865</v>
      </c>
    </row>
    <row r="1176" spans="1:6" x14ac:dyDescent="0.25">
      <c r="A1176">
        <v>1174</v>
      </c>
      <c r="B1176">
        <v>1000</v>
      </c>
      <c r="C1176">
        <v>4013</v>
      </c>
      <c r="D1176" t="s">
        <v>3903</v>
      </c>
      <c r="E1176">
        <v>414</v>
      </c>
      <c r="F1176">
        <v>944</v>
      </c>
    </row>
    <row r="1177" spans="1:6" x14ac:dyDescent="0.25">
      <c r="A1177">
        <v>1175</v>
      </c>
      <c r="B1177">
        <v>1000</v>
      </c>
      <c r="C1177">
        <v>4013</v>
      </c>
      <c r="D1177" t="s">
        <v>3904</v>
      </c>
      <c r="E1177">
        <v>466</v>
      </c>
      <c r="F1177">
        <v>950</v>
      </c>
    </row>
    <row r="1178" spans="1:6" x14ac:dyDescent="0.25">
      <c r="A1178">
        <v>1176</v>
      </c>
      <c r="B1178">
        <v>1000</v>
      </c>
      <c r="C1178">
        <v>4002</v>
      </c>
      <c r="D1178" t="s">
        <v>3905</v>
      </c>
      <c r="E1178">
        <v>377</v>
      </c>
      <c r="F1178">
        <v>1060</v>
      </c>
    </row>
    <row r="1179" spans="1:6" x14ac:dyDescent="0.25">
      <c r="A1179">
        <v>1177</v>
      </c>
      <c r="B1179">
        <v>1000</v>
      </c>
      <c r="C1179">
        <v>4002</v>
      </c>
      <c r="D1179" t="s">
        <v>3906</v>
      </c>
      <c r="E1179">
        <v>398</v>
      </c>
      <c r="F1179">
        <v>970</v>
      </c>
    </row>
    <row r="1180" spans="1:6" x14ac:dyDescent="0.25">
      <c r="A1180">
        <v>1178</v>
      </c>
      <c r="B1180">
        <v>1000</v>
      </c>
      <c r="C1180">
        <v>4002</v>
      </c>
      <c r="D1180" t="s">
        <v>3907</v>
      </c>
      <c r="E1180">
        <v>416</v>
      </c>
      <c r="F1180">
        <v>999</v>
      </c>
    </row>
    <row r="1181" spans="1:6" x14ac:dyDescent="0.25">
      <c r="A1181">
        <v>1179</v>
      </c>
      <c r="B1181">
        <v>1000</v>
      </c>
      <c r="C1181">
        <v>4002</v>
      </c>
      <c r="D1181" t="s">
        <v>3908</v>
      </c>
      <c r="E1181">
        <v>464</v>
      </c>
      <c r="F1181">
        <v>1023</v>
      </c>
    </row>
    <row r="1182" spans="1:6" x14ac:dyDescent="0.25">
      <c r="A1182">
        <v>1180</v>
      </c>
      <c r="B1182">
        <v>1000</v>
      </c>
      <c r="C1182">
        <v>4005</v>
      </c>
      <c r="D1182" t="s">
        <v>3909</v>
      </c>
      <c r="E1182">
        <v>393</v>
      </c>
      <c r="F1182">
        <v>1055</v>
      </c>
    </row>
    <row r="1183" spans="1:6" x14ac:dyDescent="0.25">
      <c r="A1183">
        <v>1181</v>
      </c>
      <c r="B1183">
        <v>1000</v>
      </c>
      <c r="C1183">
        <v>4007</v>
      </c>
      <c r="D1183" t="s">
        <v>3910</v>
      </c>
      <c r="E1183">
        <v>428</v>
      </c>
      <c r="F1183">
        <v>1012</v>
      </c>
    </row>
    <row r="1184" spans="1:6" x14ac:dyDescent="0.25">
      <c r="A1184">
        <v>1182</v>
      </c>
      <c r="B1184">
        <v>1000</v>
      </c>
      <c r="C1184">
        <v>4004</v>
      </c>
      <c r="D1184" t="s">
        <v>3911</v>
      </c>
      <c r="E1184">
        <v>465</v>
      </c>
      <c r="F1184">
        <v>988</v>
      </c>
    </row>
    <row r="1185" spans="1:6" x14ac:dyDescent="0.25">
      <c r="A1185">
        <v>1183</v>
      </c>
      <c r="B1185">
        <v>1000</v>
      </c>
      <c r="C1185">
        <v>4004</v>
      </c>
      <c r="D1185" t="s">
        <v>3912</v>
      </c>
      <c r="E1185">
        <v>377</v>
      </c>
      <c r="F1185">
        <v>1010</v>
      </c>
    </row>
    <row r="1186" spans="1:6" x14ac:dyDescent="0.25">
      <c r="A1186">
        <v>1184</v>
      </c>
      <c r="B1186">
        <v>1000</v>
      </c>
      <c r="C1186">
        <v>4004</v>
      </c>
      <c r="D1186" t="s">
        <v>3913</v>
      </c>
      <c r="E1186">
        <v>392</v>
      </c>
      <c r="F1186">
        <v>1033</v>
      </c>
    </row>
    <row r="1187" spans="1:6" x14ac:dyDescent="0.25">
      <c r="A1187">
        <v>1185</v>
      </c>
      <c r="B1187">
        <v>1000</v>
      </c>
      <c r="C1187">
        <v>4005</v>
      </c>
      <c r="D1187" t="s">
        <v>3914</v>
      </c>
      <c r="E1187">
        <v>415</v>
      </c>
      <c r="F1187">
        <v>1026</v>
      </c>
    </row>
    <row r="1188" spans="1:6" x14ac:dyDescent="0.25">
      <c r="A1188">
        <v>1186</v>
      </c>
      <c r="B1188">
        <v>1000</v>
      </c>
      <c r="C1188">
        <v>4005</v>
      </c>
      <c r="D1188" t="s">
        <v>3915</v>
      </c>
      <c r="E1188">
        <v>435</v>
      </c>
      <c r="F1188">
        <v>993</v>
      </c>
    </row>
    <row r="1189" spans="1:6" x14ac:dyDescent="0.25">
      <c r="A1189">
        <v>1187</v>
      </c>
      <c r="B1189">
        <v>1000</v>
      </c>
      <c r="C1189">
        <v>4005</v>
      </c>
      <c r="D1189" t="s">
        <v>3916</v>
      </c>
      <c r="E1189">
        <v>444</v>
      </c>
      <c r="F1189">
        <v>979</v>
      </c>
    </row>
    <row r="1190" spans="1:6" x14ac:dyDescent="0.25">
      <c r="A1190">
        <v>1188</v>
      </c>
      <c r="B1190">
        <v>1000</v>
      </c>
      <c r="C1190">
        <v>4009</v>
      </c>
      <c r="D1190" t="s">
        <v>3917</v>
      </c>
      <c r="E1190">
        <v>454</v>
      </c>
      <c r="F1190">
        <v>1034</v>
      </c>
    </row>
    <row r="1191" spans="1:6" x14ac:dyDescent="0.25">
      <c r="A1191">
        <v>1189</v>
      </c>
      <c r="B1191">
        <v>1000</v>
      </c>
      <c r="C1191">
        <v>4009</v>
      </c>
      <c r="D1191" t="s">
        <v>3918</v>
      </c>
      <c r="E1191">
        <v>424</v>
      </c>
      <c r="F1191">
        <v>1041</v>
      </c>
    </row>
    <row r="1192" spans="1:6" x14ac:dyDescent="0.25">
      <c r="A1192">
        <v>1190</v>
      </c>
      <c r="B1192">
        <v>1000</v>
      </c>
      <c r="C1192">
        <v>4009</v>
      </c>
      <c r="D1192" t="s">
        <v>3919</v>
      </c>
      <c r="E1192">
        <v>376</v>
      </c>
      <c r="F1192">
        <v>1004</v>
      </c>
    </row>
    <row r="1193" spans="1:6" x14ac:dyDescent="0.25">
      <c r="A1193">
        <v>1191</v>
      </c>
      <c r="B1193">
        <v>1000</v>
      </c>
      <c r="C1193">
        <v>4044</v>
      </c>
      <c r="D1193" t="s">
        <v>3920</v>
      </c>
      <c r="E1193">
        <v>413</v>
      </c>
      <c r="F1193">
        <v>1014</v>
      </c>
    </row>
    <row r="1194" spans="1:6" x14ac:dyDescent="0.25">
      <c r="A1194">
        <v>1192</v>
      </c>
      <c r="B1194">
        <v>1000</v>
      </c>
      <c r="C1194">
        <v>4044</v>
      </c>
      <c r="D1194" t="s">
        <v>3921</v>
      </c>
      <c r="E1194">
        <v>453</v>
      </c>
      <c r="F1194">
        <v>999</v>
      </c>
    </row>
    <row r="1195" spans="1:6" x14ac:dyDescent="0.25">
      <c r="A1195">
        <v>1193</v>
      </c>
      <c r="B1195">
        <v>1000</v>
      </c>
      <c r="C1195">
        <v>4044</v>
      </c>
      <c r="D1195" t="s">
        <v>3922</v>
      </c>
      <c r="E1195">
        <v>460</v>
      </c>
      <c r="F1195">
        <v>1028</v>
      </c>
    </row>
    <row r="1196" spans="1:6" x14ac:dyDescent="0.25">
      <c r="A1196">
        <v>1194</v>
      </c>
      <c r="B1196">
        <v>1000</v>
      </c>
      <c r="C1196">
        <v>4045</v>
      </c>
      <c r="D1196" t="s">
        <v>3923</v>
      </c>
      <c r="E1196">
        <v>388</v>
      </c>
      <c r="F1196">
        <v>1047</v>
      </c>
    </row>
    <row r="1197" spans="1:6" x14ac:dyDescent="0.25">
      <c r="A1197">
        <v>1195</v>
      </c>
      <c r="B1197">
        <v>1000</v>
      </c>
      <c r="C1197">
        <v>4045</v>
      </c>
      <c r="D1197" t="s">
        <v>3924</v>
      </c>
      <c r="E1197">
        <v>406</v>
      </c>
      <c r="F1197">
        <v>1016</v>
      </c>
    </row>
    <row r="1198" spans="1:6" x14ac:dyDescent="0.25">
      <c r="A1198">
        <v>1196</v>
      </c>
      <c r="B1198">
        <v>1000</v>
      </c>
      <c r="C1198">
        <v>4011</v>
      </c>
      <c r="D1198" t="s">
        <v>3925</v>
      </c>
      <c r="E1198">
        <v>422</v>
      </c>
      <c r="F1198">
        <v>978</v>
      </c>
    </row>
    <row r="1199" spans="1:6" x14ac:dyDescent="0.25">
      <c r="A1199">
        <v>1197</v>
      </c>
      <c r="B1199">
        <v>1000</v>
      </c>
      <c r="C1199">
        <v>4011</v>
      </c>
      <c r="D1199" t="s">
        <v>3926</v>
      </c>
      <c r="E1199">
        <v>402</v>
      </c>
      <c r="F1199">
        <v>1025</v>
      </c>
    </row>
    <row r="1200" spans="1:6" x14ac:dyDescent="0.25">
      <c r="A1200">
        <v>1198</v>
      </c>
      <c r="B1200">
        <v>1000</v>
      </c>
      <c r="C1200">
        <v>4011</v>
      </c>
      <c r="D1200" t="s">
        <v>3927</v>
      </c>
      <c r="E1200">
        <v>378</v>
      </c>
      <c r="F1200">
        <v>1054</v>
      </c>
    </row>
    <row r="1201" spans="1:6" x14ac:dyDescent="0.25">
      <c r="A1201">
        <v>1199</v>
      </c>
      <c r="B1201">
        <v>1000</v>
      </c>
      <c r="C1201">
        <v>4013</v>
      </c>
      <c r="D1201" t="s">
        <v>3928</v>
      </c>
      <c r="E1201">
        <v>385</v>
      </c>
      <c r="F1201">
        <v>979</v>
      </c>
    </row>
    <row r="1202" spans="1:6" x14ac:dyDescent="0.25">
      <c r="A1202">
        <v>1200</v>
      </c>
      <c r="B1202">
        <v>1000</v>
      </c>
      <c r="C1202">
        <v>4013</v>
      </c>
      <c r="D1202" t="s">
        <v>3929</v>
      </c>
      <c r="E1202">
        <v>414</v>
      </c>
      <c r="F1202">
        <v>1001</v>
      </c>
    </row>
    <row r="1203" spans="1:6" x14ac:dyDescent="0.25">
      <c r="A1203">
        <v>1201</v>
      </c>
      <c r="B1203">
        <v>1000</v>
      </c>
      <c r="C1203">
        <v>4013</v>
      </c>
      <c r="D1203" t="s">
        <v>3930</v>
      </c>
      <c r="E1203">
        <v>465</v>
      </c>
      <c r="F1203">
        <v>1025</v>
      </c>
    </row>
    <row r="1204" spans="1:6" x14ac:dyDescent="0.25">
      <c r="A1204">
        <v>1202</v>
      </c>
      <c r="B1204">
        <v>1000</v>
      </c>
      <c r="C1204">
        <v>4002</v>
      </c>
      <c r="D1204" t="s">
        <v>3931</v>
      </c>
      <c r="E1204">
        <v>372</v>
      </c>
      <c r="F1204">
        <v>1095</v>
      </c>
    </row>
    <row r="1205" spans="1:6" x14ac:dyDescent="0.25">
      <c r="A1205">
        <v>1203</v>
      </c>
      <c r="B1205">
        <v>1000</v>
      </c>
      <c r="C1205">
        <v>4002</v>
      </c>
      <c r="D1205" t="s">
        <v>3932</v>
      </c>
      <c r="E1205">
        <v>398</v>
      </c>
      <c r="F1205">
        <v>1100</v>
      </c>
    </row>
    <row r="1206" spans="1:6" x14ac:dyDescent="0.25">
      <c r="A1206">
        <v>1204</v>
      </c>
      <c r="B1206">
        <v>1000</v>
      </c>
      <c r="C1206">
        <v>4002</v>
      </c>
      <c r="D1206" t="s">
        <v>3933</v>
      </c>
      <c r="E1206">
        <v>416</v>
      </c>
      <c r="F1206">
        <v>1134</v>
      </c>
    </row>
    <row r="1207" spans="1:6" x14ac:dyDescent="0.25">
      <c r="A1207">
        <v>1205</v>
      </c>
      <c r="B1207">
        <v>1000</v>
      </c>
      <c r="C1207">
        <v>4002</v>
      </c>
      <c r="D1207" t="s">
        <v>3934</v>
      </c>
      <c r="E1207">
        <v>464</v>
      </c>
      <c r="F1207">
        <v>1156</v>
      </c>
    </row>
    <row r="1208" spans="1:6" x14ac:dyDescent="0.25">
      <c r="A1208">
        <v>1206</v>
      </c>
      <c r="B1208">
        <v>1000</v>
      </c>
      <c r="C1208">
        <v>4005</v>
      </c>
      <c r="D1208" t="s">
        <v>3935</v>
      </c>
      <c r="E1208">
        <v>393</v>
      </c>
      <c r="F1208">
        <v>1122</v>
      </c>
    </row>
    <row r="1209" spans="1:6" x14ac:dyDescent="0.25">
      <c r="A1209">
        <v>1207</v>
      </c>
      <c r="B1209">
        <v>1000</v>
      </c>
      <c r="C1209">
        <v>4007</v>
      </c>
      <c r="D1209" t="s">
        <v>3936</v>
      </c>
      <c r="E1209">
        <v>428</v>
      </c>
      <c r="F1209">
        <v>1190</v>
      </c>
    </row>
    <row r="1210" spans="1:6" x14ac:dyDescent="0.25">
      <c r="A1210">
        <v>1208</v>
      </c>
      <c r="B1210">
        <v>1000</v>
      </c>
      <c r="C1210">
        <v>4004</v>
      </c>
      <c r="D1210" t="s">
        <v>3937</v>
      </c>
      <c r="E1210">
        <v>465</v>
      </c>
      <c r="F1210">
        <v>1176</v>
      </c>
    </row>
    <row r="1211" spans="1:6" x14ac:dyDescent="0.25">
      <c r="A1211">
        <v>1209</v>
      </c>
      <c r="B1211">
        <v>1000</v>
      </c>
      <c r="C1211">
        <v>4004</v>
      </c>
      <c r="D1211" t="s">
        <v>3938</v>
      </c>
      <c r="E1211">
        <v>377</v>
      </c>
      <c r="F1211">
        <v>1095</v>
      </c>
    </row>
    <row r="1212" spans="1:6" x14ac:dyDescent="0.25">
      <c r="A1212">
        <v>1210</v>
      </c>
      <c r="B1212">
        <v>1000</v>
      </c>
      <c r="C1212">
        <v>4004</v>
      </c>
      <c r="D1212" t="s">
        <v>3939</v>
      </c>
      <c r="E1212">
        <v>392</v>
      </c>
      <c r="F1212">
        <v>1096</v>
      </c>
    </row>
    <row r="1213" spans="1:6" x14ac:dyDescent="0.25">
      <c r="A1213">
        <v>1211</v>
      </c>
      <c r="B1213">
        <v>1000</v>
      </c>
      <c r="C1213">
        <v>4005</v>
      </c>
      <c r="D1213" t="s">
        <v>3940</v>
      </c>
      <c r="E1213">
        <v>415</v>
      </c>
      <c r="F1213">
        <v>1144</v>
      </c>
    </row>
    <row r="1214" spans="1:6" x14ac:dyDescent="0.25">
      <c r="A1214">
        <v>1212</v>
      </c>
      <c r="B1214">
        <v>1000</v>
      </c>
      <c r="C1214">
        <v>4005</v>
      </c>
      <c r="D1214" t="s">
        <v>3941</v>
      </c>
      <c r="E1214">
        <v>435</v>
      </c>
      <c r="F1214">
        <v>1176</v>
      </c>
    </row>
    <row r="1215" spans="1:6" x14ac:dyDescent="0.25">
      <c r="A1215">
        <v>1213</v>
      </c>
      <c r="B1215">
        <v>1000</v>
      </c>
      <c r="C1215">
        <v>4005</v>
      </c>
      <c r="D1215" t="s">
        <v>3942</v>
      </c>
      <c r="E1215">
        <v>444</v>
      </c>
      <c r="F1215">
        <v>1123</v>
      </c>
    </row>
    <row r="1216" spans="1:6" x14ac:dyDescent="0.25">
      <c r="A1216">
        <v>1214</v>
      </c>
      <c r="B1216">
        <v>1000</v>
      </c>
      <c r="C1216">
        <v>4009</v>
      </c>
      <c r="D1216" t="s">
        <v>3943</v>
      </c>
      <c r="E1216">
        <v>454</v>
      </c>
      <c r="F1216">
        <v>1111</v>
      </c>
    </row>
    <row r="1217" spans="1:6" x14ac:dyDescent="0.25">
      <c r="A1217">
        <v>1215</v>
      </c>
      <c r="B1217">
        <v>1000</v>
      </c>
      <c r="C1217">
        <v>4009</v>
      </c>
      <c r="D1217" t="s">
        <v>3944</v>
      </c>
      <c r="E1217">
        <v>424</v>
      </c>
      <c r="F1217">
        <v>1190</v>
      </c>
    </row>
    <row r="1218" spans="1:6" x14ac:dyDescent="0.25">
      <c r="A1218">
        <v>1216</v>
      </c>
      <c r="B1218">
        <v>1000</v>
      </c>
      <c r="C1218">
        <v>4009</v>
      </c>
      <c r="D1218" t="s">
        <v>3945</v>
      </c>
      <c r="E1218">
        <v>376</v>
      </c>
      <c r="F1218">
        <v>1185</v>
      </c>
    </row>
    <row r="1219" spans="1:6" x14ac:dyDescent="0.25">
      <c r="A1219">
        <v>1217</v>
      </c>
      <c r="B1219">
        <v>1000</v>
      </c>
      <c r="C1219">
        <v>4044</v>
      </c>
      <c r="D1219" t="s">
        <v>3946</v>
      </c>
      <c r="E1219">
        <v>413</v>
      </c>
      <c r="F1219">
        <v>1133</v>
      </c>
    </row>
    <row r="1220" spans="1:6" x14ac:dyDescent="0.25">
      <c r="A1220">
        <v>1218</v>
      </c>
      <c r="B1220">
        <v>1000</v>
      </c>
      <c r="C1220">
        <v>4044</v>
      </c>
      <c r="D1220" t="s">
        <v>3947</v>
      </c>
      <c r="E1220">
        <v>453</v>
      </c>
      <c r="F1220">
        <v>1184</v>
      </c>
    </row>
    <row r="1221" spans="1:6" x14ac:dyDescent="0.25">
      <c r="A1221">
        <v>1219</v>
      </c>
      <c r="B1221">
        <v>1000</v>
      </c>
      <c r="C1221">
        <v>4044</v>
      </c>
      <c r="D1221" t="s">
        <v>3948</v>
      </c>
      <c r="E1221">
        <v>460</v>
      </c>
      <c r="F1221">
        <v>1145</v>
      </c>
    </row>
    <row r="1222" spans="1:6" x14ac:dyDescent="0.25">
      <c r="A1222">
        <v>1220</v>
      </c>
      <c r="B1222">
        <v>1000</v>
      </c>
      <c r="C1222">
        <v>4045</v>
      </c>
      <c r="D1222" t="s">
        <v>3949</v>
      </c>
      <c r="E1222">
        <v>388</v>
      </c>
      <c r="F1222">
        <v>1158</v>
      </c>
    </row>
    <row r="1223" spans="1:6" x14ac:dyDescent="0.25">
      <c r="A1223">
        <v>1221</v>
      </c>
      <c r="B1223">
        <v>1000</v>
      </c>
      <c r="C1223">
        <v>4045</v>
      </c>
      <c r="D1223" t="s">
        <v>3950</v>
      </c>
      <c r="E1223">
        <v>406</v>
      </c>
      <c r="F1223">
        <v>1090</v>
      </c>
    </row>
    <row r="1224" spans="1:6" x14ac:dyDescent="0.25">
      <c r="A1224">
        <v>1222</v>
      </c>
      <c r="B1224">
        <v>1000</v>
      </c>
      <c r="C1224">
        <v>4011</v>
      </c>
      <c r="D1224" t="s">
        <v>3951</v>
      </c>
      <c r="E1224">
        <v>422</v>
      </c>
      <c r="F1224">
        <v>1108</v>
      </c>
    </row>
    <row r="1225" spans="1:6" x14ac:dyDescent="0.25">
      <c r="A1225">
        <v>1223</v>
      </c>
      <c r="B1225">
        <v>1000</v>
      </c>
      <c r="C1225">
        <v>4011</v>
      </c>
      <c r="D1225" t="s">
        <v>3952</v>
      </c>
      <c r="E1225">
        <v>402</v>
      </c>
      <c r="F1225">
        <v>1166</v>
      </c>
    </row>
    <row r="1226" spans="1:6" x14ac:dyDescent="0.25">
      <c r="A1226">
        <v>1224</v>
      </c>
      <c r="B1226">
        <v>1000</v>
      </c>
      <c r="C1226">
        <v>4011</v>
      </c>
      <c r="D1226" t="s">
        <v>3953</v>
      </c>
      <c r="E1226">
        <v>378</v>
      </c>
      <c r="F1226">
        <v>1190</v>
      </c>
    </row>
    <row r="1227" spans="1:6" x14ac:dyDescent="0.25">
      <c r="A1227">
        <v>1225</v>
      </c>
      <c r="B1227">
        <v>1000</v>
      </c>
      <c r="C1227">
        <v>4013</v>
      </c>
      <c r="D1227" t="s">
        <v>3954</v>
      </c>
      <c r="E1227">
        <v>385</v>
      </c>
      <c r="F1227">
        <v>1146</v>
      </c>
    </row>
    <row r="1228" spans="1:6" x14ac:dyDescent="0.25">
      <c r="A1228">
        <v>1226</v>
      </c>
      <c r="B1228">
        <v>1000</v>
      </c>
      <c r="C1228">
        <v>4013</v>
      </c>
      <c r="D1228" t="s">
        <v>3955</v>
      </c>
      <c r="E1228">
        <v>414</v>
      </c>
      <c r="F1228">
        <v>1174</v>
      </c>
    </row>
    <row r="1229" spans="1:6" x14ac:dyDescent="0.25">
      <c r="A1229">
        <v>1227</v>
      </c>
      <c r="B1229">
        <v>1000</v>
      </c>
      <c r="C1229">
        <v>4013</v>
      </c>
      <c r="D1229" t="s">
        <v>3956</v>
      </c>
      <c r="E1229">
        <v>465</v>
      </c>
      <c r="F1229">
        <v>1185</v>
      </c>
    </row>
  </sheetData>
  <sortState ref="A3:F1275">
    <sortCondition ref="A3:A1275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6"/>
  <sheetViews>
    <sheetView workbookViewId="0">
      <selection activeCell="D14" sqref="D14"/>
    </sheetView>
  </sheetViews>
  <sheetFormatPr defaultRowHeight="15" x14ac:dyDescent="0.25"/>
  <cols>
    <col min="1" max="1" width="4" bestFit="1" customWidth="1"/>
    <col min="3" max="3" width="10.7109375" bestFit="1" customWidth="1"/>
    <col min="4" max="4" width="40.42578125" bestFit="1" customWidth="1"/>
  </cols>
  <sheetData>
    <row r="1" spans="1:6" ht="30" x14ac:dyDescent="0.25">
      <c r="A1" s="1" t="s">
        <v>2142</v>
      </c>
      <c r="B1" s="1" t="s">
        <v>3958</v>
      </c>
      <c r="C1" s="1" t="s">
        <v>4053</v>
      </c>
      <c r="D1" s="1" t="s">
        <v>2329</v>
      </c>
      <c r="E1" s="1" t="s">
        <v>2629</v>
      </c>
      <c r="F1" s="1" t="s">
        <v>2630</v>
      </c>
    </row>
    <row r="3" spans="1:6" x14ac:dyDescent="0.25">
      <c r="A3">
        <v>1</v>
      </c>
      <c r="B3">
        <v>42</v>
      </c>
      <c r="C3">
        <v>7000</v>
      </c>
      <c r="D3" t="s">
        <v>3959</v>
      </c>
      <c r="E3">
        <v>1325</v>
      </c>
      <c r="F3">
        <v>234</v>
      </c>
    </row>
    <row r="4" spans="1:6" x14ac:dyDescent="0.25">
      <c r="A4">
        <v>2</v>
      </c>
      <c r="B4">
        <v>42</v>
      </c>
      <c r="C4">
        <v>7000</v>
      </c>
      <c r="D4" t="s">
        <v>3960</v>
      </c>
      <c r="E4">
        <v>1325</v>
      </c>
      <c r="F4">
        <v>258</v>
      </c>
    </row>
    <row r="5" spans="1:6" x14ac:dyDescent="0.25">
      <c r="A5">
        <v>3</v>
      </c>
      <c r="B5">
        <v>42</v>
      </c>
      <c r="C5">
        <v>7000</v>
      </c>
      <c r="D5" t="s">
        <v>3961</v>
      </c>
      <c r="E5">
        <v>1325</v>
      </c>
      <c r="F5">
        <v>282</v>
      </c>
    </row>
    <row r="6" spans="1:6" x14ac:dyDescent="0.25">
      <c r="A6">
        <v>4</v>
      </c>
      <c r="B6">
        <v>42</v>
      </c>
      <c r="C6">
        <v>7000</v>
      </c>
      <c r="D6" t="s">
        <v>3962</v>
      </c>
      <c r="E6">
        <v>1325</v>
      </c>
      <c r="F6">
        <v>306</v>
      </c>
    </row>
    <row r="7" spans="1:6" x14ac:dyDescent="0.25">
      <c r="A7">
        <v>5</v>
      </c>
      <c r="B7">
        <v>42</v>
      </c>
      <c r="C7">
        <v>7000</v>
      </c>
      <c r="D7" t="s">
        <v>3963</v>
      </c>
      <c r="E7">
        <v>1325</v>
      </c>
      <c r="F7">
        <v>330</v>
      </c>
    </row>
    <row r="8" spans="1:6" x14ac:dyDescent="0.25">
      <c r="A8">
        <v>1</v>
      </c>
      <c r="B8">
        <v>43</v>
      </c>
      <c r="C8">
        <v>7000</v>
      </c>
      <c r="D8" t="s">
        <v>3964</v>
      </c>
      <c r="E8">
        <v>1325</v>
      </c>
      <c r="F8">
        <v>354</v>
      </c>
    </row>
    <row r="9" spans="1:6" x14ac:dyDescent="0.25">
      <c r="A9">
        <v>2</v>
      </c>
      <c r="B9">
        <v>43</v>
      </c>
      <c r="C9">
        <v>7000</v>
      </c>
      <c r="D9" t="s">
        <v>3965</v>
      </c>
      <c r="E9">
        <v>1325</v>
      </c>
      <c r="F9">
        <v>378</v>
      </c>
    </row>
    <row r="10" spans="1:6" x14ac:dyDescent="0.25">
      <c r="A10">
        <v>3</v>
      </c>
      <c r="B10">
        <v>43</v>
      </c>
      <c r="C10">
        <v>7000</v>
      </c>
      <c r="D10" t="s">
        <v>3966</v>
      </c>
      <c r="E10">
        <v>1325</v>
      </c>
      <c r="F10">
        <v>402</v>
      </c>
    </row>
    <row r="11" spans="1:6" x14ac:dyDescent="0.25">
      <c r="A11">
        <v>4</v>
      </c>
      <c r="B11">
        <v>43</v>
      </c>
      <c r="C11">
        <v>7000</v>
      </c>
      <c r="D11" t="s">
        <v>3967</v>
      </c>
      <c r="E11">
        <v>1325</v>
      </c>
      <c r="F11">
        <v>426</v>
      </c>
    </row>
    <row r="12" spans="1:6" x14ac:dyDescent="0.25">
      <c r="A12">
        <v>5</v>
      </c>
      <c r="B12">
        <v>43</v>
      </c>
      <c r="C12">
        <v>7000</v>
      </c>
      <c r="D12" t="s">
        <v>3968</v>
      </c>
      <c r="E12">
        <v>1325</v>
      </c>
      <c r="F12">
        <v>450</v>
      </c>
    </row>
    <row r="13" spans="1:6" x14ac:dyDescent="0.25">
      <c r="A13">
        <v>1</v>
      </c>
      <c r="B13">
        <v>44</v>
      </c>
      <c r="C13">
        <v>7000</v>
      </c>
      <c r="D13" t="s">
        <v>3969</v>
      </c>
      <c r="E13">
        <v>1325</v>
      </c>
      <c r="F13">
        <v>474</v>
      </c>
    </row>
    <row r="14" spans="1:6" x14ac:dyDescent="0.25">
      <c r="A14">
        <v>2</v>
      </c>
      <c r="B14">
        <v>44</v>
      </c>
      <c r="C14">
        <v>7000</v>
      </c>
      <c r="D14" t="s">
        <v>3970</v>
      </c>
      <c r="E14">
        <v>1325</v>
      </c>
      <c r="F14">
        <v>498</v>
      </c>
    </row>
    <row r="15" spans="1:6" x14ac:dyDescent="0.25">
      <c r="A15">
        <v>3</v>
      </c>
      <c r="B15">
        <v>44</v>
      </c>
      <c r="C15">
        <v>7000</v>
      </c>
      <c r="D15" t="s">
        <v>3971</v>
      </c>
      <c r="E15">
        <v>1325</v>
      </c>
      <c r="F15">
        <v>522</v>
      </c>
    </row>
    <row r="16" spans="1:6" x14ac:dyDescent="0.25">
      <c r="A16">
        <v>4</v>
      </c>
      <c r="B16">
        <v>44</v>
      </c>
      <c r="C16">
        <v>7000</v>
      </c>
      <c r="D16" t="s">
        <v>3972</v>
      </c>
      <c r="E16">
        <v>1325</v>
      </c>
      <c r="F16">
        <v>546</v>
      </c>
    </row>
    <row r="17" spans="1:6" x14ac:dyDescent="0.25">
      <c r="A17">
        <v>5</v>
      </c>
      <c r="B17">
        <v>44</v>
      </c>
      <c r="C17">
        <v>7000</v>
      </c>
      <c r="D17" t="s">
        <v>3973</v>
      </c>
      <c r="E17">
        <v>1325</v>
      </c>
      <c r="F17">
        <v>570</v>
      </c>
    </row>
    <row r="18" spans="1:6" x14ac:dyDescent="0.25">
      <c r="A18">
        <v>1</v>
      </c>
      <c r="B18">
        <v>45</v>
      </c>
      <c r="C18">
        <v>7000</v>
      </c>
      <c r="D18" t="s">
        <v>3974</v>
      </c>
      <c r="E18">
        <v>1325</v>
      </c>
      <c r="F18">
        <v>594</v>
      </c>
    </row>
    <row r="19" spans="1:6" x14ac:dyDescent="0.25">
      <c r="A19">
        <v>2</v>
      </c>
      <c r="B19">
        <v>45</v>
      </c>
      <c r="C19">
        <v>7000</v>
      </c>
      <c r="D19" t="s">
        <v>3975</v>
      </c>
      <c r="E19">
        <v>1325</v>
      </c>
      <c r="F19">
        <v>618</v>
      </c>
    </row>
    <row r="20" spans="1:6" x14ac:dyDescent="0.25">
      <c r="A20">
        <v>3</v>
      </c>
      <c r="B20">
        <v>45</v>
      </c>
      <c r="C20">
        <v>7000</v>
      </c>
      <c r="D20" t="s">
        <v>3976</v>
      </c>
      <c r="E20">
        <v>1325</v>
      </c>
      <c r="F20">
        <v>642</v>
      </c>
    </row>
    <row r="21" spans="1:6" x14ac:dyDescent="0.25">
      <c r="A21">
        <v>4</v>
      </c>
      <c r="B21">
        <v>45</v>
      </c>
      <c r="C21">
        <v>7000</v>
      </c>
      <c r="D21" t="s">
        <v>3977</v>
      </c>
      <c r="E21">
        <v>1325</v>
      </c>
      <c r="F21">
        <v>666</v>
      </c>
    </row>
    <row r="22" spans="1:6" x14ac:dyDescent="0.25">
      <c r="A22">
        <v>5</v>
      </c>
      <c r="B22">
        <v>45</v>
      </c>
      <c r="C22">
        <v>7000</v>
      </c>
      <c r="D22" t="s">
        <v>3978</v>
      </c>
      <c r="E22">
        <v>1325</v>
      </c>
      <c r="F22">
        <v>690</v>
      </c>
    </row>
    <row r="23" spans="1:6" x14ac:dyDescent="0.25">
      <c r="A23">
        <v>1</v>
      </c>
      <c r="B23">
        <v>46</v>
      </c>
      <c r="C23">
        <v>7000</v>
      </c>
      <c r="D23" t="s">
        <v>3979</v>
      </c>
      <c r="E23">
        <v>1325</v>
      </c>
      <c r="F23">
        <v>714</v>
      </c>
    </row>
    <row r="24" spans="1:6" x14ac:dyDescent="0.25">
      <c r="A24">
        <v>2</v>
      </c>
      <c r="B24">
        <v>46</v>
      </c>
      <c r="C24">
        <v>7000</v>
      </c>
      <c r="D24" t="s">
        <v>3980</v>
      </c>
      <c r="E24">
        <v>1325</v>
      </c>
      <c r="F24">
        <v>738</v>
      </c>
    </row>
    <row r="25" spans="1:6" x14ac:dyDescent="0.25">
      <c r="A25">
        <v>3</v>
      </c>
      <c r="B25">
        <v>46</v>
      </c>
      <c r="C25">
        <v>7000</v>
      </c>
      <c r="D25" t="s">
        <v>3981</v>
      </c>
      <c r="E25">
        <v>1325</v>
      </c>
      <c r="F25">
        <v>762</v>
      </c>
    </row>
    <row r="26" spans="1:6" x14ac:dyDescent="0.25">
      <c r="A26">
        <v>4</v>
      </c>
      <c r="B26">
        <v>46</v>
      </c>
      <c r="C26">
        <v>7000</v>
      </c>
      <c r="D26" t="s">
        <v>3982</v>
      </c>
      <c r="E26">
        <v>1325</v>
      </c>
      <c r="F26">
        <v>786</v>
      </c>
    </row>
    <row r="27" spans="1:6" x14ac:dyDescent="0.25">
      <c r="A27">
        <v>5</v>
      </c>
      <c r="B27">
        <v>46</v>
      </c>
      <c r="C27">
        <v>7000</v>
      </c>
      <c r="D27" t="s">
        <v>3983</v>
      </c>
      <c r="E27">
        <v>1325</v>
      </c>
      <c r="F27">
        <v>810</v>
      </c>
    </row>
    <row r="28" spans="1:6" x14ac:dyDescent="0.25">
      <c r="A28">
        <v>1</v>
      </c>
      <c r="B28">
        <v>47</v>
      </c>
      <c r="C28">
        <v>7000</v>
      </c>
      <c r="D28" t="s">
        <v>3984</v>
      </c>
      <c r="E28">
        <v>1325</v>
      </c>
      <c r="F28">
        <v>834</v>
      </c>
    </row>
    <row r="29" spans="1:6" x14ac:dyDescent="0.25">
      <c r="A29">
        <v>2</v>
      </c>
      <c r="B29">
        <v>47</v>
      </c>
      <c r="C29">
        <v>7000</v>
      </c>
      <c r="D29" t="s">
        <v>3985</v>
      </c>
      <c r="E29">
        <v>1325</v>
      </c>
      <c r="F29">
        <v>858</v>
      </c>
    </row>
    <row r="30" spans="1:6" x14ac:dyDescent="0.25">
      <c r="A30">
        <v>3</v>
      </c>
      <c r="B30">
        <v>47</v>
      </c>
      <c r="C30">
        <v>7000</v>
      </c>
      <c r="D30" t="s">
        <v>3986</v>
      </c>
      <c r="E30">
        <v>1325</v>
      </c>
      <c r="F30">
        <v>882</v>
      </c>
    </row>
    <row r="31" spans="1:6" x14ac:dyDescent="0.25">
      <c r="A31">
        <v>4</v>
      </c>
      <c r="B31">
        <v>47</v>
      </c>
      <c r="C31">
        <v>7000</v>
      </c>
      <c r="D31" t="s">
        <v>3987</v>
      </c>
      <c r="E31">
        <v>1325</v>
      </c>
      <c r="F31">
        <v>906</v>
      </c>
    </row>
    <row r="32" spans="1:6" x14ac:dyDescent="0.25">
      <c r="A32">
        <v>5</v>
      </c>
      <c r="B32">
        <v>47</v>
      </c>
      <c r="C32">
        <v>7000</v>
      </c>
      <c r="D32" t="s">
        <v>3988</v>
      </c>
      <c r="E32">
        <v>1325</v>
      </c>
      <c r="F32">
        <v>930</v>
      </c>
    </row>
    <row r="33" spans="1:6" x14ac:dyDescent="0.25">
      <c r="A33">
        <v>1</v>
      </c>
      <c r="B33">
        <v>99</v>
      </c>
      <c r="C33">
        <v>5014</v>
      </c>
      <c r="D33" t="s">
        <v>3989</v>
      </c>
      <c r="E33">
        <v>970</v>
      </c>
      <c r="F33">
        <v>960</v>
      </c>
    </row>
    <row r="34" spans="1:6" x14ac:dyDescent="0.25">
      <c r="A34">
        <v>2</v>
      </c>
      <c r="B34">
        <v>99</v>
      </c>
      <c r="C34">
        <v>5001</v>
      </c>
      <c r="D34" t="s">
        <v>3990</v>
      </c>
      <c r="E34">
        <v>960</v>
      </c>
      <c r="F34">
        <v>1000</v>
      </c>
    </row>
    <row r="35" spans="1:6" x14ac:dyDescent="0.25">
      <c r="A35">
        <v>3</v>
      </c>
      <c r="B35">
        <v>99</v>
      </c>
      <c r="C35">
        <v>5001</v>
      </c>
      <c r="D35" t="s">
        <v>3991</v>
      </c>
      <c r="E35">
        <v>880</v>
      </c>
      <c r="F35">
        <v>1100</v>
      </c>
    </row>
    <row r="36" spans="1:6" x14ac:dyDescent="0.25">
      <c r="A36">
        <v>4</v>
      </c>
      <c r="B36">
        <v>99</v>
      </c>
      <c r="C36">
        <v>5001</v>
      </c>
      <c r="D36" t="s">
        <v>3992</v>
      </c>
      <c r="E36">
        <v>1040</v>
      </c>
      <c r="F36">
        <v>1160</v>
      </c>
    </row>
    <row r="37" spans="1:6" x14ac:dyDescent="0.25">
      <c r="A37">
        <v>5</v>
      </c>
      <c r="B37">
        <v>99</v>
      </c>
      <c r="C37">
        <v>5001</v>
      </c>
      <c r="D37" t="s">
        <v>3993</v>
      </c>
      <c r="E37">
        <v>740</v>
      </c>
      <c r="F37">
        <v>1160</v>
      </c>
    </row>
    <row r="38" spans="1:6" x14ac:dyDescent="0.25">
      <c r="A38">
        <v>6</v>
      </c>
      <c r="B38">
        <v>99</v>
      </c>
      <c r="C38">
        <v>5011</v>
      </c>
      <c r="D38" t="s">
        <v>3994</v>
      </c>
      <c r="E38">
        <v>920</v>
      </c>
      <c r="F38">
        <v>980</v>
      </c>
    </row>
    <row r="39" spans="1:6" x14ac:dyDescent="0.25">
      <c r="A39">
        <v>7</v>
      </c>
      <c r="B39">
        <v>99</v>
      </c>
      <c r="C39">
        <v>5011</v>
      </c>
      <c r="D39" t="s">
        <v>3995</v>
      </c>
      <c r="E39">
        <v>1020</v>
      </c>
      <c r="F39">
        <v>1020</v>
      </c>
    </row>
    <row r="40" spans="1:6" x14ac:dyDescent="0.25">
      <c r="A40">
        <v>8</v>
      </c>
      <c r="B40">
        <v>99</v>
      </c>
      <c r="C40">
        <v>5011</v>
      </c>
      <c r="D40" t="s">
        <v>3996</v>
      </c>
      <c r="E40">
        <v>880</v>
      </c>
      <c r="F40">
        <v>1060</v>
      </c>
    </row>
    <row r="41" spans="1:6" x14ac:dyDescent="0.25">
      <c r="A41">
        <v>9</v>
      </c>
      <c r="B41">
        <v>99</v>
      </c>
      <c r="C41">
        <v>5011</v>
      </c>
      <c r="D41" t="s">
        <v>3997</v>
      </c>
      <c r="E41">
        <v>760</v>
      </c>
      <c r="F41">
        <v>1060</v>
      </c>
    </row>
    <row r="42" spans="1:6" x14ac:dyDescent="0.25">
      <c r="A42">
        <v>10</v>
      </c>
      <c r="B42">
        <v>99</v>
      </c>
      <c r="C42">
        <v>5011</v>
      </c>
      <c r="D42" t="s">
        <v>3998</v>
      </c>
      <c r="E42">
        <v>980</v>
      </c>
      <c r="F42">
        <v>1100</v>
      </c>
    </row>
    <row r="43" spans="1:6" x14ac:dyDescent="0.25">
      <c r="A43">
        <v>11</v>
      </c>
      <c r="B43">
        <v>99</v>
      </c>
      <c r="C43">
        <v>5011</v>
      </c>
      <c r="D43" t="s">
        <v>3999</v>
      </c>
      <c r="E43">
        <v>780</v>
      </c>
      <c r="F43">
        <v>1120</v>
      </c>
    </row>
    <row r="44" spans="1:6" x14ac:dyDescent="0.25">
      <c r="A44">
        <v>12</v>
      </c>
      <c r="B44">
        <v>99</v>
      </c>
      <c r="C44">
        <v>5011</v>
      </c>
      <c r="D44" t="s">
        <v>4000</v>
      </c>
      <c r="E44">
        <v>1040</v>
      </c>
      <c r="F44">
        <v>1120</v>
      </c>
    </row>
    <row r="45" spans="1:6" x14ac:dyDescent="0.25">
      <c r="A45">
        <v>13</v>
      </c>
      <c r="B45">
        <v>99</v>
      </c>
      <c r="C45">
        <v>5011</v>
      </c>
      <c r="D45" t="s">
        <v>4001</v>
      </c>
      <c r="E45">
        <v>1000</v>
      </c>
      <c r="F45">
        <v>1160</v>
      </c>
    </row>
    <row r="46" spans="1:6" x14ac:dyDescent="0.25">
      <c r="A46">
        <v>14</v>
      </c>
      <c r="B46">
        <v>99</v>
      </c>
      <c r="C46">
        <v>5012</v>
      </c>
      <c r="D46" t="s">
        <v>4002</v>
      </c>
      <c r="E46">
        <v>1040</v>
      </c>
      <c r="F46">
        <v>990</v>
      </c>
    </row>
    <row r="47" spans="1:6" x14ac:dyDescent="0.25">
      <c r="A47">
        <v>15</v>
      </c>
      <c r="B47">
        <v>99</v>
      </c>
      <c r="C47">
        <v>5012</v>
      </c>
      <c r="D47" t="s">
        <v>4003</v>
      </c>
      <c r="E47">
        <v>860</v>
      </c>
      <c r="F47">
        <v>1000</v>
      </c>
    </row>
    <row r="48" spans="1:6" x14ac:dyDescent="0.25">
      <c r="A48">
        <v>16</v>
      </c>
      <c r="B48">
        <v>99</v>
      </c>
      <c r="C48">
        <v>5012</v>
      </c>
      <c r="D48" t="s">
        <v>4004</v>
      </c>
      <c r="E48">
        <v>980</v>
      </c>
      <c r="F48">
        <v>1060</v>
      </c>
    </row>
    <row r="49" spans="1:6" x14ac:dyDescent="0.25">
      <c r="A49">
        <v>17</v>
      </c>
      <c r="B49">
        <v>99</v>
      </c>
      <c r="C49">
        <v>5012</v>
      </c>
      <c r="D49" t="s">
        <v>4005</v>
      </c>
      <c r="E49">
        <v>940</v>
      </c>
      <c r="F49">
        <v>1080</v>
      </c>
    </row>
    <row r="50" spans="1:6" x14ac:dyDescent="0.25">
      <c r="A50">
        <v>18</v>
      </c>
      <c r="B50">
        <v>99</v>
      </c>
      <c r="C50">
        <v>5012</v>
      </c>
      <c r="D50" t="s">
        <v>4006</v>
      </c>
      <c r="E50">
        <v>780</v>
      </c>
      <c r="F50">
        <v>1080</v>
      </c>
    </row>
    <row r="51" spans="1:6" x14ac:dyDescent="0.25">
      <c r="A51">
        <v>19</v>
      </c>
      <c r="B51">
        <v>99</v>
      </c>
      <c r="C51">
        <v>5012</v>
      </c>
      <c r="D51" t="s">
        <v>4007</v>
      </c>
      <c r="E51">
        <v>1020</v>
      </c>
      <c r="F51">
        <v>1120</v>
      </c>
    </row>
    <row r="52" spans="1:6" x14ac:dyDescent="0.25">
      <c r="A52">
        <v>20</v>
      </c>
      <c r="B52">
        <v>99</v>
      </c>
      <c r="C52">
        <v>5012</v>
      </c>
      <c r="D52" t="s">
        <v>4008</v>
      </c>
      <c r="E52">
        <v>820</v>
      </c>
      <c r="F52">
        <v>1140</v>
      </c>
    </row>
    <row r="53" spans="1:6" x14ac:dyDescent="0.25">
      <c r="A53">
        <v>21</v>
      </c>
      <c r="B53">
        <v>99</v>
      </c>
      <c r="C53">
        <v>5012</v>
      </c>
      <c r="D53" t="s">
        <v>4009</v>
      </c>
      <c r="E53">
        <v>740</v>
      </c>
      <c r="F53">
        <v>1100</v>
      </c>
    </row>
    <row r="54" spans="1:6" x14ac:dyDescent="0.25">
      <c r="A54">
        <v>22</v>
      </c>
      <c r="B54">
        <v>99</v>
      </c>
      <c r="C54">
        <v>5012</v>
      </c>
      <c r="D54" t="s">
        <v>4010</v>
      </c>
      <c r="E54">
        <v>960</v>
      </c>
      <c r="F54">
        <v>1160</v>
      </c>
    </row>
    <row r="55" spans="1:6" x14ac:dyDescent="0.25">
      <c r="A55">
        <v>23</v>
      </c>
      <c r="B55">
        <v>99</v>
      </c>
      <c r="C55">
        <v>5002</v>
      </c>
      <c r="D55" t="s">
        <v>4011</v>
      </c>
      <c r="E55">
        <v>920</v>
      </c>
      <c r="F55">
        <v>1020</v>
      </c>
    </row>
    <row r="56" spans="1:6" x14ac:dyDescent="0.25">
      <c r="A56">
        <v>24</v>
      </c>
      <c r="B56">
        <v>99</v>
      </c>
      <c r="C56">
        <v>5002</v>
      </c>
      <c r="D56" t="s">
        <v>4012</v>
      </c>
      <c r="E56">
        <v>1000</v>
      </c>
      <c r="F56">
        <v>1080</v>
      </c>
    </row>
    <row r="57" spans="1:6" x14ac:dyDescent="0.25">
      <c r="A57">
        <v>25</v>
      </c>
      <c r="B57">
        <v>99</v>
      </c>
      <c r="C57">
        <v>5004</v>
      </c>
      <c r="D57" t="s">
        <v>4013</v>
      </c>
      <c r="E57">
        <v>860</v>
      </c>
      <c r="F57">
        <v>1160</v>
      </c>
    </row>
    <row r="58" spans="1:6" x14ac:dyDescent="0.25">
      <c r="A58">
        <v>26</v>
      </c>
      <c r="B58">
        <v>99</v>
      </c>
      <c r="C58">
        <v>5005</v>
      </c>
      <c r="D58" t="s">
        <v>4014</v>
      </c>
      <c r="E58">
        <v>820</v>
      </c>
      <c r="F58">
        <v>980</v>
      </c>
    </row>
    <row r="59" spans="1:6" x14ac:dyDescent="0.25">
      <c r="A59">
        <v>27</v>
      </c>
      <c r="B59">
        <v>99</v>
      </c>
      <c r="C59">
        <v>5005</v>
      </c>
      <c r="D59" t="s">
        <v>4015</v>
      </c>
      <c r="E59">
        <v>960</v>
      </c>
      <c r="F59">
        <v>1140</v>
      </c>
    </row>
    <row r="60" spans="1:6" x14ac:dyDescent="0.25">
      <c r="A60">
        <v>28</v>
      </c>
      <c r="B60">
        <v>99</v>
      </c>
      <c r="C60">
        <v>5008</v>
      </c>
      <c r="D60" t="s">
        <v>4016</v>
      </c>
      <c r="E60">
        <v>860</v>
      </c>
      <c r="F60">
        <v>980</v>
      </c>
    </row>
    <row r="61" spans="1:6" x14ac:dyDescent="0.25">
      <c r="A61">
        <v>29</v>
      </c>
      <c r="B61">
        <v>99</v>
      </c>
      <c r="C61">
        <v>5008</v>
      </c>
      <c r="D61" t="s">
        <v>4017</v>
      </c>
      <c r="E61">
        <v>1020</v>
      </c>
      <c r="F61">
        <v>1080</v>
      </c>
    </row>
    <row r="62" spans="1:6" x14ac:dyDescent="0.25">
      <c r="A62">
        <v>30</v>
      </c>
      <c r="B62">
        <v>99</v>
      </c>
      <c r="C62">
        <v>5008</v>
      </c>
      <c r="D62" t="s">
        <v>4018</v>
      </c>
      <c r="E62">
        <v>820</v>
      </c>
      <c r="F62">
        <v>1040</v>
      </c>
    </row>
    <row r="63" spans="1:6" x14ac:dyDescent="0.25">
      <c r="A63">
        <v>31</v>
      </c>
      <c r="B63">
        <v>99</v>
      </c>
      <c r="C63">
        <v>5010</v>
      </c>
      <c r="D63" t="s">
        <v>4019</v>
      </c>
      <c r="E63">
        <v>1000</v>
      </c>
      <c r="F63">
        <v>1140</v>
      </c>
    </row>
    <row r="64" spans="1:6" x14ac:dyDescent="0.25">
      <c r="A64">
        <v>32</v>
      </c>
      <c r="B64">
        <v>99</v>
      </c>
      <c r="C64">
        <v>5010</v>
      </c>
      <c r="D64" t="s">
        <v>4020</v>
      </c>
      <c r="E64">
        <v>740</v>
      </c>
      <c r="F64">
        <v>1000</v>
      </c>
    </row>
    <row r="65" spans="1:7" x14ac:dyDescent="0.25">
      <c r="A65">
        <v>33</v>
      </c>
      <c r="B65">
        <v>99</v>
      </c>
      <c r="C65">
        <v>5010</v>
      </c>
      <c r="D65" t="s">
        <v>4021</v>
      </c>
      <c r="E65">
        <v>900</v>
      </c>
      <c r="F65">
        <v>1040</v>
      </c>
    </row>
    <row r="66" spans="1:7" x14ac:dyDescent="0.25">
      <c r="A66">
        <v>1</v>
      </c>
      <c r="B66">
        <v>1000</v>
      </c>
      <c r="C66">
        <v>7001</v>
      </c>
      <c r="D66" t="s">
        <v>4022</v>
      </c>
      <c r="E66">
        <v>1345</v>
      </c>
      <c r="F66">
        <v>324</v>
      </c>
    </row>
    <row r="67" spans="1:7" x14ac:dyDescent="0.25">
      <c r="A67">
        <v>2</v>
      </c>
      <c r="B67">
        <v>1000</v>
      </c>
      <c r="C67">
        <v>7001</v>
      </c>
      <c r="D67" t="s">
        <v>4023</v>
      </c>
      <c r="E67">
        <v>1455</v>
      </c>
      <c r="F67">
        <v>618</v>
      </c>
    </row>
    <row r="68" spans="1:7" x14ac:dyDescent="0.25">
      <c r="A68">
        <v>3</v>
      </c>
      <c r="B68">
        <v>1000</v>
      </c>
      <c r="C68">
        <v>7001</v>
      </c>
      <c r="D68" t="s">
        <v>4024</v>
      </c>
      <c r="E68">
        <v>1385</v>
      </c>
      <c r="F68">
        <v>859</v>
      </c>
    </row>
    <row r="69" spans="1:7" x14ac:dyDescent="0.25">
      <c r="A69">
        <v>4</v>
      </c>
      <c r="B69">
        <v>1000</v>
      </c>
      <c r="C69">
        <v>7001</v>
      </c>
      <c r="D69" t="s">
        <v>4025</v>
      </c>
      <c r="E69">
        <v>1285</v>
      </c>
      <c r="F69">
        <v>105</v>
      </c>
    </row>
    <row r="70" spans="1:7" x14ac:dyDescent="0.25">
      <c r="A70">
        <v>5</v>
      </c>
      <c r="B70">
        <v>1000</v>
      </c>
      <c r="C70">
        <v>7001</v>
      </c>
      <c r="D70" t="s">
        <v>4026</v>
      </c>
      <c r="E70">
        <v>1425</v>
      </c>
      <c r="F70">
        <v>1000</v>
      </c>
    </row>
    <row r="71" spans="1:7" x14ac:dyDescent="0.25">
      <c r="A71">
        <v>6</v>
      </c>
      <c r="B71">
        <v>1000</v>
      </c>
      <c r="C71">
        <v>7002</v>
      </c>
      <c r="D71" t="s">
        <v>4027</v>
      </c>
      <c r="E71">
        <v>1475</v>
      </c>
      <c r="F71">
        <v>127</v>
      </c>
    </row>
    <row r="72" spans="1:7" x14ac:dyDescent="0.25">
      <c r="A72">
        <v>7</v>
      </c>
      <c r="B72">
        <v>1000</v>
      </c>
      <c r="C72">
        <v>7002</v>
      </c>
      <c r="D72" t="s">
        <v>4028</v>
      </c>
      <c r="E72">
        <v>1395</v>
      </c>
      <c r="F72">
        <v>288</v>
      </c>
    </row>
    <row r="73" spans="1:7" x14ac:dyDescent="0.25">
      <c r="A73">
        <v>8</v>
      </c>
      <c r="B73">
        <v>1000</v>
      </c>
      <c r="C73">
        <v>7002</v>
      </c>
      <c r="D73" t="s">
        <v>4029</v>
      </c>
      <c r="E73">
        <v>1405</v>
      </c>
      <c r="F73">
        <v>523</v>
      </c>
    </row>
    <row r="74" spans="1:7" x14ac:dyDescent="0.25">
      <c r="A74">
        <v>9</v>
      </c>
      <c r="B74">
        <v>1000</v>
      </c>
      <c r="C74">
        <v>7002</v>
      </c>
      <c r="D74" t="s">
        <v>4030</v>
      </c>
      <c r="E74">
        <v>1375</v>
      </c>
      <c r="F74">
        <v>776</v>
      </c>
    </row>
    <row r="75" spans="1:7" x14ac:dyDescent="0.25">
      <c r="A75">
        <v>10</v>
      </c>
      <c r="B75">
        <v>1000</v>
      </c>
      <c r="C75">
        <v>7002</v>
      </c>
      <c r="D75" t="s">
        <v>4031</v>
      </c>
      <c r="E75">
        <v>1333</v>
      </c>
      <c r="F75">
        <v>985</v>
      </c>
    </row>
    <row r="76" spans="1:7" x14ac:dyDescent="0.25">
      <c r="A76">
        <v>11</v>
      </c>
      <c r="B76">
        <v>1000</v>
      </c>
      <c r="C76">
        <v>7003</v>
      </c>
      <c r="D76" t="s">
        <v>4032</v>
      </c>
      <c r="E76">
        <v>1333</v>
      </c>
      <c r="F76">
        <v>473</v>
      </c>
    </row>
    <row r="77" spans="1:7" x14ac:dyDescent="0.25">
      <c r="A77">
        <v>12</v>
      </c>
      <c r="B77">
        <v>1000</v>
      </c>
      <c r="C77">
        <v>7003</v>
      </c>
      <c r="D77" t="s">
        <v>4033</v>
      </c>
      <c r="E77">
        <v>1433</v>
      </c>
      <c r="F77">
        <v>562</v>
      </c>
    </row>
    <row r="78" spans="1:7" x14ac:dyDescent="0.25">
      <c r="A78">
        <v>13</v>
      </c>
      <c r="B78">
        <v>1000</v>
      </c>
      <c r="C78">
        <v>7003</v>
      </c>
      <c r="D78" t="s">
        <v>4034</v>
      </c>
      <c r="E78">
        <v>1355</v>
      </c>
      <c r="F78">
        <v>696</v>
      </c>
      <c r="G78">
        <v>1</v>
      </c>
    </row>
    <row r="79" spans="1:7" x14ac:dyDescent="0.25">
      <c r="A79">
        <v>14</v>
      </c>
      <c r="B79">
        <v>1000</v>
      </c>
      <c r="C79">
        <v>7003</v>
      </c>
      <c r="D79" t="s">
        <v>4035</v>
      </c>
      <c r="E79">
        <v>1325</v>
      </c>
      <c r="F79">
        <v>735</v>
      </c>
    </row>
    <row r="80" spans="1:7" x14ac:dyDescent="0.25">
      <c r="A80">
        <v>15</v>
      </c>
      <c r="B80">
        <v>1000</v>
      </c>
      <c r="C80">
        <v>7003</v>
      </c>
      <c r="D80" t="s">
        <v>4036</v>
      </c>
      <c r="E80">
        <v>1358</v>
      </c>
      <c r="F80">
        <v>733</v>
      </c>
    </row>
    <row r="81" spans="1:6" x14ac:dyDescent="0.25">
      <c r="A81">
        <v>16</v>
      </c>
      <c r="B81">
        <v>1000</v>
      </c>
      <c r="C81">
        <v>7003</v>
      </c>
      <c r="D81" t="s">
        <v>4037</v>
      </c>
      <c r="E81">
        <v>1458</v>
      </c>
      <c r="F81">
        <v>822</v>
      </c>
    </row>
    <row r="82" spans="1:6" x14ac:dyDescent="0.25">
      <c r="A82">
        <v>17</v>
      </c>
      <c r="B82">
        <v>1000</v>
      </c>
      <c r="C82">
        <v>7003</v>
      </c>
      <c r="D82" t="s">
        <v>4038</v>
      </c>
      <c r="E82">
        <v>1330</v>
      </c>
      <c r="F82">
        <v>956</v>
      </c>
    </row>
    <row r="83" spans="1:6" x14ac:dyDescent="0.25">
      <c r="A83">
        <v>18</v>
      </c>
      <c r="B83">
        <v>1000</v>
      </c>
      <c r="C83">
        <v>7003</v>
      </c>
      <c r="D83" t="s">
        <v>4039</v>
      </c>
      <c r="E83">
        <v>1300</v>
      </c>
      <c r="F83">
        <v>1025</v>
      </c>
    </row>
    <row r="84" spans="1:6" x14ac:dyDescent="0.25">
      <c r="A84">
        <v>19</v>
      </c>
      <c r="B84">
        <v>1000</v>
      </c>
      <c r="C84">
        <v>7003</v>
      </c>
      <c r="D84" t="s">
        <v>4040</v>
      </c>
      <c r="E84">
        <v>1308</v>
      </c>
      <c r="F84">
        <v>213</v>
      </c>
    </row>
    <row r="85" spans="1:6" x14ac:dyDescent="0.25">
      <c r="A85">
        <v>20</v>
      </c>
      <c r="B85">
        <v>1000</v>
      </c>
      <c r="C85">
        <v>7003</v>
      </c>
      <c r="D85" t="s">
        <v>4041</v>
      </c>
      <c r="E85">
        <v>1438</v>
      </c>
      <c r="F85">
        <v>302</v>
      </c>
    </row>
    <row r="86" spans="1:6" x14ac:dyDescent="0.25">
      <c r="A86">
        <v>21</v>
      </c>
      <c r="B86">
        <v>1000</v>
      </c>
      <c r="C86">
        <v>7003</v>
      </c>
      <c r="D86" t="s">
        <v>4042</v>
      </c>
      <c r="E86">
        <v>1380</v>
      </c>
      <c r="F86">
        <v>436</v>
      </c>
    </row>
    <row r="87" spans="1:6" x14ac:dyDescent="0.25">
      <c r="A87">
        <v>22</v>
      </c>
      <c r="B87">
        <v>1000</v>
      </c>
      <c r="C87">
        <v>7003</v>
      </c>
      <c r="D87" t="s">
        <v>4043</v>
      </c>
      <c r="E87">
        <v>1350</v>
      </c>
      <c r="F87">
        <v>505</v>
      </c>
    </row>
    <row r="88" spans="1:6" x14ac:dyDescent="0.25">
      <c r="A88">
        <v>23</v>
      </c>
      <c r="B88">
        <v>1000</v>
      </c>
      <c r="C88">
        <v>7003</v>
      </c>
      <c r="D88" t="s">
        <v>4044</v>
      </c>
      <c r="E88">
        <v>1548</v>
      </c>
      <c r="F88">
        <v>13</v>
      </c>
    </row>
    <row r="89" spans="1:6" x14ac:dyDescent="0.25">
      <c r="A89">
        <v>24</v>
      </c>
      <c r="B89">
        <v>1000</v>
      </c>
      <c r="C89">
        <v>7003</v>
      </c>
      <c r="D89" t="s">
        <v>4045</v>
      </c>
      <c r="E89">
        <v>1678</v>
      </c>
      <c r="F89">
        <v>102</v>
      </c>
    </row>
    <row r="90" spans="1:6" x14ac:dyDescent="0.25">
      <c r="A90">
        <v>25</v>
      </c>
      <c r="B90">
        <v>1000</v>
      </c>
      <c r="C90">
        <v>7003</v>
      </c>
      <c r="D90" t="s">
        <v>4046</v>
      </c>
      <c r="E90">
        <v>1620</v>
      </c>
      <c r="F90">
        <v>236</v>
      </c>
    </row>
    <row r="91" spans="1:6" x14ac:dyDescent="0.25">
      <c r="A91">
        <v>26</v>
      </c>
      <c r="B91">
        <v>1000</v>
      </c>
      <c r="C91">
        <v>7003</v>
      </c>
      <c r="D91" t="s">
        <v>4047</v>
      </c>
      <c r="E91">
        <v>1590</v>
      </c>
      <c r="F91">
        <v>305</v>
      </c>
    </row>
    <row r="92" spans="1:6" x14ac:dyDescent="0.25">
      <c r="A92">
        <v>27</v>
      </c>
      <c r="B92">
        <v>1000</v>
      </c>
      <c r="C92">
        <v>7004</v>
      </c>
      <c r="D92" t="s">
        <v>4048</v>
      </c>
      <c r="E92">
        <v>1550</v>
      </c>
      <c r="F92">
        <v>150</v>
      </c>
    </row>
    <row r="93" spans="1:6" x14ac:dyDescent="0.25">
      <c r="A93">
        <v>28</v>
      </c>
      <c r="B93">
        <v>1000</v>
      </c>
      <c r="C93">
        <v>7004</v>
      </c>
      <c r="D93" t="s">
        <v>4049</v>
      </c>
      <c r="E93">
        <v>1435</v>
      </c>
      <c r="F93">
        <v>350</v>
      </c>
    </row>
    <row r="94" spans="1:6" x14ac:dyDescent="0.25">
      <c r="A94">
        <v>29</v>
      </c>
      <c r="B94">
        <v>1000</v>
      </c>
      <c r="C94">
        <v>7004</v>
      </c>
      <c r="D94" t="s">
        <v>4050</v>
      </c>
      <c r="E94">
        <v>1480</v>
      </c>
      <c r="F94">
        <v>720</v>
      </c>
    </row>
    <row r="95" spans="1:6" x14ac:dyDescent="0.25">
      <c r="A95">
        <v>30</v>
      </c>
      <c r="B95">
        <v>1000</v>
      </c>
      <c r="C95">
        <v>7004</v>
      </c>
      <c r="D95" t="s">
        <v>4051</v>
      </c>
      <c r="E95">
        <v>1590</v>
      </c>
      <c r="F95">
        <v>335</v>
      </c>
    </row>
    <row r="96" spans="1:6" x14ac:dyDescent="0.25">
      <c r="A96">
        <v>31</v>
      </c>
      <c r="B96">
        <v>1000</v>
      </c>
      <c r="C96">
        <v>7004</v>
      </c>
      <c r="D96" t="s">
        <v>4052</v>
      </c>
      <c r="E96">
        <v>1420</v>
      </c>
      <c r="F96">
        <v>580</v>
      </c>
    </row>
  </sheetData>
  <sortState ref="A1:F102">
    <sortCondition ref="A1:A10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zoomScale="60" zoomScaleNormal="60" workbookViewId="0">
      <pane xSplit="3" ySplit="2" topLeftCell="D18" activePane="bottomRight" state="frozen"/>
      <selection pane="topRight" activeCell="D1" sqref="D1"/>
      <selection pane="bottomLeft" activeCell="A3" sqref="A3"/>
      <selection pane="bottomRight" activeCell="Q27" sqref="Q25:Q27"/>
    </sheetView>
  </sheetViews>
  <sheetFormatPr defaultRowHeight="15" x14ac:dyDescent="0.25"/>
  <cols>
    <col min="1" max="1" width="4.7109375" bestFit="1" customWidth="1"/>
    <col min="2" max="2" width="10.5703125" bestFit="1" customWidth="1"/>
    <col min="3" max="3" width="44.85546875" bestFit="1" customWidth="1"/>
    <col min="4" max="4" width="6.28515625" bestFit="1" customWidth="1"/>
    <col min="5" max="5" width="9" bestFit="1" customWidth="1"/>
    <col min="6" max="6" width="8" bestFit="1" customWidth="1"/>
    <col min="7" max="7" width="10.85546875" customWidth="1"/>
    <col min="8" max="8" width="13.28515625" customWidth="1"/>
    <col min="9" max="9" width="9.5703125" customWidth="1"/>
    <col min="10" max="10" width="8.7109375" customWidth="1"/>
  </cols>
  <sheetData>
    <row r="1" spans="1:10" s="1" customFormat="1" ht="75" customHeight="1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2147</v>
      </c>
      <c r="I1" s="1" t="s">
        <v>2148</v>
      </c>
      <c r="J1" s="1" t="s">
        <v>2149</v>
      </c>
    </row>
    <row r="2" spans="1:10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1287</v>
      </c>
      <c r="I2" t="s">
        <v>1288</v>
      </c>
      <c r="J2" t="s">
        <v>1289</v>
      </c>
    </row>
    <row r="3" spans="1:10" x14ac:dyDescent="0.25">
      <c r="A3">
        <v>1</v>
      </c>
      <c r="B3" t="s">
        <v>1935</v>
      </c>
      <c r="C3" t="s">
        <v>1964</v>
      </c>
      <c r="D3">
        <v>5001</v>
      </c>
      <c r="E3">
        <v>40</v>
      </c>
      <c r="F3">
        <v>40</v>
      </c>
      <c r="G3">
        <v>-1</v>
      </c>
      <c r="H3" t="s">
        <v>1358</v>
      </c>
      <c r="I3">
        <v>1</v>
      </c>
      <c r="J3">
        <v>1</v>
      </c>
    </row>
    <row r="4" spans="1:10" x14ac:dyDescent="0.25">
      <c r="A4">
        <v>2</v>
      </c>
      <c r="B4" t="s">
        <v>1935</v>
      </c>
      <c r="C4" t="s">
        <v>1936</v>
      </c>
      <c r="D4">
        <v>5002</v>
      </c>
      <c r="E4">
        <v>40</v>
      </c>
      <c r="F4">
        <v>40</v>
      </c>
      <c r="G4">
        <v>-1</v>
      </c>
      <c r="H4" t="s">
        <v>1358</v>
      </c>
      <c r="I4">
        <v>-1</v>
      </c>
      <c r="J4">
        <v>-1</v>
      </c>
    </row>
    <row r="5" spans="1:10" x14ac:dyDescent="0.25">
      <c r="A5">
        <v>3</v>
      </c>
      <c r="B5" t="s">
        <v>1935</v>
      </c>
      <c r="C5" t="s">
        <v>1937</v>
      </c>
      <c r="D5">
        <v>5003</v>
      </c>
      <c r="E5">
        <v>20</v>
      </c>
      <c r="F5">
        <v>20</v>
      </c>
      <c r="G5">
        <v>-1</v>
      </c>
      <c r="H5" t="s">
        <v>1358</v>
      </c>
      <c r="I5">
        <v>-1</v>
      </c>
      <c r="J5">
        <v>-1</v>
      </c>
    </row>
    <row r="6" spans="1:10" x14ac:dyDescent="0.25">
      <c r="A6">
        <v>4</v>
      </c>
      <c r="B6" t="s">
        <v>1935</v>
      </c>
      <c r="C6" t="s">
        <v>1938</v>
      </c>
      <c r="D6">
        <v>5004</v>
      </c>
      <c r="E6">
        <v>20</v>
      </c>
      <c r="F6">
        <v>20</v>
      </c>
      <c r="G6">
        <v>-1</v>
      </c>
      <c r="H6" t="s">
        <v>1358</v>
      </c>
      <c r="I6">
        <v>-1</v>
      </c>
      <c r="J6">
        <v>-1</v>
      </c>
    </row>
    <row r="7" spans="1:10" x14ac:dyDescent="0.25">
      <c r="A7">
        <v>5</v>
      </c>
      <c r="B7" t="s">
        <v>1935</v>
      </c>
      <c r="C7" t="s">
        <v>1966</v>
      </c>
      <c r="D7">
        <v>5005</v>
      </c>
      <c r="E7">
        <v>20</v>
      </c>
      <c r="F7">
        <v>20</v>
      </c>
      <c r="G7">
        <v>-1</v>
      </c>
      <c r="H7" t="s">
        <v>1358</v>
      </c>
      <c r="I7">
        <v>-1</v>
      </c>
      <c r="J7">
        <v>-1</v>
      </c>
    </row>
    <row r="8" spans="1:10" x14ac:dyDescent="0.25">
      <c r="A8">
        <v>6</v>
      </c>
      <c r="B8" t="s">
        <v>1935</v>
      </c>
      <c r="C8" t="s">
        <v>1967</v>
      </c>
      <c r="D8">
        <v>5006</v>
      </c>
      <c r="E8">
        <v>20</v>
      </c>
      <c r="F8">
        <v>20</v>
      </c>
      <c r="G8">
        <v>-1</v>
      </c>
      <c r="H8" t="s">
        <v>1358</v>
      </c>
      <c r="I8">
        <v>-1</v>
      </c>
      <c r="J8">
        <v>-1</v>
      </c>
    </row>
    <row r="9" spans="1:10" x14ac:dyDescent="0.25">
      <c r="A9">
        <v>7</v>
      </c>
      <c r="B9" t="s">
        <v>1935</v>
      </c>
      <c r="C9" t="s">
        <v>1968</v>
      </c>
      <c r="D9">
        <v>5007</v>
      </c>
      <c r="E9">
        <v>20</v>
      </c>
      <c r="F9">
        <v>20</v>
      </c>
      <c r="G9">
        <v>-1</v>
      </c>
      <c r="H9" t="s">
        <v>1358</v>
      </c>
      <c r="I9">
        <v>-1</v>
      </c>
      <c r="J9">
        <v>-1</v>
      </c>
    </row>
    <row r="10" spans="1:10" x14ac:dyDescent="0.25">
      <c r="A10">
        <v>8</v>
      </c>
      <c r="B10" t="s">
        <v>1935</v>
      </c>
      <c r="C10" t="s">
        <v>1969</v>
      </c>
      <c r="D10">
        <v>5008</v>
      </c>
      <c r="E10">
        <v>20</v>
      </c>
      <c r="F10">
        <v>20</v>
      </c>
      <c r="G10">
        <v>-1</v>
      </c>
      <c r="H10" t="s">
        <v>1358</v>
      </c>
      <c r="I10">
        <v>-1</v>
      </c>
      <c r="J10">
        <v>-1</v>
      </c>
    </row>
    <row r="11" spans="1:10" x14ac:dyDescent="0.25">
      <c r="A11">
        <v>9</v>
      </c>
      <c r="B11" t="s">
        <v>1935</v>
      </c>
      <c r="C11" t="s">
        <v>1970</v>
      </c>
      <c r="D11">
        <v>5009</v>
      </c>
      <c r="E11">
        <v>20</v>
      </c>
      <c r="F11">
        <v>20</v>
      </c>
      <c r="G11">
        <v>-1</v>
      </c>
      <c r="H11" t="s">
        <v>1358</v>
      </c>
      <c r="I11">
        <v>-1</v>
      </c>
      <c r="J11">
        <v>-1</v>
      </c>
    </row>
    <row r="12" spans="1:10" x14ac:dyDescent="0.25">
      <c r="A12">
        <v>10</v>
      </c>
      <c r="B12" t="s">
        <v>1935</v>
      </c>
      <c r="C12" t="s">
        <v>1971</v>
      </c>
      <c r="D12">
        <v>5010</v>
      </c>
      <c r="E12">
        <v>20</v>
      </c>
      <c r="F12">
        <v>20</v>
      </c>
      <c r="G12">
        <v>-1</v>
      </c>
      <c r="H12" t="s">
        <v>1358</v>
      </c>
      <c r="I12">
        <v>-1</v>
      </c>
      <c r="J12">
        <v>-1</v>
      </c>
    </row>
    <row r="13" spans="1:10" x14ac:dyDescent="0.25">
      <c r="A13">
        <v>11</v>
      </c>
      <c r="B13" t="s">
        <v>1935</v>
      </c>
      <c r="C13" t="s">
        <v>1961</v>
      </c>
      <c r="D13">
        <v>5011</v>
      </c>
      <c r="E13">
        <v>40</v>
      </c>
      <c r="F13">
        <v>40</v>
      </c>
      <c r="G13">
        <v>-1</v>
      </c>
      <c r="H13" t="s">
        <v>1358</v>
      </c>
      <c r="I13">
        <v>-1</v>
      </c>
      <c r="J13">
        <v>-1</v>
      </c>
    </row>
    <row r="14" spans="1:10" x14ac:dyDescent="0.25">
      <c r="A14">
        <v>12</v>
      </c>
      <c r="B14" t="s">
        <v>1935</v>
      </c>
      <c r="C14" t="s">
        <v>1962</v>
      </c>
      <c r="D14">
        <v>5012</v>
      </c>
      <c r="E14">
        <v>40</v>
      </c>
      <c r="F14">
        <v>40</v>
      </c>
      <c r="G14">
        <v>-1</v>
      </c>
      <c r="H14" t="s">
        <v>1358</v>
      </c>
      <c r="I14">
        <v>-1</v>
      </c>
      <c r="J14">
        <v>-1</v>
      </c>
    </row>
    <row r="15" spans="1:10" x14ac:dyDescent="0.25">
      <c r="A15">
        <v>13</v>
      </c>
      <c r="B15" t="s">
        <v>1935</v>
      </c>
      <c r="C15" t="s">
        <v>1963</v>
      </c>
      <c r="D15">
        <v>5013</v>
      </c>
      <c r="E15">
        <v>40</v>
      </c>
      <c r="F15">
        <v>40</v>
      </c>
      <c r="G15">
        <v>-1</v>
      </c>
      <c r="H15" t="s">
        <v>1358</v>
      </c>
      <c r="I15">
        <v>-1</v>
      </c>
      <c r="J15">
        <v>-1</v>
      </c>
    </row>
    <row r="16" spans="1:10" x14ac:dyDescent="0.25">
      <c r="A16">
        <v>14</v>
      </c>
      <c r="B16" t="s">
        <v>1935</v>
      </c>
      <c r="C16" t="s">
        <v>1965</v>
      </c>
      <c r="D16">
        <v>5014</v>
      </c>
      <c r="E16">
        <v>20</v>
      </c>
      <c r="F16">
        <v>20</v>
      </c>
      <c r="G16">
        <v>-1</v>
      </c>
      <c r="H16" t="s">
        <v>1358</v>
      </c>
      <c r="I16">
        <v>-1</v>
      </c>
      <c r="J16">
        <v>-1</v>
      </c>
    </row>
    <row r="17" spans="1:10" x14ac:dyDescent="0.25">
      <c r="A17">
        <v>15</v>
      </c>
      <c r="B17" t="s">
        <v>1935</v>
      </c>
      <c r="C17" t="s">
        <v>1939</v>
      </c>
      <c r="D17">
        <v>7000</v>
      </c>
      <c r="E17">
        <v>20</v>
      </c>
      <c r="F17">
        <v>20</v>
      </c>
      <c r="G17">
        <v>-1</v>
      </c>
      <c r="H17" t="s">
        <v>1358</v>
      </c>
      <c r="I17">
        <v>-1</v>
      </c>
      <c r="J17">
        <v>-1</v>
      </c>
    </row>
    <row r="18" spans="1:10" x14ac:dyDescent="0.25">
      <c r="A18">
        <v>16</v>
      </c>
      <c r="B18" t="s">
        <v>1935</v>
      </c>
      <c r="C18" t="s">
        <v>1939</v>
      </c>
      <c r="D18">
        <v>7001</v>
      </c>
      <c r="E18">
        <v>20</v>
      </c>
      <c r="F18">
        <v>20</v>
      </c>
      <c r="G18">
        <v>-1</v>
      </c>
      <c r="H18" t="s">
        <v>1358</v>
      </c>
      <c r="I18">
        <v>-1</v>
      </c>
      <c r="J18">
        <v>-1</v>
      </c>
    </row>
    <row r="19" spans="1:10" x14ac:dyDescent="0.25">
      <c r="A19">
        <v>17</v>
      </c>
      <c r="B19" t="s">
        <v>1935</v>
      </c>
      <c r="C19" t="s">
        <v>1939</v>
      </c>
      <c r="D19">
        <v>7002</v>
      </c>
      <c r="E19">
        <v>20</v>
      </c>
      <c r="F19">
        <v>20</v>
      </c>
      <c r="G19">
        <v>-1</v>
      </c>
      <c r="H19" t="s">
        <v>1358</v>
      </c>
      <c r="I19">
        <v>-1</v>
      </c>
      <c r="J19">
        <v>-1</v>
      </c>
    </row>
    <row r="20" spans="1:10" x14ac:dyDescent="0.25">
      <c r="A20">
        <v>18</v>
      </c>
      <c r="B20" t="s">
        <v>1935</v>
      </c>
      <c r="C20" t="s">
        <v>1939</v>
      </c>
      <c r="D20">
        <v>7003</v>
      </c>
      <c r="E20">
        <v>20</v>
      </c>
      <c r="F20">
        <v>20</v>
      </c>
      <c r="G20">
        <v>-1</v>
      </c>
      <c r="H20" t="s">
        <v>1358</v>
      </c>
      <c r="I20">
        <v>-1</v>
      </c>
      <c r="J20">
        <v>-1</v>
      </c>
    </row>
    <row r="21" spans="1:10" x14ac:dyDescent="0.25">
      <c r="A21">
        <v>19</v>
      </c>
      <c r="B21" t="s">
        <v>1935</v>
      </c>
      <c r="C21" t="s">
        <v>1939</v>
      </c>
      <c r="D21">
        <v>7004</v>
      </c>
      <c r="E21">
        <v>20</v>
      </c>
      <c r="F21">
        <v>20</v>
      </c>
      <c r="G21">
        <v>-1</v>
      </c>
      <c r="H21" t="s">
        <v>1358</v>
      </c>
      <c r="I21">
        <v>-1</v>
      </c>
      <c r="J21">
        <v>-1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9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H12" sqref="H12"/>
    </sheetView>
  </sheetViews>
  <sheetFormatPr defaultRowHeight="15" x14ac:dyDescent="0.25"/>
  <cols>
    <col min="1" max="1" width="9.140625" customWidth="1"/>
    <col min="3" max="3" width="50.5703125" bestFit="1" customWidth="1"/>
    <col min="7" max="14" width="10.140625" customWidth="1"/>
    <col min="26" max="26" width="11.28515625" customWidth="1"/>
    <col min="27" max="27" width="10.85546875" customWidth="1"/>
  </cols>
  <sheetData>
    <row r="1" spans="1:27" s="1" customFormat="1" ht="60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2171</v>
      </c>
      <c r="F1" s="1" t="s">
        <v>2144</v>
      </c>
      <c r="G1" s="1" t="s">
        <v>2172</v>
      </c>
      <c r="H1" s="1" t="s">
        <v>2297</v>
      </c>
      <c r="I1" s="1" t="s">
        <v>2173</v>
      </c>
      <c r="J1" s="1" t="s">
        <v>2174</v>
      </c>
      <c r="K1" s="1" t="s">
        <v>2175</v>
      </c>
      <c r="L1" s="1" t="s">
        <v>2176</v>
      </c>
      <c r="M1" s="1" t="s">
        <v>2177</v>
      </c>
      <c r="N1" s="1" t="s">
        <v>2178</v>
      </c>
      <c r="O1" s="1" t="s">
        <v>2179</v>
      </c>
      <c r="P1" s="1" t="s">
        <v>2180</v>
      </c>
      <c r="Q1" s="1" t="s">
        <v>2181</v>
      </c>
      <c r="R1" s="1" t="s">
        <v>2182</v>
      </c>
      <c r="S1" s="1" t="s">
        <v>2183</v>
      </c>
      <c r="T1" s="1" t="s">
        <v>2146</v>
      </c>
      <c r="U1" s="1" t="s">
        <v>2147</v>
      </c>
      <c r="V1" s="1" t="s">
        <v>2148</v>
      </c>
      <c r="W1" s="1" t="s">
        <v>2149</v>
      </c>
      <c r="X1" s="1" t="s">
        <v>1266</v>
      </c>
      <c r="Y1" s="1" t="s">
        <v>1265</v>
      </c>
      <c r="Z1" s="1" t="s">
        <v>2143</v>
      </c>
      <c r="AA1" s="1" t="s">
        <v>2085</v>
      </c>
    </row>
    <row r="2" spans="1:27" x14ac:dyDescent="0.25">
      <c r="A2" t="s">
        <v>2046</v>
      </c>
      <c r="B2" t="s">
        <v>1049</v>
      </c>
      <c r="C2" t="s">
        <v>1056</v>
      </c>
      <c r="D2" t="s">
        <v>1057</v>
      </c>
      <c r="E2" t="s">
        <v>1346</v>
      </c>
      <c r="F2" t="s">
        <v>1347</v>
      </c>
      <c r="G2" t="s">
        <v>1605</v>
      </c>
      <c r="H2" t="s">
        <v>1606</v>
      </c>
      <c r="J2">
        <v>1</v>
      </c>
      <c r="K2">
        <v>2</v>
      </c>
      <c r="L2">
        <v>3</v>
      </c>
      <c r="M2">
        <v>4</v>
      </c>
      <c r="N2">
        <v>6</v>
      </c>
      <c r="O2" t="s">
        <v>1604</v>
      </c>
      <c r="P2" t="s">
        <v>1607</v>
      </c>
      <c r="Q2" t="s">
        <v>1608</v>
      </c>
      <c r="R2" t="s">
        <v>1609</v>
      </c>
      <c r="S2" t="s">
        <v>1610</v>
      </c>
      <c r="T2" t="s">
        <v>1285</v>
      </c>
      <c r="U2" t="s">
        <v>1287</v>
      </c>
      <c r="V2" t="s">
        <v>1288</v>
      </c>
      <c r="W2" t="s">
        <v>1289</v>
      </c>
      <c r="X2" t="s">
        <v>1250</v>
      </c>
      <c r="Y2" t="s">
        <v>1249</v>
      </c>
      <c r="Z2" t="s">
        <v>1331</v>
      </c>
      <c r="AA2" t="s">
        <v>1348</v>
      </c>
    </row>
    <row r="3" spans="1:27" x14ac:dyDescent="0.25">
      <c r="A3">
        <v>1</v>
      </c>
      <c r="B3" t="s">
        <v>1578</v>
      </c>
      <c r="C3" t="s">
        <v>1593</v>
      </c>
      <c r="D3">
        <v>4095</v>
      </c>
      <c r="E3">
        <v>5</v>
      </c>
      <c r="F3">
        <v>0</v>
      </c>
      <c r="G3">
        <v>5</v>
      </c>
      <c r="H3" t="s">
        <v>130</v>
      </c>
      <c r="I3">
        <v>5</v>
      </c>
      <c r="J3">
        <v>1</v>
      </c>
      <c r="K3">
        <v>2</v>
      </c>
      <c r="L3">
        <v>-1</v>
      </c>
      <c r="M3">
        <v>-1</v>
      </c>
      <c r="N3">
        <v>-1</v>
      </c>
      <c r="O3">
        <v>0.5</v>
      </c>
      <c r="P3">
        <v>0.5</v>
      </c>
      <c r="Q3">
        <v>-1</v>
      </c>
      <c r="R3">
        <v>-1</v>
      </c>
      <c r="S3">
        <v>-1</v>
      </c>
      <c r="T3">
        <v>1</v>
      </c>
      <c r="U3" t="s">
        <v>1358</v>
      </c>
      <c r="V3">
        <v>0</v>
      </c>
      <c r="W3">
        <v>0</v>
      </c>
      <c r="X3">
        <v>20</v>
      </c>
      <c r="Y3">
        <v>20</v>
      </c>
      <c r="Z3">
        <v>0</v>
      </c>
      <c r="AA3">
        <v>5</v>
      </c>
    </row>
    <row r="4" spans="1:27" x14ac:dyDescent="0.25">
      <c r="A4">
        <v>2</v>
      </c>
      <c r="B4" t="s">
        <v>1578</v>
      </c>
      <c r="C4" t="s">
        <v>1593</v>
      </c>
      <c r="D4">
        <v>4005</v>
      </c>
      <c r="E4">
        <v>5</v>
      </c>
      <c r="F4">
        <v>15</v>
      </c>
      <c r="G4">
        <v>5</v>
      </c>
      <c r="H4" t="s">
        <v>130</v>
      </c>
      <c r="I4">
        <v>-1</v>
      </c>
      <c r="J4">
        <v>1</v>
      </c>
      <c r="K4">
        <v>-1</v>
      </c>
      <c r="L4">
        <v>-1</v>
      </c>
      <c r="M4">
        <v>-1</v>
      </c>
      <c r="N4">
        <v>-1</v>
      </c>
      <c r="O4">
        <v>0.5</v>
      </c>
      <c r="P4">
        <v>-1</v>
      </c>
      <c r="Q4">
        <v>-1</v>
      </c>
      <c r="R4">
        <v>-1</v>
      </c>
      <c r="S4">
        <v>-1</v>
      </c>
      <c r="T4">
        <v>1</v>
      </c>
      <c r="U4" t="s">
        <v>1358</v>
      </c>
      <c r="V4">
        <v>0</v>
      </c>
      <c r="W4">
        <v>0</v>
      </c>
      <c r="X4">
        <v>15</v>
      </c>
      <c r="Y4">
        <v>15</v>
      </c>
      <c r="Z4">
        <v>0</v>
      </c>
      <c r="AA4">
        <v>5</v>
      </c>
    </row>
    <row r="5" spans="1:27" x14ac:dyDescent="0.25">
      <c r="A5">
        <v>3</v>
      </c>
      <c r="B5" t="s">
        <v>1578</v>
      </c>
      <c r="C5" t="s">
        <v>1612</v>
      </c>
      <c r="D5">
        <v>4008</v>
      </c>
      <c r="E5">
        <v>5</v>
      </c>
      <c r="F5">
        <v>15</v>
      </c>
      <c r="G5">
        <v>5</v>
      </c>
      <c r="H5" t="s">
        <v>130</v>
      </c>
      <c r="I5">
        <v>-1</v>
      </c>
      <c r="J5">
        <v>1</v>
      </c>
      <c r="K5">
        <v>-1</v>
      </c>
      <c r="L5">
        <v>-1</v>
      </c>
      <c r="M5">
        <v>-1</v>
      </c>
      <c r="N5">
        <v>-1</v>
      </c>
      <c r="O5">
        <v>0.5</v>
      </c>
      <c r="P5">
        <v>-1</v>
      </c>
      <c r="Q5">
        <v>-1</v>
      </c>
      <c r="R5">
        <v>-1</v>
      </c>
      <c r="S5">
        <v>-1</v>
      </c>
      <c r="T5">
        <v>1</v>
      </c>
      <c r="U5" t="s">
        <v>1358</v>
      </c>
      <c r="V5">
        <v>0</v>
      </c>
      <c r="W5">
        <v>0</v>
      </c>
      <c r="X5">
        <v>15</v>
      </c>
      <c r="Y5">
        <v>15</v>
      </c>
      <c r="Z5">
        <v>0</v>
      </c>
      <c r="AA5">
        <v>5</v>
      </c>
    </row>
    <row r="6" spans="1:27" x14ac:dyDescent="0.25">
      <c r="A6">
        <v>4</v>
      </c>
      <c r="B6" t="s">
        <v>1578</v>
      </c>
      <c r="C6" t="s">
        <v>1625</v>
      </c>
      <c r="D6">
        <v>4002</v>
      </c>
      <c r="E6">
        <v>25</v>
      </c>
      <c r="F6">
        <v>60</v>
      </c>
      <c r="G6">
        <v>5</v>
      </c>
      <c r="H6" t="s">
        <v>130</v>
      </c>
      <c r="I6">
        <v>-1</v>
      </c>
      <c r="J6">
        <v>1</v>
      </c>
      <c r="K6">
        <v>-1</v>
      </c>
      <c r="L6">
        <v>-1</v>
      </c>
      <c r="M6">
        <v>-1</v>
      </c>
      <c r="N6">
        <v>-1</v>
      </c>
      <c r="O6">
        <v>0.5</v>
      </c>
      <c r="P6">
        <v>-1</v>
      </c>
      <c r="Q6">
        <v>-1</v>
      </c>
      <c r="R6">
        <v>-1</v>
      </c>
      <c r="S6">
        <v>-1</v>
      </c>
      <c r="T6">
        <v>1</v>
      </c>
      <c r="U6" t="s">
        <v>1358</v>
      </c>
      <c r="V6">
        <v>0</v>
      </c>
      <c r="W6">
        <v>0</v>
      </c>
      <c r="X6">
        <v>15</v>
      </c>
      <c r="Y6">
        <v>15</v>
      </c>
      <c r="Z6">
        <v>0</v>
      </c>
      <c r="AA6">
        <v>5</v>
      </c>
    </row>
    <row r="7" spans="1:27" x14ac:dyDescent="0.25">
      <c r="A7">
        <v>5</v>
      </c>
      <c r="B7" t="s">
        <v>1578</v>
      </c>
      <c r="C7" t="s">
        <v>1602</v>
      </c>
      <c r="D7">
        <v>4007</v>
      </c>
      <c r="E7">
        <v>25</v>
      </c>
      <c r="F7">
        <v>60</v>
      </c>
      <c r="G7">
        <v>5</v>
      </c>
      <c r="H7" t="s">
        <v>130</v>
      </c>
      <c r="I7">
        <v>-1</v>
      </c>
      <c r="J7">
        <v>1</v>
      </c>
      <c r="K7">
        <v>-1</v>
      </c>
      <c r="L7">
        <v>-1</v>
      </c>
      <c r="M7">
        <v>-1</v>
      </c>
      <c r="N7">
        <v>-1</v>
      </c>
      <c r="O7">
        <v>0.5</v>
      </c>
      <c r="P7">
        <v>-1</v>
      </c>
      <c r="Q7">
        <v>-1</v>
      </c>
      <c r="R7">
        <v>-1</v>
      </c>
      <c r="S7">
        <v>-1</v>
      </c>
      <c r="T7">
        <v>1</v>
      </c>
      <c r="U7" t="s">
        <v>1358</v>
      </c>
      <c r="V7">
        <v>0</v>
      </c>
      <c r="W7">
        <v>0</v>
      </c>
      <c r="X7">
        <v>20</v>
      </c>
      <c r="Y7">
        <v>20</v>
      </c>
      <c r="Z7">
        <v>0</v>
      </c>
      <c r="AA7">
        <v>5</v>
      </c>
    </row>
    <row r="8" spans="1:27" x14ac:dyDescent="0.25">
      <c r="A8">
        <v>6</v>
      </c>
      <c r="B8" t="s">
        <v>1578</v>
      </c>
      <c r="C8" t="s">
        <v>1624</v>
      </c>
      <c r="D8">
        <v>4045</v>
      </c>
      <c r="E8">
        <v>25</v>
      </c>
      <c r="F8">
        <v>60</v>
      </c>
      <c r="G8">
        <v>5</v>
      </c>
      <c r="H8" t="s">
        <v>130</v>
      </c>
      <c r="I8">
        <v>-1</v>
      </c>
      <c r="J8">
        <v>1</v>
      </c>
      <c r="K8">
        <v>-1</v>
      </c>
      <c r="L8">
        <v>-1</v>
      </c>
      <c r="M8">
        <v>-1</v>
      </c>
      <c r="N8">
        <v>-1</v>
      </c>
      <c r="O8">
        <v>0.5</v>
      </c>
      <c r="P8">
        <v>-1</v>
      </c>
      <c r="Q8">
        <v>-1</v>
      </c>
      <c r="R8">
        <v>-1</v>
      </c>
      <c r="S8">
        <v>-1</v>
      </c>
      <c r="T8">
        <v>1</v>
      </c>
      <c r="U8" t="s">
        <v>1358</v>
      </c>
      <c r="V8">
        <v>0</v>
      </c>
      <c r="W8">
        <v>0</v>
      </c>
      <c r="X8">
        <v>15</v>
      </c>
      <c r="Y8">
        <v>15</v>
      </c>
      <c r="Z8">
        <v>0</v>
      </c>
      <c r="AA8">
        <v>5</v>
      </c>
    </row>
    <row r="9" spans="1:27" x14ac:dyDescent="0.25">
      <c r="A9">
        <v>7</v>
      </c>
      <c r="B9" t="s">
        <v>1578</v>
      </c>
      <c r="C9" t="s">
        <v>1620</v>
      </c>
      <c r="D9">
        <v>4044</v>
      </c>
      <c r="E9">
        <v>100</v>
      </c>
      <c r="F9">
        <v>300</v>
      </c>
      <c r="G9">
        <v>25</v>
      </c>
      <c r="H9" t="s">
        <v>130</v>
      </c>
      <c r="I9">
        <v>-1</v>
      </c>
      <c r="J9">
        <v>1</v>
      </c>
      <c r="K9">
        <v>2</v>
      </c>
      <c r="L9">
        <v>3</v>
      </c>
      <c r="M9">
        <v>-1</v>
      </c>
      <c r="N9">
        <v>-1</v>
      </c>
      <c r="O9">
        <v>0.15</v>
      </c>
      <c r="P9">
        <v>0.1</v>
      </c>
      <c r="Q9">
        <v>0.01</v>
      </c>
      <c r="R9">
        <v>-1</v>
      </c>
      <c r="S9">
        <v>-1</v>
      </c>
      <c r="T9">
        <v>1</v>
      </c>
      <c r="U9" t="s">
        <v>1358</v>
      </c>
      <c r="V9">
        <v>0</v>
      </c>
      <c r="W9">
        <v>0</v>
      </c>
      <c r="X9">
        <v>20</v>
      </c>
      <c r="Y9">
        <v>20</v>
      </c>
      <c r="Z9">
        <v>0</v>
      </c>
      <c r="AA9">
        <v>5</v>
      </c>
    </row>
    <row r="10" spans="1:27" x14ac:dyDescent="0.25">
      <c r="A10">
        <v>8</v>
      </c>
      <c r="B10" t="s">
        <v>1578</v>
      </c>
      <c r="C10" t="s">
        <v>1628</v>
      </c>
      <c r="D10">
        <v>4014</v>
      </c>
      <c r="E10">
        <v>50</v>
      </c>
      <c r="F10">
        <v>600</v>
      </c>
      <c r="G10">
        <v>25</v>
      </c>
      <c r="H10" t="s">
        <v>130</v>
      </c>
      <c r="I10">
        <v>-1</v>
      </c>
      <c r="J10">
        <v>1</v>
      </c>
      <c r="K10">
        <v>-1</v>
      </c>
      <c r="L10">
        <v>-1</v>
      </c>
      <c r="M10">
        <v>-1</v>
      </c>
      <c r="N10">
        <v>-1</v>
      </c>
      <c r="O10">
        <v>0.5</v>
      </c>
      <c r="P10">
        <v>-1</v>
      </c>
      <c r="Q10">
        <v>-1</v>
      </c>
      <c r="R10">
        <v>-1</v>
      </c>
      <c r="S10">
        <v>-1</v>
      </c>
      <c r="T10">
        <v>1</v>
      </c>
      <c r="U10" t="s">
        <v>1358</v>
      </c>
      <c r="V10">
        <v>0</v>
      </c>
      <c r="W10">
        <v>0</v>
      </c>
      <c r="X10">
        <v>20</v>
      </c>
      <c r="Y10">
        <v>20</v>
      </c>
      <c r="Z10">
        <v>0</v>
      </c>
      <c r="AA10">
        <v>5</v>
      </c>
    </row>
    <row r="11" spans="1:27" x14ac:dyDescent="0.25">
      <c r="A11">
        <v>9</v>
      </c>
      <c r="B11" t="s">
        <v>1578</v>
      </c>
      <c r="C11" t="s">
        <v>1621</v>
      </c>
      <c r="D11">
        <v>4004</v>
      </c>
      <c r="E11">
        <v>100</v>
      </c>
      <c r="F11">
        <v>6000</v>
      </c>
      <c r="G11">
        <v>25</v>
      </c>
      <c r="H11" t="s">
        <v>130</v>
      </c>
      <c r="I11">
        <v>-1</v>
      </c>
      <c r="J11">
        <v>1</v>
      </c>
      <c r="K11">
        <v>2</v>
      </c>
      <c r="L11">
        <v>3</v>
      </c>
      <c r="M11">
        <v>-1</v>
      </c>
      <c r="N11">
        <v>-1</v>
      </c>
      <c r="O11">
        <v>0.15</v>
      </c>
      <c r="P11">
        <v>0.1</v>
      </c>
      <c r="Q11">
        <v>0.01</v>
      </c>
      <c r="R11">
        <v>-1</v>
      </c>
      <c r="S11">
        <v>-1</v>
      </c>
      <c r="T11">
        <v>1</v>
      </c>
      <c r="U11" t="s">
        <v>1358</v>
      </c>
      <c r="V11">
        <v>0</v>
      </c>
      <c r="W11">
        <v>0</v>
      </c>
      <c r="X11">
        <v>20</v>
      </c>
      <c r="Y11">
        <v>20</v>
      </c>
      <c r="Z11">
        <v>0</v>
      </c>
      <c r="AA11">
        <v>5</v>
      </c>
    </row>
    <row r="12" spans="1:27" x14ac:dyDescent="0.25">
      <c r="A12">
        <v>10</v>
      </c>
      <c r="B12" t="s">
        <v>1578</v>
      </c>
      <c r="C12" t="s">
        <v>1613</v>
      </c>
      <c r="D12">
        <v>4009</v>
      </c>
      <c r="E12">
        <v>100</v>
      </c>
      <c r="F12">
        <v>6000</v>
      </c>
      <c r="G12">
        <v>25</v>
      </c>
      <c r="H12" t="s">
        <v>130</v>
      </c>
      <c r="I12">
        <v>-1</v>
      </c>
      <c r="J12">
        <v>1</v>
      </c>
      <c r="K12">
        <v>2</v>
      </c>
      <c r="L12">
        <v>3</v>
      </c>
      <c r="M12">
        <v>-1</v>
      </c>
      <c r="N12">
        <v>-1</v>
      </c>
      <c r="O12">
        <v>0.15</v>
      </c>
      <c r="P12">
        <v>0.1</v>
      </c>
      <c r="Q12">
        <v>0.01</v>
      </c>
      <c r="R12">
        <v>-1</v>
      </c>
      <c r="S12">
        <v>-1</v>
      </c>
      <c r="T12">
        <v>1</v>
      </c>
      <c r="U12" t="s">
        <v>1358</v>
      </c>
      <c r="V12">
        <v>0</v>
      </c>
      <c r="W12">
        <v>0</v>
      </c>
      <c r="X12">
        <v>20</v>
      </c>
      <c r="Y12">
        <v>20</v>
      </c>
      <c r="Z12">
        <v>0</v>
      </c>
      <c r="AA12">
        <v>5</v>
      </c>
    </row>
    <row r="13" spans="1:27" x14ac:dyDescent="0.25">
      <c r="A13">
        <v>11</v>
      </c>
      <c r="B13" t="s">
        <v>1578</v>
      </c>
      <c r="C13" t="s">
        <v>1617</v>
      </c>
      <c r="D13">
        <v>4011</v>
      </c>
      <c r="E13">
        <v>250</v>
      </c>
      <c r="F13">
        <v>43200</v>
      </c>
      <c r="G13">
        <v>100</v>
      </c>
      <c r="H13" t="s">
        <v>130</v>
      </c>
      <c r="I13">
        <v>-1</v>
      </c>
      <c r="J13">
        <v>2</v>
      </c>
      <c r="K13">
        <v>4</v>
      </c>
      <c r="L13">
        <v>6</v>
      </c>
      <c r="M13">
        <v>8</v>
      </c>
      <c r="N13">
        <v>10</v>
      </c>
      <c r="O13">
        <v>0.1</v>
      </c>
      <c r="P13">
        <v>0.1</v>
      </c>
      <c r="Q13">
        <v>0.1</v>
      </c>
      <c r="R13">
        <v>0.1</v>
      </c>
      <c r="S13">
        <v>0.1</v>
      </c>
      <c r="T13">
        <v>1</v>
      </c>
      <c r="U13" t="s">
        <v>1358</v>
      </c>
      <c r="V13">
        <v>0</v>
      </c>
      <c r="W13">
        <v>0</v>
      </c>
      <c r="X13">
        <v>20</v>
      </c>
      <c r="Y13">
        <v>20</v>
      </c>
      <c r="Z13">
        <v>0</v>
      </c>
      <c r="AA13">
        <v>5</v>
      </c>
    </row>
    <row r="14" spans="1:27" x14ac:dyDescent="0.25">
      <c r="A14">
        <v>12</v>
      </c>
      <c r="B14" t="s">
        <v>1578</v>
      </c>
      <c r="C14" t="s">
        <v>1618</v>
      </c>
      <c r="D14">
        <v>4013</v>
      </c>
      <c r="E14">
        <v>250</v>
      </c>
      <c r="F14">
        <v>43200</v>
      </c>
      <c r="G14">
        <v>100</v>
      </c>
      <c r="H14" t="s">
        <v>130</v>
      </c>
      <c r="I14">
        <v>-1</v>
      </c>
      <c r="J14">
        <v>2</v>
      </c>
      <c r="K14">
        <v>4</v>
      </c>
      <c r="L14">
        <v>6</v>
      </c>
      <c r="M14">
        <v>8</v>
      </c>
      <c r="N14">
        <v>10</v>
      </c>
      <c r="O14">
        <v>0.1</v>
      </c>
      <c r="P14">
        <v>0.1</v>
      </c>
      <c r="Q14">
        <v>0.1</v>
      </c>
      <c r="R14">
        <v>0.1</v>
      </c>
      <c r="S14">
        <v>0.1</v>
      </c>
      <c r="T14">
        <v>1</v>
      </c>
      <c r="U14" t="s">
        <v>1358</v>
      </c>
      <c r="V14">
        <v>0</v>
      </c>
      <c r="W14">
        <v>0</v>
      </c>
      <c r="X14">
        <v>20</v>
      </c>
      <c r="Y14">
        <v>20</v>
      </c>
      <c r="Z14">
        <v>0</v>
      </c>
      <c r="AA14">
        <v>5</v>
      </c>
    </row>
    <row r="15" spans="1:27" x14ac:dyDescent="0.25">
      <c r="A15">
        <v>13</v>
      </c>
      <c r="B15" t="s">
        <v>1578</v>
      </c>
      <c r="C15" t="s">
        <v>1579</v>
      </c>
      <c r="D15" s="3">
        <v>2300</v>
      </c>
      <c r="E15">
        <v>15</v>
      </c>
      <c r="F15">
        <v>15</v>
      </c>
      <c r="G15">
        <v>5</v>
      </c>
      <c r="H15" t="s">
        <v>130</v>
      </c>
      <c r="I15">
        <v>-1</v>
      </c>
      <c r="J15">
        <v>1</v>
      </c>
      <c r="K15">
        <v>-1</v>
      </c>
      <c r="L15">
        <v>-1</v>
      </c>
      <c r="M15">
        <v>-1</v>
      </c>
      <c r="N15">
        <v>-1</v>
      </c>
      <c r="O15">
        <v>0.5</v>
      </c>
      <c r="P15">
        <v>-1</v>
      </c>
      <c r="Q15">
        <v>-1</v>
      </c>
      <c r="R15">
        <v>-1</v>
      </c>
      <c r="S15">
        <v>-1</v>
      </c>
      <c r="T15">
        <v>1</v>
      </c>
      <c r="U15" t="s">
        <v>1358</v>
      </c>
      <c r="V15">
        <v>0</v>
      </c>
      <c r="W15">
        <v>0</v>
      </c>
      <c r="X15">
        <v>15</v>
      </c>
      <c r="Y15">
        <v>15</v>
      </c>
      <c r="Z15">
        <v>0</v>
      </c>
      <c r="AA15">
        <v>5</v>
      </c>
    </row>
    <row r="16" spans="1:27" x14ac:dyDescent="0.25">
      <c r="A16">
        <v>14</v>
      </c>
      <c r="B16" t="s">
        <v>1578</v>
      </c>
      <c r="C16" t="s">
        <v>1581</v>
      </c>
      <c r="D16">
        <v>2301</v>
      </c>
      <c r="E16">
        <v>15</v>
      </c>
      <c r="F16">
        <v>15</v>
      </c>
      <c r="G16">
        <v>5</v>
      </c>
      <c r="H16" t="s">
        <v>130</v>
      </c>
      <c r="I16">
        <v>-1</v>
      </c>
      <c r="J16">
        <v>1</v>
      </c>
      <c r="K16">
        <v>-1</v>
      </c>
      <c r="L16">
        <v>-1</v>
      </c>
      <c r="M16">
        <v>-1</v>
      </c>
      <c r="N16">
        <v>-1</v>
      </c>
      <c r="O16">
        <v>0.5</v>
      </c>
      <c r="P16">
        <v>-1</v>
      </c>
      <c r="Q16">
        <v>-1</v>
      </c>
      <c r="R16">
        <v>-1</v>
      </c>
      <c r="S16">
        <v>-1</v>
      </c>
      <c r="T16">
        <v>1</v>
      </c>
      <c r="U16" t="s">
        <v>1358</v>
      </c>
      <c r="V16">
        <v>0</v>
      </c>
      <c r="W16">
        <v>0</v>
      </c>
      <c r="X16">
        <v>15</v>
      </c>
      <c r="Y16">
        <v>15</v>
      </c>
      <c r="Z16">
        <v>0</v>
      </c>
      <c r="AA16">
        <v>5</v>
      </c>
    </row>
    <row r="17" spans="1:27" x14ac:dyDescent="0.25">
      <c r="A17">
        <v>15</v>
      </c>
      <c r="B17" t="s">
        <v>1578</v>
      </c>
      <c r="C17" t="s">
        <v>1582</v>
      </c>
      <c r="D17">
        <v>2302</v>
      </c>
      <c r="E17">
        <v>75</v>
      </c>
      <c r="F17">
        <v>60</v>
      </c>
      <c r="G17">
        <v>5</v>
      </c>
      <c r="H17" t="s">
        <v>130</v>
      </c>
      <c r="I17">
        <v>-1</v>
      </c>
      <c r="J17">
        <v>1</v>
      </c>
      <c r="K17">
        <v>-1</v>
      </c>
      <c r="L17">
        <v>-1</v>
      </c>
      <c r="M17">
        <v>-1</v>
      </c>
      <c r="N17">
        <v>-1</v>
      </c>
      <c r="O17">
        <v>0.5</v>
      </c>
      <c r="P17">
        <v>-1</v>
      </c>
      <c r="Q17">
        <v>-1</v>
      </c>
      <c r="R17">
        <v>-1</v>
      </c>
      <c r="S17">
        <v>-1</v>
      </c>
      <c r="T17">
        <v>1</v>
      </c>
      <c r="U17" t="s">
        <v>1358</v>
      </c>
      <c r="V17">
        <v>0</v>
      </c>
      <c r="W17">
        <v>0</v>
      </c>
      <c r="X17">
        <v>20</v>
      </c>
      <c r="Y17">
        <v>20</v>
      </c>
      <c r="Z17">
        <v>0</v>
      </c>
      <c r="AA17">
        <v>5</v>
      </c>
    </row>
    <row r="18" spans="1:27" x14ac:dyDescent="0.25">
      <c r="A18">
        <v>16</v>
      </c>
      <c r="B18" t="s">
        <v>1578</v>
      </c>
      <c r="C18" t="s">
        <v>1583</v>
      </c>
      <c r="D18">
        <v>2303</v>
      </c>
      <c r="E18">
        <v>75</v>
      </c>
      <c r="F18">
        <v>60</v>
      </c>
      <c r="G18">
        <v>5</v>
      </c>
      <c r="H18" t="s">
        <v>130</v>
      </c>
      <c r="I18">
        <v>-1</v>
      </c>
      <c r="J18">
        <v>1</v>
      </c>
      <c r="K18">
        <v>-1</v>
      </c>
      <c r="L18">
        <v>-1</v>
      </c>
      <c r="M18">
        <v>-1</v>
      </c>
      <c r="N18">
        <v>-1</v>
      </c>
      <c r="O18">
        <v>0.5</v>
      </c>
      <c r="P18">
        <v>-1</v>
      </c>
      <c r="Q18">
        <v>-1</v>
      </c>
      <c r="R18">
        <v>-1</v>
      </c>
      <c r="S18">
        <v>-1</v>
      </c>
      <c r="T18">
        <v>1</v>
      </c>
      <c r="U18" t="s">
        <v>1358</v>
      </c>
      <c r="V18">
        <v>0</v>
      </c>
      <c r="W18">
        <v>0</v>
      </c>
      <c r="X18">
        <v>15</v>
      </c>
      <c r="Y18">
        <v>15</v>
      </c>
      <c r="Z18">
        <v>0</v>
      </c>
      <c r="AA18">
        <v>5</v>
      </c>
    </row>
    <row r="19" spans="1:27" x14ac:dyDescent="0.25">
      <c r="A19">
        <v>17</v>
      </c>
      <c r="B19" t="s">
        <v>1578</v>
      </c>
      <c r="C19" t="s">
        <v>1584</v>
      </c>
      <c r="D19">
        <v>2304</v>
      </c>
      <c r="E19">
        <v>75</v>
      </c>
      <c r="F19">
        <v>60</v>
      </c>
      <c r="G19">
        <v>5</v>
      </c>
      <c r="H19" t="s">
        <v>130</v>
      </c>
      <c r="I19">
        <v>-1</v>
      </c>
      <c r="J19">
        <v>1</v>
      </c>
      <c r="K19">
        <v>-1</v>
      </c>
      <c r="L19">
        <v>-1</v>
      </c>
      <c r="M19">
        <v>-1</v>
      </c>
      <c r="N19">
        <v>-1</v>
      </c>
      <c r="O19">
        <v>0.5</v>
      </c>
      <c r="P19">
        <v>-1</v>
      </c>
      <c r="Q19">
        <v>-1</v>
      </c>
      <c r="R19">
        <v>-1</v>
      </c>
      <c r="S19">
        <v>-1</v>
      </c>
      <c r="T19">
        <v>1</v>
      </c>
      <c r="U19" t="s">
        <v>1358</v>
      </c>
      <c r="V19">
        <v>0</v>
      </c>
      <c r="W19">
        <v>0</v>
      </c>
      <c r="X19">
        <v>15</v>
      </c>
      <c r="Y19">
        <v>15</v>
      </c>
      <c r="Z19">
        <v>0</v>
      </c>
      <c r="AA19">
        <v>5</v>
      </c>
    </row>
    <row r="20" spans="1:27" x14ac:dyDescent="0.25">
      <c r="A20">
        <v>18</v>
      </c>
      <c r="B20" t="s">
        <v>1578</v>
      </c>
      <c r="C20" t="s">
        <v>1586</v>
      </c>
      <c r="D20">
        <v>2306</v>
      </c>
      <c r="E20">
        <v>300</v>
      </c>
      <c r="F20">
        <v>300</v>
      </c>
      <c r="G20">
        <v>25</v>
      </c>
      <c r="H20" t="s">
        <v>130</v>
      </c>
      <c r="I20">
        <v>-1</v>
      </c>
      <c r="J20">
        <v>1</v>
      </c>
      <c r="K20">
        <v>2</v>
      </c>
      <c r="L20">
        <v>3</v>
      </c>
      <c r="M20">
        <v>-1</v>
      </c>
      <c r="N20">
        <v>-1</v>
      </c>
      <c r="O20">
        <v>0.15</v>
      </c>
      <c r="P20">
        <v>0.1</v>
      </c>
      <c r="Q20">
        <v>0.01</v>
      </c>
      <c r="R20">
        <v>-1</v>
      </c>
      <c r="S20">
        <v>-1</v>
      </c>
      <c r="T20">
        <v>1</v>
      </c>
      <c r="U20" t="s">
        <v>1358</v>
      </c>
      <c r="V20">
        <v>0</v>
      </c>
      <c r="W20">
        <v>0</v>
      </c>
      <c r="X20">
        <v>20</v>
      </c>
      <c r="Y20">
        <v>20</v>
      </c>
      <c r="Z20">
        <v>0</v>
      </c>
      <c r="AA20">
        <v>5</v>
      </c>
    </row>
    <row r="21" spans="1:27" x14ac:dyDescent="0.25">
      <c r="A21">
        <v>19</v>
      </c>
      <c r="B21" t="s">
        <v>1578</v>
      </c>
      <c r="C21" t="s">
        <v>1585</v>
      </c>
      <c r="D21">
        <v>2305</v>
      </c>
      <c r="E21">
        <v>150</v>
      </c>
      <c r="F21">
        <v>600</v>
      </c>
      <c r="G21">
        <v>25</v>
      </c>
      <c r="H21" t="s">
        <v>130</v>
      </c>
      <c r="I21">
        <v>-1</v>
      </c>
      <c r="J21">
        <v>1</v>
      </c>
      <c r="K21">
        <v>-1</v>
      </c>
      <c r="L21">
        <v>-1</v>
      </c>
      <c r="M21">
        <v>-1</v>
      </c>
      <c r="N21">
        <v>-1</v>
      </c>
      <c r="O21">
        <v>0.5</v>
      </c>
      <c r="P21">
        <v>-1</v>
      </c>
      <c r="Q21">
        <v>-1</v>
      </c>
      <c r="R21">
        <v>-1</v>
      </c>
      <c r="S21">
        <v>-1</v>
      </c>
      <c r="T21">
        <v>1</v>
      </c>
      <c r="U21" t="s">
        <v>1358</v>
      </c>
      <c r="V21">
        <v>0</v>
      </c>
      <c r="W21">
        <v>0</v>
      </c>
      <c r="X21">
        <v>10</v>
      </c>
      <c r="Y21">
        <v>10</v>
      </c>
      <c r="Z21">
        <v>0</v>
      </c>
      <c r="AA21">
        <v>5</v>
      </c>
    </row>
    <row r="22" spans="1:27" x14ac:dyDescent="0.25">
      <c r="A22">
        <v>20</v>
      </c>
      <c r="B22" t="s">
        <v>1578</v>
      </c>
      <c r="C22" t="s">
        <v>1587</v>
      </c>
      <c r="D22">
        <v>2307</v>
      </c>
      <c r="E22">
        <v>300</v>
      </c>
      <c r="F22">
        <v>6000</v>
      </c>
      <c r="G22">
        <v>25</v>
      </c>
      <c r="H22" t="s">
        <v>130</v>
      </c>
      <c r="I22">
        <v>-1</v>
      </c>
      <c r="J22">
        <v>1</v>
      </c>
      <c r="K22">
        <v>2</v>
      </c>
      <c r="L22">
        <v>3</v>
      </c>
      <c r="M22">
        <v>-1</v>
      </c>
      <c r="N22">
        <v>-1</v>
      </c>
      <c r="O22">
        <v>0.15</v>
      </c>
      <c r="P22">
        <v>0.1</v>
      </c>
      <c r="Q22">
        <v>0.01</v>
      </c>
      <c r="R22">
        <v>-1</v>
      </c>
      <c r="S22">
        <v>-1</v>
      </c>
      <c r="T22">
        <v>1</v>
      </c>
      <c r="U22" t="s">
        <v>1358</v>
      </c>
      <c r="V22">
        <v>0</v>
      </c>
      <c r="W22">
        <v>0</v>
      </c>
      <c r="X22">
        <v>20</v>
      </c>
      <c r="Y22">
        <v>20</v>
      </c>
      <c r="Z22">
        <v>0</v>
      </c>
      <c r="AA22">
        <v>5</v>
      </c>
    </row>
    <row r="23" spans="1:27" x14ac:dyDescent="0.25">
      <c r="A23">
        <v>21</v>
      </c>
      <c r="B23" t="s">
        <v>1578</v>
      </c>
      <c r="C23" t="s">
        <v>1588</v>
      </c>
      <c r="D23">
        <v>2308</v>
      </c>
      <c r="E23">
        <v>300</v>
      </c>
      <c r="F23">
        <v>6000</v>
      </c>
      <c r="G23">
        <v>25</v>
      </c>
      <c r="H23" t="s">
        <v>130</v>
      </c>
      <c r="I23">
        <v>-1</v>
      </c>
      <c r="J23">
        <v>1</v>
      </c>
      <c r="K23">
        <v>2</v>
      </c>
      <c r="L23">
        <v>3</v>
      </c>
      <c r="M23">
        <v>-1</v>
      </c>
      <c r="N23">
        <v>-1</v>
      </c>
      <c r="O23">
        <v>0.15</v>
      </c>
      <c r="P23">
        <v>0.1</v>
      </c>
      <c r="Q23">
        <v>0.01</v>
      </c>
      <c r="R23">
        <v>-1</v>
      </c>
      <c r="S23">
        <v>-1</v>
      </c>
      <c r="T23">
        <v>1</v>
      </c>
      <c r="U23" t="s">
        <v>1358</v>
      </c>
      <c r="V23">
        <v>0</v>
      </c>
      <c r="W23">
        <v>0</v>
      </c>
      <c r="X23">
        <v>20</v>
      </c>
      <c r="Y23">
        <v>20</v>
      </c>
      <c r="Z23">
        <v>0</v>
      </c>
      <c r="AA23">
        <v>5</v>
      </c>
    </row>
    <row r="24" spans="1:27" x14ac:dyDescent="0.25">
      <c r="A24">
        <v>22</v>
      </c>
      <c r="B24" t="s">
        <v>1578</v>
      </c>
      <c r="C24" t="s">
        <v>1580</v>
      </c>
      <c r="D24">
        <v>2309</v>
      </c>
      <c r="E24">
        <v>750</v>
      </c>
      <c r="F24">
        <v>43200</v>
      </c>
      <c r="G24">
        <v>100</v>
      </c>
      <c r="H24" t="s">
        <v>130</v>
      </c>
      <c r="I24">
        <v>-1</v>
      </c>
      <c r="J24">
        <v>2</v>
      </c>
      <c r="K24">
        <v>4</v>
      </c>
      <c r="L24">
        <v>6</v>
      </c>
      <c r="M24">
        <v>8</v>
      </c>
      <c r="N24">
        <v>10</v>
      </c>
      <c r="O24">
        <v>0.1</v>
      </c>
      <c r="P24">
        <v>0.1</v>
      </c>
      <c r="Q24">
        <v>0.1</v>
      </c>
      <c r="R24">
        <v>0.1</v>
      </c>
      <c r="S24">
        <v>0.1</v>
      </c>
      <c r="T24">
        <v>1</v>
      </c>
      <c r="U24" t="s">
        <v>1358</v>
      </c>
      <c r="V24">
        <v>0</v>
      </c>
      <c r="W24">
        <v>0</v>
      </c>
      <c r="X24">
        <v>20</v>
      </c>
      <c r="Y24">
        <v>20</v>
      </c>
      <c r="Z24">
        <v>0</v>
      </c>
      <c r="AA24">
        <v>5</v>
      </c>
    </row>
    <row r="25" spans="1:27" x14ac:dyDescent="0.25">
      <c r="A25">
        <v>23</v>
      </c>
      <c r="B25" t="s">
        <v>1578</v>
      </c>
      <c r="C25" t="s">
        <v>1616</v>
      </c>
      <c r="D25">
        <v>4027</v>
      </c>
      <c r="E25">
        <v>5</v>
      </c>
      <c r="F25">
        <v>30</v>
      </c>
      <c r="G25">
        <v>5</v>
      </c>
      <c r="H25" t="s">
        <v>130</v>
      </c>
      <c r="I25">
        <v>-1</v>
      </c>
      <c r="J25">
        <v>-1</v>
      </c>
      <c r="K25">
        <v>-1</v>
      </c>
      <c r="L25">
        <v>-1</v>
      </c>
      <c r="M25">
        <v>-1</v>
      </c>
      <c r="N25">
        <v>-1</v>
      </c>
      <c r="O25">
        <v>-1</v>
      </c>
      <c r="P25">
        <v>-1</v>
      </c>
      <c r="Q25">
        <v>-1</v>
      </c>
      <c r="R25">
        <v>-1</v>
      </c>
      <c r="S25">
        <v>-1</v>
      </c>
      <c r="T25">
        <v>1</v>
      </c>
      <c r="U25" t="s">
        <v>1358</v>
      </c>
      <c r="V25">
        <v>0</v>
      </c>
      <c r="W25">
        <v>0</v>
      </c>
      <c r="X25">
        <v>10</v>
      </c>
      <c r="Y25">
        <v>10</v>
      </c>
      <c r="Z25">
        <v>0</v>
      </c>
      <c r="AA25">
        <v>5</v>
      </c>
    </row>
    <row r="26" spans="1:27" x14ac:dyDescent="0.25">
      <c r="A26">
        <v>24</v>
      </c>
      <c r="B26" t="s">
        <v>1578</v>
      </c>
      <c r="C26" t="s">
        <v>1629</v>
      </c>
      <c r="D26">
        <v>4028</v>
      </c>
      <c r="E26">
        <v>5</v>
      </c>
      <c r="F26">
        <v>30</v>
      </c>
      <c r="G26">
        <v>5</v>
      </c>
      <c r="H26" t="s">
        <v>130</v>
      </c>
      <c r="I26">
        <v>-1</v>
      </c>
      <c r="J26">
        <v>-1</v>
      </c>
      <c r="K26">
        <v>-1</v>
      </c>
      <c r="L26">
        <v>-1</v>
      </c>
      <c r="M26">
        <v>-1</v>
      </c>
      <c r="N26">
        <v>-1</v>
      </c>
      <c r="O26">
        <v>-1</v>
      </c>
      <c r="P26">
        <v>-1</v>
      </c>
      <c r="Q26">
        <v>-1</v>
      </c>
      <c r="R26">
        <v>-1</v>
      </c>
      <c r="S26">
        <v>-1</v>
      </c>
      <c r="T26">
        <v>2</v>
      </c>
      <c r="U26" t="s">
        <v>1358</v>
      </c>
      <c r="V26">
        <v>0</v>
      </c>
      <c r="W26">
        <v>0</v>
      </c>
      <c r="X26">
        <v>10</v>
      </c>
      <c r="Y26">
        <v>10</v>
      </c>
      <c r="Z26">
        <v>0</v>
      </c>
      <c r="AA26">
        <v>5</v>
      </c>
    </row>
    <row r="27" spans="1:27" x14ac:dyDescent="0.25">
      <c r="A27">
        <v>25</v>
      </c>
      <c r="B27" t="s">
        <v>1578</v>
      </c>
      <c r="C27" t="s">
        <v>1615</v>
      </c>
      <c r="D27">
        <v>4016</v>
      </c>
      <c r="E27">
        <v>25</v>
      </c>
      <c r="F27">
        <v>300</v>
      </c>
      <c r="G27">
        <v>25</v>
      </c>
      <c r="H27" t="s">
        <v>130</v>
      </c>
      <c r="I27">
        <v>-1</v>
      </c>
      <c r="J27">
        <v>-1</v>
      </c>
      <c r="K27">
        <v>-1</v>
      </c>
      <c r="L27">
        <v>-1</v>
      </c>
      <c r="M27">
        <v>-1</v>
      </c>
      <c r="N27">
        <v>-1</v>
      </c>
      <c r="O27">
        <v>-1</v>
      </c>
      <c r="P27">
        <v>-1</v>
      </c>
      <c r="Q27">
        <v>-1</v>
      </c>
      <c r="R27">
        <v>-1</v>
      </c>
      <c r="S27">
        <v>-1</v>
      </c>
      <c r="T27">
        <v>1</v>
      </c>
      <c r="U27" t="s">
        <v>1358</v>
      </c>
      <c r="V27">
        <v>0</v>
      </c>
      <c r="W27">
        <v>0</v>
      </c>
      <c r="X27">
        <v>20</v>
      </c>
      <c r="Y27">
        <v>20</v>
      </c>
      <c r="Z27">
        <v>0</v>
      </c>
      <c r="AA27">
        <v>5</v>
      </c>
    </row>
    <row r="28" spans="1:27" x14ac:dyDescent="0.25">
      <c r="A28">
        <v>26</v>
      </c>
      <c r="B28" t="s">
        <v>1578</v>
      </c>
      <c r="C28" t="s">
        <v>1619</v>
      </c>
      <c r="D28">
        <v>4010</v>
      </c>
      <c r="E28">
        <v>50</v>
      </c>
      <c r="F28">
        <v>600</v>
      </c>
      <c r="G28">
        <v>25</v>
      </c>
      <c r="H28" t="s">
        <v>130</v>
      </c>
      <c r="I28">
        <v>-1</v>
      </c>
      <c r="J28">
        <v>-1</v>
      </c>
      <c r="K28">
        <v>-1</v>
      </c>
      <c r="L28">
        <v>-1</v>
      </c>
      <c r="M28">
        <v>-1</v>
      </c>
      <c r="N28">
        <v>-1</v>
      </c>
      <c r="O28">
        <v>-1</v>
      </c>
      <c r="P28">
        <v>-1</v>
      </c>
      <c r="Q28">
        <v>-1</v>
      </c>
      <c r="R28">
        <v>-1</v>
      </c>
      <c r="S28">
        <v>-1</v>
      </c>
      <c r="T28">
        <v>1</v>
      </c>
      <c r="U28" t="s">
        <v>1358</v>
      </c>
      <c r="V28">
        <v>0</v>
      </c>
      <c r="W28">
        <v>0</v>
      </c>
      <c r="X28">
        <v>10</v>
      </c>
      <c r="Y28">
        <v>10</v>
      </c>
      <c r="Z28">
        <v>0</v>
      </c>
      <c r="AA28">
        <v>5</v>
      </c>
    </row>
    <row r="29" spans="1:27" x14ac:dyDescent="0.25">
      <c r="A29">
        <v>27</v>
      </c>
      <c r="B29" t="s">
        <v>1578</v>
      </c>
      <c r="C29" t="s">
        <v>1623</v>
      </c>
      <c r="D29">
        <v>4033</v>
      </c>
      <c r="E29">
        <v>50</v>
      </c>
      <c r="F29">
        <v>600</v>
      </c>
      <c r="G29">
        <v>25</v>
      </c>
      <c r="H29" t="s">
        <v>130</v>
      </c>
      <c r="I29">
        <v>-1</v>
      </c>
      <c r="J29">
        <v>-1</v>
      </c>
      <c r="K29">
        <v>-1</v>
      </c>
      <c r="L29">
        <v>-1</v>
      </c>
      <c r="M29">
        <v>-1</v>
      </c>
      <c r="N29">
        <v>-1</v>
      </c>
      <c r="O29">
        <v>-1</v>
      </c>
      <c r="P29">
        <v>-1</v>
      </c>
      <c r="Q29">
        <v>-1</v>
      </c>
      <c r="R29">
        <v>-1</v>
      </c>
      <c r="S29">
        <v>-1</v>
      </c>
      <c r="T29">
        <v>1</v>
      </c>
      <c r="U29" t="s">
        <v>1358</v>
      </c>
      <c r="V29">
        <v>0</v>
      </c>
      <c r="W29">
        <v>0</v>
      </c>
      <c r="X29">
        <v>10</v>
      </c>
      <c r="Y29">
        <v>10</v>
      </c>
      <c r="Z29">
        <v>0</v>
      </c>
      <c r="AA29">
        <v>5</v>
      </c>
    </row>
    <row r="30" spans="1:27" x14ac:dyDescent="0.25">
      <c r="A30">
        <v>28</v>
      </c>
      <c r="B30" t="s">
        <v>1578</v>
      </c>
      <c r="C30" t="s">
        <v>1626</v>
      </c>
      <c r="D30">
        <v>4034</v>
      </c>
      <c r="E30">
        <v>100</v>
      </c>
      <c r="F30">
        <v>1800</v>
      </c>
      <c r="G30">
        <v>100</v>
      </c>
      <c r="H30" t="s">
        <v>130</v>
      </c>
      <c r="I30">
        <v>-1</v>
      </c>
      <c r="J30">
        <v>2</v>
      </c>
      <c r="K30">
        <v>4</v>
      </c>
      <c r="L30">
        <v>6</v>
      </c>
      <c r="M30">
        <v>8</v>
      </c>
      <c r="N30">
        <v>10</v>
      </c>
      <c r="O30">
        <v>0.1</v>
      </c>
      <c r="P30">
        <v>0.1</v>
      </c>
      <c r="Q30">
        <v>0.1</v>
      </c>
      <c r="R30">
        <v>0.1</v>
      </c>
      <c r="S30">
        <v>0.1</v>
      </c>
      <c r="T30">
        <v>1</v>
      </c>
      <c r="U30" t="s">
        <v>1358</v>
      </c>
      <c r="V30">
        <v>0</v>
      </c>
      <c r="W30">
        <v>0</v>
      </c>
      <c r="X30">
        <v>10</v>
      </c>
      <c r="Y30">
        <v>10</v>
      </c>
      <c r="Z30">
        <v>0</v>
      </c>
      <c r="AA30">
        <v>5</v>
      </c>
    </row>
    <row r="31" spans="1:27" x14ac:dyDescent="0.25">
      <c r="A31">
        <v>29</v>
      </c>
      <c r="B31" t="s">
        <v>1578</v>
      </c>
      <c r="C31" t="s">
        <v>1627</v>
      </c>
      <c r="D31">
        <v>4035</v>
      </c>
      <c r="E31">
        <v>100</v>
      </c>
      <c r="F31">
        <v>1800</v>
      </c>
      <c r="G31">
        <v>100</v>
      </c>
      <c r="H31" t="s">
        <v>130</v>
      </c>
      <c r="I31">
        <v>-1</v>
      </c>
      <c r="J31">
        <v>2</v>
      </c>
      <c r="K31">
        <v>4</v>
      </c>
      <c r="L31">
        <v>6</v>
      </c>
      <c r="M31">
        <v>8</v>
      </c>
      <c r="N31">
        <v>10</v>
      </c>
      <c r="O31">
        <v>0.1</v>
      </c>
      <c r="P31">
        <v>0.1</v>
      </c>
      <c r="Q31">
        <v>0.1</v>
      </c>
      <c r="R31">
        <v>0.1</v>
      </c>
      <c r="S31">
        <v>0.1</v>
      </c>
      <c r="T31">
        <v>1</v>
      </c>
      <c r="U31" t="s">
        <v>1358</v>
      </c>
      <c r="V31">
        <v>0</v>
      </c>
      <c r="W31">
        <v>0</v>
      </c>
      <c r="X31">
        <v>10</v>
      </c>
      <c r="Y31">
        <v>10</v>
      </c>
      <c r="Z31">
        <v>0</v>
      </c>
      <c r="AA31">
        <v>5</v>
      </c>
    </row>
    <row r="32" spans="1:27" x14ac:dyDescent="0.25">
      <c r="A32">
        <v>30</v>
      </c>
      <c r="B32" t="s">
        <v>1578</v>
      </c>
      <c r="C32" t="s">
        <v>1615</v>
      </c>
      <c r="D32">
        <v>4015</v>
      </c>
      <c r="E32">
        <v>100</v>
      </c>
      <c r="F32">
        <v>3600</v>
      </c>
      <c r="G32">
        <v>5</v>
      </c>
      <c r="H32" t="s">
        <v>130</v>
      </c>
      <c r="I32">
        <v>-1</v>
      </c>
      <c r="J32">
        <v>1</v>
      </c>
      <c r="K32">
        <v>2</v>
      </c>
      <c r="L32">
        <v>-1</v>
      </c>
      <c r="M32">
        <v>-1</v>
      </c>
      <c r="N32">
        <v>-1</v>
      </c>
      <c r="O32">
        <v>0.25</v>
      </c>
      <c r="P32">
        <v>0.25</v>
      </c>
      <c r="Q32">
        <v>-1</v>
      </c>
      <c r="R32">
        <v>-1</v>
      </c>
      <c r="S32">
        <v>-1</v>
      </c>
      <c r="T32">
        <v>1</v>
      </c>
      <c r="U32" t="s">
        <v>1358</v>
      </c>
      <c r="V32">
        <v>0</v>
      </c>
      <c r="W32">
        <v>0</v>
      </c>
      <c r="X32">
        <v>20</v>
      </c>
      <c r="Y32">
        <v>20</v>
      </c>
      <c r="Z32">
        <v>0</v>
      </c>
      <c r="AA32">
        <v>5</v>
      </c>
    </row>
    <row r="33" spans="1:27" x14ac:dyDescent="0.25">
      <c r="A33">
        <v>31</v>
      </c>
      <c r="B33" t="s">
        <v>1578</v>
      </c>
      <c r="C33" t="s">
        <v>1614</v>
      </c>
      <c r="D33">
        <v>4017</v>
      </c>
      <c r="E33">
        <v>500</v>
      </c>
      <c r="F33">
        <v>6000</v>
      </c>
      <c r="G33">
        <v>100</v>
      </c>
      <c r="H33" t="s">
        <v>130</v>
      </c>
      <c r="I33">
        <v>-1</v>
      </c>
      <c r="J33">
        <v>2</v>
      </c>
      <c r="K33">
        <v>4</v>
      </c>
      <c r="L33">
        <v>6</v>
      </c>
      <c r="M33">
        <v>8</v>
      </c>
      <c r="N33">
        <v>10</v>
      </c>
      <c r="O33">
        <v>0.1</v>
      </c>
      <c r="P33">
        <v>0.1</v>
      </c>
      <c r="Q33">
        <v>0.1</v>
      </c>
      <c r="R33">
        <v>0.1</v>
      </c>
      <c r="S33">
        <v>0.1</v>
      </c>
      <c r="T33">
        <v>1</v>
      </c>
      <c r="U33" t="s">
        <v>1358</v>
      </c>
      <c r="V33">
        <v>0</v>
      </c>
      <c r="W33">
        <v>0</v>
      </c>
      <c r="X33">
        <v>30</v>
      </c>
      <c r="Y33">
        <v>30</v>
      </c>
      <c r="Z33">
        <v>0</v>
      </c>
      <c r="AA33">
        <v>5</v>
      </c>
    </row>
    <row r="34" spans="1:27" x14ac:dyDescent="0.25">
      <c r="A34">
        <v>32</v>
      </c>
      <c r="B34" t="s">
        <v>1578</v>
      </c>
      <c r="C34" t="s">
        <v>1630</v>
      </c>
      <c r="D34">
        <v>4036</v>
      </c>
      <c r="E34">
        <v>1000</v>
      </c>
      <c r="F34">
        <v>14400</v>
      </c>
      <c r="G34">
        <v>100</v>
      </c>
      <c r="H34" t="s">
        <v>130</v>
      </c>
      <c r="I34">
        <v>-1</v>
      </c>
      <c r="J34">
        <v>2</v>
      </c>
      <c r="K34">
        <v>4</v>
      </c>
      <c r="L34">
        <v>6</v>
      </c>
      <c r="M34">
        <v>8</v>
      </c>
      <c r="N34">
        <v>10</v>
      </c>
      <c r="O34">
        <v>0.1</v>
      </c>
      <c r="P34">
        <v>0.1</v>
      </c>
      <c r="Q34">
        <v>0.1</v>
      </c>
      <c r="R34">
        <v>0.1</v>
      </c>
      <c r="S34">
        <v>0.1</v>
      </c>
      <c r="T34">
        <v>1</v>
      </c>
      <c r="U34" t="s">
        <v>1358</v>
      </c>
      <c r="V34">
        <v>0</v>
      </c>
      <c r="W34">
        <v>0</v>
      </c>
      <c r="X34">
        <v>10</v>
      </c>
      <c r="Y34">
        <v>10</v>
      </c>
      <c r="Z34">
        <v>0</v>
      </c>
      <c r="AA34">
        <v>5</v>
      </c>
    </row>
    <row r="35" spans="1:27" x14ac:dyDescent="0.25">
      <c r="A35">
        <v>33</v>
      </c>
      <c r="B35" t="s">
        <v>1578</v>
      </c>
      <c r="C35" t="s">
        <v>1631</v>
      </c>
      <c r="D35">
        <v>4037</v>
      </c>
      <c r="E35">
        <v>2500</v>
      </c>
      <c r="F35">
        <v>28800</v>
      </c>
      <c r="G35">
        <v>100</v>
      </c>
      <c r="H35" t="s">
        <v>130</v>
      </c>
      <c r="I35">
        <v>-1</v>
      </c>
      <c r="J35">
        <v>2</v>
      </c>
      <c r="K35">
        <v>4</v>
      </c>
      <c r="L35">
        <v>6</v>
      </c>
      <c r="M35">
        <v>8</v>
      </c>
      <c r="N35">
        <v>10</v>
      </c>
      <c r="O35">
        <v>0.1</v>
      </c>
      <c r="P35">
        <v>0.1</v>
      </c>
      <c r="Q35">
        <v>0.1</v>
      </c>
      <c r="R35">
        <v>0.1</v>
      </c>
      <c r="S35">
        <v>0.1</v>
      </c>
      <c r="T35">
        <v>1</v>
      </c>
      <c r="U35" t="s">
        <v>1358</v>
      </c>
      <c r="V35">
        <v>0</v>
      </c>
      <c r="W35">
        <v>0</v>
      </c>
      <c r="X35">
        <v>20</v>
      </c>
      <c r="Y35">
        <v>40</v>
      </c>
      <c r="Z35">
        <v>0</v>
      </c>
      <c r="AA35">
        <v>5</v>
      </c>
    </row>
    <row r="36" spans="1:27" x14ac:dyDescent="0.25">
      <c r="A36">
        <v>34</v>
      </c>
      <c r="B36" t="s">
        <v>1578</v>
      </c>
      <c r="C36" t="s">
        <v>1593</v>
      </c>
      <c r="D36">
        <v>4100</v>
      </c>
      <c r="E36">
        <v>5</v>
      </c>
      <c r="F36">
        <v>0</v>
      </c>
      <c r="G36">
        <v>-1</v>
      </c>
      <c r="H36" t="s">
        <v>130</v>
      </c>
      <c r="I36">
        <v>-1</v>
      </c>
      <c r="J36">
        <v>-1</v>
      </c>
      <c r="K36">
        <v>-1</v>
      </c>
      <c r="L36">
        <v>-1</v>
      </c>
      <c r="M36">
        <v>-1</v>
      </c>
      <c r="N36">
        <v>-1</v>
      </c>
      <c r="O36">
        <v>-1</v>
      </c>
      <c r="P36">
        <v>-1</v>
      </c>
      <c r="Q36">
        <v>-1</v>
      </c>
      <c r="R36">
        <v>-1</v>
      </c>
      <c r="S36">
        <v>-1</v>
      </c>
      <c r="T36">
        <v>1</v>
      </c>
      <c r="U36" t="s">
        <v>1358</v>
      </c>
      <c r="V36">
        <v>0</v>
      </c>
      <c r="W36">
        <v>0</v>
      </c>
      <c r="X36">
        <v>20</v>
      </c>
      <c r="Y36">
        <v>20</v>
      </c>
      <c r="Z36">
        <v>0</v>
      </c>
      <c r="AA36">
        <v>5</v>
      </c>
    </row>
    <row r="37" spans="1:27" x14ac:dyDescent="0.25">
      <c r="A37">
        <v>35</v>
      </c>
      <c r="B37" t="s">
        <v>1578</v>
      </c>
      <c r="C37" t="s">
        <v>1596</v>
      </c>
      <c r="D37">
        <v>4006</v>
      </c>
      <c r="E37">
        <v>100</v>
      </c>
      <c r="F37">
        <v>18000</v>
      </c>
      <c r="G37">
        <v>-1</v>
      </c>
      <c r="H37" t="s">
        <v>130</v>
      </c>
      <c r="I37">
        <v>-1</v>
      </c>
      <c r="J37">
        <v>-1</v>
      </c>
      <c r="K37">
        <v>-1</v>
      </c>
      <c r="L37">
        <v>-1</v>
      </c>
      <c r="M37">
        <v>-1</v>
      </c>
      <c r="N37">
        <v>-1</v>
      </c>
      <c r="O37">
        <v>-1</v>
      </c>
      <c r="P37">
        <v>-1</v>
      </c>
      <c r="Q37">
        <v>-1</v>
      </c>
      <c r="R37">
        <v>-1</v>
      </c>
      <c r="S37">
        <v>-1</v>
      </c>
      <c r="T37">
        <v>1</v>
      </c>
      <c r="U37" t="s">
        <v>1358</v>
      </c>
      <c r="V37">
        <v>0</v>
      </c>
      <c r="W37">
        <v>0</v>
      </c>
      <c r="X37">
        <v>20</v>
      </c>
      <c r="Y37">
        <v>20</v>
      </c>
      <c r="Z37">
        <v>0</v>
      </c>
      <c r="AA37">
        <v>5</v>
      </c>
    </row>
    <row r="38" spans="1:27" x14ac:dyDescent="0.25">
      <c r="A38">
        <v>36</v>
      </c>
      <c r="B38" t="s">
        <v>1578</v>
      </c>
      <c r="C38" t="s">
        <v>1589</v>
      </c>
      <c r="D38">
        <v>4018</v>
      </c>
      <c r="E38">
        <v>250</v>
      </c>
      <c r="F38">
        <v>7200</v>
      </c>
      <c r="G38">
        <v>-1</v>
      </c>
      <c r="H38" t="s">
        <v>130</v>
      </c>
      <c r="I38">
        <v>-1</v>
      </c>
      <c r="J38">
        <v>-1</v>
      </c>
      <c r="K38">
        <v>-1</v>
      </c>
      <c r="L38">
        <v>-1</v>
      </c>
      <c r="M38">
        <v>-1</v>
      </c>
      <c r="N38">
        <v>-1</v>
      </c>
      <c r="O38">
        <v>-1</v>
      </c>
      <c r="P38">
        <v>-1</v>
      </c>
      <c r="Q38">
        <v>-1</v>
      </c>
      <c r="R38">
        <v>-1</v>
      </c>
      <c r="S38">
        <v>-1</v>
      </c>
      <c r="T38">
        <v>1</v>
      </c>
      <c r="U38" t="s">
        <v>1358</v>
      </c>
      <c r="V38">
        <v>0</v>
      </c>
      <c r="W38">
        <v>0</v>
      </c>
      <c r="X38">
        <v>20</v>
      </c>
      <c r="Y38">
        <v>20</v>
      </c>
      <c r="Z38">
        <v>0</v>
      </c>
      <c r="AA38">
        <v>5</v>
      </c>
    </row>
    <row r="39" spans="1:27" x14ac:dyDescent="0.25">
      <c r="A39">
        <v>37</v>
      </c>
      <c r="B39" t="s">
        <v>1578</v>
      </c>
      <c r="C39" t="s">
        <v>1590</v>
      </c>
      <c r="D39">
        <v>4019</v>
      </c>
      <c r="E39">
        <v>100</v>
      </c>
      <c r="F39">
        <v>1800</v>
      </c>
      <c r="G39">
        <v>-1</v>
      </c>
      <c r="H39" t="s">
        <v>130</v>
      </c>
      <c r="I39">
        <v>-1</v>
      </c>
      <c r="J39">
        <v>-1</v>
      </c>
      <c r="K39">
        <v>-1</v>
      </c>
      <c r="L39">
        <v>-1</v>
      </c>
      <c r="M39">
        <v>-1</v>
      </c>
      <c r="N39">
        <v>-1</v>
      </c>
      <c r="O39">
        <v>-1</v>
      </c>
      <c r="P39">
        <v>-1</v>
      </c>
      <c r="Q39">
        <v>-1</v>
      </c>
      <c r="R39">
        <v>-1</v>
      </c>
      <c r="S39">
        <v>-1</v>
      </c>
      <c r="T39">
        <v>1</v>
      </c>
      <c r="U39" t="s">
        <v>1358</v>
      </c>
      <c r="V39">
        <v>0</v>
      </c>
      <c r="W39">
        <v>0</v>
      </c>
      <c r="X39">
        <v>10</v>
      </c>
      <c r="Y39">
        <v>10</v>
      </c>
      <c r="Z39">
        <v>0</v>
      </c>
      <c r="AA39">
        <v>5</v>
      </c>
    </row>
    <row r="40" spans="1:27" x14ac:dyDescent="0.25">
      <c r="A40">
        <v>38</v>
      </c>
      <c r="B40" t="s">
        <v>1578</v>
      </c>
      <c r="C40" t="s">
        <v>1591</v>
      </c>
      <c r="D40">
        <v>4020</v>
      </c>
      <c r="E40">
        <v>100</v>
      </c>
      <c r="F40">
        <v>1800</v>
      </c>
      <c r="G40">
        <v>-1</v>
      </c>
      <c r="H40" t="s">
        <v>130</v>
      </c>
      <c r="I40">
        <v>-1</v>
      </c>
      <c r="J40">
        <v>-1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1</v>
      </c>
      <c r="U40" t="s">
        <v>1358</v>
      </c>
      <c r="V40">
        <v>0</v>
      </c>
      <c r="W40">
        <v>0</v>
      </c>
      <c r="X40">
        <v>10</v>
      </c>
      <c r="Y40">
        <v>10</v>
      </c>
      <c r="Z40">
        <v>0</v>
      </c>
      <c r="AA40">
        <v>5</v>
      </c>
    </row>
    <row r="41" spans="1:27" x14ac:dyDescent="0.25">
      <c r="A41">
        <v>39</v>
      </c>
      <c r="B41" t="s">
        <v>1578</v>
      </c>
      <c r="C41" t="s">
        <v>1592</v>
      </c>
      <c r="D41">
        <v>4021</v>
      </c>
      <c r="E41">
        <v>100</v>
      </c>
      <c r="F41">
        <v>1800</v>
      </c>
      <c r="G41">
        <v>-1</v>
      </c>
      <c r="H41" t="s">
        <v>130</v>
      </c>
      <c r="I41">
        <v>-1</v>
      </c>
      <c r="J41">
        <v>-1</v>
      </c>
      <c r="K41">
        <v>-1</v>
      </c>
      <c r="L41">
        <v>-1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-1</v>
      </c>
      <c r="S41">
        <v>-1</v>
      </c>
      <c r="T41">
        <v>1</v>
      </c>
      <c r="U41" t="s">
        <v>1358</v>
      </c>
      <c r="V41">
        <v>0</v>
      </c>
      <c r="W41">
        <v>0</v>
      </c>
      <c r="X41">
        <v>10</v>
      </c>
      <c r="Y41">
        <v>10</v>
      </c>
      <c r="Z41">
        <v>0</v>
      </c>
      <c r="AA41">
        <v>5</v>
      </c>
    </row>
    <row r="42" spans="1:27" x14ac:dyDescent="0.25">
      <c r="A42">
        <v>40</v>
      </c>
      <c r="B42" t="s">
        <v>1578</v>
      </c>
      <c r="C42" t="s">
        <v>1594</v>
      </c>
      <c r="D42">
        <v>4022</v>
      </c>
      <c r="E42">
        <v>100</v>
      </c>
      <c r="F42">
        <v>1800</v>
      </c>
      <c r="G42">
        <v>-1</v>
      </c>
      <c r="H42" t="s">
        <v>130</v>
      </c>
      <c r="I42">
        <v>-1</v>
      </c>
      <c r="J42">
        <v>-1</v>
      </c>
      <c r="K42">
        <v>-1</v>
      </c>
      <c r="L42">
        <v>-1</v>
      </c>
      <c r="M42">
        <v>-1</v>
      </c>
      <c r="N42">
        <v>-1</v>
      </c>
      <c r="O42">
        <v>-1</v>
      </c>
      <c r="P42">
        <v>-1</v>
      </c>
      <c r="Q42">
        <v>-1</v>
      </c>
      <c r="R42">
        <v>-1</v>
      </c>
      <c r="S42">
        <v>-1</v>
      </c>
      <c r="T42">
        <v>1</v>
      </c>
      <c r="U42" t="s">
        <v>1358</v>
      </c>
      <c r="V42">
        <v>0</v>
      </c>
      <c r="W42">
        <v>0</v>
      </c>
      <c r="X42">
        <v>10</v>
      </c>
      <c r="Y42">
        <v>10</v>
      </c>
      <c r="Z42">
        <v>0</v>
      </c>
      <c r="AA42">
        <v>5</v>
      </c>
    </row>
    <row r="43" spans="1:27" x14ac:dyDescent="0.25">
      <c r="A43">
        <v>41</v>
      </c>
      <c r="B43" t="s">
        <v>1578</v>
      </c>
      <c r="C43" t="s">
        <v>1595</v>
      </c>
      <c r="D43">
        <v>4023</v>
      </c>
      <c r="E43">
        <v>100</v>
      </c>
      <c r="F43">
        <v>1800</v>
      </c>
      <c r="G43">
        <v>-1</v>
      </c>
      <c r="H43" t="s">
        <v>130</v>
      </c>
      <c r="I43">
        <v>-1</v>
      </c>
      <c r="J43">
        <v>-1</v>
      </c>
      <c r="K43">
        <v>-1</v>
      </c>
      <c r="L43">
        <v>-1</v>
      </c>
      <c r="M43">
        <v>-1</v>
      </c>
      <c r="N43">
        <v>-1</v>
      </c>
      <c r="O43">
        <v>-1</v>
      </c>
      <c r="P43">
        <v>-1</v>
      </c>
      <c r="Q43">
        <v>-1</v>
      </c>
      <c r="R43">
        <v>-1</v>
      </c>
      <c r="S43">
        <v>-1</v>
      </c>
      <c r="T43">
        <v>1</v>
      </c>
      <c r="U43" t="s">
        <v>1358</v>
      </c>
      <c r="V43">
        <v>0</v>
      </c>
      <c r="W43">
        <v>0</v>
      </c>
      <c r="X43">
        <v>10</v>
      </c>
      <c r="Y43">
        <v>10</v>
      </c>
      <c r="Z43">
        <v>0</v>
      </c>
      <c r="AA43">
        <v>5</v>
      </c>
    </row>
    <row r="44" spans="1:27" x14ac:dyDescent="0.25">
      <c r="A44">
        <v>42</v>
      </c>
      <c r="B44" t="s">
        <v>1578</v>
      </c>
      <c r="C44" t="s">
        <v>1597</v>
      </c>
      <c r="D44">
        <v>4024</v>
      </c>
      <c r="E44">
        <v>100</v>
      </c>
      <c r="F44">
        <v>1800</v>
      </c>
      <c r="G44">
        <v>-1</v>
      </c>
      <c r="H44" t="s">
        <v>130</v>
      </c>
      <c r="I44">
        <v>-1</v>
      </c>
      <c r="J44">
        <v>-1</v>
      </c>
      <c r="K44">
        <v>-1</v>
      </c>
      <c r="L44">
        <v>-1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-1</v>
      </c>
      <c r="S44">
        <v>-1</v>
      </c>
      <c r="T44">
        <v>1</v>
      </c>
      <c r="U44" t="s">
        <v>1358</v>
      </c>
      <c r="V44">
        <v>0</v>
      </c>
      <c r="W44">
        <v>0</v>
      </c>
      <c r="X44">
        <v>10</v>
      </c>
      <c r="Y44">
        <v>10</v>
      </c>
      <c r="Z44">
        <v>0</v>
      </c>
      <c r="AA44">
        <v>5</v>
      </c>
    </row>
    <row r="45" spans="1:27" x14ac:dyDescent="0.25">
      <c r="A45">
        <v>43</v>
      </c>
      <c r="B45" t="s">
        <v>1578</v>
      </c>
      <c r="C45" t="s">
        <v>1598</v>
      </c>
      <c r="D45">
        <v>4025</v>
      </c>
      <c r="E45">
        <v>100</v>
      </c>
      <c r="F45">
        <v>1800</v>
      </c>
      <c r="G45">
        <v>-1</v>
      </c>
      <c r="H45" t="s">
        <v>130</v>
      </c>
      <c r="I45">
        <v>-1</v>
      </c>
      <c r="J45">
        <v>-1</v>
      </c>
      <c r="K45">
        <v>-1</v>
      </c>
      <c r="L45">
        <v>-1</v>
      </c>
      <c r="M45">
        <v>-1</v>
      </c>
      <c r="N45">
        <v>-1</v>
      </c>
      <c r="O45">
        <v>-1</v>
      </c>
      <c r="P45">
        <v>-1</v>
      </c>
      <c r="Q45">
        <v>-1</v>
      </c>
      <c r="R45">
        <v>-1</v>
      </c>
      <c r="S45">
        <v>-1</v>
      </c>
      <c r="T45">
        <v>1</v>
      </c>
      <c r="U45" t="s">
        <v>1358</v>
      </c>
      <c r="V45">
        <v>0</v>
      </c>
      <c r="W45">
        <v>0</v>
      </c>
      <c r="X45">
        <v>10</v>
      </c>
      <c r="Y45">
        <v>10</v>
      </c>
      <c r="Z45">
        <v>0</v>
      </c>
      <c r="AA45">
        <v>5</v>
      </c>
    </row>
    <row r="46" spans="1:27" x14ac:dyDescent="0.25">
      <c r="A46">
        <v>44</v>
      </c>
      <c r="B46" t="s">
        <v>1578</v>
      </c>
      <c r="C46" t="s">
        <v>1599</v>
      </c>
      <c r="D46">
        <v>4026</v>
      </c>
      <c r="E46">
        <v>100</v>
      </c>
      <c r="F46">
        <v>1800</v>
      </c>
      <c r="G46">
        <v>-1</v>
      </c>
      <c r="H46" t="s">
        <v>130</v>
      </c>
      <c r="I46">
        <v>-1</v>
      </c>
      <c r="J46">
        <v>-1</v>
      </c>
      <c r="K46">
        <v>-1</v>
      </c>
      <c r="L46">
        <v>-1</v>
      </c>
      <c r="M46">
        <v>-1</v>
      </c>
      <c r="N46">
        <v>-1</v>
      </c>
      <c r="O46">
        <v>-1</v>
      </c>
      <c r="P46">
        <v>-1</v>
      </c>
      <c r="Q46">
        <v>-1</v>
      </c>
      <c r="R46">
        <v>-1</v>
      </c>
      <c r="S46">
        <v>-1</v>
      </c>
      <c r="T46">
        <v>1</v>
      </c>
      <c r="U46" t="s">
        <v>1358</v>
      </c>
      <c r="V46">
        <v>0</v>
      </c>
      <c r="W46">
        <v>0</v>
      </c>
      <c r="X46">
        <v>10</v>
      </c>
      <c r="Y46">
        <v>10</v>
      </c>
      <c r="Z46">
        <v>0</v>
      </c>
      <c r="AA46">
        <v>5</v>
      </c>
    </row>
    <row r="47" spans="1:27" x14ac:dyDescent="0.25">
      <c r="A47">
        <v>45</v>
      </c>
      <c r="B47" t="s">
        <v>1578</v>
      </c>
      <c r="C47" t="s">
        <v>1600</v>
      </c>
      <c r="D47">
        <v>4029</v>
      </c>
      <c r="E47">
        <v>200</v>
      </c>
      <c r="F47">
        <v>7200</v>
      </c>
      <c r="G47">
        <v>-1</v>
      </c>
      <c r="H47" t="s">
        <v>130</v>
      </c>
      <c r="I47">
        <v>-1</v>
      </c>
      <c r="J47">
        <v>-1</v>
      </c>
      <c r="K47">
        <v>-1</v>
      </c>
      <c r="L47">
        <v>-1</v>
      </c>
      <c r="M47">
        <v>-1</v>
      </c>
      <c r="N47">
        <v>-1</v>
      </c>
      <c r="O47">
        <v>-1</v>
      </c>
      <c r="P47">
        <v>-1</v>
      </c>
      <c r="Q47">
        <v>-1</v>
      </c>
      <c r="R47">
        <v>-1</v>
      </c>
      <c r="S47">
        <v>-1</v>
      </c>
      <c r="T47">
        <v>1</v>
      </c>
      <c r="U47" t="s">
        <v>1358</v>
      </c>
      <c r="V47">
        <v>0</v>
      </c>
      <c r="W47">
        <v>0</v>
      </c>
      <c r="X47">
        <v>20</v>
      </c>
      <c r="Y47">
        <v>40</v>
      </c>
      <c r="Z47">
        <v>0</v>
      </c>
      <c r="AA47">
        <v>5</v>
      </c>
    </row>
    <row r="48" spans="1:27" x14ac:dyDescent="0.25">
      <c r="A48">
        <v>46</v>
      </c>
      <c r="B48" t="s">
        <v>1578</v>
      </c>
      <c r="C48" t="s">
        <v>1601</v>
      </c>
      <c r="D48">
        <v>4030</v>
      </c>
      <c r="E48">
        <v>5000</v>
      </c>
      <c r="F48">
        <v>43200</v>
      </c>
      <c r="G48">
        <v>-1</v>
      </c>
      <c r="H48" t="s">
        <v>130</v>
      </c>
      <c r="I48">
        <v>-1</v>
      </c>
      <c r="J48">
        <v>-1</v>
      </c>
      <c r="K48">
        <v>-1</v>
      </c>
      <c r="L48">
        <v>-1</v>
      </c>
      <c r="M48">
        <v>-1</v>
      </c>
      <c r="N48">
        <v>-1</v>
      </c>
      <c r="O48">
        <v>-1</v>
      </c>
      <c r="P48">
        <v>-1</v>
      </c>
      <c r="Q48">
        <v>-1</v>
      </c>
      <c r="R48">
        <v>-1</v>
      </c>
      <c r="S48">
        <v>-1</v>
      </c>
      <c r="T48">
        <v>1</v>
      </c>
      <c r="U48" t="s">
        <v>1358</v>
      </c>
      <c r="V48">
        <v>0</v>
      </c>
      <c r="W48">
        <v>0</v>
      </c>
      <c r="X48">
        <v>60</v>
      </c>
      <c r="Y48">
        <v>20</v>
      </c>
      <c r="Z48">
        <v>0</v>
      </c>
      <c r="AA48">
        <v>5</v>
      </c>
    </row>
    <row r="49" spans="1:27" x14ac:dyDescent="0.25">
      <c r="A49">
        <v>47</v>
      </c>
      <c r="B49" t="s">
        <v>1578</v>
      </c>
      <c r="C49" t="s">
        <v>1603</v>
      </c>
      <c r="D49">
        <v>4031</v>
      </c>
      <c r="E49">
        <v>25</v>
      </c>
      <c r="F49">
        <v>60</v>
      </c>
      <c r="G49">
        <v>-1</v>
      </c>
      <c r="H49" t="s">
        <v>130</v>
      </c>
      <c r="I49">
        <v>-1</v>
      </c>
      <c r="J49">
        <v>-1</v>
      </c>
      <c r="K49">
        <v>-1</v>
      </c>
      <c r="L49">
        <v>-1</v>
      </c>
      <c r="M49">
        <v>-1</v>
      </c>
      <c r="N49">
        <v>-1</v>
      </c>
      <c r="O49">
        <v>-1</v>
      </c>
      <c r="P49">
        <v>-1</v>
      </c>
      <c r="Q49">
        <v>-1</v>
      </c>
      <c r="R49">
        <v>-1</v>
      </c>
      <c r="S49">
        <v>-1</v>
      </c>
      <c r="T49">
        <v>1</v>
      </c>
      <c r="U49" t="s">
        <v>1358</v>
      </c>
      <c r="V49">
        <v>0</v>
      </c>
      <c r="W49">
        <v>0</v>
      </c>
      <c r="X49">
        <v>20</v>
      </c>
      <c r="Y49">
        <v>20</v>
      </c>
      <c r="Z49">
        <v>0</v>
      </c>
      <c r="AA49">
        <v>5</v>
      </c>
    </row>
  </sheetData>
  <conditionalFormatting sqref="A1:XFD2 A50:XFD1048576 A3:G49 I3:XFD49">
    <cfRule type="cellIs" dxfId="16" priority="2" operator="equal">
      <formula>-1</formula>
    </cfRule>
  </conditionalFormatting>
  <conditionalFormatting sqref="H3:H49">
    <cfRule type="containsText" dxfId="15" priority="1" operator="containsText" text="Reward Movies">
      <formula>NOT(ISERROR(SEARCH("Reward Movies",H3)))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76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T1" sqref="T1:V1048576"/>
    </sheetView>
  </sheetViews>
  <sheetFormatPr defaultRowHeight="15" x14ac:dyDescent="0.25"/>
  <cols>
    <col min="1" max="1" width="5.140625" bestFit="1" customWidth="1"/>
    <col min="2" max="2" width="9" bestFit="1" customWidth="1"/>
    <col min="3" max="3" width="59.140625" bestFit="1" customWidth="1"/>
    <col min="4" max="4" width="7.5703125" bestFit="1" customWidth="1"/>
    <col min="5" max="5" width="9" bestFit="1" customWidth="1"/>
    <col min="6" max="6" width="8" bestFit="1" customWidth="1"/>
    <col min="7" max="7" width="11.5703125" customWidth="1"/>
    <col min="8" max="8" width="9.140625" customWidth="1"/>
    <col min="9" max="9" width="43.7109375" bestFit="1" customWidth="1"/>
    <col min="10" max="10" width="11.28515625" bestFit="1" customWidth="1"/>
    <col min="11" max="11" width="12.85546875" customWidth="1"/>
    <col min="12" max="12" width="9.42578125" customWidth="1"/>
    <col min="13" max="14" width="8.5703125" customWidth="1"/>
    <col min="15" max="16" width="15.28515625" customWidth="1"/>
    <col min="17" max="17" width="17.28515625" customWidth="1"/>
    <col min="18" max="18" width="31.5703125" bestFit="1" customWidth="1"/>
    <col min="19" max="19" width="8" customWidth="1"/>
  </cols>
  <sheetData>
    <row r="1" spans="1:19" s="1" customFormat="1" ht="60" x14ac:dyDescent="0.25">
      <c r="A1" s="1" t="s">
        <v>2142</v>
      </c>
      <c r="B1" s="1" t="s">
        <v>63</v>
      </c>
      <c r="C1" s="1" t="s">
        <v>723</v>
      </c>
      <c r="D1" s="1" t="s">
        <v>66</v>
      </c>
      <c r="E1" s="1" t="s">
        <v>1266</v>
      </c>
      <c r="F1" s="1" t="s">
        <v>1265</v>
      </c>
      <c r="G1" s="1" t="s">
        <v>2143</v>
      </c>
      <c r="H1" s="1" t="s">
        <v>2146</v>
      </c>
      <c r="I1" s="1" t="s">
        <v>2186</v>
      </c>
      <c r="J1" s="1" t="s">
        <v>2187</v>
      </c>
      <c r="K1" s="1" t="s">
        <v>2188</v>
      </c>
      <c r="L1" s="1" t="s">
        <v>2147</v>
      </c>
      <c r="M1" s="1" t="s">
        <v>2148</v>
      </c>
      <c r="N1" s="1" t="s">
        <v>2149</v>
      </c>
      <c r="O1" s="1" t="s">
        <v>2189</v>
      </c>
      <c r="P1" s="1" t="s">
        <v>2245</v>
      </c>
      <c r="Q1" s="1" t="s">
        <v>2190</v>
      </c>
      <c r="R1" s="1" t="s">
        <v>2191</v>
      </c>
      <c r="S1" s="1" t="s">
        <v>2192</v>
      </c>
    </row>
    <row r="2" spans="1:19" x14ac:dyDescent="0.25">
      <c r="A2" t="s">
        <v>2046</v>
      </c>
      <c r="B2" t="s">
        <v>1049</v>
      </c>
      <c r="C2" t="s">
        <v>1056</v>
      </c>
      <c r="D2" t="s">
        <v>1057</v>
      </c>
      <c r="E2" t="s">
        <v>1250</v>
      </c>
      <c r="F2" t="s">
        <v>1249</v>
      </c>
      <c r="G2" t="s">
        <v>1331</v>
      </c>
      <c r="H2" t="s">
        <v>1285</v>
      </c>
      <c r="I2" t="s">
        <v>1271</v>
      </c>
      <c r="J2" t="s">
        <v>1326</v>
      </c>
      <c r="K2" t="s">
        <v>1787</v>
      </c>
      <c r="L2" t="s">
        <v>1287</v>
      </c>
      <c r="M2" t="s">
        <v>1288</v>
      </c>
      <c r="N2" t="s">
        <v>1289</v>
      </c>
      <c r="O2" t="s">
        <v>1290</v>
      </c>
      <c r="Q2" t="s">
        <v>1286</v>
      </c>
      <c r="R2" t="s">
        <v>1341</v>
      </c>
      <c r="S2" t="s">
        <v>1269</v>
      </c>
    </row>
    <row r="3" spans="1:19" x14ac:dyDescent="0.25">
      <c r="A3">
        <v>1</v>
      </c>
      <c r="B3" t="s">
        <v>1248</v>
      </c>
      <c r="C3" t="s">
        <v>1644</v>
      </c>
      <c r="D3">
        <v>2001</v>
      </c>
      <c r="E3">
        <v>20</v>
      </c>
      <c r="F3">
        <v>20</v>
      </c>
      <c r="G3">
        <v>0</v>
      </c>
      <c r="H3">
        <v>21</v>
      </c>
      <c r="I3" t="s">
        <v>1645</v>
      </c>
      <c r="J3">
        <v>1</v>
      </c>
      <c r="K3">
        <v>0</v>
      </c>
      <c r="L3" t="s">
        <v>1358</v>
      </c>
      <c r="M3">
        <v>-10</v>
      </c>
      <c r="N3">
        <v>10</v>
      </c>
      <c r="O3">
        <v>5</v>
      </c>
      <c r="P3" t="s">
        <v>130</v>
      </c>
      <c r="Q3" t="s">
        <v>1634</v>
      </c>
      <c r="R3" t="s">
        <v>1635</v>
      </c>
      <c r="S3">
        <v>0</v>
      </c>
    </row>
    <row r="4" spans="1:19" x14ac:dyDescent="0.25">
      <c r="A4">
        <v>2</v>
      </c>
      <c r="B4" t="s">
        <v>1248</v>
      </c>
      <c r="C4" t="s">
        <v>1092</v>
      </c>
      <c r="D4">
        <v>2003</v>
      </c>
      <c r="E4">
        <v>20</v>
      </c>
      <c r="F4">
        <v>20</v>
      </c>
      <c r="G4">
        <v>0</v>
      </c>
      <c r="H4">
        <v>1</v>
      </c>
      <c r="I4" t="s">
        <v>1095</v>
      </c>
      <c r="J4">
        <v>1</v>
      </c>
      <c r="K4">
        <v>0</v>
      </c>
      <c r="L4" t="s">
        <v>1358</v>
      </c>
      <c r="M4">
        <v>-10</v>
      </c>
      <c r="N4">
        <v>10</v>
      </c>
      <c r="O4">
        <v>5</v>
      </c>
      <c r="P4" t="s">
        <v>130</v>
      </c>
      <c r="Q4" t="s">
        <v>1634</v>
      </c>
      <c r="R4" t="s">
        <v>1635</v>
      </c>
      <c r="S4">
        <v>0</v>
      </c>
    </row>
    <row r="5" spans="1:19" x14ac:dyDescent="0.25">
      <c r="A5">
        <v>3</v>
      </c>
      <c r="B5" t="s">
        <v>1248</v>
      </c>
      <c r="C5" t="s">
        <v>1680</v>
      </c>
      <c r="D5">
        <v>2004</v>
      </c>
      <c r="E5">
        <v>20</v>
      </c>
      <c r="F5">
        <v>20</v>
      </c>
      <c r="G5">
        <v>0</v>
      </c>
      <c r="H5">
        <v>2</v>
      </c>
      <c r="I5" t="s">
        <v>1681</v>
      </c>
      <c r="J5">
        <v>1</v>
      </c>
      <c r="K5">
        <v>0</v>
      </c>
      <c r="L5" t="s">
        <v>1358</v>
      </c>
      <c r="M5">
        <v>-1</v>
      </c>
      <c r="N5">
        <v>-1</v>
      </c>
      <c r="O5">
        <v>5</v>
      </c>
      <c r="P5" t="s">
        <v>130</v>
      </c>
      <c r="Q5" t="s">
        <v>1634</v>
      </c>
      <c r="R5" t="s">
        <v>1635</v>
      </c>
      <c r="S5">
        <v>0</v>
      </c>
    </row>
    <row r="6" spans="1:19" x14ac:dyDescent="0.25">
      <c r="A6">
        <v>4</v>
      </c>
      <c r="B6" t="s">
        <v>1248</v>
      </c>
      <c r="C6" t="s">
        <v>1782</v>
      </c>
      <c r="D6">
        <v>2007</v>
      </c>
      <c r="E6">
        <v>20</v>
      </c>
      <c r="F6">
        <v>20</v>
      </c>
      <c r="G6">
        <v>0</v>
      </c>
      <c r="H6">
        <v>16</v>
      </c>
      <c r="I6" t="s">
        <v>1783</v>
      </c>
      <c r="J6">
        <v>1</v>
      </c>
      <c r="K6">
        <v>0</v>
      </c>
      <c r="L6" t="s">
        <v>1358</v>
      </c>
      <c r="M6">
        <v>-10</v>
      </c>
      <c r="N6">
        <v>10</v>
      </c>
      <c r="O6">
        <v>5</v>
      </c>
      <c r="P6" t="s">
        <v>130</v>
      </c>
      <c r="Q6" t="s">
        <v>1634</v>
      </c>
      <c r="R6" t="s">
        <v>1635</v>
      </c>
      <c r="S6">
        <v>0</v>
      </c>
    </row>
    <row r="7" spans="1:19" x14ac:dyDescent="0.25">
      <c r="A7">
        <v>5</v>
      </c>
      <c r="B7" t="s">
        <v>1248</v>
      </c>
      <c r="C7" t="s">
        <v>1784</v>
      </c>
      <c r="D7">
        <v>2008</v>
      </c>
      <c r="E7">
        <v>20</v>
      </c>
      <c r="F7">
        <v>20</v>
      </c>
      <c r="G7">
        <v>0</v>
      </c>
      <c r="H7">
        <v>14</v>
      </c>
      <c r="I7" t="s">
        <v>1785</v>
      </c>
      <c r="J7">
        <v>1</v>
      </c>
      <c r="K7">
        <v>0</v>
      </c>
      <c r="L7" t="s">
        <v>1358</v>
      </c>
      <c r="M7">
        <v>-1</v>
      </c>
      <c r="N7">
        <v>-1</v>
      </c>
      <c r="O7">
        <v>5</v>
      </c>
      <c r="P7" t="s">
        <v>130</v>
      </c>
      <c r="Q7" t="s">
        <v>1634</v>
      </c>
      <c r="R7" t="s">
        <v>1635</v>
      </c>
      <c r="S7">
        <v>0</v>
      </c>
    </row>
    <row r="8" spans="1:19" x14ac:dyDescent="0.25">
      <c r="A8">
        <v>6</v>
      </c>
      <c r="B8" t="s">
        <v>1248</v>
      </c>
      <c r="C8" t="s">
        <v>1800</v>
      </c>
      <c r="D8">
        <v>2010</v>
      </c>
      <c r="E8">
        <v>20</v>
      </c>
      <c r="F8">
        <v>20</v>
      </c>
      <c r="G8">
        <v>0</v>
      </c>
      <c r="H8">
        <v>13</v>
      </c>
      <c r="I8" t="s">
        <v>1799</v>
      </c>
      <c r="J8">
        <v>1</v>
      </c>
      <c r="K8">
        <v>0</v>
      </c>
      <c r="L8" t="s">
        <v>1358</v>
      </c>
      <c r="M8">
        <v>-1</v>
      </c>
      <c r="N8">
        <v>-1</v>
      </c>
      <c r="O8">
        <v>5</v>
      </c>
      <c r="P8" t="s">
        <v>130</v>
      </c>
      <c r="Q8" t="s">
        <v>1634</v>
      </c>
      <c r="R8" t="s">
        <v>1635</v>
      </c>
      <c r="S8">
        <v>0</v>
      </c>
    </row>
    <row r="9" spans="1:19" x14ac:dyDescent="0.25">
      <c r="A9">
        <v>7</v>
      </c>
      <c r="B9" t="s">
        <v>1248</v>
      </c>
      <c r="C9" t="s">
        <v>1802</v>
      </c>
      <c r="D9">
        <v>2011</v>
      </c>
      <c r="E9">
        <v>20</v>
      </c>
      <c r="F9">
        <v>20</v>
      </c>
      <c r="G9">
        <v>0</v>
      </c>
      <c r="H9">
        <v>3</v>
      </c>
      <c r="I9" t="s">
        <v>1801</v>
      </c>
      <c r="J9">
        <v>1</v>
      </c>
      <c r="K9">
        <v>0</v>
      </c>
      <c r="L9" t="s">
        <v>1358</v>
      </c>
      <c r="M9">
        <v>-1</v>
      </c>
      <c r="N9">
        <v>-1</v>
      </c>
      <c r="O9">
        <v>5</v>
      </c>
      <c r="P9" t="s">
        <v>130</v>
      </c>
      <c r="Q9" t="s">
        <v>1634</v>
      </c>
      <c r="R9" t="s">
        <v>1635</v>
      </c>
      <c r="S9">
        <v>0</v>
      </c>
    </row>
    <row r="10" spans="1:19" x14ac:dyDescent="0.25">
      <c r="A10">
        <v>8</v>
      </c>
      <c r="B10" t="s">
        <v>1248</v>
      </c>
      <c r="C10" t="s">
        <v>1096</v>
      </c>
      <c r="D10">
        <v>2012</v>
      </c>
      <c r="E10">
        <v>20</v>
      </c>
      <c r="F10">
        <v>20</v>
      </c>
      <c r="G10">
        <v>0</v>
      </c>
      <c r="H10">
        <v>1</v>
      </c>
      <c r="I10" t="s">
        <v>1099</v>
      </c>
      <c r="J10">
        <v>1</v>
      </c>
      <c r="K10">
        <v>0</v>
      </c>
      <c r="L10" t="s">
        <v>1358</v>
      </c>
      <c r="M10">
        <v>-10</v>
      </c>
      <c r="N10">
        <v>10</v>
      </c>
      <c r="O10">
        <v>5</v>
      </c>
      <c r="P10" t="s">
        <v>130</v>
      </c>
      <c r="Q10" t="s">
        <v>1634</v>
      </c>
      <c r="R10" t="s">
        <v>1635</v>
      </c>
      <c r="S10">
        <v>0</v>
      </c>
    </row>
    <row r="11" spans="1:19" x14ac:dyDescent="0.25">
      <c r="A11">
        <v>9</v>
      </c>
      <c r="B11" t="s">
        <v>1248</v>
      </c>
      <c r="C11" t="s">
        <v>1096</v>
      </c>
      <c r="D11">
        <v>2013</v>
      </c>
      <c r="E11">
        <v>20</v>
      </c>
      <c r="F11">
        <v>20</v>
      </c>
      <c r="G11">
        <v>0</v>
      </c>
      <c r="H11">
        <v>5</v>
      </c>
      <c r="I11" t="s">
        <v>1853</v>
      </c>
      <c r="J11">
        <v>1</v>
      </c>
      <c r="K11">
        <v>0</v>
      </c>
      <c r="L11" t="s">
        <v>1358</v>
      </c>
      <c r="M11">
        <v>-10</v>
      </c>
      <c r="N11">
        <v>10</v>
      </c>
      <c r="O11">
        <v>5</v>
      </c>
      <c r="P11" t="s">
        <v>130</v>
      </c>
      <c r="Q11" t="s">
        <v>1634</v>
      </c>
      <c r="R11" t="s">
        <v>1635</v>
      </c>
      <c r="S11">
        <v>0</v>
      </c>
    </row>
    <row r="12" spans="1:19" x14ac:dyDescent="0.25">
      <c r="A12">
        <v>10</v>
      </c>
      <c r="B12" t="s">
        <v>1248</v>
      </c>
      <c r="C12" t="s">
        <v>1096</v>
      </c>
      <c r="D12">
        <v>2014</v>
      </c>
      <c r="E12">
        <v>20</v>
      </c>
      <c r="F12">
        <v>20</v>
      </c>
      <c r="G12">
        <v>0</v>
      </c>
      <c r="H12">
        <v>19</v>
      </c>
      <c r="I12" t="s">
        <v>1854</v>
      </c>
      <c r="J12">
        <v>1</v>
      </c>
      <c r="K12">
        <v>0</v>
      </c>
      <c r="L12" t="s">
        <v>1358</v>
      </c>
      <c r="M12">
        <v>-10</v>
      </c>
      <c r="N12">
        <v>10</v>
      </c>
      <c r="O12">
        <v>5</v>
      </c>
      <c r="P12" t="s">
        <v>130</v>
      </c>
      <c r="Q12" t="s">
        <v>1634</v>
      </c>
      <c r="R12" t="s">
        <v>1635</v>
      </c>
      <c r="S12">
        <v>0</v>
      </c>
    </row>
    <row r="13" spans="1:19" x14ac:dyDescent="0.25">
      <c r="A13">
        <v>11</v>
      </c>
      <c r="B13" t="s">
        <v>1248</v>
      </c>
      <c r="C13" t="s">
        <v>1856</v>
      </c>
      <c r="D13">
        <v>2015</v>
      </c>
      <c r="E13">
        <v>20</v>
      </c>
      <c r="F13">
        <v>20</v>
      </c>
      <c r="G13">
        <v>0</v>
      </c>
      <c r="H13">
        <v>13</v>
      </c>
      <c r="I13" t="s">
        <v>1855</v>
      </c>
      <c r="J13">
        <v>0</v>
      </c>
      <c r="K13">
        <v>0</v>
      </c>
      <c r="L13" t="s">
        <v>1358</v>
      </c>
      <c r="M13">
        <v>-10</v>
      </c>
      <c r="N13">
        <v>10</v>
      </c>
      <c r="O13">
        <v>5</v>
      </c>
      <c r="P13" t="s">
        <v>130</v>
      </c>
      <c r="Q13" t="s">
        <v>1634</v>
      </c>
      <c r="R13" t="s">
        <v>1635</v>
      </c>
      <c r="S13">
        <v>0</v>
      </c>
    </row>
    <row r="14" spans="1:19" x14ac:dyDescent="0.25">
      <c r="A14">
        <v>12</v>
      </c>
      <c r="B14" t="s">
        <v>1248</v>
      </c>
      <c r="C14" t="s">
        <v>1860</v>
      </c>
      <c r="D14">
        <v>2017</v>
      </c>
      <c r="E14">
        <v>20</v>
      </c>
      <c r="F14">
        <v>20</v>
      </c>
      <c r="G14">
        <v>0</v>
      </c>
      <c r="H14">
        <v>12</v>
      </c>
      <c r="I14" t="s">
        <v>1859</v>
      </c>
      <c r="J14">
        <v>1</v>
      </c>
      <c r="K14">
        <v>0</v>
      </c>
      <c r="L14" t="s">
        <v>1358</v>
      </c>
      <c r="M14">
        <v>-10</v>
      </c>
      <c r="N14">
        <v>10</v>
      </c>
      <c r="O14">
        <v>5</v>
      </c>
      <c r="P14" t="s">
        <v>130</v>
      </c>
      <c r="Q14" t="s">
        <v>1634</v>
      </c>
      <c r="R14" t="s">
        <v>1635</v>
      </c>
      <c r="S14">
        <v>0</v>
      </c>
    </row>
    <row r="15" spans="1:19" x14ac:dyDescent="0.25">
      <c r="A15">
        <v>13</v>
      </c>
      <c r="B15" t="s">
        <v>1248</v>
      </c>
      <c r="C15" t="s">
        <v>1104</v>
      </c>
      <c r="D15">
        <v>2018</v>
      </c>
      <c r="E15">
        <v>20</v>
      </c>
      <c r="F15">
        <v>20</v>
      </c>
      <c r="G15">
        <v>0</v>
      </c>
      <c r="H15">
        <v>1</v>
      </c>
      <c r="I15" t="s">
        <v>1107</v>
      </c>
      <c r="J15">
        <v>1</v>
      </c>
      <c r="K15">
        <v>0</v>
      </c>
      <c r="L15" t="s">
        <v>1358</v>
      </c>
      <c r="M15">
        <v>-1</v>
      </c>
      <c r="N15">
        <v>-1</v>
      </c>
      <c r="O15">
        <v>5</v>
      </c>
      <c r="P15" t="s">
        <v>130</v>
      </c>
      <c r="Q15" t="s">
        <v>1634</v>
      </c>
      <c r="R15" t="s">
        <v>1635</v>
      </c>
      <c r="S15">
        <v>0</v>
      </c>
    </row>
    <row r="16" spans="1:19" x14ac:dyDescent="0.25">
      <c r="A16">
        <v>14</v>
      </c>
      <c r="B16" t="s">
        <v>1248</v>
      </c>
      <c r="C16" t="s">
        <v>1108</v>
      </c>
      <c r="D16">
        <v>2019</v>
      </c>
      <c r="E16">
        <v>20</v>
      </c>
      <c r="F16">
        <v>20</v>
      </c>
      <c r="G16">
        <v>0</v>
      </c>
      <c r="H16">
        <v>1</v>
      </c>
      <c r="I16" t="s">
        <v>1111</v>
      </c>
      <c r="J16">
        <v>1</v>
      </c>
      <c r="K16">
        <v>0</v>
      </c>
      <c r="L16" t="s">
        <v>1358</v>
      </c>
      <c r="M16">
        <v>-10</v>
      </c>
      <c r="N16">
        <v>10</v>
      </c>
      <c r="O16">
        <v>5</v>
      </c>
      <c r="P16" t="s">
        <v>130</v>
      </c>
      <c r="Q16" t="s">
        <v>1634</v>
      </c>
      <c r="R16" t="s">
        <v>1635</v>
      </c>
      <c r="S16">
        <v>0</v>
      </c>
    </row>
    <row r="17" spans="1:19" x14ac:dyDescent="0.25">
      <c r="A17">
        <v>15</v>
      </c>
      <c r="B17" t="s">
        <v>1248</v>
      </c>
      <c r="C17" t="s">
        <v>1112</v>
      </c>
      <c r="D17">
        <v>2021</v>
      </c>
      <c r="E17">
        <v>20</v>
      </c>
      <c r="F17">
        <v>20</v>
      </c>
      <c r="G17">
        <v>0</v>
      </c>
      <c r="H17">
        <v>1</v>
      </c>
      <c r="I17" t="s">
        <v>1115</v>
      </c>
      <c r="J17">
        <v>1</v>
      </c>
      <c r="K17">
        <v>0</v>
      </c>
      <c r="L17" t="s">
        <v>1358</v>
      </c>
      <c r="M17">
        <v>-1</v>
      </c>
      <c r="N17">
        <v>-1</v>
      </c>
      <c r="O17">
        <v>5</v>
      </c>
      <c r="P17" t="s">
        <v>130</v>
      </c>
      <c r="Q17" t="s">
        <v>1634</v>
      </c>
      <c r="R17" t="s">
        <v>1635</v>
      </c>
      <c r="S17">
        <v>0</v>
      </c>
    </row>
    <row r="18" spans="1:19" x14ac:dyDescent="0.25">
      <c r="A18">
        <v>16</v>
      </c>
      <c r="B18" t="s">
        <v>1248</v>
      </c>
      <c r="C18" t="s">
        <v>1116</v>
      </c>
      <c r="D18">
        <v>2022</v>
      </c>
      <c r="E18">
        <v>20</v>
      </c>
      <c r="F18">
        <v>20</v>
      </c>
      <c r="G18">
        <v>0</v>
      </c>
      <c r="H18">
        <v>1</v>
      </c>
      <c r="I18" t="s">
        <v>1119</v>
      </c>
      <c r="J18">
        <v>1</v>
      </c>
      <c r="K18">
        <v>0</v>
      </c>
      <c r="L18" t="s">
        <v>1358</v>
      </c>
      <c r="M18">
        <v>-1</v>
      </c>
      <c r="N18">
        <v>-1</v>
      </c>
      <c r="O18">
        <v>5</v>
      </c>
      <c r="P18" t="s">
        <v>130</v>
      </c>
      <c r="Q18" t="s">
        <v>1634</v>
      </c>
      <c r="R18" t="s">
        <v>1635</v>
      </c>
      <c r="S18">
        <v>0</v>
      </c>
    </row>
    <row r="19" spans="1:19" x14ac:dyDescent="0.25">
      <c r="A19">
        <v>17</v>
      </c>
      <c r="B19" t="s">
        <v>1248</v>
      </c>
      <c r="C19" t="s">
        <v>1120</v>
      </c>
      <c r="D19">
        <v>2024</v>
      </c>
      <c r="E19">
        <v>20</v>
      </c>
      <c r="F19">
        <v>20</v>
      </c>
      <c r="G19">
        <v>0</v>
      </c>
      <c r="H19">
        <v>1</v>
      </c>
      <c r="I19" t="s">
        <v>1123</v>
      </c>
      <c r="J19">
        <v>1</v>
      </c>
      <c r="K19">
        <v>0</v>
      </c>
      <c r="L19" t="s">
        <v>1358</v>
      </c>
      <c r="M19">
        <v>-1</v>
      </c>
      <c r="N19">
        <v>-1</v>
      </c>
      <c r="O19">
        <v>5</v>
      </c>
      <c r="P19" t="s">
        <v>130</v>
      </c>
      <c r="Q19" t="s">
        <v>1634</v>
      </c>
      <c r="R19" t="s">
        <v>1635</v>
      </c>
      <c r="S19">
        <v>0</v>
      </c>
    </row>
    <row r="20" spans="1:19" x14ac:dyDescent="0.25">
      <c r="A20">
        <v>18</v>
      </c>
      <c r="B20" t="s">
        <v>1248</v>
      </c>
      <c r="C20" t="s">
        <v>1124</v>
      </c>
      <c r="D20">
        <v>2026</v>
      </c>
      <c r="E20">
        <v>20</v>
      </c>
      <c r="F20">
        <v>20</v>
      </c>
      <c r="G20">
        <v>0</v>
      </c>
      <c r="H20">
        <v>1</v>
      </c>
      <c r="I20" t="s">
        <v>1127</v>
      </c>
      <c r="J20">
        <v>1</v>
      </c>
      <c r="K20">
        <v>0</v>
      </c>
      <c r="L20" t="s">
        <v>1358</v>
      </c>
      <c r="M20">
        <v>-10</v>
      </c>
      <c r="N20">
        <v>10</v>
      </c>
      <c r="O20">
        <v>5</v>
      </c>
      <c r="P20" t="s">
        <v>130</v>
      </c>
      <c r="Q20" t="s">
        <v>1634</v>
      </c>
      <c r="R20" t="s">
        <v>1635</v>
      </c>
      <c r="S20">
        <v>0</v>
      </c>
    </row>
    <row r="21" spans="1:19" x14ac:dyDescent="0.25">
      <c r="A21">
        <v>19</v>
      </c>
      <c r="B21" t="s">
        <v>1248</v>
      </c>
      <c r="C21" t="s">
        <v>1876</v>
      </c>
      <c r="D21">
        <v>2029</v>
      </c>
      <c r="E21">
        <v>30</v>
      </c>
      <c r="F21">
        <v>30</v>
      </c>
      <c r="G21">
        <v>0</v>
      </c>
      <c r="H21">
        <v>1</v>
      </c>
      <c r="I21" t="s">
        <v>1875</v>
      </c>
      <c r="J21">
        <v>1</v>
      </c>
      <c r="K21">
        <v>0</v>
      </c>
      <c r="L21" t="s">
        <v>1358</v>
      </c>
      <c r="M21">
        <v>-1</v>
      </c>
      <c r="N21">
        <v>-1</v>
      </c>
      <c r="O21">
        <v>25</v>
      </c>
      <c r="P21" t="s">
        <v>130</v>
      </c>
      <c r="Q21" t="s">
        <v>1634</v>
      </c>
      <c r="R21" t="s">
        <v>1635</v>
      </c>
      <c r="S21">
        <v>0</v>
      </c>
    </row>
    <row r="22" spans="1:19" x14ac:dyDescent="0.25">
      <c r="A22">
        <v>20</v>
      </c>
      <c r="B22" t="s">
        <v>1248</v>
      </c>
      <c r="C22" t="s">
        <v>1878</v>
      </c>
      <c r="D22">
        <v>2030</v>
      </c>
      <c r="E22">
        <v>20</v>
      </c>
      <c r="F22">
        <v>20</v>
      </c>
      <c r="G22">
        <v>0</v>
      </c>
      <c r="H22">
        <v>1</v>
      </c>
      <c r="I22" t="s">
        <v>1877</v>
      </c>
      <c r="J22">
        <v>1</v>
      </c>
      <c r="K22">
        <v>0</v>
      </c>
      <c r="L22" t="s">
        <v>1358</v>
      </c>
      <c r="M22">
        <v>-1</v>
      </c>
      <c r="N22">
        <v>-1</v>
      </c>
      <c r="O22">
        <v>5</v>
      </c>
      <c r="P22" t="s">
        <v>130</v>
      </c>
      <c r="Q22" t="s">
        <v>1634</v>
      </c>
      <c r="R22" t="s">
        <v>1635</v>
      </c>
      <c r="S22">
        <v>0</v>
      </c>
    </row>
    <row r="23" spans="1:19" x14ac:dyDescent="0.25">
      <c r="A23">
        <v>21</v>
      </c>
      <c r="B23" t="s">
        <v>1248</v>
      </c>
      <c r="C23" t="s">
        <v>1880</v>
      </c>
      <c r="D23">
        <v>2031</v>
      </c>
      <c r="E23">
        <v>20</v>
      </c>
      <c r="F23">
        <v>20</v>
      </c>
      <c r="G23">
        <v>0</v>
      </c>
      <c r="H23">
        <v>1</v>
      </c>
      <c r="I23" t="s">
        <v>1879</v>
      </c>
      <c r="J23">
        <v>1</v>
      </c>
      <c r="K23">
        <v>0</v>
      </c>
      <c r="L23" t="s">
        <v>1358</v>
      </c>
      <c r="M23">
        <v>-1</v>
      </c>
      <c r="N23">
        <v>-1</v>
      </c>
      <c r="O23">
        <v>5</v>
      </c>
      <c r="P23" t="s">
        <v>130</v>
      </c>
      <c r="Q23" t="s">
        <v>1634</v>
      </c>
      <c r="R23" t="s">
        <v>1635</v>
      </c>
      <c r="S23">
        <v>0</v>
      </c>
    </row>
    <row r="24" spans="1:19" x14ac:dyDescent="0.25">
      <c r="A24">
        <v>22</v>
      </c>
      <c r="B24" t="s">
        <v>1248</v>
      </c>
      <c r="C24" t="s">
        <v>1888</v>
      </c>
      <c r="D24">
        <v>2033</v>
      </c>
      <c r="E24">
        <v>20</v>
      </c>
      <c r="F24">
        <v>20</v>
      </c>
      <c r="G24">
        <v>0</v>
      </c>
      <c r="H24">
        <v>1</v>
      </c>
      <c r="I24" t="s">
        <v>1887</v>
      </c>
      <c r="J24">
        <v>1</v>
      </c>
      <c r="K24">
        <v>0</v>
      </c>
      <c r="L24" t="s">
        <v>1358</v>
      </c>
      <c r="M24">
        <v>-1</v>
      </c>
      <c r="N24">
        <v>-1</v>
      </c>
      <c r="O24">
        <v>5</v>
      </c>
      <c r="P24" t="s">
        <v>130</v>
      </c>
      <c r="Q24" t="s">
        <v>1634</v>
      </c>
      <c r="R24" t="s">
        <v>1635</v>
      </c>
      <c r="S24">
        <v>0</v>
      </c>
    </row>
    <row r="25" spans="1:19" x14ac:dyDescent="0.25">
      <c r="A25">
        <v>23</v>
      </c>
      <c r="B25" t="s">
        <v>1248</v>
      </c>
      <c r="C25" t="s">
        <v>1890</v>
      </c>
      <c r="D25">
        <v>2034</v>
      </c>
      <c r="E25">
        <v>20</v>
      </c>
      <c r="F25">
        <v>20</v>
      </c>
      <c r="G25">
        <v>0</v>
      </c>
      <c r="H25">
        <v>1</v>
      </c>
      <c r="I25" t="s">
        <v>1889</v>
      </c>
      <c r="J25">
        <v>1</v>
      </c>
      <c r="K25">
        <v>0</v>
      </c>
      <c r="L25" t="s">
        <v>1358</v>
      </c>
      <c r="M25">
        <v>-1</v>
      </c>
      <c r="N25">
        <v>-1</v>
      </c>
      <c r="O25">
        <v>2</v>
      </c>
      <c r="P25" t="s">
        <v>130</v>
      </c>
      <c r="Q25" t="s">
        <v>1634</v>
      </c>
      <c r="R25" t="s">
        <v>1635</v>
      </c>
      <c r="S25">
        <v>0</v>
      </c>
    </row>
    <row r="26" spans="1:19" x14ac:dyDescent="0.25">
      <c r="A26">
        <v>24</v>
      </c>
      <c r="B26" t="s">
        <v>1248</v>
      </c>
      <c r="C26" t="s">
        <v>1894</v>
      </c>
      <c r="D26">
        <v>2035</v>
      </c>
      <c r="E26">
        <v>20</v>
      </c>
      <c r="F26">
        <v>20</v>
      </c>
      <c r="G26">
        <v>0</v>
      </c>
      <c r="H26">
        <v>4</v>
      </c>
      <c r="I26" t="s">
        <v>1893</v>
      </c>
      <c r="J26">
        <v>1</v>
      </c>
      <c r="K26">
        <v>1</v>
      </c>
      <c r="L26" t="s">
        <v>1358</v>
      </c>
      <c r="M26">
        <v>-1</v>
      </c>
      <c r="N26">
        <v>-1</v>
      </c>
      <c r="O26">
        <v>5</v>
      </c>
      <c r="P26" t="s">
        <v>130</v>
      </c>
      <c r="Q26" t="s">
        <v>1634</v>
      </c>
      <c r="R26" t="s">
        <v>1635</v>
      </c>
      <c r="S26">
        <v>0</v>
      </c>
    </row>
    <row r="27" spans="1:19" x14ac:dyDescent="0.25">
      <c r="A27">
        <v>25</v>
      </c>
      <c r="B27" t="s">
        <v>1248</v>
      </c>
      <c r="C27" t="s">
        <v>1896</v>
      </c>
      <c r="D27">
        <v>2036</v>
      </c>
      <c r="E27">
        <v>20</v>
      </c>
      <c r="F27">
        <v>20</v>
      </c>
      <c r="G27">
        <v>0</v>
      </c>
      <c r="H27">
        <v>28</v>
      </c>
      <c r="I27" t="s">
        <v>1895</v>
      </c>
      <c r="J27">
        <v>1</v>
      </c>
      <c r="K27">
        <v>0</v>
      </c>
      <c r="L27" t="s">
        <v>1358</v>
      </c>
      <c r="M27">
        <v>-1</v>
      </c>
      <c r="N27">
        <v>-1</v>
      </c>
      <c r="O27">
        <v>5</v>
      </c>
      <c r="P27" t="s">
        <v>130</v>
      </c>
      <c r="Q27" t="s">
        <v>1634</v>
      </c>
      <c r="R27" t="s">
        <v>1635</v>
      </c>
      <c r="S27">
        <v>0</v>
      </c>
    </row>
    <row r="28" spans="1:19" x14ac:dyDescent="0.25">
      <c r="A28">
        <v>26</v>
      </c>
      <c r="B28" t="s">
        <v>1248</v>
      </c>
      <c r="C28" t="s">
        <v>1128</v>
      </c>
      <c r="D28">
        <v>2037</v>
      </c>
      <c r="E28">
        <v>20</v>
      </c>
      <c r="F28">
        <v>20</v>
      </c>
      <c r="G28">
        <v>0</v>
      </c>
      <c r="H28">
        <v>1</v>
      </c>
      <c r="I28" t="s">
        <v>1131</v>
      </c>
      <c r="J28">
        <v>1</v>
      </c>
      <c r="K28">
        <v>0</v>
      </c>
      <c r="L28" t="s">
        <v>1358</v>
      </c>
      <c r="M28">
        <v>-1</v>
      </c>
      <c r="N28">
        <v>-1</v>
      </c>
      <c r="O28">
        <v>5</v>
      </c>
      <c r="P28" t="s">
        <v>130</v>
      </c>
      <c r="Q28" t="s">
        <v>1634</v>
      </c>
      <c r="R28" t="s">
        <v>1635</v>
      </c>
      <c r="S28">
        <v>0</v>
      </c>
    </row>
    <row r="29" spans="1:19" x14ac:dyDescent="0.25">
      <c r="A29">
        <v>27</v>
      </c>
      <c r="B29" t="s">
        <v>1248</v>
      </c>
      <c r="C29" t="s">
        <v>1900</v>
      </c>
      <c r="D29">
        <v>2038</v>
      </c>
      <c r="E29">
        <v>20</v>
      </c>
      <c r="F29">
        <v>20</v>
      </c>
      <c r="G29">
        <v>0</v>
      </c>
      <c r="H29">
        <v>9</v>
      </c>
      <c r="I29" t="s">
        <v>1899</v>
      </c>
      <c r="J29">
        <v>1</v>
      </c>
      <c r="K29">
        <v>0</v>
      </c>
      <c r="L29" t="s">
        <v>1358</v>
      </c>
      <c r="M29">
        <v>-1</v>
      </c>
      <c r="N29">
        <v>-1</v>
      </c>
      <c r="O29">
        <v>5</v>
      </c>
      <c r="P29" t="s">
        <v>130</v>
      </c>
      <c r="Q29" t="s">
        <v>1634</v>
      </c>
      <c r="R29" t="s">
        <v>1635</v>
      </c>
      <c r="S29">
        <v>0</v>
      </c>
    </row>
    <row r="30" spans="1:19" x14ac:dyDescent="0.25">
      <c r="A30">
        <v>28</v>
      </c>
      <c r="B30" t="s">
        <v>1248</v>
      </c>
      <c r="C30" t="s">
        <v>1898</v>
      </c>
      <c r="D30">
        <v>2039</v>
      </c>
      <c r="E30">
        <v>20</v>
      </c>
      <c r="F30">
        <v>20</v>
      </c>
      <c r="G30">
        <v>0</v>
      </c>
      <c r="H30">
        <v>8</v>
      </c>
      <c r="I30" t="s">
        <v>1897</v>
      </c>
      <c r="J30">
        <v>1</v>
      </c>
      <c r="K30">
        <v>0</v>
      </c>
      <c r="L30" t="s">
        <v>1358</v>
      </c>
      <c r="M30">
        <v>2</v>
      </c>
      <c r="N30">
        <v>2</v>
      </c>
      <c r="O30">
        <v>5</v>
      </c>
      <c r="P30" t="s">
        <v>130</v>
      </c>
      <c r="Q30" t="s">
        <v>1634</v>
      </c>
      <c r="R30" t="s">
        <v>1635</v>
      </c>
      <c r="S30">
        <v>0</v>
      </c>
    </row>
    <row r="31" spans="1:19" x14ac:dyDescent="0.25">
      <c r="A31">
        <v>29</v>
      </c>
      <c r="B31" t="s">
        <v>1248</v>
      </c>
      <c r="C31" t="s">
        <v>1902</v>
      </c>
      <c r="D31">
        <v>2040</v>
      </c>
      <c r="E31">
        <v>20</v>
      </c>
      <c r="F31">
        <v>20</v>
      </c>
      <c r="G31">
        <v>0</v>
      </c>
      <c r="H31">
        <v>28</v>
      </c>
      <c r="I31" t="s">
        <v>1901</v>
      </c>
      <c r="J31">
        <v>1</v>
      </c>
      <c r="K31">
        <v>0</v>
      </c>
      <c r="L31" t="s">
        <v>1358</v>
      </c>
      <c r="M31">
        <v>2</v>
      </c>
      <c r="N31">
        <v>2</v>
      </c>
      <c r="O31">
        <v>5</v>
      </c>
      <c r="P31" t="s">
        <v>130</v>
      </c>
      <c r="Q31" t="s">
        <v>1634</v>
      </c>
      <c r="R31" t="s">
        <v>1635</v>
      </c>
      <c r="S31">
        <v>0</v>
      </c>
    </row>
    <row r="32" spans="1:19" x14ac:dyDescent="0.25">
      <c r="A32">
        <v>30</v>
      </c>
      <c r="B32" t="s">
        <v>1248</v>
      </c>
      <c r="C32" t="s">
        <v>1100</v>
      </c>
      <c r="D32">
        <v>2044</v>
      </c>
      <c r="E32">
        <v>20</v>
      </c>
      <c r="F32">
        <v>20</v>
      </c>
      <c r="G32">
        <v>0</v>
      </c>
      <c r="H32">
        <v>1</v>
      </c>
      <c r="I32" t="s">
        <v>1103</v>
      </c>
      <c r="J32">
        <v>1</v>
      </c>
      <c r="K32">
        <v>0</v>
      </c>
      <c r="L32" t="s">
        <v>1358</v>
      </c>
      <c r="M32">
        <v>-1</v>
      </c>
      <c r="N32">
        <v>-1</v>
      </c>
      <c r="O32">
        <v>5</v>
      </c>
      <c r="P32" t="s">
        <v>130</v>
      </c>
      <c r="Q32" t="s">
        <v>1634</v>
      </c>
      <c r="R32" t="s">
        <v>1635</v>
      </c>
      <c r="S32">
        <v>0</v>
      </c>
    </row>
    <row r="33" spans="1:19" x14ac:dyDescent="0.25">
      <c r="A33">
        <v>31</v>
      </c>
      <c r="B33" t="s">
        <v>1248</v>
      </c>
      <c r="C33" t="s">
        <v>1934</v>
      </c>
      <c r="D33">
        <v>2046</v>
      </c>
      <c r="E33">
        <v>20</v>
      </c>
      <c r="F33">
        <v>20</v>
      </c>
      <c r="G33">
        <v>0</v>
      </c>
      <c r="H33">
        <v>20</v>
      </c>
      <c r="I33" t="s">
        <v>1933</v>
      </c>
      <c r="J33">
        <v>1</v>
      </c>
      <c r="K33">
        <v>0</v>
      </c>
      <c r="L33" t="s">
        <v>1358</v>
      </c>
      <c r="M33">
        <v>-1</v>
      </c>
      <c r="N33">
        <v>-1</v>
      </c>
      <c r="O33">
        <v>5</v>
      </c>
      <c r="P33" t="s">
        <v>130</v>
      </c>
      <c r="Q33" t="s">
        <v>1634</v>
      </c>
      <c r="R33" t="s">
        <v>1635</v>
      </c>
      <c r="S33">
        <v>0</v>
      </c>
    </row>
    <row r="34" spans="1:19" x14ac:dyDescent="0.25">
      <c r="A34">
        <v>32</v>
      </c>
      <c r="B34" t="s">
        <v>1248</v>
      </c>
      <c r="C34" t="s">
        <v>1925</v>
      </c>
      <c r="D34">
        <v>2048</v>
      </c>
      <c r="E34">
        <v>20</v>
      </c>
      <c r="F34">
        <v>20</v>
      </c>
      <c r="G34">
        <v>0</v>
      </c>
      <c r="H34">
        <v>1</v>
      </c>
      <c r="I34" t="s">
        <v>1924</v>
      </c>
      <c r="J34">
        <v>1</v>
      </c>
      <c r="K34">
        <v>0</v>
      </c>
      <c r="L34" t="s">
        <v>1358</v>
      </c>
      <c r="M34">
        <v>-1</v>
      </c>
      <c r="N34">
        <v>-1</v>
      </c>
      <c r="O34">
        <v>5</v>
      </c>
      <c r="P34" t="s">
        <v>130</v>
      </c>
      <c r="Q34" t="s">
        <v>1634</v>
      </c>
      <c r="R34" t="s">
        <v>1635</v>
      </c>
      <c r="S34">
        <v>0</v>
      </c>
    </row>
    <row r="35" spans="1:19" x14ac:dyDescent="0.25">
      <c r="A35">
        <v>33</v>
      </c>
      <c r="B35" t="s">
        <v>1248</v>
      </c>
      <c r="C35" t="s">
        <v>1928</v>
      </c>
      <c r="D35">
        <v>2049</v>
      </c>
      <c r="E35">
        <v>20</v>
      </c>
      <c r="F35">
        <v>20</v>
      </c>
      <c r="G35">
        <v>0</v>
      </c>
      <c r="H35">
        <v>1</v>
      </c>
      <c r="I35" t="s">
        <v>1927</v>
      </c>
      <c r="J35">
        <v>1</v>
      </c>
      <c r="K35">
        <v>0</v>
      </c>
      <c r="L35" t="s">
        <v>1358</v>
      </c>
      <c r="M35">
        <v>-1</v>
      </c>
      <c r="N35">
        <v>-1</v>
      </c>
      <c r="O35">
        <v>25</v>
      </c>
      <c r="P35" t="s">
        <v>130</v>
      </c>
      <c r="Q35" t="s">
        <v>1634</v>
      </c>
      <c r="R35" t="s">
        <v>1635</v>
      </c>
      <c r="S35">
        <v>0</v>
      </c>
    </row>
    <row r="36" spans="1:19" x14ac:dyDescent="0.25">
      <c r="A36">
        <v>34</v>
      </c>
      <c r="B36" t="s">
        <v>1248</v>
      </c>
      <c r="C36" t="s">
        <v>1930</v>
      </c>
      <c r="D36">
        <v>2050</v>
      </c>
      <c r="E36">
        <v>20</v>
      </c>
      <c r="F36">
        <v>20</v>
      </c>
      <c r="G36">
        <v>0</v>
      </c>
      <c r="H36">
        <v>1</v>
      </c>
      <c r="I36" t="s">
        <v>1929</v>
      </c>
      <c r="J36">
        <v>1</v>
      </c>
      <c r="K36">
        <v>0</v>
      </c>
      <c r="L36" t="s">
        <v>1358</v>
      </c>
      <c r="M36">
        <v>-1</v>
      </c>
      <c r="N36">
        <v>-1</v>
      </c>
      <c r="O36">
        <v>5</v>
      </c>
      <c r="P36" t="s">
        <v>130</v>
      </c>
      <c r="Q36" t="s">
        <v>1634</v>
      </c>
      <c r="R36" t="s">
        <v>1635</v>
      </c>
      <c r="S36">
        <v>0</v>
      </c>
    </row>
    <row r="37" spans="1:19" x14ac:dyDescent="0.25">
      <c r="A37">
        <v>35</v>
      </c>
      <c r="B37" t="s">
        <v>1248</v>
      </c>
      <c r="C37" t="s">
        <v>1932</v>
      </c>
      <c r="D37">
        <v>2051</v>
      </c>
      <c r="E37">
        <v>20</v>
      </c>
      <c r="F37">
        <v>20</v>
      </c>
      <c r="G37">
        <v>0</v>
      </c>
      <c r="H37">
        <v>1</v>
      </c>
      <c r="I37" t="s">
        <v>1931</v>
      </c>
      <c r="J37">
        <v>1</v>
      </c>
      <c r="K37">
        <v>0</v>
      </c>
      <c r="L37" t="s">
        <v>1358</v>
      </c>
      <c r="M37">
        <v>-1</v>
      </c>
      <c r="N37">
        <v>-1</v>
      </c>
      <c r="O37">
        <v>5</v>
      </c>
      <c r="P37" t="s">
        <v>130</v>
      </c>
      <c r="Q37" t="s">
        <v>1634</v>
      </c>
      <c r="R37" t="s">
        <v>1635</v>
      </c>
      <c r="S37">
        <v>0</v>
      </c>
    </row>
    <row r="38" spans="1:19" x14ac:dyDescent="0.25">
      <c r="A38">
        <v>36</v>
      </c>
      <c r="B38" t="s">
        <v>1248</v>
      </c>
      <c r="C38" t="s">
        <v>1638</v>
      </c>
      <c r="D38">
        <v>2052</v>
      </c>
      <c r="E38">
        <v>20</v>
      </c>
      <c r="F38">
        <v>20</v>
      </c>
      <c r="G38">
        <v>0</v>
      </c>
      <c r="H38">
        <v>6</v>
      </c>
      <c r="I38" t="s">
        <v>1639</v>
      </c>
      <c r="J38">
        <v>1</v>
      </c>
      <c r="K38">
        <v>0</v>
      </c>
      <c r="L38" t="s">
        <v>1358</v>
      </c>
      <c r="M38">
        <v>-1</v>
      </c>
      <c r="N38">
        <v>-1</v>
      </c>
      <c r="O38">
        <v>5</v>
      </c>
      <c r="P38" t="s">
        <v>130</v>
      </c>
      <c r="Q38" t="s">
        <v>1634</v>
      </c>
      <c r="R38" t="s">
        <v>1635</v>
      </c>
      <c r="S38">
        <v>0</v>
      </c>
    </row>
    <row r="39" spans="1:19" x14ac:dyDescent="0.25">
      <c r="A39">
        <v>37</v>
      </c>
      <c r="B39" t="s">
        <v>1248</v>
      </c>
      <c r="C39" t="s">
        <v>1640</v>
      </c>
      <c r="D39">
        <v>2053</v>
      </c>
      <c r="E39">
        <v>20</v>
      </c>
      <c r="F39">
        <v>20</v>
      </c>
      <c r="G39">
        <v>0</v>
      </c>
      <c r="H39">
        <v>6</v>
      </c>
      <c r="I39" t="s">
        <v>1641</v>
      </c>
      <c r="J39">
        <v>1</v>
      </c>
      <c r="K39">
        <v>0</v>
      </c>
      <c r="L39" t="s">
        <v>1358</v>
      </c>
      <c r="M39">
        <v>-1</v>
      </c>
      <c r="N39">
        <v>-1</v>
      </c>
      <c r="O39">
        <v>5</v>
      </c>
      <c r="P39" t="s">
        <v>130</v>
      </c>
      <c r="Q39" t="s">
        <v>1634</v>
      </c>
      <c r="R39" t="s">
        <v>1635</v>
      </c>
      <c r="S39">
        <v>0</v>
      </c>
    </row>
    <row r="40" spans="1:19" x14ac:dyDescent="0.25">
      <c r="A40">
        <v>38</v>
      </c>
      <c r="B40" t="s">
        <v>1248</v>
      </c>
      <c r="C40" t="s">
        <v>1780</v>
      </c>
      <c r="D40">
        <v>2054</v>
      </c>
      <c r="E40">
        <v>20</v>
      </c>
      <c r="F40">
        <v>20</v>
      </c>
      <c r="G40">
        <v>0</v>
      </c>
      <c r="H40">
        <v>15</v>
      </c>
      <c r="I40" t="s">
        <v>1781</v>
      </c>
      <c r="J40">
        <v>1</v>
      </c>
      <c r="K40">
        <v>0</v>
      </c>
      <c r="L40" t="s">
        <v>1358</v>
      </c>
      <c r="M40">
        <v>-10</v>
      </c>
      <c r="N40">
        <v>10</v>
      </c>
      <c r="O40">
        <v>5</v>
      </c>
      <c r="P40" t="s">
        <v>130</v>
      </c>
      <c r="Q40" t="s">
        <v>1634</v>
      </c>
      <c r="R40" t="s">
        <v>1635</v>
      </c>
      <c r="S40">
        <v>0</v>
      </c>
    </row>
    <row r="41" spans="1:19" x14ac:dyDescent="0.25">
      <c r="A41">
        <v>39</v>
      </c>
      <c r="B41" t="s">
        <v>1248</v>
      </c>
      <c r="C41" t="s">
        <v>1796</v>
      </c>
      <c r="D41">
        <v>2055</v>
      </c>
      <c r="E41">
        <v>20</v>
      </c>
      <c r="F41">
        <v>20</v>
      </c>
      <c r="G41">
        <v>0</v>
      </c>
      <c r="H41">
        <v>1</v>
      </c>
      <c r="I41" t="s">
        <v>1795</v>
      </c>
      <c r="J41">
        <v>1</v>
      </c>
      <c r="K41">
        <v>0</v>
      </c>
      <c r="L41" t="s">
        <v>1358</v>
      </c>
      <c r="M41">
        <v>-10</v>
      </c>
      <c r="N41">
        <v>10</v>
      </c>
      <c r="O41">
        <v>5</v>
      </c>
      <c r="P41" t="s">
        <v>130</v>
      </c>
      <c r="Q41" t="s">
        <v>1634</v>
      </c>
      <c r="R41" t="s">
        <v>1635</v>
      </c>
      <c r="S41">
        <v>0</v>
      </c>
    </row>
    <row r="42" spans="1:19" x14ac:dyDescent="0.25">
      <c r="A42">
        <v>40</v>
      </c>
      <c r="B42" t="s">
        <v>1248</v>
      </c>
      <c r="C42" t="s">
        <v>1794</v>
      </c>
      <c r="D42">
        <v>2056</v>
      </c>
      <c r="E42">
        <v>20</v>
      </c>
      <c r="F42">
        <v>20</v>
      </c>
      <c r="G42">
        <v>0</v>
      </c>
      <c r="H42">
        <v>1</v>
      </c>
      <c r="I42" t="s">
        <v>1793</v>
      </c>
      <c r="J42">
        <v>1</v>
      </c>
      <c r="K42">
        <v>0</v>
      </c>
      <c r="L42" t="s">
        <v>1358</v>
      </c>
      <c r="M42">
        <v>-10</v>
      </c>
      <c r="N42">
        <v>10</v>
      </c>
      <c r="O42">
        <v>5</v>
      </c>
      <c r="P42" t="s">
        <v>130</v>
      </c>
      <c r="Q42" t="s">
        <v>1634</v>
      </c>
      <c r="R42" t="s">
        <v>1635</v>
      </c>
      <c r="S42">
        <v>0</v>
      </c>
    </row>
    <row r="43" spans="1:19" x14ac:dyDescent="0.25">
      <c r="A43">
        <v>41</v>
      </c>
      <c r="B43" t="s">
        <v>1248</v>
      </c>
      <c r="C43" t="s">
        <v>1858</v>
      </c>
      <c r="D43">
        <v>2057</v>
      </c>
      <c r="E43">
        <v>20</v>
      </c>
      <c r="F43">
        <v>20</v>
      </c>
      <c r="G43">
        <v>0</v>
      </c>
      <c r="H43">
        <v>1</v>
      </c>
      <c r="I43" t="s">
        <v>1857</v>
      </c>
      <c r="J43">
        <v>1</v>
      </c>
      <c r="K43">
        <v>0</v>
      </c>
      <c r="L43" t="s">
        <v>1358</v>
      </c>
      <c r="M43">
        <v>-10</v>
      </c>
      <c r="N43">
        <v>10</v>
      </c>
      <c r="O43">
        <v>5</v>
      </c>
      <c r="P43" t="s">
        <v>130</v>
      </c>
      <c r="Q43" t="s">
        <v>1634</v>
      </c>
      <c r="R43" t="s">
        <v>1635</v>
      </c>
      <c r="S43">
        <v>0</v>
      </c>
    </row>
    <row r="44" spans="1:19" x14ac:dyDescent="0.25">
      <c r="A44">
        <v>42</v>
      </c>
      <c r="B44" t="s">
        <v>1248</v>
      </c>
      <c r="C44" t="s">
        <v>1646</v>
      </c>
      <c r="D44">
        <v>20000</v>
      </c>
      <c r="E44">
        <v>20</v>
      </c>
      <c r="F44">
        <v>20</v>
      </c>
      <c r="G44">
        <v>0</v>
      </c>
      <c r="H44">
        <v>1</v>
      </c>
      <c r="I44" t="s">
        <v>1647</v>
      </c>
      <c r="J44">
        <v>1</v>
      </c>
      <c r="K44">
        <v>0</v>
      </c>
      <c r="L44" t="s">
        <v>1358</v>
      </c>
      <c r="M44">
        <v>-10</v>
      </c>
      <c r="N44">
        <v>10</v>
      </c>
      <c r="O44">
        <v>5</v>
      </c>
      <c r="P44" t="s">
        <v>130</v>
      </c>
      <c r="Q44" t="s">
        <v>1634</v>
      </c>
      <c r="R44" t="s">
        <v>1635</v>
      </c>
      <c r="S44">
        <v>0</v>
      </c>
    </row>
    <row r="45" spans="1:19" x14ac:dyDescent="0.25">
      <c r="A45">
        <v>43</v>
      </c>
      <c r="B45" t="s">
        <v>1248</v>
      </c>
      <c r="C45" t="s">
        <v>1648</v>
      </c>
      <c r="D45">
        <v>20001</v>
      </c>
      <c r="E45">
        <v>20</v>
      </c>
      <c r="F45">
        <v>20</v>
      </c>
      <c r="G45">
        <v>0</v>
      </c>
      <c r="H45">
        <v>1</v>
      </c>
      <c r="I45" t="s">
        <v>1649</v>
      </c>
      <c r="J45">
        <v>1</v>
      </c>
      <c r="K45">
        <v>0</v>
      </c>
      <c r="L45" t="s">
        <v>1358</v>
      </c>
      <c r="M45">
        <v>-10</v>
      </c>
      <c r="N45">
        <v>10</v>
      </c>
      <c r="O45">
        <v>5</v>
      </c>
      <c r="P45" t="s">
        <v>130</v>
      </c>
      <c r="Q45" t="s">
        <v>1634</v>
      </c>
      <c r="R45" t="s">
        <v>1635</v>
      </c>
      <c r="S45">
        <v>0</v>
      </c>
    </row>
    <row r="46" spans="1:19" x14ac:dyDescent="0.25">
      <c r="A46">
        <v>44</v>
      </c>
      <c r="B46" t="s">
        <v>1248</v>
      </c>
      <c r="C46" t="s">
        <v>1652</v>
      </c>
      <c r="D46">
        <v>20002</v>
      </c>
      <c r="E46">
        <v>20</v>
      </c>
      <c r="F46">
        <v>20</v>
      </c>
      <c r="G46">
        <v>0</v>
      </c>
      <c r="H46">
        <v>1</v>
      </c>
      <c r="I46" t="s">
        <v>1653</v>
      </c>
      <c r="J46">
        <v>1</v>
      </c>
      <c r="K46">
        <v>0</v>
      </c>
      <c r="L46" t="s">
        <v>1358</v>
      </c>
      <c r="M46">
        <v>-10</v>
      </c>
      <c r="N46">
        <v>10</v>
      </c>
      <c r="O46">
        <v>5</v>
      </c>
      <c r="P46" t="s">
        <v>130</v>
      </c>
      <c r="Q46" t="s">
        <v>1634</v>
      </c>
      <c r="R46" t="s">
        <v>1635</v>
      </c>
      <c r="S46">
        <v>0</v>
      </c>
    </row>
    <row r="47" spans="1:19" x14ac:dyDescent="0.25">
      <c r="A47">
        <v>45</v>
      </c>
      <c r="B47" t="s">
        <v>1248</v>
      </c>
      <c r="C47" t="s">
        <v>1656</v>
      </c>
      <c r="D47">
        <v>20003</v>
      </c>
      <c r="E47">
        <v>20</v>
      </c>
      <c r="F47">
        <v>20</v>
      </c>
      <c r="G47">
        <v>0</v>
      </c>
      <c r="H47">
        <v>1</v>
      </c>
      <c r="I47" t="s">
        <v>1657</v>
      </c>
      <c r="J47">
        <v>1</v>
      </c>
      <c r="K47">
        <v>0</v>
      </c>
      <c r="L47" t="s">
        <v>1358</v>
      </c>
      <c r="M47">
        <v>-10</v>
      </c>
      <c r="N47">
        <v>10</v>
      </c>
      <c r="O47">
        <v>5</v>
      </c>
      <c r="P47" t="s">
        <v>130</v>
      </c>
      <c r="Q47" t="s">
        <v>1634</v>
      </c>
      <c r="R47" t="s">
        <v>1635</v>
      </c>
      <c r="S47">
        <v>0</v>
      </c>
    </row>
    <row r="48" spans="1:19" x14ac:dyDescent="0.25">
      <c r="A48">
        <v>46</v>
      </c>
      <c r="B48" t="s">
        <v>1248</v>
      </c>
      <c r="C48" t="s">
        <v>1658</v>
      </c>
      <c r="D48">
        <v>20004</v>
      </c>
      <c r="E48">
        <v>20</v>
      </c>
      <c r="F48">
        <v>20</v>
      </c>
      <c r="G48">
        <v>0</v>
      </c>
      <c r="H48">
        <v>1</v>
      </c>
      <c r="I48" t="s">
        <v>1659</v>
      </c>
      <c r="J48">
        <v>1</v>
      </c>
      <c r="K48">
        <v>0</v>
      </c>
      <c r="L48" t="s">
        <v>1358</v>
      </c>
      <c r="M48">
        <v>-10</v>
      </c>
      <c r="N48">
        <v>10</v>
      </c>
      <c r="O48">
        <v>5</v>
      </c>
      <c r="P48" t="s">
        <v>130</v>
      </c>
      <c r="Q48" t="s">
        <v>1634</v>
      </c>
      <c r="R48" t="s">
        <v>1635</v>
      </c>
      <c r="S48">
        <v>0</v>
      </c>
    </row>
    <row r="49" spans="1:19" x14ac:dyDescent="0.25">
      <c r="A49">
        <v>47</v>
      </c>
      <c r="B49" t="s">
        <v>1248</v>
      </c>
      <c r="C49" t="s">
        <v>1662</v>
      </c>
      <c r="D49">
        <v>20005</v>
      </c>
      <c r="E49">
        <v>20</v>
      </c>
      <c r="F49">
        <v>20</v>
      </c>
      <c r="G49">
        <v>0</v>
      </c>
      <c r="H49">
        <v>1</v>
      </c>
      <c r="I49" t="s">
        <v>1663</v>
      </c>
      <c r="J49">
        <v>1</v>
      </c>
      <c r="K49">
        <v>0</v>
      </c>
      <c r="L49" t="s">
        <v>1358</v>
      </c>
      <c r="M49">
        <v>-10</v>
      </c>
      <c r="N49">
        <v>10</v>
      </c>
      <c r="O49">
        <v>5</v>
      </c>
      <c r="P49" t="s">
        <v>130</v>
      </c>
      <c r="Q49" t="s">
        <v>1634</v>
      </c>
      <c r="R49" t="s">
        <v>1635</v>
      </c>
      <c r="S49">
        <v>0</v>
      </c>
    </row>
    <row r="50" spans="1:19" x14ac:dyDescent="0.25">
      <c r="A50">
        <v>48</v>
      </c>
      <c r="B50" t="s">
        <v>1248</v>
      </c>
      <c r="C50" t="s">
        <v>1664</v>
      </c>
      <c r="D50">
        <v>20006</v>
      </c>
      <c r="E50">
        <v>20</v>
      </c>
      <c r="F50">
        <v>20</v>
      </c>
      <c r="G50">
        <v>0</v>
      </c>
      <c r="H50">
        <v>1</v>
      </c>
      <c r="I50" t="s">
        <v>1665</v>
      </c>
      <c r="J50">
        <v>1</v>
      </c>
      <c r="K50">
        <v>0</v>
      </c>
      <c r="L50" t="s">
        <v>1358</v>
      </c>
      <c r="M50">
        <v>-10</v>
      </c>
      <c r="N50">
        <v>10</v>
      </c>
      <c r="O50">
        <v>5</v>
      </c>
      <c r="P50" t="s">
        <v>130</v>
      </c>
      <c r="Q50" t="s">
        <v>1634</v>
      </c>
      <c r="R50" t="s">
        <v>1635</v>
      </c>
      <c r="S50">
        <v>0</v>
      </c>
    </row>
    <row r="51" spans="1:19" x14ac:dyDescent="0.25">
      <c r="A51">
        <v>49</v>
      </c>
      <c r="B51" t="s">
        <v>1248</v>
      </c>
      <c r="C51" t="s">
        <v>1666</v>
      </c>
      <c r="D51">
        <v>20007</v>
      </c>
      <c r="E51">
        <v>20</v>
      </c>
      <c r="F51">
        <v>20</v>
      </c>
      <c r="G51">
        <v>0</v>
      </c>
      <c r="H51">
        <v>1</v>
      </c>
      <c r="I51" t="s">
        <v>1667</v>
      </c>
      <c r="J51">
        <v>1</v>
      </c>
      <c r="K51">
        <v>0</v>
      </c>
      <c r="L51" t="s">
        <v>1358</v>
      </c>
      <c r="M51">
        <v>-10</v>
      </c>
      <c r="N51">
        <v>10</v>
      </c>
      <c r="O51">
        <v>5</v>
      </c>
      <c r="P51" t="s">
        <v>130</v>
      </c>
      <c r="Q51" t="s">
        <v>1634</v>
      </c>
      <c r="R51" t="s">
        <v>1635</v>
      </c>
      <c r="S51">
        <v>0</v>
      </c>
    </row>
    <row r="52" spans="1:19" x14ac:dyDescent="0.25">
      <c r="A52">
        <v>50</v>
      </c>
      <c r="B52" t="s">
        <v>1248</v>
      </c>
      <c r="C52" t="s">
        <v>1670</v>
      </c>
      <c r="D52">
        <v>20008</v>
      </c>
      <c r="E52">
        <v>20</v>
      </c>
      <c r="F52">
        <v>20</v>
      </c>
      <c r="G52">
        <v>0</v>
      </c>
      <c r="H52">
        <v>1</v>
      </c>
      <c r="I52" t="s">
        <v>1671</v>
      </c>
      <c r="J52">
        <v>1</v>
      </c>
      <c r="K52">
        <v>0</v>
      </c>
      <c r="L52" t="s">
        <v>1358</v>
      </c>
      <c r="M52">
        <v>-10</v>
      </c>
      <c r="N52">
        <v>10</v>
      </c>
      <c r="O52">
        <v>5</v>
      </c>
      <c r="P52" t="s">
        <v>130</v>
      </c>
      <c r="Q52" t="s">
        <v>1634</v>
      </c>
      <c r="R52" t="s">
        <v>1635</v>
      </c>
      <c r="S52">
        <v>0</v>
      </c>
    </row>
    <row r="53" spans="1:19" x14ac:dyDescent="0.25">
      <c r="A53">
        <v>51</v>
      </c>
      <c r="B53" t="s">
        <v>1248</v>
      </c>
      <c r="C53" t="s">
        <v>1672</v>
      </c>
      <c r="D53">
        <v>20009</v>
      </c>
      <c r="E53">
        <v>20</v>
      </c>
      <c r="F53">
        <v>20</v>
      </c>
      <c r="G53">
        <v>0</v>
      </c>
      <c r="H53">
        <v>1</v>
      </c>
      <c r="I53" t="s">
        <v>1673</v>
      </c>
      <c r="J53">
        <v>1</v>
      </c>
      <c r="K53">
        <v>0</v>
      </c>
      <c r="L53" t="s">
        <v>1358</v>
      </c>
      <c r="M53">
        <v>-10</v>
      </c>
      <c r="N53">
        <v>10</v>
      </c>
      <c r="O53">
        <v>5</v>
      </c>
      <c r="P53" t="s">
        <v>130</v>
      </c>
      <c r="Q53" t="s">
        <v>1634</v>
      </c>
      <c r="R53" t="s">
        <v>1635</v>
      </c>
      <c r="S53">
        <v>0</v>
      </c>
    </row>
    <row r="54" spans="1:19" x14ac:dyDescent="0.25">
      <c r="A54">
        <v>52</v>
      </c>
      <c r="B54" t="s">
        <v>1248</v>
      </c>
      <c r="C54" t="s">
        <v>1676</v>
      </c>
      <c r="D54">
        <v>20010</v>
      </c>
      <c r="E54">
        <v>20</v>
      </c>
      <c r="F54">
        <v>20</v>
      </c>
      <c r="G54">
        <v>0</v>
      </c>
      <c r="H54">
        <v>1</v>
      </c>
      <c r="I54" t="s">
        <v>1677</v>
      </c>
      <c r="J54">
        <v>1</v>
      </c>
      <c r="K54">
        <v>0</v>
      </c>
      <c r="L54" t="s">
        <v>1358</v>
      </c>
      <c r="M54">
        <v>-10</v>
      </c>
      <c r="N54">
        <v>10</v>
      </c>
      <c r="O54">
        <v>5</v>
      </c>
      <c r="P54" t="s">
        <v>130</v>
      </c>
      <c r="Q54" t="s">
        <v>1634</v>
      </c>
      <c r="R54" t="s">
        <v>1635</v>
      </c>
      <c r="S54">
        <v>0</v>
      </c>
    </row>
    <row r="55" spans="1:19" x14ac:dyDescent="0.25">
      <c r="A55">
        <v>53</v>
      </c>
      <c r="B55" t="s">
        <v>1248</v>
      </c>
      <c r="C55" t="s">
        <v>1642</v>
      </c>
      <c r="D55">
        <v>20011</v>
      </c>
      <c r="E55">
        <v>40</v>
      </c>
      <c r="F55">
        <v>20</v>
      </c>
      <c r="G55">
        <v>0</v>
      </c>
      <c r="H55">
        <v>31</v>
      </c>
      <c r="I55" t="s">
        <v>1643</v>
      </c>
      <c r="J55">
        <v>1</v>
      </c>
      <c r="K55">
        <v>0</v>
      </c>
      <c r="L55" t="s">
        <v>1358</v>
      </c>
      <c r="M55">
        <v>-10</v>
      </c>
      <c r="N55">
        <v>10</v>
      </c>
      <c r="O55">
        <v>5</v>
      </c>
      <c r="P55" t="s">
        <v>130</v>
      </c>
      <c r="Q55" t="s">
        <v>1634</v>
      </c>
      <c r="R55" t="s">
        <v>1635</v>
      </c>
      <c r="S55">
        <v>0</v>
      </c>
    </row>
    <row r="56" spans="1:19" x14ac:dyDescent="0.25">
      <c r="A56">
        <v>54</v>
      </c>
      <c r="B56" t="s">
        <v>1248</v>
      </c>
      <c r="C56" t="s">
        <v>1766</v>
      </c>
      <c r="D56">
        <v>20012</v>
      </c>
      <c r="E56">
        <v>20</v>
      </c>
      <c r="F56">
        <v>20</v>
      </c>
      <c r="G56">
        <v>0</v>
      </c>
      <c r="H56">
        <v>1</v>
      </c>
      <c r="I56" t="s">
        <v>1767</v>
      </c>
      <c r="J56">
        <v>1</v>
      </c>
      <c r="K56">
        <v>0</v>
      </c>
      <c r="L56" t="s">
        <v>1358</v>
      </c>
      <c r="M56">
        <v>-10</v>
      </c>
      <c r="N56">
        <v>10</v>
      </c>
      <c r="O56">
        <v>5</v>
      </c>
      <c r="P56" t="s">
        <v>130</v>
      </c>
      <c r="Q56" t="s">
        <v>1634</v>
      </c>
      <c r="R56" t="s">
        <v>1635</v>
      </c>
      <c r="S56">
        <v>0</v>
      </c>
    </row>
    <row r="57" spans="1:19" x14ac:dyDescent="0.25">
      <c r="A57">
        <v>55</v>
      </c>
      <c r="B57" t="s">
        <v>1248</v>
      </c>
      <c r="C57" t="s">
        <v>1768</v>
      </c>
      <c r="D57">
        <v>20013</v>
      </c>
      <c r="E57">
        <v>40</v>
      </c>
      <c r="F57">
        <v>20</v>
      </c>
      <c r="G57">
        <v>0</v>
      </c>
      <c r="H57">
        <v>1</v>
      </c>
      <c r="I57" t="s">
        <v>1769</v>
      </c>
      <c r="J57">
        <v>1</v>
      </c>
      <c r="K57">
        <v>0</v>
      </c>
      <c r="L57" t="s">
        <v>1358</v>
      </c>
      <c r="M57">
        <v>-10</v>
      </c>
      <c r="N57">
        <v>10</v>
      </c>
      <c r="O57">
        <v>5</v>
      </c>
      <c r="P57" t="s">
        <v>130</v>
      </c>
      <c r="Q57" t="s">
        <v>1634</v>
      </c>
      <c r="R57" t="s">
        <v>1635</v>
      </c>
      <c r="S57">
        <v>0</v>
      </c>
    </row>
    <row r="58" spans="1:19" x14ac:dyDescent="0.25">
      <c r="A58">
        <v>56</v>
      </c>
      <c r="B58" t="s">
        <v>1248</v>
      </c>
      <c r="C58" t="s">
        <v>1770</v>
      </c>
      <c r="D58">
        <v>20014</v>
      </c>
      <c r="E58">
        <v>40</v>
      </c>
      <c r="F58">
        <v>20</v>
      </c>
      <c r="G58">
        <v>0</v>
      </c>
      <c r="H58">
        <v>1</v>
      </c>
      <c r="I58" t="s">
        <v>1771</v>
      </c>
      <c r="J58">
        <v>1</v>
      </c>
      <c r="K58">
        <v>0</v>
      </c>
      <c r="L58" t="s">
        <v>1358</v>
      </c>
      <c r="M58">
        <v>-10</v>
      </c>
      <c r="N58">
        <v>10</v>
      </c>
      <c r="O58">
        <v>5</v>
      </c>
      <c r="P58" t="s">
        <v>130</v>
      </c>
      <c r="Q58" t="s">
        <v>1634</v>
      </c>
      <c r="R58" t="s">
        <v>1635</v>
      </c>
      <c r="S58">
        <v>0</v>
      </c>
    </row>
    <row r="59" spans="1:19" x14ac:dyDescent="0.25">
      <c r="A59">
        <v>57</v>
      </c>
      <c r="B59" t="s">
        <v>1248</v>
      </c>
      <c r="C59" t="s">
        <v>1772</v>
      </c>
      <c r="D59">
        <v>20015</v>
      </c>
      <c r="E59">
        <v>20</v>
      </c>
      <c r="F59">
        <v>20</v>
      </c>
      <c r="G59">
        <v>0</v>
      </c>
      <c r="H59">
        <v>1</v>
      </c>
      <c r="I59" t="s">
        <v>1773</v>
      </c>
      <c r="J59">
        <v>1</v>
      </c>
      <c r="K59">
        <v>0</v>
      </c>
      <c r="L59" t="s">
        <v>1358</v>
      </c>
      <c r="M59">
        <v>-10</v>
      </c>
      <c r="N59">
        <v>10</v>
      </c>
      <c r="O59">
        <v>5</v>
      </c>
      <c r="P59" t="s">
        <v>130</v>
      </c>
      <c r="Q59" t="s">
        <v>1634</v>
      </c>
      <c r="R59" t="s">
        <v>1635</v>
      </c>
      <c r="S59">
        <v>0</v>
      </c>
    </row>
    <row r="60" spans="1:19" x14ac:dyDescent="0.25">
      <c r="A60">
        <v>58</v>
      </c>
      <c r="B60" t="s">
        <v>1248</v>
      </c>
      <c r="C60" t="s">
        <v>1774</v>
      </c>
      <c r="D60">
        <v>20016</v>
      </c>
      <c r="E60">
        <v>20</v>
      </c>
      <c r="F60">
        <v>20</v>
      </c>
      <c r="G60">
        <v>0</v>
      </c>
      <c r="H60">
        <v>1</v>
      </c>
      <c r="I60" t="s">
        <v>1775</v>
      </c>
      <c r="J60">
        <v>1</v>
      </c>
      <c r="K60">
        <v>0</v>
      </c>
      <c r="L60" t="s">
        <v>1358</v>
      </c>
      <c r="M60">
        <v>-10</v>
      </c>
      <c r="N60">
        <v>10</v>
      </c>
      <c r="O60">
        <v>5</v>
      </c>
      <c r="P60" t="s">
        <v>130</v>
      </c>
      <c r="Q60" t="s">
        <v>1634</v>
      </c>
      <c r="R60" t="s">
        <v>1635</v>
      </c>
      <c r="S60">
        <v>0</v>
      </c>
    </row>
    <row r="61" spans="1:19" x14ac:dyDescent="0.25">
      <c r="A61">
        <v>59</v>
      </c>
      <c r="B61" t="s">
        <v>1248</v>
      </c>
      <c r="C61" t="s">
        <v>1776</v>
      </c>
      <c r="D61">
        <v>20017</v>
      </c>
      <c r="E61">
        <v>20</v>
      </c>
      <c r="F61">
        <v>20</v>
      </c>
      <c r="G61">
        <v>0</v>
      </c>
      <c r="H61">
        <v>1</v>
      </c>
      <c r="I61" t="s">
        <v>1777</v>
      </c>
      <c r="J61">
        <v>1</v>
      </c>
      <c r="K61">
        <v>0</v>
      </c>
      <c r="L61" t="s">
        <v>1358</v>
      </c>
      <c r="M61">
        <v>-10</v>
      </c>
      <c r="N61">
        <v>10</v>
      </c>
      <c r="O61">
        <v>5</v>
      </c>
      <c r="P61" t="s">
        <v>130</v>
      </c>
      <c r="Q61" t="s">
        <v>1634</v>
      </c>
      <c r="R61" t="s">
        <v>1635</v>
      </c>
      <c r="S61">
        <v>0</v>
      </c>
    </row>
    <row r="62" spans="1:19" x14ac:dyDescent="0.25">
      <c r="A62">
        <v>60</v>
      </c>
      <c r="B62" t="s">
        <v>1248</v>
      </c>
      <c r="C62" t="s">
        <v>1778</v>
      </c>
      <c r="D62">
        <v>20018</v>
      </c>
      <c r="E62">
        <v>40</v>
      </c>
      <c r="F62">
        <v>40</v>
      </c>
      <c r="G62">
        <v>0</v>
      </c>
      <c r="H62">
        <v>1</v>
      </c>
      <c r="I62" t="s">
        <v>1779</v>
      </c>
      <c r="J62">
        <v>1</v>
      </c>
      <c r="K62">
        <v>0</v>
      </c>
      <c r="L62" t="s">
        <v>1358</v>
      </c>
      <c r="M62">
        <v>-10</v>
      </c>
      <c r="N62">
        <v>20</v>
      </c>
      <c r="O62">
        <v>5</v>
      </c>
      <c r="P62" t="s">
        <v>130</v>
      </c>
      <c r="Q62" t="s">
        <v>1634</v>
      </c>
      <c r="R62" t="s">
        <v>1635</v>
      </c>
      <c r="S62">
        <v>0</v>
      </c>
    </row>
    <row r="63" spans="1:19" x14ac:dyDescent="0.25">
      <c r="A63">
        <v>61</v>
      </c>
      <c r="B63" t="s">
        <v>1248</v>
      </c>
      <c r="C63" t="s">
        <v>1792</v>
      </c>
      <c r="D63">
        <v>20019</v>
      </c>
      <c r="E63">
        <v>20</v>
      </c>
      <c r="F63">
        <v>20</v>
      </c>
      <c r="G63">
        <v>0</v>
      </c>
      <c r="H63">
        <v>1</v>
      </c>
      <c r="I63" t="s">
        <v>1791</v>
      </c>
      <c r="J63">
        <v>1</v>
      </c>
      <c r="K63">
        <v>0</v>
      </c>
      <c r="L63" t="s">
        <v>1358</v>
      </c>
      <c r="M63">
        <v>-10</v>
      </c>
      <c r="N63">
        <v>10</v>
      </c>
      <c r="O63">
        <v>5</v>
      </c>
      <c r="P63" t="s">
        <v>130</v>
      </c>
      <c r="Q63" t="s">
        <v>1634</v>
      </c>
      <c r="R63" t="s">
        <v>1635</v>
      </c>
      <c r="S63">
        <v>0</v>
      </c>
    </row>
    <row r="64" spans="1:19" x14ac:dyDescent="0.25">
      <c r="A64">
        <v>62</v>
      </c>
      <c r="B64" t="s">
        <v>1248</v>
      </c>
      <c r="C64" t="s">
        <v>1798</v>
      </c>
      <c r="D64">
        <v>20020</v>
      </c>
      <c r="E64">
        <v>20</v>
      </c>
      <c r="F64">
        <v>20</v>
      </c>
      <c r="G64">
        <v>0</v>
      </c>
      <c r="H64">
        <v>1</v>
      </c>
      <c r="I64" t="s">
        <v>1797</v>
      </c>
      <c r="J64">
        <v>1</v>
      </c>
      <c r="K64">
        <v>0</v>
      </c>
      <c r="L64" t="s">
        <v>1358</v>
      </c>
      <c r="M64">
        <v>-10</v>
      </c>
      <c r="N64">
        <v>10</v>
      </c>
      <c r="O64">
        <v>5</v>
      </c>
      <c r="P64" t="s">
        <v>130</v>
      </c>
      <c r="Q64" t="s">
        <v>1634</v>
      </c>
      <c r="R64" t="s">
        <v>1635</v>
      </c>
      <c r="S64">
        <v>0</v>
      </c>
    </row>
    <row r="65" spans="1:19" x14ac:dyDescent="0.25">
      <c r="A65">
        <v>63</v>
      </c>
      <c r="B65" t="s">
        <v>1248</v>
      </c>
      <c r="C65" t="s">
        <v>1862</v>
      </c>
      <c r="D65">
        <v>20021</v>
      </c>
      <c r="E65">
        <v>20</v>
      </c>
      <c r="F65">
        <v>40</v>
      </c>
      <c r="G65">
        <v>0</v>
      </c>
      <c r="H65">
        <v>1</v>
      </c>
      <c r="I65" t="s">
        <v>1861</v>
      </c>
      <c r="J65">
        <v>1</v>
      </c>
      <c r="K65">
        <v>0</v>
      </c>
      <c r="L65" t="s">
        <v>1358</v>
      </c>
      <c r="M65">
        <v>-10</v>
      </c>
      <c r="N65">
        <v>10</v>
      </c>
      <c r="O65">
        <v>5</v>
      </c>
      <c r="P65" t="s">
        <v>130</v>
      </c>
      <c r="Q65" t="s">
        <v>1634</v>
      </c>
      <c r="R65" t="s">
        <v>1635</v>
      </c>
      <c r="S65">
        <v>0</v>
      </c>
    </row>
    <row r="66" spans="1:19" x14ac:dyDescent="0.25">
      <c r="A66">
        <v>64</v>
      </c>
      <c r="B66" t="s">
        <v>1248</v>
      </c>
      <c r="C66" t="s">
        <v>1864</v>
      </c>
      <c r="D66">
        <v>20022</v>
      </c>
      <c r="E66">
        <v>20</v>
      </c>
      <c r="F66">
        <v>20</v>
      </c>
      <c r="G66">
        <v>0</v>
      </c>
      <c r="H66">
        <v>1</v>
      </c>
      <c r="I66" t="s">
        <v>1863</v>
      </c>
      <c r="J66">
        <v>1</v>
      </c>
      <c r="K66">
        <v>0</v>
      </c>
      <c r="L66" t="s">
        <v>1358</v>
      </c>
      <c r="M66">
        <v>-10</v>
      </c>
      <c r="N66">
        <v>10</v>
      </c>
      <c r="O66">
        <v>5</v>
      </c>
      <c r="P66" t="s">
        <v>130</v>
      </c>
      <c r="Q66" t="s">
        <v>1634</v>
      </c>
      <c r="R66" t="s">
        <v>1635</v>
      </c>
      <c r="S66">
        <v>0</v>
      </c>
    </row>
    <row r="67" spans="1:19" x14ac:dyDescent="0.25">
      <c r="A67">
        <v>65</v>
      </c>
      <c r="B67" t="s">
        <v>1248</v>
      </c>
      <c r="C67" t="s">
        <v>1866</v>
      </c>
      <c r="D67">
        <v>20023</v>
      </c>
      <c r="E67">
        <v>20</v>
      </c>
      <c r="F67">
        <v>20</v>
      </c>
      <c r="G67">
        <v>0</v>
      </c>
      <c r="H67">
        <v>1</v>
      </c>
      <c r="I67" t="s">
        <v>1865</v>
      </c>
      <c r="J67">
        <v>1</v>
      </c>
      <c r="K67">
        <v>0</v>
      </c>
      <c r="L67" t="s">
        <v>1358</v>
      </c>
      <c r="M67">
        <v>-10</v>
      </c>
      <c r="N67">
        <v>10</v>
      </c>
      <c r="O67">
        <v>5</v>
      </c>
      <c r="P67" t="s">
        <v>130</v>
      </c>
      <c r="Q67" t="s">
        <v>1634</v>
      </c>
      <c r="R67" t="s">
        <v>1635</v>
      </c>
      <c r="S67">
        <v>0</v>
      </c>
    </row>
    <row r="68" spans="1:19" x14ac:dyDescent="0.25">
      <c r="A68">
        <v>66</v>
      </c>
      <c r="B68" t="s">
        <v>1248</v>
      </c>
      <c r="C68" t="s">
        <v>1868</v>
      </c>
      <c r="D68">
        <v>20024</v>
      </c>
      <c r="E68">
        <v>20</v>
      </c>
      <c r="F68">
        <v>20</v>
      </c>
      <c r="G68">
        <v>0</v>
      </c>
      <c r="H68">
        <v>1</v>
      </c>
      <c r="I68" t="s">
        <v>1867</v>
      </c>
      <c r="J68">
        <v>1</v>
      </c>
      <c r="K68">
        <v>0</v>
      </c>
      <c r="L68" t="s">
        <v>1358</v>
      </c>
      <c r="M68">
        <v>-10</v>
      </c>
      <c r="N68">
        <v>10</v>
      </c>
      <c r="O68">
        <v>5</v>
      </c>
      <c r="P68" t="s">
        <v>130</v>
      </c>
      <c r="Q68" t="s">
        <v>1634</v>
      </c>
      <c r="R68" t="s">
        <v>1635</v>
      </c>
      <c r="S68">
        <v>0</v>
      </c>
    </row>
    <row r="69" spans="1:19" x14ac:dyDescent="0.25">
      <c r="A69">
        <v>67</v>
      </c>
      <c r="B69" t="s">
        <v>1248</v>
      </c>
      <c r="C69" t="s">
        <v>1870</v>
      </c>
      <c r="D69">
        <v>20025</v>
      </c>
      <c r="E69">
        <v>20</v>
      </c>
      <c r="F69">
        <v>20</v>
      </c>
      <c r="G69">
        <v>0</v>
      </c>
      <c r="H69">
        <v>1</v>
      </c>
      <c r="I69" t="s">
        <v>1869</v>
      </c>
      <c r="J69">
        <v>1</v>
      </c>
      <c r="K69">
        <v>0</v>
      </c>
      <c r="L69" t="s">
        <v>1358</v>
      </c>
      <c r="M69">
        <v>-10</v>
      </c>
      <c r="N69">
        <v>10</v>
      </c>
      <c r="O69">
        <v>5</v>
      </c>
      <c r="P69" t="s">
        <v>130</v>
      </c>
      <c r="Q69" t="s">
        <v>1634</v>
      </c>
      <c r="R69" t="s">
        <v>1635</v>
      </c>
      <c r="S69">
        <v>0</v>
      </c>
    </row>
    <row r="70" spans="1:19" x14ac:dyDescent="0.25">
      <c r="A70">
        <v>68</v>
      </c>
      <c r="B70" t="s">
        <v>1248</v>
      </c>
      <c r="C70" t="s">
        <v>1874</v>
      </c>
      <c r="D70">
        <v>20026</v>
      </c>
      <c r="E70">
        <v>20</v>
      </c>
      <c r="F70">
        <v>20</v>
      </c>
      <c r="G70">
        <v>0</v>
      </c>
      <c r="H70">
        <v>31</v>
      </c>
      <c r="I70" t="s">
        <v>1873</v>
      </c>
      <c r="J70">
        <v>1</v>
      </c>
      <c r="K70">
        <v>0</v>
      </c>
      <c r="L70" t="s">
        <v>1358</v>
      </c>
      <c r="M70">
        <v>-10</v>
      </c>
      <c r="N70">
        <v>10</v>
      </c>
      <c r="O70">
        <v>5</v>
      </c>
      <c r="P70" t="s">
        <v>130</v>
      </c>
      <c r="Q70" t="s">
        <v>1634</v>
      </c>
      <c r="R70" t="s">
        <v>1635</v>
      </c>
      <c r="S70">
        <v>0</v>
      </c>
    </row>
    <row r="71" spans="1:19" x14ac:dyDescent="0.25">
      <c r="A71">
        <v>69</v>
      </c>
      <c r="B71" t="s">
        <v>1248</v>
      </c>
      <c r="C71" t="s">
        <v>1872</v>
      </c>
      <c r="D71">
        <v>20027</v>
      </c>
      <c r="E71">
        <v>20</v>
      </c>
      <c r="F71">
        <v>20</v>
      </c>
      <c r="G71">
        <v>0</v>
      </c>
      <c r="H71">
        <v>1</v>
      </c>
      <c r="I71" t="s">
        <v>1871</v>
      </c>
      <c r="J71">
        <v>1</v>
      </c>
      <c r="K71">
        <v>0</v>
      </c>
      <c r="L71" t="s">
        <v>1358</v>
      </c>
      <c r="M71">
        <v>-10</v>
      </c>
      <c r="N71">
        <v>10</v>
      </c>
      <c r="O71">
        <v>5</v>
      </c>
      <c r="P71" t="s">
        <v>130</v>
      </c>
      <c r="Q71" t="s">
        <v>1634</v>
      </c>
      <c r="R71" t="s">
        <v>1635</v>
      </c>
      <c r="S71">
        <v>0</v>
      </c>
    </row>
    <row r="72" spans="1:19" x14ac:dyDescent="0.25">
      <c r="A72">
        <v>70</v>
      </c>
      <c r="B72" t="s">
        <v>1248</v>
      </c>
      <c r="C72" t="s">
        <v>1884</v>
      </c>
      <c r="D72">
        <v>20028</v>
      </c>
      <c r="E72">
        <v>20</v>
      </c>
      <c r="F72">
        <v>20</v>
      </c>
      <c r="G72">
        <v>0</v>
      </c>
      <c r="H72">
        <v>1</v>
      </c>
      <c r="I72" t="s">
        <v>1883</v>
      </c>
      <c r="J72">
        <v>1</v>
      </c>
      <c r="K72">
        <v>0</v>
      </c>
      <c r="L72" t="s">
        <v>1358</v>
      </c>
      <c r="M72">
        <v>-10</v>
      </c>
      <c r="N72">
        <v>10</v>
      </c>
      <c r="O72">
        <v>5</v>
      </c>
      <c r="P72" t="s">
        <v>130</v>
      </c>
      <c r="Q72" t="s">
        <v>1634</v>
      </c>
      <c r="R72" t="s">
        <v>1635</v>
      </c>
      <c r="S72">
        <v>0</v>
      </c>
    </row>
    <row r="73" spans="1:19" x14ac:dyDescent="0.25">
      <c r="A73">
        <v>71</v>
      </c>
      <c r="B73" t="s">
        <v>1248</v>
      </c>
      <c r="C73" t="s">
        <v>1886</v>
      </c>
      <c r="D73">
        <v>20029</v>
      </c>
      <c r="E73">
        <v>20</v>
      </c>
      <c r="F73">
        <v>20</v>
      </c>
      <c r="G73">
        <v>0</v>
      </c>
      <c r="H73">
        <v>1</v>
      </c>
      <c r="I73" t="s">
        <v>1885</v>
      </c>
      <c r="J73">
        <v>1</v>
      </c>
      <c r="K73">
        <v>0</v>
      </c>
      <c r="L73" t="s">
        <v>1358</v>
      </c>
      <c r="M73">
        <v>-10</v>
      </c>
      <c r="N73">
        <v>10</v>
      </c>
      <c r="O73">
        <v>5</v>
      </c>
      <c r="P73" t="s">
        <v>130</v>
      </c>
      <c r="Q73" t="s">
        <v>1634</v>
      </c>
      <c r="R73" t="s">
        <v>1635</v>
      </c>
      <c r="S73">
        <v>0</v>
      </c>
    </row>
    <row r="74" spans="1:19" x14ac:dyDescent="0.25">
      <c r="A74">
        <v>72</v>
      </c>
      <c r="B74" t="s">
        <v>1248</v>
      </c>
      <c r="C74" t="s">
        <v>1882</v>
      </c>
      <c r="D74">
        <v>20030</v>
      </c>
      <c r="E74">
        <v>20</v>
      </c>
      <c r="F74">
        <v>20</v>
      </c>
      <c r="G74">
        <v>0</v>
      </c>
      <c r="H74">
        <v>1</v>
      </c>
      <c r="I74" t="s">
        <v>1881</v>
      </c>
      <c r="J74">
        <v>1</v>
      </c>
      <c r="K74">
        <v>0</v>
      </c>
      <c r="L74" t="s">
        <v>1358</v>
      </c>
      <c r="M74">
        <v>-10</v>
      </c>
      <c r="N74">
        <v>10</v>
      </c>
      <c r="O74">
        <v>5</v>
      </c>
      <c r="P74" t="s">
        <v>130</v>
      </c>
      <c r="Q74" t="s">
        <v>1634</v>
      </c>
      <c r="R74" t="s">
        <v>1635</v>
      </c>
      <c r="S74">
        <v>0</v>
      </c>
    </row>
    <row r="75" spans="1:19" x14ac:dyDescent="0.25">
      <c r="A75">
        <v>73</v>
      </c>
      <c r="B75" t="s">
        <v>1248</v>
      </c>
      <c r="C75" t="s">
        <v>1892</v>
      </c>
      <c r="D75">
        <v>20031</v>
      </c>
      <c r="E75">
        <v>20</v>
      </c>
      <c r="F75">
        <v>20</v>
      </c>
      <c r="G75">
        <v>0</v>
      </c>
      <c r="H75">
        <v>1</v>
      </c>
      <c r="I75" t="s">
        <v>1891</v>
      </c>
      <c r="J75">
        <v>1</v>
      </c>
      <c r="K75">
        <v>0</v>
      </c>
      <c r="L75" t="s">
        <v>1358</v>
      </c>
      <c r="M75">
        <v>-10</v>
      </c>
      <c r="N75">
        <v>10</v>
      </c>
      <c r="O75">
        <v>5</v>
      </c>
      <c r="P75" t="s">
        <v>130</v>
      </c>
      <c r="Q75" t="s">
        <v>1634</v>
      </c>
      <c r="R75" t="s">
        <v>1635</v>
      </c>
      <c r="S75">
        <v>0</v>
      </c>
    </row>
    <row r="76" spans="1:19" x14ac:dyDescent="0.25">
      <c r="A76">
        <v>74</v>
      </c>
      <c r="B76" t="s">
        <v>1248</v>
      </c>
      <c r="C76" t="s">
        <v>1632</v>
      </c>
      <c r="D76">
        <v>20032</v>
      </c>
      <c r="E76">
        <v>20</v>
      </c>
      <c r="F76">
        <v>20</v>
      </c>
      <c r="G76">
        <v>0</v>
      </c>
      <c r="H76">
        <v>1</v>
      </c>
      <c r="I76" t="s">
        <v>1633</v>
      </c>
      <c r="J76">
        <v>1</v>
      </c>
      <c r="K76">
        <v>0</v>
      </c>
      <c r="L76" t="s">
        <v>1358</v>
      </c>
      <c r="M76">
        <v>-10</v>
      </c>
      <c r="N76">
        <v>10</v>
      </c>
      <c r="O76">
        <v>5</v>
      </c>
      <c r="P76" t="s">
        <v>130</v>
      </c>
      <c r="Q76" t="s">
        <v>1634</v>
      </c>
      <c r="R76" t="s">
        <v>1635</v>
      </c>
      <c r="S76">
        <v>0</v>
      </c>
    </row>
    <row r="77" spans="1:19" x14ac:dyDescent="0.25">
      <c r="A77">
        <v>75</v>
      </c>
      <c r="B77" t="s">
        <v>1248</v>
      </c>
      <c r="C77" t="s">
        <v>1636</v>
      </c>
      <c r="D77">
        <v>20033</v>
      </c>
      <c r="E77">
        <v>20</v>
      </c>
      <c r="F77">
        <v>20</v>
      </c>
      <c r="G77">
        <v>0</v>
      </c>
      <c r="H77">
        <v>1</v>
      </c>
      <c r="I77" t="s">
        <v>1637</v>
      </c>
      <c r="J77">
        <v>1</v>
      </c>
      <c r="K77">
        <v>0</v>
      </c>
      <c r="L77" t="s">
        <v>1358</v>
      </c>
      <c r="M77">
        <v>-10</v>
      </c>
      <c r="N77">
        <v>10</v>
      </c>
      <c r="O77">
        <v>5</v>
      </c>
      <c r="P77" t="s">
        <v>130</v>
      </c>
      <c r="Q77" t="s">
        <v>1634</v>
      </c>
      <c r="R77" t="s">
        <v>1635</v>
      </c>
      <c r="S77">
        <v>0</v>
      </c>
    </row>
    <row r="78" spans="1:19" x14ac:dyDescent="0.25">
      <c r="A78">
        <v>76</v>
      </c>
      <c r="B78" t="s">
        <v>1248</v>
      </c>
      <c r="C78" t="s">
        <v>1682</v>
      </c>
      <c r="D78">
        <v>20034</v>
      </c>
      <c r="E78">
        <v>20</v>
      </c>
      <c r="F78">
        <v>20</v>
      </c>
      <c r="G78">
        <v>0</v>
      </c>
      <c r="H78">
        <v>1</v>
      </c>
      <c r="I78" t="s">
        <v>1683</v>
      </c>
      <c r="J78">
        <v>1</v>
      </c>
      <c r="K78">
        <v>0</v>
      </c>
      <c r="L78" t="s">
        <v>1358</v>
      </c>
      <c r="M78">
        <v>-10</v>
      </c>
      <c r="N78">
        <v>10</v>
      </c>
      <c r="O78">
        <v>5</v>
      </c>
      <c r="P78" t="s">
        <v>130</v>
      </c>
      <c r="Q78" t="s">
        <v>1634</v>
      </c>
      <c r="R78" t="s">
        <v>1635</v>
      </c>
      <c r="S78">
        <v>0</v>
      </c>
    </row>
    <row r="79" spans="1:19" x14ac:dyDescent="0.25">
      <c r="A79">
        <v>77</v>
      </c>
      <c r="B79" t="s">
        <v>1248</v>
      </c>
      <c r="C79" t="s">
        <v>1852</v>
      </c>
      <c r="D79">
        <v>20035</v>
      </c>
      <c r="E79">
        <v>20</v>
      </c>
      <c r="F79">
        <v>20</v>
      </c>
      <c r="G79">
        <v>0</v>
      </c>
      <c r="H79">
        <v>1</v>
      </c>
      <c r="I79" t="s">
        <v>1851</v>
      </c>
      <c r="J79">
        <v>1</v>
      </c>
      <c r="K79">
        <v>0</v>
      </c>
      <c r="L79" t="s">
        <v>1358</v>
      </c>
      <c r="M79">
        <v>-10</v>
      </c>
      <c r="N79">
        <v>10</v>
      </c>
      <c r="O79">
        <v>5</v>
      </c>
      <c r="P79" t="s">
        <v>130</v>
      </c>
      <c r="Q79" t="s">
        <v>1634</v>
      </c>
      <c r="R79" t="s">
        <v>1635</v>
      </c>
      <c r="S79">
        <v>0</v>
      </c>
    </row>
    <row r="80" spans="1:19" x14ac:dyDescent="0.25">
      <c r="A80">
        <v>78</v>
      </c>
      <c r="B80" t="s">
        <v>1248</v>
      </c>
      <c r="C80" t="s">
        <v>1650</v>
      </c>
      <c r="D80">
        <v>20036</v>
      </c>
      <c r="E80">
        <v>20</v>
      </c>
      <c r="F80">
        <v>20</v>
      </c>
      <c r="G80">
        <v>0</v>
      </c>
      <c r="H80">
        <v>1</v>
      </c>
      <c r="I80" t="s">
        <v>1651</v>
      </c>
      <c r="J80">
        <v>1</v>
      </c>
      <c r="K80">
        <v>0</v>
      </c>
      <c r="L80" t="s">
        <v>1358</v>
      </c>
      <c r="M80">
        <v>-10</v>
      </c>
      <c r="N80">
        <v>10</v>
      </c>
      <c r="O80">
        <v>5</v>
      </c>
      <c r="P80" t="s">
        <v>130</v>
      </c>
      <c r="Q80" t="s">
        <v>1634</v>
      </c>
      <c r="R80" t="s">
        <v>1635</v>
      </c>
      <c r="S80">
        <v>0</v>
      </c>
    </row>
    <row r="81" spans="1:19" x14ac:dyDescent="0.25">
      <c r="A81">
        <v>79</v>
      </c>
      <c r="B81" t="s">
        <v>1248</v>
      </c>
      <c r="C81" t="s">
        <v>1654</v>
      </c>
      <c r="D81">
        <v>20037</v>
      </c>
      <c r="E81">
        <v>20</v>
      </c>
      <c r="F81">
        <v>20</v>
      </c>
      <c r="G81">
        <v>0</v>
      </c>
      <c r="H81">
        <v>1</v>
      </c>
      <c r="I81" t="s">
        <v>1655</v>
      </c>
      <c r="J81">
        <v>1</v>
      </c>
      <c r="K81">
        <v>0</v>
      </c>
      <c r="L81" t="s">
        <v>1358</v>
      </c>
      <c r="M81">
        <v>-10</v>
      </c>
      <c r="N81">
        <v>10</v>
      </c>
      <c r="O81">
        <v>5</v>
      </c>
      <c r="P81" t="s">
        <v>130</v>
      </c>
      <c r="Q81" t="s">
        <v>1634</v>
      </c>
      <c r="R81" t="s">
        <v>1635</v>
      </c>
      <c r="S81">
        <v>0</v>
      </c>
    </row>
    <row r="82" spans="1:19" x14ac:dyDescent="0.25">
      <c r="A82">
        <v>80</v>
      </c>
      <c r="B82" t="s">
        <v>1248</v>
      </c>
      <c r="C82" t="s">
        <v>1660</v>
      </c>
      <c r="D82">
        <v>20038</v>
      </c>
      <c r="E82">
        <v>40</v>
      </c>
      <c r="F82">
        <v>20</v>
      </c>
      <c r="G82">
        <v>0</v>
      </c>
      <c r="H82">
        <v>1</v>
      </c>
      <c r="I82" t="s">
        <v>1661</v>
      </c>
      <c r="J82">
        <v>1</v>
      </c>
      <c r="K82">
        <v>0</v>
      </c>
      <c r="L82" t="s">
        <v>1358</v>
      </c>
      <c r="M82">
        <v>-10</v>
      </c>
      <c r="N82">
        <v>10</v>
      </c>
      <c r="O82">
        <v>5</v>
      </c>
      <c r="P82" t="s">
        <v>130</v>
      </c>
      <c r="Q82" t="s">
        <v>1634</v>
      </c>
      <c r="R82" t="s">
        <v>1635</v>
      </c>
      <c r="S82">
        <v>0</v>
      </c>
    </row>
    <row r="83" spans="1:19" x14ac:dyDescent="0.25">
      <c r="A83">
        <v>81</v>
      </c>
      <c r="B83" t="s">
        <v>1248</v>
      </c>
      <c r="C83" t="s">
        <v>1668</v>
      </c>
      <c r="D83">
        <v>20039</v>
      </c>
      <c r="E83">
        <v>20</v>
      </c>
      <c r="F83">
        <v>20</v>
      </c>
      <c r="G83">
        <v>0</v>
      </c>
      <c r="H83">
        <v>1</v>
      </c>
      <c r="I83" t="s">
        <v>1669</v>
      </c>
      <c r="J83">
        <v>1</v>
      </c>
      <c r="K83">
        <v>0</v>
      </c>
      <c r="L83" t="s">
        <v>1358</v>
      </c>
      <c r="M83">
        <v>-10</v>
      </c>
      <c r="N83">
        <v>10</v>
      </c>
      <c r="O83">
        <v>5</v>
      </c>
      <c r="P83" t="s">
        <v>130</v>
      </c>
      <c r="Q83" t="s">
        <v>1634</v>
      </c>
      <c r="R83" t="s">
        <v>1635</v>
      </c>
      <c r="S83">
        <v>0</v>
      </c>
    </row>
    <row r="84" spans="1:19" x14ac:dyDescent="0.25">
      <c r="A84">
        <v>82</v>
      </c>
      <c r="B84" t="s">
        <v>1248</v>
      </c>
      <c r="C84" t="s">
        <v>1678</v>
      </c>
      <c r="D84">
        <v>20040</v>
      </c>
      <c r="E84">
        <v>20</v>
      </c>
      <c r="F84">
        <v>20</v>
      </c>
      <c r="G84">
        <v>0</v>
      </c>
      <c r="H84">
        <v>1</v>
      </c>
      <c r="I84" t="s">
        <v>1679</v>
      </c>
      <c r="J84">
        <v>1</v>
      </c>
      <c r="K84">
        <v>0</v>
      </c>
      <c r="L84" t="s">
        <v>1358</v>
      </c>
      <c r="M84">
        <v>-10</v>
      </c>
      <c r="N84">
        <v>10</v>
      </c>
      <c r="O84">
        <v>5</v>
      </c>
      <c r="P84" t="s">
        <v>130</v>
      </c>
      <c r="Q84" t="s">
        <v>1634</v>
      </c>
      <c r="R84" t="s">
        <v>1635</v>
      </c>
      <c r="S84">
        <v>0</v>
      </c>
    </row>
    <row r="85" spans="1:19" x14ac:dyDescent="0.25">
      <c r="A85">
        <v>83</v>
      </c>
      <c r="B85" t="s">
        <v>1248</v>
      </c>
      <c r="C85" t="s">
        <v>1674</v>
      </c>
      <c r="D85">
        <v>20041</v>
      </c>
      <c r="E85">
        <v>20</v>
      </c>
      <c r="F85">
        <v>20</v>
      </c>
      <c r="G85">
        <v>0</v>
      </c>
      <c r="H85">
        <v>1</v>
      </c>
      <c r="I85" t="s">
        <v>1675</v>
      </c>
      <c r="J85">
        <v>1</v>
      </c>
      <c r="K85">
        <v>0</v>
      </c>
      <c r="L85" t="s">
        <v>1358</v>
      </c>
      <c r="M85">
        <v>-10</v>
      </c>
      <c r="N85">
        <v>10</v>
      </c>
      <c r="O85">
        <v>5</v>
      </c>
      <c r="P85" t="s">
        <v>130</v>
      </c>
      <c r="Q85" t="s">
        <v>1634</v>
      </c>
      <c r="R85" t="s">
        <v>1635</v>
      </c>
      <c r="S85">
        <v>0</v>
      </c>
    </row>
    <row r="86" spans="1:19" x14ac:dyDescent="0.25">
      <c r="A86">
        <v>84</v>
      </c>
      <c r="B86" t="s">
        <v>1248</v>
      </c>
      <c r="C86" t="s">
        <v>1804</v>
      </c>
      <c r="D86">
        <v>20043</v>
      </c>
      <c r="E86">
        <v>20</v>
      </c>
      <c r="F86">
        <v>20</v>
      </c>
      <c r="G86">
        <v>0</v>
      </c>
      <c r="H86">
        <v>-1</v>
      </c>
      <c r="I86" t="s">
        <v>1803</v>
      </c>
      <c r="J86">
        <v>1</v>
      </c>
      <c r="K86">
        <v>0</v>
      </c>
      <c r="L86" t="s">
        <v>1358</v>
      </c>
      <c r="M86">
        <v>-10</v>
      </c>
      <c r="N86">
        <v>10</v>
      </c>
      <c r="O86">
        <v>5</v>
      </c>
      <c r="P86" t="s">
        <v>130</v>
      </c>
      <c r="Q86" t="s">
        <v>1634</v>
      </c>
      <c r="R86" t="s">
        <v>1635</v>
      </c>
      <c r="S86">
        <v>0</v>
      </c>
    </row>
    <row r="87" spans="1:19" x14ac:dyDescent="0.25">
      <c r="A87">
        <v>85</v>
      </c>
      <c r="B87" t="s">
        <v>1248</v>
      </c>
      <c r="C87" t="s">
        <v>1806</v>
      </c>
      <c r="D87">
        <v>20044</v>
      </c>
      <c r="E87">
        <v>40</v>
      </c>
      <c r="F87">
        <v>20</v>
      </c>
      <c r="G87">
        <v>0</v>
      </c>
      <c r="H87">
        <v>-1</v>
      </c>
      <c r="I87" t="s">
        <v>1805</v>
      </c>
      <c r="J87">
        <v>1</v>
      </c>
      <c r="K87">
        <v>0</v>
      </c>
      <c r="L87" t="s">
        <v>1358</v>
      </c>
      <c r="M87">
        <v>0</v>
      </c>
      <c r="N87">
        <v>10</v>
      </c>
      <c r="O87">
        <v>5</v>
      </c>
      <c r="P87" t="s">
        <v>130</v>
      </c>
      <c r="Q87" t="s">
        <v>1634</v>
      </c>
      <c r="R87" t="s">
        <v>1635</v>
      </c>
      <c r="S87">
        <v>0</v>
      </c>
    </row>
    <row r="88" spans="1:19" x14ac:dyDescent="0.25">
      <c r="A88">
        <v>86</v>
      </c>
      <c r="B88" t="s">
        <v>1248</v>
      </c>
      <c r="C88" t="s">
        <v>1808</v>
      </c>
      <c r="D88">
        <v>20045</v>
      </c>
      <c r="E88">
        <v>40</v>
      </c>
      <c r="F88">
        <v>40</v>
      </c>
      <c r="G88">
        <v>0</v>
      </c>
      <c r="H88">
        <v>-1</v>
      </c>
      <c r="I88" t="s">
        <v>1807</v>
      </c>
      <c r="J88">
        <v>1</v>
      </c>
      <c r="K88">
        <v>0</v>
      </c>
      <c r="L88" t="s">
        <v>1358</v>
      </c>
      <c r="M88">
        <v>-10</v>
      </c>
      <c r="N88">
        <v>10</v>
      </c>
      <c r="O88">
        <v>5</v>
      </c>
      <c r="P88" t="s">
        <v>130</v>
      </c>
      <c r="Q88" t="s">
        <v>1634</v>
      </c>
      <c r="R88" t="s">
        <v>1635</v>
      </c>
      <c r="S88">
        <v>0</v>
      </c>
    </row>
    <row r="89" spans="1:19" x14ac:dyDescent="0.25">
      <c r="A89">
        <v>87</v>
      </c>
      <c r="B89" t="s">
        <v>1248</v>
      </c>
      <c r="C89" t="s">
        <v>1812</v>
      </c>
      <c r="D89">
        <v>20046</v>
      </c>
      <c r="E89">
        <v>20</v>
      </c>
      <c r="F89">
        <v>20</v>
      </c>
      <c r="G89">
        <v>0</v>
      </c>
      <c r="H89">
        <v>-1</v>
      </c>
      <c r="I89" t="s">
        <v>1811</v>
      </c>
      <c r="J89">
        <v>1</v>
      </c>
      <c r="K89">
        <v>0</v>
      </c>
      <c r="L89" t="s">
        <v>1358</v>
      </c>
      <c r="M89">
        <v>-10</v>
      </c>
      <c r="N89">
        <v>10</v>
      </c>
      <c r="O89">
        <v>5</v>
      </c>
      <c r="P89" t="s">
        <v>130</v>
      </c>
      <c r="Q89" t="s">
        <v>1634</v>
      </c>
      <c r="R89" t="s">
        <v>1635</v>
      </c>
      <c r="S89">
        <v>0</v>
      </c>
    </row>
    <row r="90" spans="1:19" x14ac:dyDescent="0.25">
      <c r="A90">
        <v>88</v>
      </c>
      <c r="B90" t="s">
        <v>1248</v>
      </c>
      <c r="C90" t="s">
        <v>1814</v>
      </c>
      <c r="D90">
        <v>20047</v>
      </c>
      <c r="E90">
        <v>20</v>
      </c>
      <c r="F90">
        <v>20</v>
      </c>
      <c r="G90">
        <v>0</v>
      </c>
      <c r="H90">
        <v>-1</v>
      </c>
      <c r="I90" t="s">
        <v>1813</v>
      </c>
      <c r="J90">
        <v>1</v>
      </c>
      <c r="K90">
        <v>0</v>
      </c>
      <c r="L90" t="s">
        <v>1358</v>
      </c>
      <c r="M90">
        <v>-10</v>
      </c>
      <c r="N90">
        <v>10</v>
      </c>
      <c r="O90">
        <v>5</v>
      </c>
      <c r="P90" t="s">
        <v>130</v>
      </c>
      <c r="Q90" t="s">
        <v>1634</v>
      </c>
      <c r="R90" t="s">
        <v>1635</v>
      </c>
      <c r="S90">
        <v>0</v>
      </c>
    </row>
    <row r="91" spans="1:19" x14ac:dyDescent="0.25">
      <c r="A91">
        <v>89</v>
      </c>
      <c r="B91" t="s">
        <v>1248</v>
      </c>
      <c r="C91" t="s">
        <v>1816</v>
      </c>
      <c r="D91">
        <v>20048</v>
      </c>
      <c r="E91">
        <v>20</v>
      </c>
      <c r="F91">
        <v>20</v>
      </c>
      <c r="G91">
        <v>0</v>
      </c>
      <c r="H91">
        <v>-1</v>
      </c>
      <c r="I91" t="s">
        <v>1815</v>
      </c>
      <c r="J91">
        <v>1</v>
      </c>
      <c r="K91">
        <v>0</v>
      </c>
      <c r="L91" t="s">
        <v>1358</v>
      </c>
      <c r="M91">
        <v>-10</v>
      </c>
      <c r="N91">
        <v>10</v>
      </c>
      <c r="O91">
        <v>5</v>
      </c>
      <c r="P91" t="s">
        <v>130</v>
      </c>
      <c r="Q91" t="s">
        <v>1634</v>
      </c>
      <c r="R91" t="s">
        <v>1635</v>
      </c>
      <c r="S91">
        <v>0</v>
      </c>
    </row>
    <row r="92" spans="1:19" x14ac:dyDescent="0.25">
      <c r="A92">
        <v>90</v>
      </c>
      <c r="B92" t="s">
        <v>1248</v>
      </c>
      <c r="C92" t="s">
        <v>1818</v>
      </c>
      <c r="D92">
        <v>20049</v>
      </c>
      <c r="E92">
        <v>20</v>
      </c>
      <c r="F92">
        <v>20</v>
      </c>
      <c r="G92">
        <v>0</v>
      </c>
      <c r="H92">
        <v>-1</v>
      </c>
      <c r="I92" t="s">
        <v>1817</v>
      </c>
      <c r="J92">
        <v>1</v>
      </c>
      <c r="K92">
        <v>0</v>
      </c>
      <c r="L92" t="s">
        <v>1358</v>
      </c>
      <c r="M92">
        <v>-10</v>
      </c>
      <c r="N92">
        <v>10</v>
      </c>
      <c r="O92">
        <v>5</v>
      </c>
      <c r="P92" t="s">
        <v>130</v>
      </c>
      <c r="Q92" t="s">
        <v>1634</v>
      </c>
      <c r="R92" t="s">
        <v>1635</v>
      </c>
      <c r="S92">
        <v>0</v>
      </c>
    </row>
    <row r="93" spans="1:19" x14ac:dyDescent="0.25">
      <c r="A93">
        <v>91</v>
      </c>
      <c r="B93" t="s">
        <v>1248</v>
      </c>
      <c r="C93" t="s">
        <v>1820</v>
      </c>
      <c r="D93">
        <v>20050</v>
      </c>
      <c r="E93">
        <v>20</v>
      </c>
      <c r="F93">
        <v>20</v>
      </c>
      <c r="G93">
        <v>0</v>
      </c>
      <c r="H93">
        <v>-1</v>
      </c>
      <c r="I93" t="s">
        <v>1819</v>
      </c>
      <c r="J93">
        <v>1</v>
      </c>
      <c r="K93">
        <v>0</v>
      </c>
      <c r="L93" t="s">
        <v>1358</v>
      </c>
      <c r="M93">
        <v>-10</v>
      </c>
      <c r="N93">
        <v>10</v>
      </c>
      <c r="O93">
        <v>5</v>
      </c>
      <c r="P93" t="s">
        <v>130</v>
      </c>
      <c r="Q93" t="s">
        <v>1634</v>
      </c>
      <c r="R93" t="s">
        <v>1635</v>
      </c>
      <c r="S93">
        <v>0</v>
      </c>
    </row>
    <row r="94" spans="1:19" x14ac:dyDescent="0.25">
      <c r="A94">
        <v>92</v>
      </c>
      <c r="B94" t="s">
        <v>1248</v>
      </c>
      <c r="C94" t="s">
        <v>1822</v>
      </c>
      <c r="D94">
        <v>20051</v>
      </c>
      <c r="E94">
        <v>60</v>
      </c>
      <c r="F94">
        <v>40</v>
      </c>
      <c r="G94">
        <v>0</v>
      </c>
      <c r="H94">
        <v>-1</v>
      </c>
      <c r="I94" t="s">
        <v>1821</v>
      </c>
      <c r="J94">
        <v>1</v>
      </c>
      <c r="K94">
        <v>0</v>
      </c>
      <c r="L94" t="s">
        <v>1358</v>
      </c>
      <c r="M94">
        <v>-10</v>
      </c>
      <c r="N94">
        <v>10</v>
      </c>
      <c r="O94">
        <v>5</v>
      </c>
      <c r="P94" t="s">
        <v>130</v>
      </c>
      <c r="Q94" t="s">
        <v>1634</v>
      </c>
      <c r="R94" t="s">
        <v>1635</v>
      </c>
      <c r="S94">
        <v>0</v>
      </c>
    </row>
    <row r="95" spans="1:19" x14ac:dyDescent="0.25">
      <c r="A95">
        <v>93</v>
      </c>
      <c r="B95" t="s">
        <v>1248</v>
      </c>
      <c r="C95" t="s">
        <v>1824</v>
      </c>
      <c r="D95">
        <v>20052</v>
      </c>
      <c r="E95">
        <v>40</v>
      </c>
      <c r="F95">
        <v>20</v>
      </c>
      <c r="G95">
        <v>0</v>
      </c>
      <c r="H95">
        <v>-1</v>
      </c>
      <c r="I95" t="s">
        <v>1823</v>
      </c>
      <c r="J95">
        <v>1</v>
      </c>
      <c r="K95">
        <v>0</v>
      </c>
      <c r="L95" t="s">
        <v>1358</v>
      </c>
      <c r="M95">
        <v>-10</v>
      </c>
      <c r="N95">
        <v>10</v>
      </c>
      <c r="O95">
        <v>5</v>
      </c>
      <c r="P95" t="s">
        <v>130</v>
      </c>
      <c r="Q95" t="s">
        <v>1634</v>
      </c>
      <c r="R95" t="s">
        <v>1635</v>
      </c>
      <c r="S95">
        <v>0</v>
      </c>
    </row>
    <row r="96" spans="1:19" x14ac:dyDescent="0.25">
      <c r="A96">
        <v>94</v>
      </c>
      <c r="B96" t="s">
        <v>1248</v>
      </c>
      <c r="C96" t="s">
        <v>1826</v>
      </c>
      <c r="D96">
        <v>20053</v>
      </c>
      <c r="E96">
        <v>40</v>
      </c>
      <c r="F96">
        <v>20</v>
      </c>
      <c r="G96">
        <v>0</v>
      </c>
      <c r="H96">
        <v>-1</v>
      </c>
      <c r="I96" t="s">
        <v>1825</v>
      </c>
      <c r="J96">
        <v>1</v>
      </c>
      <c r="K96">
        <v>0</v>
      </c>
      <c r="L96" t="s">
        <v>1358</v>
      </c>
      <c r="M96">
        <v>-10</v>
      </c>
      <c r="N96">
        <v>10</v>
      </c>
      <c r="O96">
        <v>5</v>
      </c>
      <c r="P96" t="s">
        <v>130</v>
      </c>
      <c r="Q96" t="s">
        <v>1634</v>
      </c>
      <c r="R96" t="s">
        <v>1635</v>
      </c>
      <c r="S96">
        <v>0</v>
      </c>
    </row>
    <row r="97" spans="1:19" x14ac:dyDescent="0.25">
      <c r="A97">
        <v>95</v>
      </c>
      <c r="B97" t="s">
        <v>1248</v>
      </c>
      <c r="C97" t="s">
        <v>1828</v>
      </c>
      <c r="D97">
        <v>20054</v>
      </c>
      <c r="E97">
        <v>20</v>
      </c>
      <c r="F97">
        <v>20</v>
      </c>
      <c r="G97">
        <v>0</v>
      </c>
      <c r="H97">
        <v>-1</v>
      </c>
      <c r="I97" t="s">
        <v>1827</v>
      </c>
      <c r="J97">
        <v>1</v>
      </c>
      <c r="K97">
        <v>0</v>
      </c>
      <c r="L97" t="s">
        <v>1358</v>
      </c>
      <c r="M97">
        <v>-10</v>
      </c>
      <c r="N97">
        <v>10</v>
      </c>
      <c r="O97">
        <v>5</v>
      </c>
      <c r="P97" t="s">
        <v>130</v>
      </c>
      <c r="Q97" t="s">
        <v>1634</v>
      </c>
      <c r="R97" t="s">
        <v>1635</v>
      </c>
      <c r="S97">
        <v>0</v>
      </c>
    </row>
    <row r="98" spans="1:19" x14ac:dyDescent="0.25">
      <c r="A98">
        <v>96</v>
      </c>
      <c r="B98" t="s">
        <v>1248</v>
      </c>
      <c r="C98" t="s">
        <v>1830</v>
      </c>
      <c r="D98">
        <v>20055</v>
      </c>
      <c r="E98">
        <v>20</v>
      </c>
      <c r="F98">
        <v>20</v>
      </c>
      <c r="G98">
        <v>0</v>
      </c>
      <c r="H98">
        <v>-1</v>
      </c>
      <c r="I98" t="s">
        <v>1829</v>
      </c>
      <c r="J98">
        <v>1</v>
      </c>
      <c r="K98">
        <v>0</v>
      </c>
      <c r="L98" t="s">
        <v>1358</v>
      </c>
      <c r="M98">
        <v>-10</v>
      </c>
      <c r="N98">
        <v>10</v>
      </c>
      <c r="O98">
        <v>5</v>
      </c>
      <c r="P98" t="s">
        <v>130</v>
      </c>
      <c r="Q98" t="s">
        <v>1634</v>
      </c>
      <c r="R98" t="s">
        <v>1635</v>
      </c>
      <c r="S98">
        <v>0</v>
      </c>
    </row>
    <row r="99" spans="1:19" x14ac:dyDescent="0.25">
      <c r="A99">
        <v>97</v>
      </c>
      <c r="B99" t="s">
        <v>1248</v>
      </c>
      <c r="C99" t="s">
        <v>1832</v>
      </c>
      <c r="D99">
        <v>20056</v>
      </c>
      <c r="E99">
        <v>20</v>
      </c>
      <c r="F99">
        <v>20</v>
      </c>
      <c r="G99">
        <v>0</v>
      </c>
      <c r="H99">
        <v>-1</v>
      </c>
      <c r="I99" t="s">
        <v>1831</v>
      </c>
      <c r="J99">
        <v>1</v>
      </c>
      <c r="K99">
        <v>0</v>
      </c>
      <c r="L99" t="s">
        <v>1358</v>
      </c>
      <c r="M99">
        <v>-10</v>
      </c>
      <c r="N99">
        <v>10</v>
      </c>
      <c r="O99">
        <v>5</v>
      </c>
      <c r="P99" t="s">
        <v>130</v>
      </c>
      <c r="Q99" t="s">
        <v>1634</v>
      </c>
      <c r="R99" t="s">
        <v>1635</v>
      </c>
      <c r="S99">
        <v>0</v>
      </c>
    </row>
    <row r="100" spans="1:19" x14ac:dyDescent="0.25">
      <c r="A100">
        <v>98</v>
      </c>
      <c r="B100" t="s">
        <v>1248</v>
      </c>
      <c r="C100" t="s">
        <v>1834</v>
      </c>
      <c r="D100">
        <v>20057</v>
      </c>
      <c r="E100">
        <v>20</v>
      </c>
      <c r="F100">
        <v>20</v>
      </c>
      <c r="G100">
        <v>0</v>
      </c>
      <c r="H100">
        <v>-1</v>
      </c>
      <c r="I100" t="s">
        <v>1833</v>
      </c>
      <c r="J100">
        <v>1</v>
      </c>
      <c r="K100">
        <v>0</v>
      </c>
      <c r="L100" t="s">
        <v>1358</v>
      </c>
      <c r="M100">
        <v>-10</v>
      </c>
      <c r="N100">
        <v>10</v>
      </c>
      <c r="O100">
        <v>5</v>
      </c>
      <c r="P100" t="s">
        <v>130</v>
      </c>
      <c r="Q100" t="s">
        <v>1634</v>
      </c>
      <c r="R100" t="s">
        <v>1635</v>
      </c>
      <c r="S100">
        <v>0</v>
      </c>
    </row>
    <row r="101" spans="1:19" x14ac:dyDescent="0.25">
      <c r="A101">
        <v>99</v>
      </c>
      <c r="B101" t="s">
        <v>1248</v>
      </c>
      <c r="C101" t="s">
        <v>1836</v>
      </c>
      <c r="D101">
        <v>20058</v>
      </c>
      <c r="E101">
        <v>20</v>
      </c>
      <c r="F101">
        <v>20</v>
      </c>
      <c r="G101">
        <v>0</v>
      </c>
      <c r="H101">
        <v>-1</v>
      </c>
      <c r="I101" t="s">
        <v>1835</v>
      </c>
      <c r="J101">
        <v>1</v>
      </c>
      <c r="K101">
        <v>0</v>
      </c>
      <c r="L101" t="s">
        <v>1358</v>
      </c>
      <c r="M101">
        <v>-10</v>
      </c>
      <c r="N101">
        <v>10</v>
      </c>
      <c r="O101">
        <v>5</v>
      </c>
      <c r="P101" t="s">
        <v>130</v>
      </c>
      <c r="Q101" t="s">
        <v>1634</v>
      </c>
      <c r="R101" t="s">
        <v>1635</v>
      </c>
      <c r="S101">
        <v>0</v>
      </c>
    </row>
    <row r="102" spans="1:19" x14ac:dyDescent="0.25">
      <c r="A102">
        <v>100</v>
      </c>
      <c r="B102" t="s">
        <v>1248</v>
      </c>
      <c r="C102" t="s">
        <v>1838</v>
      </c>
      <c r="D102">
        <v>20059</v>
      </c>
      <c r="E102">
        <v>40</v>
      </c>
      <c r="F102">
        <v>40</v>
      </c>
      <c r="G102">
        <v>0</v>
      </c>
      <c r="H102">
        <v>-1</v>
      </c>
      <c r="I102" t="s">
        <v>1837</v>
      </c>
      <c r="J102">
        <v>1</v>
      </c>
      <c r="K102">
        <v>0</v>
      </c>
      <c r="L102" t="s">
        <v>1358</v>
      </c>
      <c r="M102">
        <v>-10</v>
      </c>
      <c r="N102">
        <v>10</v>
      </c>
      <c r="O102">
        <v>5</v>
      </c>
      <c r="P102" t="s">
        <v>130</v>
      </c>
      <c r="Q102" t="s">
        <v>1634</v>
      </c>
      <c r="R102" t="s">
        <v>1635</v>
      </c>
      <c r="S102">
        <v>0</v>
      </c>
    </row>
    <row r="103" spans="1:19" x14ac:dyDescent="0.25">
      <c r="A103">
        <v>101</v>
      </c>
      <c r="B103" t="s">
        <v>1248</v>
      </c>
      <c r="C103" t="s">
        <v>1840</v>
      </c>
      <c r="D103">
        <v>20061</v>
      </c>
      <c r="E103">
        <v>20</v>
      </c>
      <c r="F103">
        <v>20</v>
      </c>
      <c r="G103">
        <v>0</v>
      </c>
      <c r="H103">
        <v>-1</v>
      </c>
      <c r="I103" t="s">
        <v>1839</v>
      </c>
      <c r="J103">
        <v>1</v>
      </c>
      <c r="K103">
        <v>0</v>
      </c>
      <c r="L103" t="s">
        <v>1358</v>
      </c>
      <c r="M103">
        <v>-10</v>
      </c>
      <c r="N103">
        <v>10</v>
      </c>
      <c r="O103">
        <v>5</v>
      </c>
      <c r="P103" t="s">
        <v>130</v>
      </c>
      <c r="Q103" t="s">
        <v>1634</v>
      </c>
      <c r="R103" t="s">
        <v>1635</v>
      </c>
      <c r="S103">
        <v>0</v>
      </c>
    </row>
    <row r="104" spans="1:19" x14ac:dyDescent="0.25">
      <c r="A104">
        <v>102</v>
      </c>
      <c r="B104" t="s">
        <v>1248</v>
      </c>
      <c r="C104" t="s">
        <v>1842</v>
      </c>
      <c r="D104">
        <v>20062</v>
      </c>
      <c r="E104">
        <v>20</v>
      </c>
      <c r="F104">
        <v>20</v>
      </c>
      <c r="G104">
        <v>0</v>
      </c>
      <c r="H104">
        <v>-1</v>
      </c>
      <c r="I104" t="s">
        <v>1841</v>
      </c>
      <c r="J104">
        <v>1</v>
      </c>
      <c r="K104">
        <v>0</v>
      </c>
      <c r="L104" t="s">
        <v>1358</v>
      </c>
      <c r="M104">
        <v>-10</v>
      </c>
      <c r="N104">
        <v>10</v>
      </c>
      <c r="O104">
        <v>5</v>
      </c>
      <c r="P104" t="s">
        <v>130</v>
      </c>
      <c r="Q104" t="s">
        <v>1634</v>
      </c>
      <c r="R104" t="s">
        <v>1635</v>
      </c>
      <c r="S104">
        <v>0</v>
      </c>
    </row>
    <row r="105" spans="1:19" x14ac:dyDescent="0.25">
      <c r="A105">
        <v>103</v>
      </c>
      <c r="B105" t="s">
        <v>1248</v>
      </c>
      <c r="C105" t="s">
        <v>1844</v>
      </c>
      <c r="D105">
        <v>20063</v>
      </c>
      <c r="E105">
        <v>20</v>
      </c>
      <c r="F105">
        <v>20</v>
      </c>
      <c r="G105">
        <v>0</v>
      </c>
      <c r="H105">
        <v>-1</v>
      </c>
      <c r="I105" t="s">
        <v>1843</v>
      </c>
      <c r="J105">
        <v>1</v>
      </c>
      <c r="K105">
        <v>0</v>
      </c>
      <c r="L105" t="s">
        <v>1358</v>
      </c>
      <c r="M105">
        <v>-10</v>
      </c>
      <c r="N105">
        <v>10</v>
      </c>
      <c r="O105">
        <v>5</v>
      </c>
      <c r="P105" t="s">
        <v>130</v>
      </c>
      <c r="Q105" t="s">
        <v>1634</v>
      </c>
      <c r="R105" t="s">
        <v>1635</v>
      </c>
      <c r="S105">
        <v>0</v>
      </c>
    </row>
    <row r="106" spans="1:19" x14ac:dyDescent="0.25">
      <c r="A106">
        <v>104</v>
      </c>
      <c r="B106" t="s">
        <v>1248</v>
      </c>
      <c r="C106" t="s">
        <v>1846</v>
      </c>
      <c r="D106">
        <v>20064</v>
      </c>
      <c r="E106">
        <v>60</v>
      </c>
      <c r="F106">
        <v>20</v>
      </c>
      <c r="G106">
        <v>0</v>
      </c>
      <c r="H106">
        <v>-1</v>
      </c>
      <c r="I106" t="s">
        <v>1845</v>
      </c>
      <c r="J106">
        <v>1</v>
      </c>
      <c r="K106">
        <v>0</v>
      </c>
      <c r="L106" t="s">
        <v>1358</v>
      </c>
      <c r="M106">
        <v>-10</v>
      </c>
      <c r="N106">
        <v>10</v>
      </c>
      <c r="O106">
        <v>5</v>
      </c>
      <c r="P106" t="s">
        <v>130</v>
      </c>
      <c r="Q106" t="s">
        <v>1634</v>
      </c>
      <c r="R106" t="s">
        <v>1635</v>
      </c>
      <c r="S106">
        <v>0</v>
      </c>
    </row>
    <row r="107" spans="1:19" x14ac:dyDescent="0.25">
      <c r="A107">
        <v>105</v>
      </c>
      <c r="B107" t="s">
        <v>1248</v>
      </c>
      <c r="C107" t="s">
        <v>1848</v>
      </c>
      <c r="D107">
        <v>20065</v>
      </c>
      <c r="E107">
        <v>20</v>
      </c>
      <c r="F107">
        <v>20</v>
      </c>
      <c r="G107">
        <v>0</v>
      </c>
      <c r="H107">
        <v>-1</v>
      </c>
      <c r="I107" t="s">
        <v>1847</v>
      </c>
      <c r="J107">
        <v>1</v>
      </c>
      <c r="K107">
        <v>0</v>
      </c>
      <c r="L107" t="s">
        <v>1358</v>
      </c>
      <c r="M107">
        <v>-10</v>
      </c>
      <c r="N107">
        <v>10</v>
      </c>
      <c r="O107">
        <v>5</v>
      </c>
      <c r="P107" t="s">
        <v>130</v>
      </c>
      <c r="Q107" t="s">
        <v>1634</v>
      </c>
      <c r="R107" t="s">
        <v>1635</v>
      </c>
      <c r="S107">
        <v>0</v>
      </c>
    </row>
    <row r="108" spans="1:19" x14ac:dyDescent="0.25">
      <c r="A108">
        <v>106</v>
      </c>
      <c r="B108" t="s">
        <v>1248</v>
      </c>
      <c r="C108" t="s">
        <v>1850</v>
      </c>
      <c r="D108">
        <v>20066</v>
      </c>
      <c r="E108">
        <v>20</v>
      </c>
      <c r="F108">
        <v>20</v>
      </c>
      <c r="G108">
        <v>0</v>
      </c>
      <c r="H108">
        <v>-1</v>
      </c>
      <c r="I108" t="s">
        <v>1849</v>
      </c>
      <c r="J108">
        <v>1</v>
      </c>
      <c r="K108">
        <v>0</v>
      </c>
      <c r="L108" t="s">
        <v>1358</v>
      </c>
      <c r="M108">
        <v>-10</v>
      </c>
      <c r="N108">
        <v>10</v>
      </c>
      <c r="O108">
        <v>5</v>
      </c>
      <c r="P108" t="s">
        <v>130</v>
      </c>
      <c r="Q108" t="s">
        <v>1634</v>
      </c>
      <c r="R108" t="s">
        <v>1635</v>
      </c>
      <c r="S108">
        <v>0</v>
      </c>
    </row>
    <row r="109" spans="1:19" x14ac:dyDescent="0.25">
      <c r="A109">
        <v>107</v>
      </c>
      <c r="B109" t="s">
        <v>1248</v>
      </c>
      <c r="C109" t="s">
        <v>1810</v>
      </c>
      <c r="D109">
        <v>20067</v>
      </c>
      <c r="E109">
        <v>20</v>
      </c>
      <c r="F109">
        <v>20</v>
      </c>
      <c r="G109">
        <v>0</v>
      </c>
      <c r="H109">
        <v>1</v>
      </c>
      <c r="I109" t="s">
        <v>1809</v>
      </c>
      <c r="J109">
        <v>1</v>
      </c>
      <c r="K109">
        <v>0</v>
      </c>
      <c r="L109" t="s">
        <v>1358</v>
      </c>
      <c r="M109">
        <v>-10</v>
      </c>
      <c r="N109">
        <v>10</v>
      </c>
      <c r="O109">
        <v>5</v>
      </c>
      <c r="P109" t="s">
        <v>130</v>
      </c>
      <c r="Q109" t="s">
        <v>1634</v>
      </c>
      <c r="R109" t="s">
        <v>1635</v>
      </c>
      <c r="S109">
        <v>0</v>
      </c>
    </row>
    <row r="110" spans="1:19" x14ac:dyDescent="0.25">
      <c r="A110">
        <v>108</v>
      </c>
      <c r="B110" t="s">
        <v>1248</v>
      </c>
      <c r="C110" t="s">
        <v>1728</v>
      </c>
      <c r="D110">
        <v>20068</v>
      </c>
      <c r="E110">
        <v>20</v>
      </c>
      <c r="F110">
        <v>20</v>
      </c>
      <c r="G110">
        <v>0</v>
      </c>
      <c r="H110">
        <v>-1</v>
      </c>
      <c r="I110" t="s">
        <v>1729</v>
      </c>
      <c r="J110">
        <v>1</v>
      </c>
      <c r="K110">
        <v>0</v>
      </c>
      <c r="L110" t="s">
        <v>1358</v>
      </c>
      <c r="M110">
        <v>0</v>
      </c>
      <c r="N110">
        <v>10</v>
      </c>
      <c r="O110">
        <v>1</v>
      </c>
      <c r="P110" t="s">
        <v>130</v>
      </c>
      <c r="Q110" t="s">
        <v>1634</v>
      </c>
      <c r="R110" t="s">
        <v>1635</v>
      </c>
      <c r="S110">
        <v>0</v>
      </c>
    </row>
    <row r="111" spans="1:19" x14ac:dyDescent="0.25">
      <c r="A111">
        <v>109</v>
      </c>
      <c r="B111" t="s">
        <v>1248</v>
      </c>
      <c r="C111" t="s">
        <v>1748</v>
      </c>
      <c r="D111">
        <v>20069</v>
      </c>
      <c r="E111">
        <v>20</v>
      </c>
      <c r="F111">
        <v>20</v>
      </c>
      <c r="G111">
        <v>0</v>
      </c>
      <c r="H111">
        <v>-1</v>
      </c>
      <c r="I111" t="s">
        <v>1749</v>
      </c>
      <c r="J111">
        <v>1</v>
      </c>
      <c r="K111">
        <v>0</v>
      </c>
      <c r="L111" t="s">
        <v>1358</v>
      </c>
      <c r="M111">
        <v>0</v>
      </c>
      <c r="N111">
        <v>10</v>
      </c>
      <c r="O111">
        <v>1</v>
      </c>
      <c r="P111" t="s">
        <v>130</v>
      </c>
      <c r="Q111" t="s">
        <v>1634</v>
      </c>
      <c r="R111" t="s">
        <v>1635</v>
      </c>
      <c r="S111">
        <v>0</v>
      </c>
    </row>
    <row r="112" spans="1:19" x14ac:dyDescent="0.25">
      <c r="A112">
        <v>110</v>
      </c>
      <c r="B112" t="s">
        <v>1248</v>
      </c>
      <c r="C112" t="s">
        <v>1690</v>
      </c>
      <c r="D112">
        <v>20070</v>
      </c>
      <c r="E112">
        <v>20</v>
      </c>
      <c r="F112">
        <v>20</v>
      </c>
      <c r="G112">
        <v>0</v>
      </c>
      <c r="H112">
        <v>-1</v>
      </c>
      <c r="I112" t="s">
        <v>1691</v>
      </c>
      <c r="J112">
        <v>1</v>
      </c>
      <c r="K112">
        <v>0</v>
      </c>
      <c r="L112" t="s">
        <v>1358</v>
      </c>
      <c r="M112">
        <v>0</v>
      </c>
      <c r="N112">
        <v>10</v>
      </c>
      <c r="O112">
        <v>1</v>
      </c>
      <c r="P112" t="s">
        <v>130</v>
      </c>
      <c r="Q112" t="s">
        <v>1634</v>
      </c>
      <c r="R112" t="s">
        <v>1635</v>
      </c>
      <c r="S112">
        <v>0</v>
      </c>
    </row>
    <row r="113" spans="1:19" x14ac:dyDescent="0.25">
      <c r="A113">
        <v>111</v>
      </c>
      <c r="B113" t="s">
        <v>1248</v>
      </c>
      <c r="C113" t="s">
        <v>1726</v>
      </c>
      <c r="D113">
        <v>20071</v>
      </c>
      <c r="E113">
        <v>20</v>
      </c>
      <c r="F113">
        <v>20</v>
      </c>
      <c r="G113">
        <v>0</v>
      </c>
      <c r="H113">
        <v>-1</v>
      </c>
      <c r="I113" t="s">
        <v>1727</v>
      </c>
      <c r="J113">
        <v>1</v>
      </c>
      <c r="K113">
        <v>0</v>
      </c>
      <c r="L113" t="s">
        <v>1358</v>
      </c>
      <c r="M113">
        <v>0</v>
      </c>
      <c r="N113">
        <v>10</v>
      </c>
      <c r="O113">
        <v>1</v>
      </c>
      <c r="P113" t="s">
        <v>130</v>
      </c>
      <c r="Q113" t="s">
        <v>1634</v>
      </c>
      <c r="R113" t="s">
        <v>1635</v>
      </c>
      <c r="S113">
        <v>0</v>
      </c>
    </row>
    <row r="114" spans="1:19" x14ac:dyDescent="0.25">
      <c r="A114">
        <v>112</v>
      </c>
      <c r="B114" t="s">
        <v>1248</v>
      </c>
      <c r="C114" t="s">
        <v>1692</v>
      </c>
      <c r="D114">
        <v>20072</v>
      </c>
      <c r="E114">
        <v>20</v>
      </c>
      <c r="F114">
        <v>20</v>
      </c>
      <c r="G114">
        <v>0</v>
      </c>
      <c r="H114">
        <v>-1</v>
      </c>
      <c r="I114" t="s">
        <v>1693</v>
      </c>
      <c r="J114">
        <v>1</v>
      </c>
      <c r="K114">
        <v>0</v>
      </c>
      <c r="L114" t="s">
        <v>1358</v>
      </c>
      <c r="M114">
        <v>0</v>
      </c>
      <c r="N114">
        <v>10</v>
      </c>
      <c r="O114">
        <v>1</v>
      </c>
      <c r="P114" t="s">
        <v>130</v>
      </c>
      <c r="Q114" t="s">
        <v>1634</v>
      </c>
      <c r="R114" t="s">
        <v>1635</v>
      </c>
      <c r="S114">
        <v>0</v>
      </c>
    </row>
    <row r="115" spans="1:19" x14ac:dyDescent="0.25">
      <c r="A115">
        <v>113</v>
      </c>
      <c r="B115" t="s">
        <v>1248</v>
      </c>
      <c r="C115" t="s">
        <v>1700</v>
      </c>
      <c r="D115">
        <v>20073</v>
      </c>
      <c r="E115">
        <v>20</v>
      </c>
      <c r="F115">
        <v>40</v>
      </c>
      <c r="G115">
        <v>0</v>
      </c>
      <c r="H115">
        <v>-1</v>
      </c>
      <c r="I115" t="s">
        <v>1701</v>
      </c>
      <c r="J115">
        <v>1</v>
      </c>
      <c r="K115">
        <v>0</v>
      </c>
      <c r="L115" t="s">
        <v>1358</v>
      </c>
      <c r="M115">
        <v>0</v>
      </c>
      <c r="N115">
        <v>10</v>
      </c>
      <c r="O115">
        <v>1</v>
      </c>
      <c r="P115" t="s">
        <v>130</v>
      </c>
      <c r="Q115" t="s">
        <v>1634</v>
      </c>
      <c r="R115" t="s">
        <v>1635</v>
      </c>
      <c r="S115">
        <v>0</v>
      </c>
    </row>
    <row r="116" spans="1:19" x14ac:dyDescent="0.25">
      <c r="A116">
        <v>114</v>
      </c>
      <c r="B116" t="s">
        <v>1248</v>
      </c>
      <c r="C116" t="s">
        <v>1724</v>
      </c>
      <c r="D116">
        <v>20074</v>
      </c>
      <c r="E116">
        <v>40</v>
      </c>
      <c r="F116">
        <v>20</v>
      </c>
      <c r="G116">
        <v>0</v>
      </c>
      <c r="H116">
        <v>-1</v>
      </c>
      <c r="I116" t="s">
        <v>1725</v>
      </c>
      <c r="J116">
        <v>1</v>
      </c>
      <c r="K116">
        <v>0</v>
      </c>
      <c r="L116" t="s">
        <v>1358</v>
      </c>
      <c r="M116">
        <v>0</v>
      </c>
      <c r="N116">
        <v>10</v>
      </c>
      <c r="O116">
        <v>1</v>
      </c>
      <c r="P116" t="s">
        <v>130</v>
      </c>
      <c r="Q116" t="s">
        <v>1634</v>
      </c>
      <c r="R116" t="s">
        <v>1635</v>
      </c>
      <c r="S116">
        <v>0</v>
      </c>
    </row>
    <row r="117" spans="1:19" x14ac:dyDescent="0.25">
      <c r="A117">
        <v>115</v>
      </c>
      <c r="B117" t="s">
        <v>1248</v>
      </c>
      <c r="C117" t="s">
        <v>1706</v>
      </c>
      <c r="D117">
        <v>20075</v>
      </c>
      <c r="E117">
        <v>20</v>
      </c>
      <c r="F117">
        <v>20</v>
      </c>
      <c r="G117">
        <v>0</v>
      </c>
      <c r="H117">
        <v>-1</v>
      </c>
      <c r="I117" t="s">
        <v>1707</v>
      </c>
      <c r="J117">
        <v>0</v>
      </c>
      <c r="K117">
        <v>0</v>
      </c>
      <c r="L117" t="s">
        <v>1358</v>
      </c>
      <c r="M117">
        <v>0</v>
      </c>
      <c r="N117">
        <v>10</v>
      </c>
      <c r="O117">
        <v>1</v>
      </c>
      <c r="P117" t="s">
        <v>130</v>
      </c>
      <c r="Q117" t="s">
        <v>1634</v>
      </c>
      <c r="R117" t="s">
        <v>1635</v>
      </c>
      <c r="S117">
        <v>0</v>
      </c>
    </row>
    <row r="118" spans="1:19" x14ac:dyDescent="0.25">
      <c r="A118">
        <v>116</v>
      </c>
      <c r="B118" t="s">
        <v>1248</v>
      </c>
      <c r="C118" t="s">
        <v>1694</v>
      </c>
      <c r="D118">
        <v>20076</v>
      </c>
      <c r="E118">
        <v>20</v>
      </c>
      <c r="F118">
        <v>20</v>
      </c>
      <c r="G118">
        <v>0</v>
      </c>
      <c r="H118">
        <v>-1</v>
      </c>
      <c r="I118" t="s">
        <v>1695</v>
      </c>
      <c r="J118">
        <v>1</v>
      </c>
      <c r="K118">
        <v>0</v>
      </c>
      <c r="L118" t="s">
        <v>1358</v>
      </c>
      <c r="M118">
        <v>0</v>
      </c>
      <c r="N118">
        <v>10</v>
      </c>
      <c r="O118">
        <v>1</v>
      </c>
      <c r="P118" t="s">
        <v>130</v>
      </c>
      <c r="Q118" t="s">
        <v>1634</v>
      </c>
      <c r="R118" t="s">
        <v>1635</v>
      </c>
      <c r="S118">
        <v>0</v>
      </c>
    </row>
    <row r="119" spans="1:19" x14ac:dyDescent="0.25">
      <c r="A119">
        <v>117</v>
      </c>
      <c r="B119" t="s">
        <v>1248</v>
      </c>
      <c r="C119" t="s">
        <v>1736</v>
      </c>
      <c r="D119">
        <v>20077</v>
      </c>
      <c r="E119">
        <v>20</v>
      </c>
      <c r="F119">
        <v>20</v>
      </c>
      <c r="G119">
        <v>0</v>
      </c>
      <c r="H119">
        <v>-1</v>
      </c>
      <c r="I119" t="s">
        <v>1737</v>
      </c>
      <c r="J119">
        <v>1</v>
      </c>
      <c r="K119">
        <v>0</v>
      </c>
      <c r="L119" t="s">
        <v>1358</v>
      </c>
      <c r="M119">
        <v>0</v>
      </c>
      <c r="N119">
        <v>10</v>
      </c>
      <c r="O119">
        <v>1</v>
      </c>
      <c r="P119" t="s">
        <v>130</v>
      </c>
      <c r="Q119" t="s">
        <v>1634</v>
      </c>
      <c r="R119" t="s">
        <v>1635</v>
      </c>
      <c r="S119">
        <v>0</v>
      </c>
    </row>
    <row r="120" spans="1:19" x14ac:dyDescent="0.25">
      <c r="A120">
        <v>118</v>
      </c>
      <c r="B120" t="s">
        <v>1248</v>
      </c>
      <c r="C120" t="s">
        <v>1764</v>
      </c>
      <c r="D120">
        <v>20078</v>
      </c>
      <c r="E120">
        <v>20</v>
      </c>
      <c r="F120">
        <v>20</v>
      </c>
      <c r="G120">
        <v>0</v>
      </c>
      <c r="H120">
        <v>-1</v>
      </c>
      <c r="I120" t="s">
        <v>1765</v>
      </c>
      <c r="J120">
        <v>0</v>
      </c>
      <c r="K120">
        <v>0</v>
      </c>
      <c r="L120" t="s">
        <v>1358</v>
      </c>
      <c r="M120">
        <v>0</v>
      </c>
      <c r="N120">
        <v>10</v>
      </c>
      <c r="O120">
        <v>1</v>
      </c>
      <c r="P120" t="s">
        <v>130</v>
      </c>
      <c r="Q120" t="s">
        <v>1634</v>
      </c>
      <c r="R120" t="s">
        <v>1635</v>
      </c>
      <c r="S120">
        <v>0</v>
      </c>
    </row>
    <row r="121" spans="1:19" x14ac:dyDescent="0.25">
      <c r="A121">
        <v>119</v>
      </c>
      <c r="B121" t="s">
        <v>1248</v>
      </c>
      <c r="C121" t="s">
        <v>1686</v>
      </c>
      <c r="D121">
        <v>20079</v>
      </c>
      <c r="E121">
        <v>20</v>
      </c>
      <c r="F121">
        <v>20</v>
      </c>
      <c r="G121">
        <v>0</v>
      </c>
      <c r="H121">
        <v>-1</v>
      </c>
      <c r="I121" t="s">
        <v>1687</v>
      </c>
      <c r="J121">
        <v>1</v>
      </c>
      <c r="K121">
        <v>0</v>
      </c>
      <c r="L121" t="s">
        <v>1358</v>
      </c>
      <c r="M121">
        <v>0</v>
      </c>
      <c r="N121">
        <v>10</v>
      </c>
      <c r="O121">
        <v>1</v>
      </c>
      <c r="P121" t="s">
        <v>130</v>
      </c>
      <c r="Q121" t="s">
        <v>1634</v>
      </c>
      <c r="R121" t="s">
        <v>1635</v>
      </c>
      <c r="S121">
        <v>0</v>
      </c>
    </row>
    <row r="122" spans="1:19" x14ac:dyDescent="0.25">
      <c r="A122">
        <v>120</v>
      </c>
      <c r="B122" t="s">
        <v>1248</v>
      </c>
      <c r="C122" t="s">
        <v>1738</v>
      </c>
      <c r="D122">
        <v>20080</v>
      </c>
      <c r="E122">
        <v>20</v>
      </c>
      <c r="F122">
        <v>20</v>
      </c>
      <c r="G122">
        <v>0</v>
      </c>
      <c r="H122">
        <v>-1</v>
      </c>
      <c r="I122" t="s">
        <v>1739</v>
      </c>
      <c r="J122">
        <v>1</v>
      </c>
      <c r="K122">
        <v>0</v>
      </c>
      <c r="L122" t="s">
        <v>1358</v>
      </c>
      <c r="M122">
        <v>0</v>
      </c>
      <c r="N122">
        <v>10</v>
      </c>
      <c r="O122">
        <v>1</v>
      </c>
      <c r="P122" t="s">
        <v>130</v>
      </c>
      <c r="Q122" t="s">
        <v>1634</v>
      </c>
      <c r="R122" t="s">
        <v>1635</v>
      </c>
      <c r="S122">
        <v>0</v>
      </c>
    </row>
    <row r="123" spans="1:19" x14ac:dyDescent="0.25">
      <c r="A123">
        <v>121</v>
      </c>
      <c r="B123" t="s">
        <v>1248</v>
      </c>
      <c r="C123" t="s">
        <v>1696</v>
      </c>
      <c r="D123">
        <v>20081</v>
      </c>
      <c r="E123">
        <v>40</v>
      </c>
      <c r="F123">
        <v>40</v>
      </c>
      <c r="G123">
        <v>0</v>
      </c>
      <c r="H123">
        <v>-1</v>
      </c>
      <c r="I123" t="s">
        <v>1697</v>
      </c>
      <c r="J123">
        <v>1</v>
      </c>
      <c r="K123">
        <v>0</v>
      </c>
      <c r="L123" t="s">
        <v>1358</v>
      </c>
      <c r="M123">
        <v>0</v>
      </c>
      <c r="N123">
        <v>10</v>
      </c>
      <c r="O123">
        <v>1</v>
      </c>
      <c r="P123" t="s">
        <v>130</v>
      </c>
      <c r="Q123" t="s">
        <v>1634</v>
      </c>
      <c r="R123" t="s">
        <v>1635</v>
      </c>
      <c r="S123">
        <v>0</v>
      </c>
    </row>
    <row r="124" spans="1:19" x14ac:dyDescent="0.25">
      <c r="A124">
        <v>122</v>
      </c>
      <c r="B124" t="s">
        <v>1248</v>
      </c>
      <c r="C124" t="s">
        <v>1742</v>
      </c>
      <c r="D124">
        <v>20082</v>
      </c>
      <c r="E124">
        <v>20</v>
      </c>
      <c r="F124">
        <v>20</v>
      </c>
      <c r="G124">
        <v>0</v>
      </c>
      <c r="H124">
        <v>-1</v>
      </c>
      <c r="I124" t="s">
        <v>1743</v>
      </c>
      <c r="J124">
        <v>1</v>
      </c>
      <c r="K124">
        <v>0</v>
      </c>
      <c r="L124" t="s">
        <v>1358</v>
      </c>
      <c r="M124">
        <v>0</v>
      </c>
      <c r="N124">
        <v>10</v>
      </c>
      <c r="O124">
        <v>1</v>
      </c>
      <c r="P124" t="s">
        <v>130</v>
      </c>
      <c r="Q124" t="s">
        <v>1634</v>
      </c>
      <c r="R124" t="s">
        <v>1635</v>
      </c>
      <c r="S124">
        <v>0</v>
      </c>
    </row>
    <row r="125" spans="1:19" x14ac:dyDescent="0.25">
      <c r="A125">
        <v>123</v>
      </c>
      <c r="B125" t="s">
        <v>1248</v>
      </c>
      <c r="C125" t="s">
        <v>1744</v>
      </c>
      <c r="D125">
        <v>20083</v>
      </c>
      <c r="E125">
        <v>40</v>
      </c>
      <c r="F125">
        <v>40</v>
      </c>
      <c r="G125">
        <v>0</v>
      </c>
      <c r="H125">
        <v>-1</v>
      </c>
      <c r="I125" t="s">
        <v>1745</v>
      </c>
      <c r="J125">
        <v>1</v>
      </c>
      <c r="K125">
        <v>0</v>
      </c>
      <c r="L125" t="s">
        <v>1358</v>
      </c>
      <c r="M125">
        <v>0</v>
      </c>
      <c r="N125">
        <v>10</v>
      </c>
      <c r="O125">
        <v>1</v>
      </c>
      <c r="P125" t="s">
        <v>130</v>
      </c>
      <c r="Q125" t="s">
        <v>1634</v>
      </c>
      <c r="R125" t="s">
        <v>1635</v>
      </c>
      <c r="S125">
        <v>0</v>
      </c>
    </row>
    <row r="126" spans="1:19" x14ac:dyDescent="0.25">
      <c r="A126">
        <v>124</v>
      </c>
      <c r="B126" t="s">
        <v>1248</v>
      </c>
      <c r="C126" t="s">
        <v>1746</v>
      </c>
      <c r="D126">
        <v>20084</v>
      </c>
      <c r="E126">
        <v>40</v>
      </c>
      <c r="F126">
        <v>40</v>
      </c>
      <c r="G126">
        <v>0</v>
      </c>
      <c r="H126">
        <v>-1</v>
      </c>
      <c r="I126" t="s">
        <v>1747</v>
      </c>
      <c r="J126">
        <v>1</v>
      </c>
      <c r="K126">
        <v>0</v>
      </c>
      <c r="L126" t="s">
        <v>1358</v>
      </c>
      <c r="M126">
        <v>0</v>
      </c>
      <c r="N126">
        <v>10</v>
      </c>
      <c r="O126">
        <v>1</v>
      </c>
      <c r="P126" t="s">
        <v>130</v>
      </c>
      <c r="Q126" t="s">
        <v>1634</v>
      </c>
      <c r="R126" t="s">
        <v>1635</v>
      </c>
      <c r="S126">
        <v>0</v>
      </c>
    </row>
    <row r="127" spans="1:19" x14ac:dyDescent="0.25">
      <c r="A127">
        <v>125</v>
      </c>
      <c r="B127" t="s">
        <v>1248</v>
      </c>
      <c r="C127" t="s">
        <v>1732</v>
      </c>
      <c r="D127">
        <v>20085</v>
      </c>
      <c r="E127">
        <v>40</v>
      </c>
      <c r="F127">
        <v>60</v>
      </c>
      <c r="G127">
        <v>0</v>
      </c>
      <c r="H127">
        <v>-1</v>
      </c>
      <c r="I127" t="s">
        <v>1733</v>
      </c>
      <c r="J127">
        <v>1</v>
      </c>
      <c r="K127">
        <v>0</v>
      </c>
      <c r="L127" t="s">
        <v>1358</v>
      </c>
      <c r="M127">
        <v>0</v>
      </c>
      <c r="N127">
        <v>10</v>
      </c>
      <c r="O127">
        <v>1</v>
      </c>
      <c r="P127" t="s">
        <v>130</v>
      </c>
      <c r="Q127" t="s">
        <v>1634</v>
      </c>
      <c r="R127" t="s">
        <v>1635</v>
      </c>
      <c r="S127">
        <v>0</v>
      </c>
    </row>
    <row r="128" spans="1:19" x14ac:dyDescent="0.25">
      <c r="A128">
        <v>126</v>
      </c>
      <c r="B128" t="s">
        <v>1248</v>
      </c>
      <c r="C128" t="s">
        <v>1740</v>
      </c>
      <c r="D128">
        <v>20086</v>
      </c>
      <c r="E128">
        <v>20</v>
      </c>
      <c r="F128">
        <v>20</v>
      </c>
      <c r="G128">
        <v>0</v>
      </c>
      <c r="H128">
        <v>-1</v>
      </c>
      <c r="I128" t="s">
        <v>1741</v>
      </c>
      <c r="J128">
        <v>1</v>
      </c>
      <c r="K128">
        <v>0</v>
      </c>
      <c r="L128" t="s">
        <v>1358</v>
      </c>
      <c r="M128">
        <v>0</v>
      </c>
      <c r="N128">
        <v>10</v>
      </c>
      <c r="O128">
        <v>1</v>
      </c>
      <c r="P128" t="s">
        <v>130</v>
      </c>
      <c r="Q128" t="s">
        <v>1634</v>
      </c>
      <c r="R128" t="s">
        <v>1635</v>
      </c>
      <c r="S128">
        <v>0</v>
      </c>
    </row>
    <row r="129" spans="1:19" x14ac:dyDescent="0.25">
      <c r="A129">
        <v>127</v>
      </c>
      <c r="B129" t="s">
        <v>1248</v>
      </c>
      <c r="C129" t="s">
        <v>1698</v>
      </c>
      <c r="D129">
        <v>20087</v>
      </c>
      <c r="E129">
        <v>20</v>
      </c>
      <c r="F129">
        <v>20</v>
      </c>
      <c r="G129">
        <v>0</v>
      </c>
      <c r="H129">
        <v>-1</v>
      </c>
      <c r="I129" t="s">
        <v>1699</v>
      </c>
      <c r="J129">
        <v>1</v>
      </c>
      <c r="K129">
        <v>0</v>
      </c>
      <c r="L129" t="s">
        <v>1358</v>
      </c>
      <c r="M129">
        <v>0</v>
      </c>
      <c r="N129">
        <v>10</v>
      </c>
      <c r="O129">
        <v>1</v>
      </c>
      <c r="P129" t="s">
        <v>130</v>
      </c>
      <c r="Q129" t="s">
        <v>1634</v>
      </c>
      <c r="R129" t="s">
        <v>1635</v>
      </c>
      <c r="S129">
        <v>0</v>
      </c>
    </row>
    <row r="130" spans="1:19" x14ac:dyDescent="0.25">
      <c r="A130">
        <v>128</v>
      </c>
      <c r="B130" t="s">
        <v>1248</v>
      </c>
      <c r="C130" t="s">
        <v>1708</v>
      </c>
      <c r="D130">
        <v>20088</v>
      </c>
      <c r="E130">
        <v>20</v>
      </c>
      <c r="F130">
        <v>20</v>
      </c>
      <c r="G130">
        <v>0</v>
      </c>
      <c r="H130">
        <v>-1</v>
      </c>
      <c r="I130" t="s">
        <v>1709</v>
      </c>
      <c r="J130">
        <v>1</v>
      </c>
      <c r="K130">
        <v>0</v>
      </c>
      <c r="L130" t="s">
        <v>1358</v>
      </c>
      <c r="M130">
        <v>0</v>
      </c>
      <c r="N130">
        <v>10</v>
      </c>
      <c r="O130">
        <v>1</v>
      </c>
      <c r="P130" t="s">
        <v>130</v>
      </c>
      <c r="Q130" t="s">
        <v>1634</v>
      </c>
      <c r="R130" t="s">
        <v>1635</v>
      </c>
      <c r="S130">
        <v>0</v>
      </c>
    </row>
    <row r="131" spans="1:19" x14ac:dyDescent="0.25">
      <c r="A131">
        <v>129</v>
      </c>
      <c r="B131" t="s">
        <v>1248</v>
      </c>
      <c r="C131" t="s">
        <v>1710</v>
      </c>
      <c r="D131">
        <v>20089</v>
      </c>
      <c r="E131">
        <v>20</v>
      </c>
      <c r="F131">
        <v>20</v>
      </c>
      <c r="G131">
        <v>0</v>
      </c>
      <c r="H131">
        <v>-1</v>
      </c>
      <c r="I131" t="s">
        <v>1711</v>
      </c>
      <c r="J131">
        <v>1</v>
      </c>
      <c r="K131">
        <v>0</v>
      </c>
      <c r="L131" t="s">
        <v>1358</v>
      </c>
      <c r="M131">
        <v>0</v>
      </c>
      <c r="N131">
        <v>10</v>
      </c>
      <c r="O131">
        <v>1</v>
      </c>
      <c r="P131" t="s">
        <v>130</v>
      </c>
      <c r="Q131" t="s">
        <v>1634</v>
      </c>
      <c r="R131" t="s">
        <v>1635</v>
      </c>
      <c r="S131">
        <v>0</v>
      </c>
    </row>
    <row r="132" spans="1:19" x14ac:dyDescent="0.25">
      <c r="A132">
        <v>130</v>
      </c>
      <c r="B132" t="s">
        <v>1248</v>
      </c>
      <c r="C132" t="s">
        <v>1712</v>
      </c>
      <c r="D132">
        <v>20090</v>
      </c>
      <c r="E132">
        <v>20</v>
      </c>
      <c r="F132">
        <v>20</v>
      </c>
      <c r="G132">
        <v>0</v>
      </c>
      <c r="H132">
        <v>-1</v>
      </c>
      <c r="I132" t="s">
        <v>1713</v>
      </c>
      <c r="J132">
        <v>1</v>
      </c>
      <c r="K132">
        <v>0</v>
      </c>
      <c r="L132" t="s">
        <v>1358</v>
      </c>
      <c r="M132">
        <v>0</v>
      </c>
      <c r="N132">
        <v>10</v>
      </c>
      <c r="O132">
        <v>1</v>
      </c>
      <c r="P132" t="s">
        <v>130</v>
      </c>
      <c r="Q132" t="s">
        <v>1634</v>
      </c>
      <c r="R132" t="s">
        <v>1635</v>
      </c>
      <c r="S132">
        <v>0</v>
      </c>
    </row>
    <row r="133" spans="1:19" x14ac:dyDescent="0.25">
      <c r="A133">
        <v>131</v>
      </c>
      <c r="B133" t="s">
        <v>1248</v>
      </c>
      <c r="C133" t="s">
        <v>1702</v>
      </c>
      <c r="D133">
        <v>20091</v>
      </c>
      <c r="E133">
        <v>40</v>
      </c>
      <c r="F133">
        <v>20</v>
      </c>
      <c r="G133">
        <v>0</v>
      </c>
      <c r="H133">
        <v>-1</v>
      </c>
      <c r="I133" t="s">
        <v>1703</v>
      </c>
      <c r="J133">
        <v>1</v>
      </c>
      <c r="K133">
        <v>0</v>
      </c>
      <c r="L133" t="s">
        <v>1358</v>
      </c>
      <c r="M133">
        <v>0</v>
      </c>
      <c r="N133">
        <v>10</v>
      </c>
      <c r="O133">
        <v>1</v>
      </c>
      <c r="P133" t="s">
        <v>130</v>
      </c>
      <c r="Q133" t="s">
        <v>1634</v>
      </c>
      <c r="R133" t="s">
        <v>1635</v>
      </c>
      <c r="S133">
        <v>0</v>
      </c>
    </row>
    <row r="134" spans="1:19" x14ac:dyDescent="0.25">
      <c r="A134">
        <v>132</v>
      </c>
      <c r="B134" t="s">
        <v>1248</v>
      </c>
      <c r="C134" t="s">
        <v>1704</v>
      </c>
      <c r="D134">
        <v>20092</v>
      </c>
      <c r="E134">
        <v>20</v>
      </c>
      <c r="F134">
        <v>20</v>
      </c>
      <c r="G134">
        <v>0</v>
      </c>
      <c r="H134">
        <v>-1</v>
      </c>
      <c r="I134" t="s">
        <v>1705</v>
      </c>
      <c r="J134">
        <v>1</v>
      </c>
      <c r="K134">
        <v>0</v>
      </c>
      <c r="L134" t="s">
        <v>1358</v>
      </c>
      <c r="M134">
        <v>0</v>
      </c>
      <c r="N134">
        <v>10</v>
      </c>
      <c r="O134">
        <v>1</v>
      </c>
      <c r="P134" t="s">
        <v>130</v>
      </c>
      <c r="Q134" t="s">
        <v>1634</v>
      </c>
      <c r="R134" t="s">
        <v>1635</v>
      </c>
      <c r="S134">
        <v>0</v>
      </c>
    </row>
    <row r="135" spans="1:19" x14ac:dyDescent="0.25">
      <c r="A135">
        <v>133</v>
      </c>
      <c r="B135" t="s">
        <v>1248</v>
      </c>
      <c r="C135" t="s">
        <v>1714</v>
      </c>
      <c r="D135">
        <v>20093</v>
      </c>
      <c r="E135">
        <v>20</v>
      </c>
      <c r="F135">
        <v>20</v>
      </c>
      <c r="G135">
        <v>0</v>
      </c>
      <c r="H135">
        <v>-1</v>
      </c>
      <c r="I135" t="s">
        <v>1715</v>
      </c>
      <c r="J135">
        <v>1</v>
      </c>
      <c r="K135">
        <v>0</v>
      </c>
      <c r="L135" t="s">
        <v>1358</v>
      </c>
      <c r="M135">
        <v>0</v>
      </c>
      <c r="N135">
        <v>10</v>
      </c>
      <c r="O135">
        <v>1</v>
      </c>
      <c r="P135" t="s">
        <v>130</v>
      </c>
      <c r="Q135" t="s">
        <v>1634</v>
      </c>
      <c r="R135" t="s">
        <v>1635</v>
      </c>
      <c r="S135">
        <v>0</v>
      </c>
    </row>
    <row r="136" spans="1:19" x14ac:dyDescent="0.25">
      <c r="A136">
        <v>134</v>
      </c>
      <c r="B136" t="s">
        <v>1248</v>
      </c>
      <c r="C136" t="s">
        <v>1716</v>
      </c>
      <c r="D136">
        <v>20094</v>
      </c>
      <c r="E136">
        <v>20</v>
      </c>
      <c r="F136">
        <v>20</v>
      </c>
      <c r="G136">
        <v>0</v>
      </c>
      <c r="H136">
        <v>-1</v>
      </c>
      <c r="I136" t="s">
        <v>1717</v>
      </c>
      <c r="J136">
        <v>1</v>
      </c>
      <c r="K136">
        <v>0</v>
      </c>
      <c r="L136" t="s">
        <v>1358</v>
      </c>
      <c r="M136">
        <v>0</v>
      </c>
      <c r="N136">
        <v>10</v>
      </c>
      <c r="O136">
        <v>1</v>
      </c>
      <c r="P136" t="s">
        <v>130</v>
      </c>
      <c r="Q136" t="s">
        <v>1634</v>
      </c>
      <c r="R136" t="s">
        <v>1635</v>
      </c>
      <c r="S136">
        <v>0</v>
      </c>
    </row>
    <row r="137" spans="1:19" x14ac:dyDescent="0.25">
      <c r="A137">
        <v>135</v>
      </c>
      <c r="B137" t="s">
        <v>1248</v>
      </c>
      <c r="C137" t="s">
        <v>1718</v>
      </c>
      <c r="D137">
        <v>20095</v>
      </c>
      <c r="E137">
        <v>20</v>
      </c>
      <c r="F137">
        <v>20</v>
      </c>
      <c r="G137">
        <v>0</v>
      </c>
      <c r="H137">
        <v>-1</v>
      </c>
      <c r="I137" t="s">
        <v>1719</v>
      </c>
      <c r="J137">
        <v>1</v>
      </c>
      <c r="K137">
        <v>0</v>
      </c>
      <c r="L137" t="s">
        <v>1358</v>
      </c>
      <c r="M137">
        <v>0</v>
      </c>
      <c r="N137">
        <v>10</v>
      </c>
      <c r="O137">
        <v>1</v>
      </c>
      <c r="P137" t="s">
        <v>130</v>
      </c>
      <c r="Q137" t="s">
        <v>1634</v>
      </c>
      <c r="R137" t="s">
        <v>1635</v>
      </c>
      <c r="S137">
        <v>0</v>
      </c>
    </row>
    <row r="138" spans="1:19" x14ac:dyDescent="0.25">
      <c r="A138">
        <v>136</v>
      </c>
      <c r="B138" t="s">
        <v>1248</v>
      </c>
      <c r="C138" t="s">
        <v>1720</v>
      </c>
      <c r="D138">
        <v>20096</v>
      </c>
      <c r="E138">
        <v>20</v>
      </c>
      <c r="F138">
        <v>20</v>
      </c>
      <c r="G138">
        <v>0</v>
      </c>
      <c r="H138">
        <v>-1</v>
      </c>
      <c r="I138" t="s">
        <v>1721</v>
      </c>
      <c r="J138">
        <v>1</v>
      </c>
      <c r="K138">
        <v>0</v>
      </c>
      <c r="L138" t="s">
        <v>1358</v>
      </c>
      <c r="M138">
        <v>0</v>
      </c>
      <c r="N138">
        <v>10</v>
      </c>
      <c r="O138">
        <v>1</v>
      </c>
      <c r="P138" t="s">
        <v>130</v>
      </c>
      <c r="Q138" t="s">
        <v>1634</v>
      </c>
      <c r="R138" t="s">
        <v>1635</v>
      </c>
      <c r="S138">
        <v>0</v>
      </c>
    </row>
    <row r="139" spans="1:19" x14ac:dyDescent="0.25">
      <c r="A139">
        <v>137</v>
      </c>
      <c r="B139" t="s">
        <v>1248</v>
      </c>
      <c r="C139" t="s">
        <v>1722</v>
      </c>
      <c r="D139">
        <v>20097</v>
      </c>
      <c r="E139">
        <v>20</v>
      </c>
      <c r="F139">
        <v>20</v>
      </c>
      <c r="G139">
        <v>0</v>
      </c>
      <c r="H139">
        <v>-1</v>
      </c>
      <c r="I139" t="s">
        <v>1723</v>
      </c>
      <c r="J139">
        <v>1</v>
      </c>
      <c r="K139">
        <v>0</v>
      </c>
      <c r="L139" t="s">
        <v>1358</v>
      </c>
      <c r="M139">
        <v>0</v>
      </c>
      <c r="N139">
        <v>10</v>
      </c>
      <c r="O139">
        <v>1</v>
      </c>
      <c r="P139" t="s">
        <v>130</v>
      </c>
      <c r="Q139" t="s">
        <v>1634</v>
      </c>
      <c r="R139" t="s">
        <v>1635</v>
      </c>
      <c r="S139">
        <v>0</v>
      </c>
    </row>
    <row r="140" spans="1:19" x14ac:dyDescent="0.25">
      <c r="A140">
        <v>138</v>
      </c>
      <c r="B140" t="s">
        <v>1248</v>
      </c>
      <c r="C140" t="s">
        <v>1684</v>
      </c>
      <c r="D140">
        <v>20098</v>
      </c>
      <c r="E140">
        <v>40</v>
      </c>
      <c r="F140">
        <v>20</v>
      </c>
      <c r="G140">
        <v>0</v>
      </c>
      <c r="H140">
        <v>-1</v>
      </c>
      <c r="I140" t="s">
        <v>1685</v>
      </c>
      <c r="J140">
        <v>1</v>
      </c>
      <c r="K140">
        <v>0</v>
      </c>
      <c r="L140" t="s">
        <v>1358</v>
      </c>
      <c r="M140">
        <v>0</v>
      </c>
      <c r="N140">
        <v>10</v>
      </c>
      <c r="O140">
        <v>1</v>
      </c>
      <c r="P140" t="s">
        <v>130</v>
      </c>
      <c r="Q140" t="s">
        <v>1634</v>
      </c>
      <c r="R140" t="s">
        <v>1635</v>
      </c>
      <c r="S140">
        <v>0</v>
      </c>
    </row>
    <row r="141" spans="1:19" x14ac:dyDescent="0.25">
      <c r="A141">
        <v>139</v>
      </c>
      <c r="B141" t="s">
        <v>1248</v>
      </c>
      <c r="C141" t="s">
        <v>1688</v>
      </c>
      <c r="D141">
        <v>20099</v>
      </c>
      <c r="E141">
        <v>20</v>
      </c>
      <c r="F141">
        <v>20</v>
      </c>
      <c r="G141">
        <v>0</v>
      </c>
      <c r="H141">
        <v>-1</v>
      </c>
      <c r="I141" t="s">
        <v>1689</v>
      </c>
      <c r="J141">
        <v>1</v>
      </c>
      <c r="K141">
        <v>0</v>
      </c>
      <c r="L141" t="s">
        <v>1358</v>
      </c>
      <c r="M141">
        <v>0</v>
      </c>
      <c r="N141">
        <v>10</v>
      </c>
      <c r="O141">
        <v>1</v>
      </c>
      <c r="P141" t="s">
        <v>130</v>
      </c>
      <c r="Q141" t="s">
        <v>1634</v>
      </c>
      <c r="R141" t="s">
        <v>1635</v>
      </c>
      <c r="S141">
        <v>0</v>
      </c>
    </row>
    <row r="142" spans="1:19" x14ac:dyDescent="0.25">
      <c r="A142">
        <v>140</v>
      </c>
      <c r="B142" t="s">
        <v>1248</v>
      </c>
      <c r="C142" t="s">
        <v>1750</v>
      </c>
      <c r="D142">
        <v>20100</v>
      </c>
      <c r="E142">
        <v>20</v>
      </c>
      <c r="F142">
        <v>20</v>
      </c>
      <c r="G142">
        <v>0</v>
      </c>
      <c r="H142">
        <v>-1</v>
      </c>
      <c r="I142" t="s">
        <v>1751</v>
      </c>
      <c r="J142">
        <v>1</v>
      </c>
      <c r="K142">
        <v>0</v>
      </c>
      <c r="L142" t="s">
        <v>1358</v>
      </c>
      <c r="M142">
        <v>0</v>
      </c>
      <c r="N142">
        <v>10</v>
      </c>
      <c r="O142">
        <v>1</v>
      </c>
      <c r="P142" t="s">
        <v>130</v>
      </c>
      <c r="Q142" t="s">
        <v>1634</v>
      </c>
      <c r="R142" t="s">
        <v>1635</v>
      </c>
      <c r="S142">
        <v>0</v>
      </c>
    </row>
    <row r="143" spans="1:19" x14ac:dyDescent="0.25">
      <c r="A143">
        <v>141</v>
      </c>
      <c r="B143" t="s">
        <v>1248</v>
      </c>
      <c r="C143" t="s">
        <v>1734</v>
      </c>
      <c r="D143">
        <v>20101</v>
      </c>
      <c r="E143">
        <v>20</v>
      </c>
      <c r="F143">
        <v>20</v>
      </c>
      <c r="G143">
        <v>0</v>
      </c>
      <c r="H143">
        <v>-1</v>
      </c>
      <c r="I143" t="s">
        <v>1735</v>
      </c>
      <c r="J143">
        <v>1</v>
      </c>
      <c r="K143">
        <v>0</v>
      </c>
      <c r="L143" t="s">
        <v>1358</v>
      </c>
      <c r="M143">
        <v>0</v>
      </c>
      <c r="N143">
        <v>10</v>
      </c>
      <c r="O143">
        <v>1</v>
      </c>
      <c r="P143" t="s">
        <v>130</v>
      </c>
      <c r="Q143" t="s">
        <v>1634</v>
      </c>
      <c r="R143" t="s">
        <v>1635</v>
      </c>
      <c r="S143">
        <v>0</v>
      </c>
    </row>
    <row r="144" spans="1:19" x14ac:dyDescent="0.25">
      <c r="A144">
        <v>142</v>
      </c>
      <c r="B144" t="s">
        <v>1248</v>
      </c>
      <c r="C144" t="s">
        <v>1752</v>
      </c>
      <c r="D144">
        <v>20102</v>
      </c>
      <c r="E144">
        <v>20</v>
      </c>
      <c r="F144">
        <v>20</v>
      </c>
      <c r="G144">
        <v>0</v>
      </c>
      <c r="H144">
        <v>-1</v>
      </c>
      <c r="I144" t="s">
        <v>1753</v>
      </c>
      <c r="J144">
        <v>1</v>
      </c>
      <c r="K144">
        <v>0</v>
      </c>
      <c r="L144" t="s">
        <v>1358</v>
      </c>
      <c r="M144">
        <v>0</v>
      </c>
      <c r="N144">
        <v>10</v>
      </c>
      <c r="O144">
        <v>1</v>
      </c>
      <c r="P144" t="s">
        <v>130</v>
      </c>
      <c r="Q144" t="s">
        <v>1634</v>
      </c>
      <c r="R144" t="s">
        <v>1635</v>
      </c>
      <c r="S144">
        <v>0</v>
      </c>
    </row>
    <row r="145" spans="1:19" x14ac:dyDescent="0.25">
      <c r="A145">
        <v>143</v>
      </c>
      <c r="B145" t="s">
        <v>1248</v>
      </c>
      <c r="C145" t="s">
        <v>1754</v>
      </c>
      <c r="D145">
        <v>20103</v>
      </c>
      <c r="E145">
        <v>20</v>
      </c>
      <c r="F145">
        <v>20</v>
      </c>
      <c r="G145">
        <v>0</v>
      </c>
      <c r="H145">
        <v>-1</v>
      </c>
      <c r="I145" t="s">
        <v>1755</v>
      </c>
      <c r="J145">
        <v>1</v>
      </c>
      <c r="K145">
        <v>0</v>
      </c>
      <c r="L145" t="s">
        <v>1358</v>
      </c>
      <c r="M145">
        <v>0</v>
      </c>
      <c r="N145">
        <v>10</v>
      </c>
      <c r="O145">
        <v>1</v>
      </c>
      <c r="P145" t="s">
        <v>130</v>
      </c>
      <c r="Q145" t="s">
        <v>1634</v>
      </c>
      <c r="R145" t="s">
        <v>1635</v>
      </c>
      <c r="S145">
        <v>0</v>
      </c>
    </row>
    <row r="146" spans="1:19" x14ac:dyDescent="0.25">
      <c r="A146">
        <v>144</v>
      </c>
      <c r="B146" t="s">
        <v>1248</v>
      </c>
      <c r="C146" t="s">
        <v>1756</v>
      </c>
      <c r="D146">
        <v>20104</v>
      </c>
      <c r="E146">
        <v>20</v>
      </c>
      <c r="F146">
        <v>20</v>
      </c>
      <c r="G146">
        <v>0</v>
      </c>
      <c r="H146">
        <v>-1</v>
      </c>
      <c r="I146" t="s">
        <v>1757</v>
      </c>
      <c r="J146">
        <v>1</v>
      </c>
      <c r="K146">
        <v>0</v>
      </c>
      <c r="L146" t="s">
        <v>1358</v>
      </c>
      <c r="M146">
        <v>0</v>
      </c>
      <c r="N146">
        <v>10</v>
      </c>
      <c r="O146">
        <v>1</v>
      </c>
      <c r="P146" t="s">
        <v>130</v>
      </c>
      <c r="Q146" t="s">
        <v>1634</v>
      </c>
      <c r="R146" t="s">
        <v>1635</v>
      </c>
      <c r="S146">
        <v>0</v>
      </c>
    </row>
    <row r="147" spans="1:19" x14ac:dyDescent="0.25">
      <c r="A147">
        <v>145</v>
      </c>
      <c r="B147" t="s">
        <v>1248</v>
      </c>
      <c r="C147" t="s">
        <v>1758</v>
      </c>
      <c r="D147">
        <v>20105</v>
      </c>
      <c r="E147">
        <v>20</v>
      </c>
      <c r="F147">
        <v>20</v>
      </c>
      <c r="G147">
        <v>0</v>
      </c>
      <c r="H147">
        <v>-1</v>
      </c>
      <c r="I147" t="s">
        <v>1759</v>
      </c>
      <c r="J147">
        <v>1</v>
      </c>
      <c r="K147">
        <v>0</v>
      </c>
      <c r="L147" t="s">
        <v>1358</v>
      </c>
      <c r="M147">
        <v>0</v>
      </c>
      <c r="N147">
        <v>10</v>
      </c>
      <c r="O147">
        <v>1</v>
      </c>
      <c r="P147" t="s">
        <v>130</v>
      </c>
      <c r="Q147" t="s">
        <v>1634</v>
      </c>
      <c r="R147" t="s">
        <v>1635</v>
      </c>
      <c r="S147">
        <v>0</v>
      </c>
    </row>
    <row r="148" spans="1:19" x14ac:dyDescent="0.25">
      <c r="A148">
        <v>146</v>
      </c>
      <c r="B148" t="s">
        <v>1248</v>
      </c>
      <c r="C148" t="s">
        <v>1760</v>
      </c>
      <c r="D148">
        <v>20106</v>
      </c>
      <c r="E148">
        <v>20</v>
      </c>
      <c r="F148">
        <v>20</v>
      </c>
      <c r="G148">
        <v>0</v>
      </c>
      <c r="H148">
        <v>-1</v>
      </c>
      <c r="I148" t="s">
        <v>1761</v>
      </c>
      <c r="J148">
        <v>1</v>
      </c>
      <c r="K148">
        <v>0</v>
      </c>
      <c r="L148" t="s">
        <v>1358</v>
      </c>
      <c r="M148">
        <v>0</v>
      </c>
      <c r="N148">
        <v>10</v>
      </c>
      <c r="O148">
        <v>1</v>
      </c>
      <c r="P148" t="s">
        <v>130</v>
      </c>
      <c r="Q148" t="s">
        <v>1634</v>
      </c>
      <c r="R148" t="s">
        <v>1635</v>
      </c>
      <c r="S148">
        <v>0</v>
      </c>
    </row>
    <row r="149" spans="1:19" x14ac:dyDescent="0.25">
      <c r="A149">
        <v>147</v>
      </c>
      <c r="B149" t="s">
        <v>1248</v>
      </c>
      <c r="C149" t="s">
        <v>1762</v>
      </c>
      <c r="D149">
        <v>20107</v>
      </c>
      <c r="E149">
        <v>20</v>
      </c>
      <c r="F149">
        <v>20</v>
      </c>
      <c r="G149">
        <v>0</v>
      </c>
      <c r="H149">
        <v>-1</v>
      </c>
      <c r="I149" t="s">
        <v>1763</v>
      </c>
      <c r="J149">
        <v>1</v>
      </c>
      <c r="K149">
        <v>0</v>
      </c>
      <c r="L149" t="s">
        <v>1358</v>
      </c>
      <c r="M149">
        <v>0</v>
      </c>
      <c r="N149">
        <v>10</v>
      </c>
      <c r="O149">
        <v>1</v>
      </c>
      <c r="P149" t="s">
        <v>130</v>
      </c>
      <c r="Q149" t="s">
        <v>1634</v>
      </c>
      <c r="R149" t="s">
        <v>1635</v>
      </c>
      <c r="S149">
        <v>0</v>
      </c>
    </row>
    <row r="150" spans="1:19" x14ac:dyDescent="0.25">
      <c r="A150">
        <v>148</v>
      </c>
      <c r="B150" t="s">
        <v>1248</v>
      </c>
      <c r="C150" t="s">
        <v>1730</v>
      </c>
      <c r="D150">
        <v>20108</v>
      </c>
      <c r="E150">
        <v>20</v>
      </c>
      <c r="F150">
        <v>20</v>
      </c>
      <c r="G150">
        <v>0</v>
      </c>
      <c r="H150">
        <v>-1</v>
      </c>
      <c r="I150" t="s">
        <v>1731</v>
      </c>
      <c r="J150">
        <v>1</v>
      </c>
      <c r="K150">
        <v>0</v>
      </c>
      <c r="L150" t="s">
        <v>1358</v>
      </c>
      <c r="M150">
        <v>0</v>
      </c>
      <c r="N150">
        <v>10</v>
      </c>
      <c r="O150">
        <v>1</v>
      </c>
      <c r="P150" t="s">
        <v>130</v>
      </c>
      <c r="Q150" t="s">
        <v>1634</v>
      </c>
      <c r="R150" t="s">
        <v>1635</v>
      </c>
      <c r="S150">
        <v>0</v>
      </c>
    </row>
    <row r="151" spans="1:19" x14ac:dyDescent="0.25">
      <c r="A151">
        <v>149</v>
      </c>
      <c r="B151" t="s">
        <v>1248</v>
      </c>
      <c r="C151" t="s">
        <v>1906</v>
      </c>
      <c r="D151">
        <v>20200</v>
      </c>
      <c r="E151">
        <v>60</v>
      </c>
      <c r="F151">
        <v>40</v>
      </c>
      <c r="G151">
        <v>0</v>
      </c>
      <c r="H151">
        <v>-1</v>
      </c>
      <c r="I151" t="s">
        <v>1905</v>
      </c>
      <c r="J151">
        <v>1</v>
      </c>
      <c r="K151">
        <v>0</v>
      </c>
      <c r="L151" t="s">
        <v>1358</v>
      </c>
      <c r="M151">
        <v>0</v>
      </c>
      <c r="N151">
        <v>10</v>
      </c>
      <c r="O151">
        <v>1</v>
      </c>
      <c r="P151" t="s">
        <v>130</v>
      </c>
      <c r="Q151" t="s">
        <v>1634</v>
      </c>
      <c r="R151" t="s">
        <v>1635</v>
      </c>
      <c r="S151">
        <v>0</v>
      </c>
    </row>
    <row r="152" spans="1:19" x14ac:dyDescent="0.25">
      <c r="A152">
        <v>150</v>
      </c>
      <c r="B152" t="s">
        <v>1248</v>
      </c>
      <c r="C152" t="s">
        <v>1913</v>
      </c>
      <c r="D152">
        <v>20201</v>
      </c>
      <c r="E152">
        <v>20</v>
      </c>
      <c r="F152">
        <v>20</v>
      </c>
      <c r="G152">
        <v>0</v>
      </c>
      <c r="H152">
        <v>-1</v>
      </c>
      <c r="I152" t="s">
        <v>1254</v>
      </c>
      <c r="J152">
        <v>1</v>
      </c>
      <c r="K152">
        <v>0</v>
      </c>
      <c r="L152" t="s">
        <v>1358</v>
      </c>
      <c r="M152">
        <v>0</v>
      </c>
      <c r="N152">
        <v>10</v>
      </c>
      <c r="O152">
        <v>1</v>
      </c>
      <c r="P152" t="s">
        <v>130</v>
      </c>
      <c r="Q152" t="s">
        <v>1634</v>
      </c>
      <c r="R152" t="s">
        <v>1635</v>
      </c>
      <c r="S152">
        <v>0</v>
      </c>
    </row>
    <row r="153" spans="1:19" x14ac:dyDescent="0.25">
      <c r="A153">
        <v>151</v>
      </c>
      <c r="B153" t="s">
        <v>1248</v>
      </c>
      <c r="C153" t="s">
        <v>1922</v>
      </c>
      <c r="D153">
        <v>20202</v>
      </c>
      <c r="E153">
        <v>80</v>
      </c>
      <c r="F153">
        <v>80</v>
      </c>
      <c r="G153">
        <v>0</v>
      </c>
      <c r="H153">
        <v>-1</v>
      </c>
      <c r="I153" t="s">
        <v>1251</v>
      </c>
      <c r="J153">
        <v>0</v>
      </c>
      <c r="K153">
        <v>0</v>
      </c>
      <c r="L153" t="s">
        <v>1358</v>
      </c>
      <c r="M153">
        <v>0</v>
      </c>
      <c r="N153">
        <v>10</v>
      </c>
      <c r="O153">
        <v>1</v>
      </c>
      <c r="P153" t="s">
        <v>130</v>
      </c>
      <c r="Q153" t="s">
        <v>1634</v>
      </c>
      <c r="R153" t="s">
        <v>1635</v>
      </c>
      <c r="S153">
        <v>0</v>
      </c>
    </row>
    <row r="154" spans="1:19" x14ac:dyDescent="0.25">
      <c r="A154">
        <v>152</v>
      </c>
      <c r="B154" t="s">
        <v>1248</v>
      </c>
      <c r="C154" t="s">
        <v>1903</v>
      </c>
      <c r="D154">
        <v>20203</v>
      </c>
      <c r="E154">
        <v>20</v>
      </c>
      <c r="F154">
        <v>20</v>
      </c>
      <c r="G154">
        <v>0</v>
      </c>
      <c r="H154">
        <v>-1</v>
      </c>
      <c r="I154" t="s">
        <v>1252</v>
      </c>
      <c r="J154">
        <v>1</v>
      </c>
      <c r="K154">
        <v>0</v>
      </c>
      <c r="L154" t="s">
        <v>1358</v>
      </c>
      <c r="M154">
        <v>0</v>
      </c>
      <c r="N154">
        <v>10</v>
      </c>
      <c r="O154">
        <v>1</v>
      </c>
      <c r="P154" t="s">
        <v>130</v>
      </c>
      <c r="Q154" t="s">
        <v>1634</v>
      </c>
      <c r="R154" t="s">
        <v>1635</v>
      </c>
      <c r="S154">
        <v>0</v>
      </c>
    </row>
    <row r="155" spans="1:19" x14ac:dyDescent="0.25">
      <c r="A155">
        <v>153</v>
      </c>
      <c r="B155" t="s">
        <v>1248</v>
      </c>
      <c r="C155" t="s">
        <v>1917</v>
      </c>
      <c r="D155">
        <v>20204</v>
      </c>
      <c r="E155">
        <v>40</v>
      </c>
      <c r="F155">
        <v>40</v>
      </c>
      <c r="G155">
        <v>0</v>
      </c>
      <c r="H155">
        <v>-1</v>
      </c>
      <c r="I155" t="s">
        <v>1916</v>
      </c>
      <c r="J155">
        <v>1</v>
      </c>
      <c r="K155">
        <v>0</v>
      </c>
      <c r="L155" t="s">
        <v>1358</v>
      </c>
      <c r="M155">
        <v>0</v>
      </c>
      <c r="N155">
        <v>10</v>
      </c>
      <c r="O155">
        <v>1</v>
      </c>
      <c r="P155" t="s">
        <v>130</v>
      </c>
      <c r="Q155" t="s">
        <v>1634</v>
      </c>
      <c r="R155" t="s">
        <v>1635</v>
      </c>
      <c r="S155">
        <v>0</v>
      </c>
    </row>
    <row r="156" spans="1:19" x14ac:dyDescent="0.25">
      <c r="A156">
        <v>154</v>
      </c>
      <c r="B156" t="s">
        <v>1248</v>
      </c>
      <c r="C156" t="s">
        <v>1919</v>
      </c>
      <c r="D156">
        <v>20205</v>
      </c>
      <c r="E156">
        <v>40</v>
      </c>
      <c r="F156">
        <v>40</v>
      </c>
      <c r="G156">
        <v>0</v>
      </c>
      <c r="H156">
        <v>-1</v>
      </c>
      <c r="I156" t="s">
        <v>1918</v>
      </c>
      <c r="J156">
        <v>1</v>
      </c>
      <c r="K156">
        <v>0</v>
      </c>
      <c r="L156" t="s">
        <v>1358</v>
      </c>
      <c r="M156">
        <v>0</v>
      </c>
      <c r="N156">
        <v>10</v>
      </c>
      <c r="O156">
        <v>1</v>
      </c>
      <c r="P156" t="s">
        <v>130</v>
      </c>
      <c r="Q156" t="s">
        <v>1634</v>
      </c>
      <c r="R156" t="s">
        <v>1635</v>
      </c>
      <c r="S156">
        <v>0</v>
      </c>
    </row>
    <row r="157" spans="1:19" x14ac:dyDescent="0.25">
      <c r="A157">
        <v>155</v>
      </c>
      <c r="B157" t="s">
        <v>1248</v>
      </c>
      <c r="C157" t="s">
        <v>1921</v>
      </c>
      <c r="D157">
        <v>20206</v>
      </c>
      <c r="E157">
        <v>40</v>
      </c>
      <c r="F157">
        <v>40</v>
      </c>
      <c r="G157">
        <v>0</v>
      </c>
      <c r="H157">
        <v>-1</v>
      </c>
      <c r="I157" t="s">
        <v>1920</v>
      </c>
      <c r="J157">
        <v>1</v>
      </c>
      <c r="K157">
        <v>0</v>
      </c>
      <c r="L157" t="s">
        <v>1358</v>
      </c>
      <c r="M157">
        <v>0</v>
      </c>
      <c r="N157">
        <v>10</v>
      </c>
      <c r="O157">
        <v>1</v>
      </c>
      <c r="P157" t="s">
        <v>130</v>
      </c>
      <c r="Q157" t="s">
        <v>1634</v>
      </c>
      <c r="R157" t="s">
        <v>1635</v>
      </c>
      <c r="S157">
        <v>0</v>
      </c>
    </row>
    <row r="158" spans="1:19" x14ac:dyDescent="0.25">
      <c r="A158">
        <v>156</v>
      </c>
      <c r="B158" t="s">
        <v>1248</v>
      </c>
      <c r="C158" t="s">
        <v>1912</v>
      </c>
      <c r="D158">
        <v>20207</v>
      </c>
      <c r="E158">
        <v>40</v>
      </c>
      <c r="F158">
        <v>40</v>
      </c>
      <c r="G158">
        <v>0</v>
      </c>
      <c r="H158">
        <v>-1</v>
      </c>
      <c r="I158" t="s">
        <v>1255</v>
      </c>
      <c r="J158">
        <v>1</v>
      </c>
      <c r="K158">
        <v>0</v>
      </c>
      <c r="L158" t="s">
        <v>1358</v>
      </c>
      <c r="M158">
        <v>0</v>
      </c>
      <c r="N158">
        <v>10</v>
      </c>
      <c r="O158">
        <v>1</v>
      </c>
      <c r="P158" t="s">
        <v>130</v>
      </c>
      <c r="Q158" t="s">
        <v>1634</v>
      </c>
      <c r="R158" t="s">
        <v>1635</v>
      </c>
      <c r="S158">
        <v>0</v>
      </c>
    </row>
    <row r="159" spans="1:19" x14ac:dyDescent="0.25">
      <c r="A159">
        <v>157</v>
      </c>
      <c r="B159" t="s">
        <v>1248</v>
      </c>
      <c r="C159" t="s">
        <v>1923</v>
      </c>
      <c r="D159">
        <v>20208</v>
      </c>
      <c r="E159">
        <v>40</v>
      </c>
      <c r="F159">
        <v>40</v>
      </c>
      <c r="G159">
        <v>0</v>
      </c>
      <c r="H159">
        <v>-1</v>
      </c>
      <c r="I159" t="s">
        <v>1256</v>
      </c>
      <c r="J159">
        <v>1</v>
      </c>
      <c r="K159">
        <v>0</v>
      </c>
      <c r="L159" t="s">
        <v>1358</v>
      </c>
      <c r="M159">
        <v>0</v>
      </c>
      <c r="N159">
        <v>10</v>
      </c>
      <c r="O159">
        <v>1</v>
      </c>
      <c r="P159" t="s">
        <v>130</v>
      </c>
      <c r="Q159" t="s">
        <v>1634</v>
      </c>
      <c r="R159" t="s">
        <v>1635</v>
      </c>
      <c r="S159">
        <v>0</v>
      </c>
    </row>
    <row r="160" spans="1:19" x14ac:dyDescent="0.25">
      <c r="A160">
        <v>158</v>
      </c>
      <c r="B160" t="s">
        <v>1248</v>
      </c>
      <c r="C160" t="s">
        <v>1910</v>
      </c>
      <c r="D160">
        <v>20209</v>
      </c>
      <c r="E160">
        <v>20</v>
      </c>
      <c r="F160">
        <v>20</v>
      </c>
      <c r="G160">
        <v>0</v>
      </c>
      <c r="H160">
        <v>-1</v>
      </c>
      <c r="I160" t="s">
        <v>1257</v>
      </c>
      <c r="J160">
        <v>1</v>
      </c>
      <c r="K160">
        <v>0</v>
      </c>
      <c r="L160" t="s">
        <v>1358</v>
      </c>
      <c r="M160">
        <v>0</v>
      </c>
      <c r="N160">
        <v>10</v>
      </c>
      <c r="O160">
        <v>1</v>
      </c>
      <c r="P160" t="s">
        <v>130</v>
      </c>
      <c r="Q160" t="s">
        <v>1634</v>
      </c>
      <c r="R160" t="s">
        <v>1635</v>
      </c>
      <c r="S160">
        <v>0</v>
      </c>
    </row>
    <row r="161" spans="1:19" x14ac:dyDescent="0.25">
      <c r="A161">
        <v>159</v>
      </c>
      <c r="B161" t="s">
        <v>1248</v>
      </c>
      <c r="C161" t="s">
        <v>1909</v>
      </c>
      <c r="D161">
        <v>20210</v>
      </c>
      <c r="E161">
        <v>60</v>
      </c>
      <c r="F161">
        <v>60</v>
      </c>
      <c r="G161">
        <v>0</v>
      </c>
      <c r="H161">
        <v>-1</v>
      </c>
      <c r="I161" t="s">
        <v>1258</v>
      </c>
      <c r="J161">
        <v>1</v>
      </c>
      <c r="K161">
        <v>0</v>
      </c>
      <c r="L161" t="s">
        <v>1358</v>
      </c>
      <c r="M161">
        <v>0</v>
      </c>
      <c r="N161">
        <v>10</v>
      </c>
      <c r="O161">
        <v>1</v>
      </c>
      <c r="P161" t="s">
        <v>130</v>
      </c>
      <c r="Q161" t="s">
        <v>1634</v>
      </c>
      <c r="R161" t="s">
        <v>1635</v>
      </c>
      <c r="S161">
        <v>0</v>
      </c>
    </row>
    <row r="162" spans="1:19" x14ac:dyDescent="0.25">
      <c r="A162">
        <v>160</v>
      </c>
      <c r="B162" t="s">
        <v>1248</v>
      </c>
      <c r="C162" t="s">
        <v>1904</v>
      </c>
      <c r="D162">
        <v>20211</v>
      </c>
      <c r="E162">
        <v>40</v>
      </c>
      <c r="F162">
        <v>40</v>
      </c>
      <c r="G162">
        <v>0</v>
      </c>
      <c r="H162">
        <v>-1</v>
      </c>
      <c r="I162" t="s">
        <v>1259</v>
      </c>
      <c r="J162">
        <v>1</v>
      </c>
      <c r="K162">
        <v>0</v>
      </c>
      <c r="L162" t="s">
        <v>1358</v>
      </c>
      <c r="M162">
        <v>0</v>
      </c>
      <c r="N162">
        <v>10</v>
      </c>
      <c r="O162">
        <v>1</v>
      </c>
      <c r="P162" t="s">
        <v>130</v>
      </c>
      <c r="Q162" t="s">
        <v>1634</v>
      </c>
      <c r="R162" t="s">
        <v>1635</v>
      </c>
      <c r="S162">
        <v>0</v>
      </c>
    </row>
    <row r="163" spans="1:19" x14ac:dyDescent="0.25">
      <c r="A163">
        <v>161</v>
      </c>
      <c r="B163" t="s">
        <v>1248</v>
      </c>
      <c r="C163" t="s">
        <v>1915</v>
      </c>
      <c r="D163">
        <v>20212</v>
      </c>
      <c r="E163">
        <v>60</v>
      </c>
      <c r="F163">
        <v>60</v>
      </c>
      <c r="G163">
        <v>0</v>
      </c>
      <c r="H163">
        <v>-1</v>
      </c>
      <c r="I163" t="s">
        <v>1260</v>
      </c>
      <c r="J163">
        <v>0</v>
      </c>
      <c r="K163">
        <v>0</v>
      </c>
      <c r="L163" t="s">
        <v>1358</v>
      </c>
      <c r="M163">
        <v>0</v>
      </c>
      <c r="N163">
        <v>10</v>
      </c>
      <c r="O163">
        <v>1</v>
      </c>
      <c r="P163" t="s">
        <v>130</v>
      </c>
      <c r="Q163" t="s">
        <v>1634</v>
      </c>
      <c r="R163" t="s">
        <v>1635</v>
      </c>
      <c r="S163">
        <v>0</v>
      </c>
    </row>
    <row r="164" spans="1:19" x14ac:dyDescent="0.25">
      <c r="A164">
        <v>162</v>
      </c>
      <c r="B164" t="s">
        <v>1248</v>
      </c>
      <c r="C164" t="s">
        <v>1914</v>
      </c>
      <c r="D164">
        <v>20213</v>
      </c>
      <c r="E164">
        <v>60</v>
      </c>
      <c r="F164">
        <v>60</v>
      </c>
      <c r="G164">
        <v>0</v>
      </c>
      <c r="H164">
        <v>-1</v>
      </c>
      <c r="I164" t="s">
        <v>1261</v>
      </c>
      <c r="J164">
        <v>0</v>
      </c>
      <c r="K164">
        <v>0</v>
      </c>
      <c r="L164" t="s">
        <v>1358</v>
      </c>
      <c r="M164">
        <v>0</v>
      </c>
      <c r="N164">
        <v>10</v>
      </c>
      <c r="O164">
        <v>1</v>
      </c>
      <c r="P164" t="s">
        <v>130</v>
      </c>
      <c r="Q164" t="s">
        <v>1634</v>
      </c>
      <c r="R164" t="s">
        <v>1635</v>
      </c>
      <c r="S164">
        <v>0</v>
      </c>
    </row>
    <row r="165" spans="1:19" x14ac:dyDescent="0.25">
      <c r="A165">
        <v>163</v>
      </c>
      <c r="B165" t="s">
        <v>1248</v>
      </c>
      <c r="C165" t="s">
        <v>1907</v>
      </c>
      <c r="D165">
        <v>20214</v>
      </c>
      <c r="E165">
        <v>60</v>
      </c>
      <c r="F165">
        <v>40</v>
      </c>
      <c r="G165">
        <v>0</v>
      </c>
      <c r="H165">
        <v>-1</v>
      </c>
      <c r="I165" t="s">
        <v>1262</v>
      </c>
      <c r="J165">
        <v>0</v>
      </c>
      <c r="K165">
        <v>0</v>
      </c>
      <c r="L165" t="s">
        <v>1358</v>
      </c>
      <c r="M165">
        <v>0</v>
      </c>
      <c r="N165">
        <v>10</v>
      </c>
      <c r="O165">
        <v>1</v>
      </c>
      <c r="P165" t="s">
        <v>130</v>
      </c>
      <c r="Q165" t="s">
        <v>1634</v>
      </c>
      <c r="R165" t="s">
        <v>1635</v>
      </c>
      <c r="S165">
        <v>0</v>
      </c>
    </row>
    <row r="166" spans="1:19" x14ac:dyDescent="0.25">
      <c r="A166">
        <v>164</v>
      </c>
      <c r="B166" t="s">
        <v>1248</v>
      </c>
      <c r="C166" t="s">
        <v>1911</v>
      </c>
      <c r="D166">
        <v>20216</v>
      </c>
      <c r="E166">
        <v>40</v>
      </c>
      <c r="F166">
        <v>40</v>
      </c>
      <c r="G166">
        <v>0</v>
      </c>
      <c r="H166">
        <v>-1</v>
      </c>
      <c r="I166" t="s">
        <v>1263</v>
      </c>
      <c r="J166">
        <v>0</v>
      </c>
      <c r="K166">
        <v>0</v>
      </c>
      <c r="L166" t="s">
        <v>1358</v>
      </c>
      <c r="M166">
        <v>0</v>
      </c>
      <c r="N166">
        <v>10</v>
      </c>
      <c r="O166">
        <v>1</v>
      </c>
      <c r="P166" t="s">
        <v>130</v>
      </c>
      <c r="Q166" t="s">
        <v>1634</v>
      </c>
      <c r="R166" t="s">
        <v>1635</v>
      </c>
      <c r="S166">
        <v>0</v>
      </c>
    </row>
    <row r="167" spans="1:19" x14ac:dyDescent="0.25">
      <c r="A167">
        <v>165</v>
      </c>
      <c r="B167" t="s">
        <v>1248</v>
      </c>
      <c r="C167" t="s">
        <v>1908</v>
      </c>
      <c r="D167">
        <v>20217</v>
      </c>
      <c r="E167">
        <v>100</v>
      </c>
      <c r="F167">
        <v>100</v>
      </c>
      <c r="G167">
        <v>0</v>
      </c>
      <c r="H167">
        <v>-1</v>
      </c>
      <c r="I167" t="s">
        <v>1264</v>
      </c>
      <c r="J167">
        <v>0</v>
      </c>
      <c r="K167">
        <v>0</v>
      </c>
      <c r="L167" t="s">
        <v>1358</v>
      </c>
      <c r="M167">
        <v>0</v>
      </c>
      <c r="N167">
        <v>10</v>
      </c>
      <c r="O167">
        <v>1</v>
      </c>
      <c r="P167" t="s">
        <v>130</v>
      </c>
      <c r="Q167" t="s">
        <v>1634</v>
      </c>
      <c r="R167" t="s">
        <v>1635</v>
      </c>
      <c r="S167">
        <v>0</v>
      </c>
    </row>
    <row r="168" spans="1:19" x14ac:dyDescent="0.25">
      <c r="A168">
        <v>166</v>
      </c>
      <c r="B168" t="s">
        <v>1248</v>
      </c>
      <c r="C168" t="s">
        <v>602</v>
      </c>
      <c r="D168">
        <v>60005</v>
      </c>
      <c r="E168">
        <v>20</v>
      </c>
      <c r="F168">
        <v>20</v>
      </c>
      <c r="G168">
        <v>0</v>
      </c>
      <c r="H168">
        <v>-1</v>
      </c>
      <c r="I168" t="s">
        <v>1786</v>
      </c>
      <c r="J168">
        <v>1</v>
      </c>
      <c r="K168">
        <v>0</v>
      </c>
      <c r="L168" t="s">
        <v>1358</v>
      </c>
      <c r="M168">
        <v>-1</v>
      </c>
      <c r="N168">
        <v>-1</v>
      </c>
      <c r="O168">
        <v>1</v>
      </c>
      <c r="P168" t="s">
        <v>130</v>
      </c>
      <c r="Q168" t="s">
        <v>1634</v>
      </c>
      <c r="R168" t="s">
        <v>1635</v>
      </c>
      <c r="S168">
        <v>0</v>
      </c>
    </row>
    <row r="169" spans="1:19" x14ac:dyDescent="0.25">
      <c r="A169">
        <v>167</v>
      </c>
      <c r="B169" t="s">
        <v>1248</v>
      </c>
      <c r="C169" t="s">
        <v>605</v>
      </c>
      <c r="D169">
        <v>60006</v>
      </c>
      <c r="E169">
        <v>20</v>
      </c>
      <c r="F169">
        <v>20</v>
      </c>
      <c r="G169">
        <v>0</v>
      </c>
      <c r="H169">
        <v>-1</v>
      </c>
      <c r="I169" t="s">
        <v>1786</v>
      </c>
      <c r="J169">
        <v>1</v>
      </c>
      <c r="K169">
        <v>0</v>
      </c>
      <c r="L169" t="s">
        <v>1358</v>
      </c>
      <c r="M169">
        <v>-1</v>
      </c>
      <c r="N169">
        <v>-1</v>
      </c>
      <c r="O169">
        <v>1</v>
      </c>
      <c r="P169" t="s">
        <v>130</v>
      </c>
      <c r="Q169" t="s">
        <v>1634</v>
      </c>
      <c r="R169" t="s">
        <v>1635</v>
      </c>
      <c r="S169">
        <v>0</v>
      </c>
    </row>
    <row r="170" spans="1:19" x14ac:dyDescent="0.25">
      <c r="A170">
        <v>168</v>
      </c>
      <c r="B170" t="s">
        <v>1248</v>
      </c>
      <c r="C170" t="s">
        <v>607</v>
      </c>
      <c r="D170">
        <v>60007</v>
      </c>
      <c r="E170">
        <v>20</v>
      </c>
      <c r="F170">
        <v>20</v>
      </c>
      <c r="G170">
        <v>0</v>
      </c>
      <c r="H170">
        <v>-1</v>
      </c>
      <c r="I170" t="s">
        <v>1786</v>
      </c>
      <c r="J170">
        <v>1</v>
      </c>
      <c r="K170">
        <v>0</v>
      </c>
      <c r="L170" t="s">
        <v>1358</v>
      </c>
      <c r="M170">
        <v>-1</v>
      </c>
      <c r="N170">
        <v>-1</v>
      </c>
      <c r="O170">
        <v>1</v>
      </c>
      <c r="P170" t="s">
        <v>130</v>
      </c>
      <c r="Q170" t="s">
        <v>1634</v>
      </c>
      <c r="R170" t="s">
        <v>1635</v>
      </c>
      <c r="S170">
        <v>0</v>
      </c>
    </row>
    <row r="171" spans="1:19" x14ac:dyDescent="0.25">
      <c r="A171">
        <v>169</v>
      </c>
      <c r="B171" t="s">
        <v>1248</v>
      </c>
      <c r="C171" t="s">
        <v>609</v>
      </c>
      <c r="D171">
        <v>60008</v>
      </c>
      <c r="E171">
        <v>20</v>
      </c>
      <c r="F171">
        <v>20</v>
      </c>
      <c r="G171">
        <v>0</v>
      </c>
      <c r="H171">
        <v>-1</v>
      </c>
      <c r="I171" t="s">
        <v>1786</v>
      </c>
      <c r="J171">
        <v>1</v>
      </c>
      <c r="K171">
        <v>0</v>
      </c>
      <c r="L171" t="s">
        <v>1358</v>
      </c>
      <c r="M171">
        <v>-1</v>
      </c>
      <c r="N171">
        <v>-1</v>
      </c>
      <c r="O171">
        <v>1</v>
      </c>
      <c r="P171" t="s">
        <v>130</v>
      </c>
      <c r="Q171" t="s">
        <v>1634</v>
      </c>
      <c r="R171" t="s">
        <v>1635</v>
      </c>
      <c r="S171">
        <v>0</v>
      </c>
    </row>
    <row r="172" spans="1:19" x14ac:dyDescent="0.25">
      <c r="A172">
        <v>170</v>
      </c>
      <c r="B172" t="s">
        <v>1248</v>
      </c>
      <c r="C172" t="s">
        <v>611</v>
      </c>
      <c r="D172">
        <v>60009</v>
      </c>
      <c r="E172">
        <v>20</v>
      </c>
      <c r="F172">
        <v>20</v>
      </c>
      <c r="G172">
        <v>0</v>
      </c>
      <c r="H172">
        <v>-1</v>
      </c>
      <c r="I172" t="s">
        <v>1786</v>
      </c>
      <c r="J172">
        <v>1</v>
      </c>
      <c r="K172">
        <v>0</v>
      </c>
      <c r="L172" t="s">
        <v>1358</v>
      </c>
      <c r="M172">
        <v>-1</v>
      </c>
      <c r="N172">
        <v>-1</v>
      </c>
      <c r="O172">
        <v>1</v>
      </c>
      <c r="P172" t="s">
        <v>130</v>
      </c>
      <c r="Q172" t="s">
        <v>1634</v>
      </c>
      <c r="R172" t="s">
        <v>1635</v>
      </c>
      <c r="S172">
        <v>0</v>
      </c>
    </row>
    <row r="173" spans="1:19" x14ac:dyDescent="0.25">
      <c r="A173">
        <v>171</v>
      </c>
      <c r="B173" t="s">
        <v>1248</v>
      </c>
      <c r="C173" t="s">
        <v>613</v>
      </c>
      <c r="D173">
        <v>60010</v>
      </c>
      <c r="E173">
        <v>20</v>
      </c>
      <c r="F173">
        <v>20</v>
      </c>
      <c r="G173">
        <v>0</v>
      </c>
      <c r="H173">
        <v>-1</v>
      </c>
      <c r="I173" t="s">
        <v>1786</v>
      </c>
      <c r="J173">
        <v>1</v>
      </c>
      <c r="K173">
        <v>0</v>
      </c>
      <c r="L173" t="s">
        <v>1358</v>
      </c>
      <c r="M173">
        <v>-1</v>
      </c>
      <c r="N173">
        <v>-1</v>
      </c>
      <c r="O173">
        <v>1</v>
      </c>
      <c r="P173" t="s">
        <v>130</v>
      </c>
      <c r="Q173" t="s">
        <v>1634</v>
      </c>
      <c r="R173" t="s">
        <v>1635</v>
      </c>
      <c r="S173">
        <v>0</v>
      </c>
    </row>
    <row r="174" spans="1:19" x14ac:dyDescent="0.25">
      <c r="A174">
        <v>172</v>
      </c>
      <c r="B174" t="s">
        <v>1248</v>
      </c>
      <c r="C174" t="s">
        <v>615</v>
      </c>
      <c r="D174">
        <v>60011</v>
      </c>
      <c r="E174">
        <v>20</v>
      </c>
      <c r="F174">
        <v>20</v>
      </c>
      <c r="G174">
        <v>0</v>
      </c>
      <c r="H174">
        <v>-1</v>
      </c>
      <c r="I174" t="s">
        <v>1786</v>
      </c>
      <c r="J174">
        <v>1</v>
      </c>
      <c r="K174">
        <v>0</v>
      </c>
      <c r="L174" t="s">
        <v>1358</v>
      </c>
      <c r="M174">
        <v>-1</v>
      </c>
      <c r="N174">
        <v>-1</v>
      </c>
      <c r="O174">
        <v>1</v>
      </c>
      <c r="P174" t="s">
        <v>130</v>
      </c>
      <c r="Q174" t="s">
        <v>1634</v>
      </c>
      <c r="R174" t="s">
        <v>1635</v>
      </c>
      <c r="S174">
        <v>0</v>
      </c>
    </row>
    <row r="175" spans="1:19" x14ac:dyDescent="0.25">
      <c r="A175">
        <v>173</v>
      </c>
      <c r="B175" t="s">
        <v>1248</v>
      </c>
      <c r="C175" t="s">
        <v>617</v>
      </c>
      <c r="D175">
        <v>60012</v>
      </c>
      <c r="E175">
        <v>20</v>
      </c>
      <c r="F175">
        <v>20</v>
      </c>
      <c r="G175">
        <v>0</v>
      </c>
      <c r="H175">
        <v>-1</v>
      </c>
      <c r="I175" t="s">
        <v>1786</v>
      </c>
      <c r="J175">
        <v>1</v>
      </c>
      <c r="K175">
        <v>0</v>
      </c>
      <c r="L175" t="s">
        <v>1358</v>
      </c>
      <c r="M175">
        <v>-1</v>
      </c>
      <c r="N175">
        <v>-1</v>
      </c>
      <c r="O175">
        <v>1</v>
      </c>
      <c r="P175" t="s">
        <v>130</v>
      </c>
      <c r="Q175" t="s">
        <v>1634</v>
      </c>
      <c r="R175" t="s">
        <v>1635</v>
      </c>
      <c r="S175">
        <v>0</v>
      </c>
    </row>
    <row r="176" spans="1:19" x14ac:dyDescent="0.25">
      <c r="A176">
        <v>174</v>
      </c>
      <c r="B176" t="s">
        <v>1248</v>
      </c>
      <c r="C176" t="s">
        <v>619</v>
      </c>
      <c r="D176">
        <v>60013</v>
      </c>
      <c r="E176">
        <v>20</v>
      </c>
      <c r="F176">
        <v>20</v>
      </c>
      <c r="G176">
        <v>0</v>
      </c>
      <c r="H176">
        <v>-1</v>
      </c>
      <c r="I176" t="s">
        <v>1786</v>
      </c>
      <c r="J176">
        <v>1</v>
      </c>
      <c r="K176">
        <v>0</v>
      </c>
      <c r="L176" t="s">
        <v>1358</v>
      </c>
      <c r="M176">
        <v>-1</v>
      </c>
      <c r="N176">
        <v>-1</v>
      </c>
      <c r="O176">
        <v>1</v>
      </c>
      <c r="P176" t="s">
        <v>130</v>
      </c>
      <c r="Q176" t="s">
        <v>1634</v>
      </c>
      <c r="R176" t="s">
        <v>1635</v>
      </c>
      <c r="S176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4"/>
  <sheetViews>
    <sheetView workbookViewId="0">
      <selection activeCell="E7" sqref="E7"/>
    </sheetView>
  </sheetViews>
  <sheetFormatPr defaultRowHeight="15" x14ac:dyDescent="0.25"/>
  <cols>
    <col min="3" max="3" width="29.28515625" bestFit="1" customWidth="1"/>
    <col min="5" max="5" width="6.5703125" bestFit="1" customWidth="1"/>
    <col min="13" max="19" width="10.85546875" customWidth="1"/>
  </cols>
  <sheetData>
    <row r="1" spans="1:19" s="1" customFormat="1" ht="30" x14ac:dyDescent="0.25">
      <c r="A1" s="1" t="s">
        <v>3</v>
      </c>
      <c r="B1" s="1" t="s">
        <v>904</v>
      </c>
      <c r="C1" s="1" t="s">
        <v>901</v>
      </c>
      <c r="D1" s="1" t="s">
        <v>905</v>
      </c>
      <c r="E1" s="1" t="s">
        <v>1055</v>
      </c>
      <c r="F1" s="1" t="s">
        <v>906</v>
      </c>
      <c r="G1" s="1" t="s">
        <v>907</v>
      </c>
      <c r="H1" s="1" t="s">
        <v>908</v>
      </c>
      <c r="I1" s="1" t="s">
        <v>909</v>
      </c>
      <c r="J1" s="1" t="s">
        <v>910</v>
      </c>
      <c r="K1" s="1" t="s">
        <v>911</v>
      </c>
      <c r="L1" s="1" t="s">
        <v>912</v>
      </c>
      <c r="M1" s="1" t="s">
        <v>913</v>
      </c>
      <c r="N1" s="1" t="s">
        <v>914</v>
      </c>
      <c r="O1" s="1" t="s">
        <v>915</v>
      </c>
      <c r="P1" s="1" t="s">
        <v>916</v>
      </c>
      <c r="Q1" s="1" t="s">
        <v>917</v>
      </c>
      <c r="R1" s="1" t="s">
        <v>918</v>
      </c>
      <c r="S1" s="1" t="s">
        <v>919</v>
      </c>
    </row>
    <row r="2" spans="1:19" s="1" customFormat="1" x14ac:dyDescent="0.25"/>
    <row r="3" spans="1:19" x14ac:dyDescent="0.25">
      <c r="A3">
        <v>1</v>
      </c>
      <c r="B3">
        <v>1018</v>
      </c>
      <c r="C3" t="str">
        <f>VLOOKUP(B3,[1]building!$A$2:$D$500,3,FALSE)</f>
        <v>!!BLDG_NAME_KK</v>
      </c>
      <c r="D3">
        <v>2</v>
      </c>
      <c r="E3">
        <v>7</v>
      </c>
      <c r="F3">
        <v>-1</v>
      </c>
      <c r="G3">
        <v>-1</v>
      </c>
      <c r="H3">
        <v>5</v>
      </c>
      <c r="I3">
        <v>100</v>
      </c>
      <c r="J3">
        <v>250</v>
      </c>
      <c r="K3">
        <v>250</v>
      </c>
      <c r="L3">
        <v>250</v>
      </c>
      <c r="M3">
        <f>IF(F3&lt;=0,-1,2)</f>
        <v>-1</v>
      </c>
      <c r="N3">
        <f t="shared" ref="N3:S3" si="0">IF(G3&lt;=0,-1,2)</f>
        <v>-1</v>
      </c>
      <c r="O3">
        <f t="shared" si="0"/>
        <v>2</v>
      </c>
      <c r="P3">
        <f t="shared" si="0"/>
        <v>2</v>
      </c>
      <c r="Q3">
        <f t="shared" si="0"/>
        <v>2</v>
      </c>
      <c r="R3">
        <f t="shared" si="0"/>
        <v>2</v>
      </c>
      <c r="S3">
        <f t="shared" si="0"/>
        <v>2</v>
      </c>
    </row>
    <row r="4" spans="1:19" x14ac:dyDescent="0.25">
      <c r="A4">
        <v>2</v>
      </c>
      <c r="B4">
        <v>1021</v>
      </c>
      <c r="C4" t="str">
        <f>VLOOKUP(B4,[1]building!$A$2:$D$500,3,FALSE)</f>
        <v>!!BLDG_NAME_BARGN</v>
      </c>
      <c r="D4">
        <v>1</v>
      </c>
      <c r="E4">
        <v>-1</v>
      </c>
      <c r="F4">
        <v>-1</v>
      </c>
      <c r="G4">
        <v>25</v>
      </c>
      <c r="H4">
        <v>100</v>
      </c>
      <c r="I4">
        <v>150</v>
      </c>
      <c r="J4">
        <v>150</v>
      </c>
      <c r="K4">
        <v>150</v>
      </c>
      <c r="L4">
        <v>150</v>
      </c>
      <c r="M4">
        <f t="shared" ref="M4:M14" si="1">IF(F4&lt;=0,-1,2)</f>
        <v>-1</v>
      </c>
      <c r="N4">
        <f t="shared" ref="N4:N14" si="2">IF(G4&lt;=0,-1,2)</f>
        <v>2</v>
      </c>
      <c r="O4">
        <f t="shared" ref="O4:O14" si="3">IF(H4&lt;=0,-1,2)</f>
        <v>2</v>
      </c>
      <c r="P4">
        <f t="shared" ref="P4:P14" si="4">IF(I4&lt;=0,-1,2)</f>
        <v>2</v>
      </c>
      <c r="Q4">
        <f t="shared" ref="Q4:Q14" si="5">IF(J4&lt;=0,-1,2)</f>
        <v>2</v>
      </c>
      <c r="R4">
        <f t="shared" ref="R4:R14" si="6">IF(K4&lt;=0,-1,2)</f>
        <v>2</v>
      </c>
      <c r="S4">
        <f t="shared" ref="S4:S14" si="7">IF(L4&lt;=0,-1,2)</f>
        <v>2</v>
      </c>
    </row>
    <row r="5" spans="1:19" x14ac:dyDescent="0.25">
      <c r="A5">
        <v>3</v>
      </c>
      <c r="B5">
        <v>1024</v>
      </c>
      <c r="C5" t="str">
        <f>VLOOKUP(B5,[1]building!$A$2:$D$500,3,FALSE)</f>
        <v>!!BLDG_NAME_BAKERY</v>
      </c>
      <c r="D5">
        <v>3</v>
      </c>
      <c r="E5">
        <v>-1</v>
      </c>
      <c r="F5">
        <v>-1</v>
      </c>
      <c r="G5">
        <v>-1</v>
      </c>
      <c r="H5">
        <v>-1</v>
      </c>
      <c r="I5">
        <v>25</v>
      </c>
      <c r="J5">
        <v>150</v>
      </c>
      <c r="K5">
        <v>150</v>
      </c>
      <c r="L5">
        <v>150</v>
      </c>
      <c r="M5">
        <f t="shared" si="1"/>
        <v>-1</v>
      </c>
      <c r="N5">
        <f t="shared" si="2"/>
        <v>-1</v>
      </c>
      <c r="O5">
        <f t="shared" si="3"/>
        <v>-1</v>
      </c>
      <c r="P5">
        <f t="shared" si="4"/>
        <v>2</v>
      </c>
      <c r="Q5">
        <f t="shared" si="5"/>
        <v>2</v>
      </c>
      <c r="R5">
        <f t="shared" si="6"/>
        <v>2</v>
      </c>
      <c r="S5">
        <f t="shared" si="7"/>
        <v>2</v>
      </c>
    </row>
    <row r="6" spans="1:19" x14ac:dyDescent="0.25">
      <c r="A6">
        <v>4</v>
      </c>
      <c r="B6">
        <v>1027</v>
      </c>
      <c r="C6" t="str">
        <f>VLOOKUP(B6,[1]building!$A$2:$D$500,3,FALSE)</f>
        <v>!!BLDG_NAME_GARDEN</v>
      </c>
      <c r="D6">
        <v>1</v>
      </c>
      <c r="E6">
        <v>-1</v>
      </c>
      <c r="F6">
        <v>-1</v>
      </c>
      <c r="G6">
        <v>-1</v>
      </c>
      <c r="H6">
        <v>-1</v>
      </c>
      <c r="I6">
        <v>-1</v>
      </c>
      <c r="J6">
        <v>-1</v>
      </c>
      <c r="K6">
        <v>-1</v>
      </c>
      <c r="L6">
        <v>-1</v>
      </c>
      <c r="M6">
        <f t="shared" si="1"/>
        <v>-1</v>
      </c>
      <c r="N6">
        <f t="shared" si="2"/>
        <v>-1</v>
      </c>
      <c r="O6">
        <f t="shared" si="3"/>
        <v>-1</v>
      </c>
      <c r="P6">
        <f t="shared" si="4"/>
        <v>-1</v>
      </c>
      <c r="Q6">
        <f t="shared" si="5"/>
        <v>-1</v>
      </c>
      <c r="R6">
        <f t="shared" si="6"/>
        <v>-1</v>
      </c>
      <c r="S6">
        <f t="shared" si="7"/>
        <v>-1</v>
      </c>
    </row>
    <row r="7" spans="1:19" x14ac:dyDescent="0.25">
      <c r="A7">
        <v>5</v>
      </c>
      <c r="B7">
        <v>1054</v>
      </c>
      <c r="C7" t="str">
        <f>VLOOKUP(B7,[1]building!$A$2:$D$500,3,FALSE)</f>
        <v>!!BLDG_NAME_JUICEBAR</v>
      </c>
      <c r="D7">
        <v>1</v>
      </c>
      <c r="E7">
        <v>-1</v>
      </c>
      <c r="F7">
        <v>-1</v>
      </c>
      <c r="G7">
        <v>25</v>
      </c>
      <c r="H7">
        <v>100</v>
      </c>
      <c r="I7">
        <v>150</v>
      </c>
      <c r="J7">
        <v>150</v>
      </c>
      <c r="K7">
        <v>150</v>
      </c>
      <c r="L7">
        <v>150</v>
      </c>
      <c r="M7">
        <f t="shared" si="1"/>
        <v>-1</v>
      </c>
      <c r="N7">
        <f t="shared" si="2"/>
        <v>2</v>
      </c>
      <c r="O7">
        <f t="shared" si="3"/>
        <v>2</v>
      </c>
      <c r="P7">
        <f t="shared" si="4"/>
        <v>2</v>
      </c>
      <c r="Q7">
        <f t="shared" si="5"/>
        <v>2</v>
      </c>
      <c r="R7">
        <f t="shared" si="6"/>
        <v>2</v>
      </c>
      <c r="S7">
        <f t="shared" si="7"/>
        <v>2</v>
      </c>
    </row>
    <row r="8" spans="1:19" x14ac:dyDescent="0.25">
      <c r="A8">
        <v>6</v>
      </c>
      <c r="B8">
        <v>1055</v>
      </c>
      <c r="C8" t="str">
        <f>VLOOKUP(B8,[1]building!$A$2:$D$500,3,FALSE)</f>
        <v>!!BLDG_NAME_FLOWERSHOP</v>
      </c>
      <c r="D8">
        <v>1</v>
      </c>
      <c r="E8">
        <v>-1</v>
      </c>
      <c r="F8">
        <v>-1</v>
      </c>
      <c r="G8">
        <v>25</v>
      </c>
      <c r="H8">
        <v>100</v>
      </c>
      <c r="I8">
        <v>150</v>
      </c>
      <c r="J8">
        <v>150</v>
      </c>
      <c r="K8">
        <v>150</v>
      </c>
      <c r="L8">
        <v>150</v>
      </c>
      <c r="M8">
        <f t="shared" si="1"/>
        <v>-1</v>
      </c>
      <c r="N8">
        <f t="shared" si="2"/>
        <v>2</v>
      </c>
      <c r="O8">
        <f t="shared" si="3"/>
        <v>2</v>
      </c>
      <c r="P8">
        <f t="shared" si="4"/>
        <v>2</v>
      </c>
      <c r="Q8">
        <f t="shared" si="5"/>
        <v>2</v>
      </c>
      <c r="R8">
        <f t="shared" si="6"/>
        <v>2</v>
      </c>
      <c r="S8">
        <f t="shared" si="7"/>
        <v>2</v>
      </c>
    </row>
    <row r="9" spans="1:19" x14ac:dyDescent="0.25">
      <c r="A9">
        <v>7</v>
      </c>
      <c r="B9">
        <v>1056</v>
      </c>
      <c r="C9" t="str">
        <f>VLOOKUP(B9,[1]building!$A$2:$D$500,3,FALSE)</f>
        <v>!!BLDG_NAME_ICECREAMSHOP</v>
      </c>
      <c r="D9">
        <v>1</v>
      </c>
      <c r="E9">
        <v>-1</v>
      </c>
      <c r="F9">
        <v>-1</v>
      </c>
      <c r="G9">
        <v>25</v>
      </c>
      <c r="H9">
        <v>100</v>
      </c>
      <c r="I9">
        <v>150</v>
      </c>
      <c r="J9">
        <v>150</v>
      </c>
      <c r="K9">
        <v>150</v>
      </c>
      <c r="L9">
        <v>150</v>
      </c>
      <c r="M9">
        <f t="shared" si="1"/>
        <v>-1</v>
      </c>
      <c r="N9">
        <f t="shared" si="2"/>
        <v>2</v>
      </c>
      <c r="O9">
        <f t="shared" si="3"/>
        <v>2</v>
      </c>
      <c r="P9">
        <f t="shared" si="4"/>
        <v>2</v>
      </c>
      <c r="Q9">
        <f t="shared" si="5"/>
        <v>2</v>
      </c>
      <c r="R9">
        <f t="shared" si="6"/>
        <v>2</v>
      </c>
      <c r="S9">
        <f t="shared" si="7"/>
        <v>2</v>
      </c>
    </row>
    <row r="10" spans="1:19" x14ac:dyDescent="0.25">
      <c r="A10">
        <v>8</v>
      </c>
      <c r="B10">
        <v>1057</v>
      </c>
      <c r="C10" t="str">
        <f>VLOOKUP(B10,[1]building!$A$2:$D$500,3,FALSE)</f>
        <v>!!BLDG_NAME_PERFUMESHOP</v>
      </c>
      <c r="D10">
        <v>1</v>
      </c>
      <c r="E10">
        <v>-1</v>
      </c>
      <c r="F10">
        <v>-1</v>
      </c>
      <c r="G10">
        <v>25</v>
      </c>
      <c r="H10">
        <v>100</v>
      </c>
      <c r="I10">
        <v>150</v>
      </c>
      <c r="J10">
        <v>150</v>
      </c>
      <c r="K10">
        <v>150</v>
      </c>
      <c r="L10">
        <v>150</v>
      </c>
      <c r="M10">
        <f t="shared" si="1"/>
        <v>-1</v>
      </c>
      <c r="N10">
        <f t="shared" si="2"/>
        <v>2</v>
      </c>
      <c r="O10">
        <f t="shared" si="3"/>
        <v>2</v>
      </c>
      <c r="P10">
        <f t="shared" si="4"/>
        <v>2</v>
      </c>
      <c r="Q10">
        <f t="shared" si="5"/>
        <v>2</v>
      </c>
      <c r="R10">
        <f t="shared" si="6"/>
        <v>2</v>
      </c>
      <c r="S10">
        <f t="shared" si="7"/>
        <v>2</v>
      </c>
    </row>
    <row r="11" spans="1:19" x14ac:dyDescent="0.25">
      <c r="A11">
        <v>9</v>
      </c>
      <c r="B11">
        <v>1102</v>
      </c>
      <c r="C11" t="str">
        <f>VLOOKUP(B11,[1]building!$A$2:$D$500,3,FALSE)</f>
        <v>!!BLDG_NAME_SEEDSTORE</v>
      </c>
      <c r="D11">
        <v>0</v>
      </c>
      <c r="E11">
        <v>-1</v>
      </c>
      <c r="F11">
        <v>-1</v>
      </c>
      <c r="G11">
        <v>-1</v>
      </c>
      <c r="H11">
        <v>-1</v>
      </c>
      <c r="I11">
        <v>-1</v>
      </c>
      <c r="J11">
        <v>-1</v>
      </c>
      <c r="K11">
        <v>-1</v>
      </c>
      <c r="L11">
        <v>-1</v>
      </c>
      <c r="M11">
        <f t="shared" si="1"/>
        <v>-1</v>
      </c>
      <c r="N11">
        <f t="shared" si="2"/>
        <v>-1</v>
      </c>
      <c r="O11">
        <f t="shared" si="3"/>
        <v>-1</v>
      </c>
      <c r="P11">
        <f t="shared" si="4"/>
        <v>-1</v>
      </c>
      <c r="Q11">
        <f t="shared" si="5"/>
        <v>-1</v>
      </c>
      <c r="R11">
        <f t="shared" si="6"/>
        <v>-1</v>
      </c>
      <c r="S11">
        <f t="shared" si="7"/>
        <v>-1</v>
      </c>
    </row>
    <row r="12" spans="1:19" x14ac:dyDescent="0.25">
      <c r="A12">
        <v>10</v>
      </c>
      <c r="B12">
        <v>1104</v>
      </c>
      <c r="C12" t="str">
        <f>VLOOKUP(B12,[1]building!$A$2:$D$500,3,FALSE)</f>
        <v>!!BLDG_NAME_FLOWERPOT</v>
      </c>
      <c r="D12">
        <v>1</v>
      </c>
      <c r="E12">
        <v>-1</v>
      </c>
      <c r="F12">
        <v>-1</v>
      </c>
      <c r="G12">
        <v>-1</v>
      </c>
      <c r="H12">
        <v>-1</v>
      </c>
      <c r="I12">
        <v>-1</v>
      </c>
      <c r="J12">
        <v>-1</v>
      </c>
      <c r="K12">
        <v>-1</v>
      </c>
      <c r="L12">
        <v>-1</v>
      </c>
      <c r="M12">
        <f t="shared" si="1"/>
        <v>-1</v>
      </c>
      <c r="N12">
        <f t="shared" si="2"/>
        <v>-1</v>
      </c>
      <c r="O12">
        <f t="shared" si="3"/>
        <v>-1</v>
      </c>
      <c r="P12">
        <f t="shared" si="4"/>
        <v>-1</v>
      </c>
      <c r="Q12">
        <f t="shared" si="5"/>
        <v>-1</v>
      </c>
      <c r="R12">
        <f t="shared" si="6"/>
        <v>-1</v>
      </c>
      <c r="S12">
        <f t="shared" si="7"/>
        <v>-1</v>
      </c>
    </row>
    <row r="13" spans="1:19" x14ac:dyDescent="0.25">
      <c r="A13">
        <v>11</v>
      </c>
      <c r="B13">
        <v>9035</v>
      </c>
      <c r="C13" t="str">
        <f>VLOOKUP(B13,[1]building!$A$2:$D$500,3,FALSE)</f>
        <v>!!BLDG_NAME_RUSTYS_RIB_EYE</v>
      </c>
      <c r="D13">
        <v>2</v>
      </c>
      <c r="E13">
        <v>-1</v>
      </c>
      <c r="F13">
        <v>-1</v>
      </c>
      <c r="G13">
        <v>-1</v>
      </c>
      <c r="H13">
        <v>15</v>
      </c>
      <c r="I13">
        <v>100</v>
      </c>
      <c r="J13">
        <v>150</v>
      </c>
      <c r="K13">
        <v>150</v>
      </c>
      <c r="L13">
        <v>150</v>
      </c>
      <c r="M13">
        <f t="shared" si="1"/>
        <v>-1</v>
      </c>
      <c r="N13">
        <f t="shared" si="2"/>
        <v>-1</v>
      </c>
      <c r="O13">
        <f t="shared" si="3"/>
        <v>2</v>
      </c>
      <c r="P13">
        <f t="shared" si="4"/>
        <v>2</v>
      </c>
      <c r="Q13">
        <f t="shared" si="5"/>
        <v>2</v>
      </c>
      <c r="R13">
        <f t="shared" si="6"/>
        <v>2</v>
      </c>
      <c r="S13">
        <f t="shared" si="7"/>
        <v>2</v>
      </c>
    </row>
    <row r="14" spans="1:19" x14ac:dyDescent="0.25">
      <c r="A14">
        <v>12</v>
      </c>
      <c r="B14">
        <v>9046</v>
      </c>
      <c r="C14" t="str">
        <f>VLOOKUP(B14,[1]building!$A$2:$D$500,3,FALSE)</f>
        <v>!!BLDG_NAME_TREAT_SHOP</v>
      </c>
      <c r="D14">
        <v>2</v>
      </c>
      <c r="E14">
        <v>-1</v>
      </c>
      <c r="F14">
        <v>-1</v>
      </c>
      <c r="G14">
        <v>-1</v>
      </c>
      <c r="H14">
        <v>15</v>
      </c>
      <c r="I14">
        <v>100</v>
      </c>
      <c r="J14">
        <v>150</v>
      </c>
      <c r="K14">
        <v>150</v>
      </c>
      <c r="L14">
        <v>150</v>
      </c>
      <c r="M14">
        <f t="shared" si="1"/>
        <v>-1</v>
      </c>
      <c r="N14">
        <f t="shared" si="2"/>
        <v>-1</v>
      </c>
      <c r="O14">
        <f t="shared" si="3"/>
        <v>2</v>
      </c>
      <c r="P14">
        <f t="shared" si="4"/>
        <v>2</v>
      </c>
      <c r="Q14">
        <f t="shared" si="5"/>
        <v>2</v>
      </c>
      <c r="R14">
        <f t="shared" si="6"/>
        <v>2</v>
      </c>
      <c r="S14">
        <f t="shared" si="7"/>
        <v>2</v>
      </c>
    </row>
  </sheetData>
  <sortState ref="A3:R13">
    <sortCondition ref="B3:B13"/>
  </sortState>
  <conditionalFormatting sqref="A1:S500">
    <cfRule type="cellIs" dxfId="14" priority="1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13"/>
  <sheetViews>
    <sheetView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M17" sqref="M17"/>
    </sheetView>
  </sheetViews>
  <sheetFormatPr defaultRowHeight="15" x14ac:dyDescent="0.25"/>
  <cols>
    <col min="1" max="1" width="3.85546875" bestFit="1" customWidth="1"/>
    <col min="2" max="2" width="28.5703125" bestFit="1" customWidth="1"/>
    <col min="3" max="5" width="12.42578125" bestFit="1" customWidth="1"/>
    <col min="6" max="6" width="22.85546875" bestFit="1" customWidth="1"/>
    <col min="7" max="7" width="24.7109375" bestFit="1" customWidth="1"/>
    <col min="8" max="8" width="21.42578125" bestFit="1" customWidth="1"/>
    <col min="9" max="9" width="28.5703125" bestFit="1" customWidth="1"/>
    <col min="10" max="10" width="17.7109375" bestFit="1" customWidth="1"/>
    <col min="11" max="11" width="16" bestFit="1" customWidth="1"/>
    <col min="12" max="13" width="21.140625" bestFit="1" customWidth="1"/>
    <col min="14" max="14" width="10.85546875" bestFit="1" customWidth="1"/>
    <col min="15" max="15" width="10.85546875" customWidth="1"/>
    <col min="16" max="55" width="8.42578125" customWidth="1"/>
  </cols>
  <sheetData>
    <row r="1" spans="1:55" s="1" customFormat="1" ht="30" x14ac:dyDescent="0.25">
      <c r="A1" s="1" t="s">
        <v>3</v>
      </c>
      <c r="B1" s="1" t="s">
        <v>975</v>
      </c>
      <c r="C1" s="1" t="s">
        <v>997</v>
      </c>
      <c r="D1" s="1" t="s">
        <v>998</v>
      </c>
      <c r="E1" s="1" t="s">
        <v>999</v>
      </c>
      <c r="F1" s="1" t="s">
        <v>1000</v>
      </c>
      <c r="G1" s="1" t="s">
        <v>1001</v>
      </c>
      <c r="H1" s="1" t="s">
        <v>1002</v>
      </c>
      <c r="I1" s="1" t="s">
        <v>1003</v>
      </c>
      <c r="J1" s="1" t="s">
        <v>1004</v>
      </c>
      <c r="K1" s="1" t="s">
        <v>1005</v>
      </c>
      <c r="L1" s="1" t="s">
        <v>1006</v>
      </c>
      <c r="M1" s="1" t="s">
        <v>1007</v>
      </c>
      <c r="N1" s="1" t="s">
        <v>1008</v>
      </c>
      <c r="O1" s="1" t="s">
        <v>1054</v>
      </c>
      <c r="P1" s="1" t="s">
        <v>1009</v>
      </c>
      <c r="Q1" s="1" t="s">
        <v>1010</v>
      </c>
      <c r="R1" s="1" t="s">
        <v>1011</v>
      </c>
      <c r="S1" s="1" t="s">
        <v>1012</v>
      </c>
      <c r="T1" s="1" t="s">
        <v>1013</v>
      </c>
      <c r="U1" s="1" t="s">
        <v>1014</v>
      </c>
      <c r="V1" s="1" t="s">
        <v>1015</v>
      </c>
      <c r="W1" s="1" t="s">
        <v>1016</v>
      </c>
      <c r="X1" s="1" t="s">
        <v>1017</v>
      </c>
      <c r="Y1" s="1" t="s">
        <v>1018</v>
      </c>
      <c r="Z1" s="1" t="s">
        <v>1019</v>
      </c>
      <c r="AA1" s="1" t="s">
        <v>1020</v>
      </c>
      <c r="AB1" s="1" t="s">
        <v>1021</v>
      </c>
      <c r="AC1" s="1" t="s">
        <v>1022</v>
      </c>
      <c r="AD1" s="1" t="s">
        <v>1023</v>
      </c>
      <c r="AE1" s="1" t="s">
        <v>1024</v>
      </c>
      <c r="AF1" s="1" t="s">
        <v>1025</v>
      </c>
      <c r="AG1" s="1" t="s">
        <v>1026</v>
      </c>
      <c r="AH1" s="1" t="s">
        <v>1027</v>
      </c>
      <c r="AI1" s="1" t="s">
        <v>1028</v>
      </c>
      <c r="AJ1" s="1" t="s">
        <v>1029</v>
      </c>
      <c r="AK1" s="1" t="s">
        <v>1030</v>
      </c>
      <c r="AL1" s="1" t="s">
        <v>1031</v>
      </c>
      <c r="AM1" s="1" t="s">
        <v>1032</v>
      </c>
      <c r="AN1" s="1" t="s">
        <v>1033</v>
      </c>
      <c r="AO1" s="1" t="s">
        <v>1034</v>
      </c>
      <c r="AP1" s="1" t="s">
        <v>1035</v>
      </c>
      <c r="AQ1" s="1" t="s">
        <v>1036</v>
      </c>
      <c r="AR1" s="1" t="s">
        <v>1037</v>
      </c>
      <c r="AS1" s="1" t="s">
        <v>1038</v>
      </c>
      <c r="AT1" s="1" t="s">
        <v>1039</v>
      </c>
      <c r="AU1" s="1" t="s">
        <v>1040</v>
      </c>
      <c r="AV1" s="1" t="s">
        <v>1041</v>
      </c>
      <c r="AW1" s="1" t="s">
        <v>1042</v>
      </c>
      <c r="AX1" s="1" t="s">
        <v>1043</v>
      </c>
      <c r="AY1" s="1" t="s">
        <v>1044</v>
      </c>
      <c r="AZ1" s="1" t="s">
        <v>1045</v>
      </c>
      <c r="BA1" s="1" t="s">
        <v>1046</v>
      </c>
      <c r="BB1" s="1" t="s">
        <v>1047</v>
      </c>
      <c r="BC1" s="1" t="s">
        <v>1048</v>
      </c>
    </row>
    <row r="3" spans="1:55" x14ac:dyDescent="0.25">
      <c r="A3" s="2">
        <v>1</v>
      </c>
      <c r="B3" t="s">
        <v>956</v>
      </c>
      <c r="C3" s="2">
        <v>255</v>
      </c>
      <c r="D3" s="2">
        <v>155</v>
      </c>
      <c r="E3" s="2">
        <v>45</v>
      </c>
      <c r="F3" t="s">
        <v>957</v>
      </c>
      <c r="G3" t="s">
        <v>958</v>
      </c>
      <c r="H3" t="s">
        <v>959</v>
      </c>
      <c r="I3" t="s">
        <v>960</v>
      </c>
      <c r="J3" t="s">
        <v>961</v>
      </c>
      <c r="K3" t="s">
        <v>935</v>
      </c>
      <c r="L3" t="s">
        <v>962</v>
      </c>
      <c r="M3" t="s">
        <v>963</v>
      </c>
      <c r="N3" t="s">
        <v>964</v>
      </c>
      <c r="O3">
        <v>40</v>
      </c>
      <c r="P3" s="2">
        <v>1</v>
      </c>
      <c r="Q3" s="2">
        <v>4</v>
      </c>
      <c r="R3" s="2">
        <v>5</v>
      </c>
      <c r="S3" s="2">
        <v>27</v>
      </c>
      <c r="T3" s="2">
        <v>31</v>
      </c>
      <c r="U3" s="2">
        <v>15</v>
      </c>
      <c r="V3" s="2">
        <v>29</v>
      </c>
      <c r="W3" s="2">
        <v>28</v>
      </c>
      <c r="X3" s="2">
        <v>30</v>
      </c>
      <c r="Y3" s="2">
        <v>26</v>
      </c>
      <c r="Z3" s="2">
        <v>23</v>
      </c>
      <c r="AA3" s="2">
        <v>17</v>
      </c>
      <c r="AB3" s="2">
        <v>18</v>
      </c>
      <c r="AC3" s="2">
        <v>21</v>
      </c>
      <c r="AD3" s="2">
        <v>19</v>
      </c>
      <c r="AE3" s="2">
        <v>24</v>
      </c>
      <c r="AF3" s="2">
        <v>22</v>
      </c>
      <c r="AG3" s="2">
        <v>25</v>
      </c>
      <c r="AH3" s="2">
        <v>16</v>
      </c>
      <c r="AI3" s="2">
        <v>20</v>
      </c>
      <c r="AJ3" s="2">
        <v>32</v>
      </c>
      <c r="AK3" s="2">
        <v>40</v>
      </c>
      <c r="AL3" s="2">
        <v>42</v>
      </c>
      <c r="AM3" s="2">
        <v>43</v>
      </c>
      <c r="AN3" s="2">
        <v>44</v>
      </c>
      <c r="AO3" s="2">
        <v>45</v>
      </c>
      <c r="AP3" s="2">
        <v>46</v>
      </c>
      <c r="AQ3" s="2">
        <v>50</v>
      </c>
      <c r="AR3" s="2">
        <v>91</v>
      </c>
      <c r="AS3" s="2">
        <v>90</v>
      </c>
      <c r="AT3" s="2">
        <v>94</v>
      </c>
      <c r="AU3" s="2">
        <v>95</v>
      </c>
      <c r="AV3" s="2">
        <v>97</v>
      </c>
      <c r="AW3" s="2">
        <v>99</v>
      </c>
      <c r="AX3" s="2">
        <v>9020</v>
      </c>
      <c r="AY3" s="2">
        <v>9102</v>
      </c>
      <c r="AZ3" s="2">
        <v>9123</v>
      </c>
      <c r="BA3" s="2">
        <v>9121</v>
      </c>
      <c r="BB3" s="2">
        <v>9122</v>
      </c>
      <c r="BC3" s="2">
        <v>9202</v>
      </c>
    </row>
    <row r="4" spans="1:55" x14ac:dyDescent="0.25">
      <c r="A4" s="2">
        <v>2</v>
      </c>
      <c r="B4" t="s">
        <v>936</v>
      </c>
      <c r="C4" s="2">
        <v>109</v>
      </c>
      <c r="D4" s="2">
        <v>255</v>
      </c>
      <c r="E4" s="2">
        <v>78</v>
      </c>
      <c r="F4" t="s">
        <v>931</v>
      </c>
      <c r="G4" t="s">
        <v>937</v>
      </c>
      <c r="H4" t="s">
        <v>938</v>
      </c>
      <c r="I4" t="s">
        <v>939</v>
      </c>
      <c r="J4" t="s">
        <v>59</v>
      </c>
      <c r="K4" t="s">
        <v>940</v>
      </c>
      <c r="L4" t="s">
        <v>941</v>
      </c>
      <c r="M4" t="s">
        <v>929</v>
      </c>
      <c r="N4" t="s">
        <v>942</v>
      </c>
      <c r="O4">
        <v>-1</v>
      </c>
      <c r="P4" s="2">
        <v>1000</v>
      </c>
      <c r="Q4" s="2">
        <v>1001</v>
      </c>
      <c r="R4" s="2">
        <v>1002</v>
      </c>
      <c r="S4" s="2">
        <v>1003</v>
      </c>
      <c r="T4" s="2">
        <v>1004</v>
      </c>
      <c r="U4" s="2">
        <v>10008</v>
      </c>
      <c r="V4" s="2">
        <v>10009</v>
      </c>
      <c r="W4" s="2">
        <v>2000</v>
      </c>
      <c r="X4" s="2">
        <v>2002</v>
      </c>
      <c r="Y4" s="2">
        <v>60000</v>
      </c>
      <c r="Z4" s="2">
        <v>60001</v>
      </c>
      <c r="AA4" s="2">
        <v>60002</v>
      </c>
      <c r="AB4" s="2">
        <v>60003</v>
      </c>
      <c r="AC4" s="2">
        <v>60004</v>
      </c>
      <c r="AD4" s="2">
        <v>9115</v>
      </c>
      <c r="AE4" s="2">
        <v>9200</v>
      </c>
      <c r="AF4" s="2">
        <v>-1</v>
      </c>
      <c r="AG4" s="2">
        <v>-1</v>
      </c>
      <c r="AH4" s="2">
        <v>-1</v>
      </c>
      <c r="AI4" s="2">
        <v>-1</v>
      </c>
      <c r="AJ4" s="2">
        <v>-1</v>
      </c>
      <c r="AK4" s="2">
        <v>-1</v>
      </c>
      <c r="AL4" s="2">
        <v>-1</v>
      </c>
      <c r="AM4" s="2">
        <v>-1</v>
      </c>
      <c r="AN4" s="2">
        <v>-1</v>
      </c>
      <c r="AO4" s="2">
        <v>-1</v>
      </c>
      <c r="AP4" s="2">
        <v>-1</v>
      </c>
      <c r="AQ4" s="2">
        <v>-1</v>
      </c>
      <c r="AR4" s="2">
        <v>-1</v>
      </c>
      <c r="AS4" s="2">
        <v>-1</v>
      </c>
      <c r="AT4" s="2">
        <v>-1</v>
      </c>
      <c r="AU4" s="2">
        <v>-1</v>
      </c>
      <c r="AV4" s="2">
        <v>-1</v>
      </c>
      <c r="AW4" s="2">
        <v>-1</v>
      </c>
      <c r="AX4" s="2">
        <v>-1</v>
      </c>
      <c r="AY4" s="2">
        <v>-1</v>
      </c>
      <c r="AZ4" s="2">
        <v>-1</v>
      </c>
      <c r="BA4" s="2">
        <v>-1</v>
      </c>
      <c r="BB4" s="2">
        <v>-1</v>
      </c>
      <c r="BC4" s="2">
        <v>-1</v>
      </c>
    </row>
    <row r="5" spans="1:55" x14ac:dyDescent="0.25">
      <c r="A5" s="2">
        <v>3</v>
      </c>
      <c r="B5" t="s">
        <v>921</v>
      </c>
      <c r="C5" s="2">
        <v>78</v>
      </c>
      <c r="D5" s="2">
        <v>233</v>
      </c>
      <c r="E5" s="2">
        <v>255</v>
      </c>
      <c r="F5" t="s">
        <v>922</v>
      </c>
      <c r="G5" t="s">
        <v>923</v>
      </c>
      <c r="H5" t="s">
        <v>924</v>
      </c>
      <c r="I5" t="s">
        <v>925</v>
      </c>
      <c r="J5" t="s">
        <v>59</v>
      </c>
      <c r="K5" t="s">
        <v>927</v>
      </c>
      <c r="L5" t="s">
        <v>928</v>
      </c>
      <c r="M5" t="s">
        <v>929</v>
      </c>
      <c r="N5" t="s">
        <v>59</v>
      </c>
      <c r="O5">
        <v>-1</v>
      </c>
      <c r="P5" s="2">
        <v>1005</v>
      </c>
      <c r="Q5" s="2">
        <v>92</v>
      </c>
      <c r="R5" s="2">
        <v>93</v>
      </c>
      <c r="S5" s="2">
        <v>41</v>
      </c>
      <c r="T5" s="2">
        <v>1006</v>
      </c>
      <c r="U5" s="2">
        <v>1007</v>
      </c>
      <c r="V5" s="2">
        <v>1008</v>
      </c>
      <c r="W5" s="2">
        <v>1009</v>
      </c>
      <c r="X5" s="2">
        <v>1010</v>
      </c>
      <c r="Y5" s="2">
        <v>96</v>
      </c>
      <c r="Z5" s="2">
        <v>80000</v>
      </c>
      <c r="AA5" s="2">
        <v>80001</v>
      </c>
      <c r="AB5" s="2">
        <v>80002</v>
      </c>
      <c r="AC5" s="2">
        <v>80003</v>
      </c>
      <c r="AD5" s="2">
        <v>80004</v>
      </c>
      <c r="AE5" s="2">
        <v>80005</v>
      </c>
      <c r="AF5" s="2">
        <v>80006</v>
      </c>
      <c r="AG5" s="2">
        <v>80007</v>
      </c>
      <c r="AH5" s="2">
        <v>80008</v>
      </c>
      <c r="AI5" s="2">
        <v>80009</v>
      </c>
      <c r="AJ5" s="2">
        <v>80010</v>
      </c>
      <c r="AK5" s="2">
        <v>80011</v>
      </c>
      <c r="AL5" s="2">
        <v>80012</v>
      </c>
      <c r="AM5" s="2">
        <v>80013</v>
      </c>
      <c r="AN5" s="2">
        <v>80014</v>
      </c>
      <c r="AO5" s="2">
        <v>80015</v>
      </c>
      <c r="AP5" s="2">
        <v>80016</v>
      </c>
      <c r="AQ5" s="2">
        <v>9101</v>
      </c>
      <c r="AR5" s="2">
        <v>9104</v>
      </c>
      <c r="AS5" s="2">
        <v>9105</v>
      </c>
      <c r="AT5" s="2">
        <v>9106</v>
      </c>
      <c r="AU5" s="2">
        <v>9119</v>
      </c>
      <c r="AV5" s="2">
        <v>-1</v>
      </c>
      <c r="AW5" s="2">
        <v>-1</v>
      </c>
      <c r="AX5" s="2">
        <v>-1</v>
      </c>
      <c r="AY5" s="2">
        <v>-1</v>
      </c>
      <c r="AZ5" s="2">
        <v>-1</v>
      </c>
      <c r="BA5" s="2">
        <v>-1</v>
      </c>
      <c r="BB5" s="2">
        <v>-1</v>
      </c>
      <c r="BC5" s="2">
        <v>-1</v>
      </c>
    </row>
    <row r="6" spans="1:55" x14ac:dyDescent="0.25">
      <c r="A6" s="2">
        <v>4</v>
      </c>
      <c r="B6" t="s">
        <v>974</v>
      </c>
      <c r="C6" s="2">
        <v>255</v>
      </c>
      <c r="D6" s="2">
        <v>155</v>
      </c>
      <c r="E6" s="2">
        <v>45</v>
      </c>
      <c r="F6" t="s">
        <v>922</v>
      </c>
      <c r="G6" t="s">
        <v>923</v>
      </c>
      <c r="H6" t="s">
        <v>924</v>
      </c>
      <c r="I6" t="s">
        <v>925</v>
      </c>
      <c r="J6" t="s">
        <v>59</v>
      </c>
      <c r="K6" t="s">
        <v>927</v>
      </c>
      <c r="L6" t="s">
        <v>928</v>
      </c>
      <c r="M6" t="s">
        <v>929</v>
      </c>
      <c r="N6" t="s">
        <v>59</v>
      </c>
      <c r="O6">
        <v>-1</v>
      </c>
      <c r="P6" s="2">
        <v>10000</v>
      </c>
      <c r="Q6" s="2">
        <v>10001</v>
      </c>
      <c r="R6" s="2">
        <v>10006</v>
      </c>
      <c r="S6" s="2">
        <v>10007</v>
      </c>
      <c r="T6" s="2">
        <v>10010</v>
      </c>
      <c r="U6" s="2">
        <v>10011</v>
      </c>
      <c r="V6" s="2">
        <v>-1</v>
      </c>
      <c r="W6" s="2">
        <v>-1</v>
      </c>
      <c r="X6" s="2">
        <v>-1</v>
      </c>
      <c r="Y6" s="2">
        <v>-1</v>
      </c>
      <c r="Z6" s="2">
        <v>-1</v>
      </c>
      <c r="AA6" s="2">
        <v>-1</v>
      </c>
      <c r="AB6" s="2">
        <v>-1</v>
      </c>
      <c r="AC6" s="2">
        <v>-1</v>
      </c>
      <c r="AD6" s="2">
        <v>-1</v>
      </c>
      <c r="AE6" s="2">
        <v>-1</v>
      </c>
      <c r="AF6" s="2">
        <v>-1</v>
      </c>
      <c r="AG6" s="2">
        <v>-1</v>
      </c>
      <c r="AH6" s="2">
        <v>-1</v>
      </c>
      <c r="AI6" s="2">
        <v>-1</v>
      </c>
      <c r="AJ6" s="2">
        <v>-1</v>
      </c>
      <c r="AK6" s="2">
        <v>-1</v>
      </c>
      <c r="AL6" s="2">
        <v>-1</v>
      </c>
      <c r="AM6" s="2">
        <v>-1</v>
      </c>
      <c r="AN6" s="2">
        <v>-1</v>
      </c>
      <c r="AO6" s="2">
        <v>-1</v>
      </c>
      <c r="AP6" s="2">
        <v>-1</v>
      </c>
      <c r="AQ6" s="2">
        <v>-1</v>
      </c>
      <c r="AR6" s="2">
        <v>-1</v>
      </c>
      <c r="AS6" s="2">
        <v>-1</v>
      </c>
      <c r="AT6" s="2">
        <v>-1</v>
      </c>
      <c r="AU6" s="2">
        <v>-1</v>
      </c>
      <c r="AV6" s="2">
        <v>-1</v>
      </c>
      <c r="AW6" s="2">
        <v>-1</v>
      </c>
      <c r="AX6" s="2">
        <v>-1</v>
      </c>
      <c r="AY6" s="2">
        <v>-1</v>
      </c>
      <c r="AZ6" s="2">
        <v>-1</v>
      </c>
      <c r="BA6" s="2">
        <v>-1</v>
      </c>
      <c r="BB6" s="2">
        <v>-1</v>
      </c>
      <c r="BC6" s="2">
        <v>-1</v>
      </c>
    </row>
    <row r="7" spans="1:55" x14ac:dyDescent="0.25">
      <c r="A7" s="2">
        <v>5</v>
      </c>
      <c r="B7" t="s">
        <v>952</v>
      </c>
      <c r="C7" s="2">
        <v>109</v>
      </c>
      <c r="D7" s="2">
        <v>255</v>
      </c>
      <c r="E7" s="2">
        <v>78</v>
      </c>
      <c r="F7" t="s">
        <v>931</v>
      </c>
      <c r="G7" t="s">
        <v>953</v>
      </c>
      <c r="H7" t="s">
        <v>954</v>
      </c>
      <c r="I7" t="s">
        <v>955</v>
      </c>
      <c r="J7" t="s">
        <v>59</v>
      </c>
      <c r="K7" t="s">
        <v>935</v>
      </c>
      <c r="L7" t="s">
        <v>928</v>
      </c>
      <c r="M7" t="s">
        <v>929</v>
      </c>
      <c r="N7" t="s">
        <v>59</v>
      </c>
      <c r="O7">
        <v>-1</v>
      </c>
      <c r="P7" s="2">
        <v>20000</v>
      </c>
      <c r="Q7" s="2">
        <v>20001</v>
      </c>
      <c r="R7" s="2">
        <v>20002</v>
      </c>
      <c r="S7" s="2">
        <v>20003</v>
      </c>
      <c r="T7" s="2">
        <v>20004</v>
      </c>
      <c r="U7" s="2">
        <v>30000</v>
      </c>
      <c r="V7" s="2">
        <v>30001</v>
      </c>
      <c r="W7" s="2">
        <v>30002</v>
      </c>
      <c r="X7" s="2">
        <v>30003</v>
      </c>
      <c r="Y7" s="2">
        <v>30004</v>
      </c>
      <c r="Z7" s="2">
        <v>30005</v>
      </c>
      <c r="AA7" s="2">
        <v>30006</v>
      </c>
      <c r="AB7" s="2">
        <v>30007</v>
      </c>
      <c r="AC7" s="2">
        <v>30008</v>
      </c>
      <c r="AD7" s="2">
        <v>30009</v>
      </c>
      <c r="AE7" s="2">
        <v>30010</v>
      </c>
      <c r="AF7" s="2">
        <v>30011</v>
      </c>
      <c r="AG7" s="2">
        <v>9120</v>
      </c>
      <c r="AH7" s="2">
        <v>-1</v>
      </c>
      <c r="AI7" s="2">
        <v>-1</v>
      </c>
      <c r="AJ7" s="2">
        <v>-1</v>
      </c>
      <c r="AK7" s="2">
        <v>-1</v>
      </c>
      <c r="AL7" s="2">
        <v>-1</v>
      </c>
      <c r="AM7" s="2">
        <v>-1</v>
      </c>
      <c r="AN7" s="2">
        <v>-1</v>
      </c>
      <c r="AO7" s="2">
        <v>-1</v>
      </c>
      <c r="AP7" s="2">
        <v>-1</v>
      </c>
      <c r="AQ7" s="2">
        <v>-1</v>
      </c>
      <c r="AR7" s="2">
        <v>-1</v>
      </c>
      <c r="AS7" s="2">
        <v>-1</v>
      </c>
      <c r="AT7" s="2">
        <v>-1</v>
      </c>
      <c r="AU7" s="2">
        <v>-1</v>
      </c>
      <c r="AV7" s="2">
        <v>-1</v>
      </c>
      <c r="AW7" s="2">
        <v>-1</v>
      </c>
      <c r="AX7" s="2">
        <v>-1</v>
      </c>
      <c r="AY7" s="2">
        <v>-1</v>
      </c>
      <c r="AZ7" s="2">
        <v>-1</v>
      </c>
      <c r="BA7" s="2">
        <v>-1</v>
      </c>
      <c r="BB7" s="2">
        <v>-1</v>
      </c>
      <c r="BC7" s="2">
        <v>-1</v>
      </c>
    </row>
    <row r="8" spans="1:55" x14ac:dyDescent="0.25">
      <c r="A8" s="2">
        <v>6</v>
      </c>
      <c r="B8" t="s">
        <v>930</v>
      </c>
      <c r="C8" s="2">
        <v>109</v>
      </c>
      <c r="D8" s="2">
        <v>255</v>
      </c>
      <c r="E8" s="2">
        <v>78</v>
      </c>
      <c r="F8" t="s">
        <v>931</v>
      </c>
      <c r="G8" t="s">
        <v>932</v>
      </c>
      <c r="H8" t="s">
        <v>933</v>
      </c>
      <c r="I8" t="s">
        <v>934</v>
      </c>
      <c r="J8" t="s">
        <v>59</v>
      </c>
      <c r="K8" t="s">
        <v>935</v>
      </c>
      <c r="L8" t="s">
        <v>928</v>
      </c>
      <c r="M8" t="s">
        <v>929</v>
      </c>
      <c r="N8" t="s">
        <v>59</v>
      </c>
      <c r="O8">
        <v>-1</v>
      </c>
      <c r="P8" s="2">
        <v>60014</v>
      </c>
      <c r="Q8" s="2">
        <v>60015</v>
      </c>
      <c r="R8" s="2">
        <v>60016</v>
      </c>
      <c r="S8" s="2">
        <v>60017</v>
      </c>
      <c r="T8" s="2">
        <v>60018</v>
      </c>
      <c r="U8" s="2">
        <v>-1</v>
      </c>
      <c r="V8" s="2">
        <v>-1</v>
      </c>
      <c r="W8" s="2">
        <v>-1</v>
      </c>
      <c r="X8" s="2">
        <v>-1</v>
      </c>
      <c r="Y8" s="2">
        <v>-1</v>
      </c>
      <c r="Z8" s="2">
        <v>-1</v>
      </c>
      <c r="AA8" s="2">
        <v>-1</v>
      </c>
      <c r="AB8" s="2">
        <v>-1</v>
      </c>
      <c r="AC8" s="2">
        <v>-1</v>
      </c>
      <c r="AD8" s="2">
        <v>-1</v>
      </c>
      <c r="AE8" s="2">
        <v>-1</v>
      </c>
      <c r="AF8" s="2">
        <v>-1</v>
      </c>
      <c r="AG8" s="2">
        <v>-1</v>
      </c>
      <c r="AH8" s="2">
        <v>-1</v>
      </c>
      <c r="AI8" s="2">
        <v>-1</v>
      </c>
      <c r="AJ8" s="2">
        <v>-1</v>
      </c>
      <c r="AK8" s="2">
        <v>-1</v>
      </c>
      <c r="AL8" s="2">
        <v>-1</v>
      </c>
      <c r="AM8" s="2">
        <v>-1</v>
      </c>
      <c r="AN8" s="2">
        <v>-1</v>
      </c>
      <c r="AO8" s="2">
        <v>-1</v>
      </c>
      <c r="AP8" s="2">
        <v>-1</v>
      </c>
      <c r="AQ8" s="2">
        <v>-1</v>
      </c>
      <c r="AR8" s="2">
        <v>-1</v>
      </c>
      <c r="AS8" s="2">
        <v>-1</v>
      </c>
      <c r="AT8" s="2">
        <v>-1</v>
      </c>
      <c r="AU8" s="2">
        <v>-1</v>
      </c>
      <c r="AV8" s="2">
        <v>-1</v>
      </c>
      <c r="AW8" s="2">
        <v>-1</v>
      </c>
      <c r="AX8" s="2">
        <v>-1</v>
      </c>
      <c r="AY8" s="2">
        <v>-1</v>
      </c>
      <c r="AZ8" s="2">
        <v>-1</v>
      </c>
      <c r="BA8" s="2">
        <v>-1</v>
      </c>
      <c r="BB8" s="2">
        <v>-1</v>
      </c>
      <c r="BC8" s="2">
        <v>-1</v>
      </c>
    </row>
    <row r="9" spans="1:55" x14ac:dyDescent="0.25">
      <c r="A9" s="2">
        <v>7</v>
      </c>
      <c r="B9" t="s">
        <v>947</v>
      </c>
      <c r="C9" s="2">
        <v>255</v>
      </c>
      <c r="D9" s="2">
        <v>154</v>
      </c>
      <c r="E9" s="2">
        <v>232</v>
      </c>
      <c r="F9" t="s">
        <v>948</v>
      </c>
      <c r="G9" t="s">
        <v>949</v>
      </c>
      <c r="H9" t="s">
        <v>950</v>
      </c>
      <c r="I9" t="s">
        <v>951</v>
      </c>
      <c r="J9" t="s">
        <v>59</v>
      </c>
      <c r="K9" t="s">
        <v>935</v>
      </c>
      <c r="L9" t="s">
        <v>928</v>
      </c>
      <c r="M9" t="s">
        <v>929</v>
      </c>
      <c r="N9" t="s">
        <v>59</v>
      </c>
      <c r="O9">
        <v>-1</v>
      </c>
      <c r="P9" s="2">
        <v>40000</v>
      </c>
      <c r="Q9" s="2">
        <v>40001</v>
      </c>
      <c r="R9" s="2">
        <v>40002</v>
      </c>
      <c r="S9" s="2">
        <v>40003</v>
      </c>
      <c r="T9" s="2">
        <v>40004</v>
      </c>
      <c r="U9" s="2">
        <v>40005</v>
      </c>
      <c r="V9" s="2">
        <v>40006</v>
      </c>
      <c r="W9" s="2">
        <v>40007</v>
      </c>
      <c r="X9" s="2">
        <v>40008</v>
      </c>
      <c r="Y9" s="2">
        <v>50000</v>
      </c>
      <c r="Z9" s="2">
        <v>50001</v>
      </c>
      <c r="AA9" s="2">
        <v>50002</v>
      </c>
      <c r="AB9" s="2">
        <v>50003</v>
      </c>
      <c r="AC9" s="2">
        <v>50004</v>
      </c>
      <c r="AD9" s="2">
        <v>50005</v>
      </c>
      <c r="AE9" s="2">
        <v>50006</v>
      </c>
      <c r="AF9" s="2">
        <v>50007</v>
      </c>
      <c r="AG9" s="2">
        <v>-1</v>
      </c>
      <c r="AH9" s="2">
        <v>-1</v>
      </c>
      <c r="AI9" s="2">
        <v>-1</v>
      </c>
      <c r="AJ9" s="2">
        <v>-1</v>
      </c>
      <c r="AK9" s="2">
        <v>-1</v>
      </c>
      <c r="AL9" s="2">
        <v>-1</v>
      </c>
      <c r="AM9" s="2">
        <v>-1</v>
      </c>
      <c r="AN9" s="2">
        <v>-1</v>
      </c>
      <c r="AO9" s="2">
        <v>-1</v>
      </c>
      <c r="AP9" s="2">
        <v>-1</v>
      </c>
      <c r="AQ9" s="2">
        <v>-1</v>
      </c>
      <c r="AR9" s="2">
        <v>-1</v>
      </c>
      <c r="AS9" s="2">
        <v>-1</v>
      </c>
      <c r="AT9" s="2">
        <v>-1</v>
      </c>
      <c r="AU9" s="2">
        <v>-1</v>
      </c>
      <c r="AV9" s="2">
        <v>-1</v>
      </c>
      <c r="AW9" s="2">
        <v>-1</v>
      </c>
      <c r="AX9" s="2">
        <v>-1</v>
      </c>
      <c r="AY9" s="2">
        <v>-1</v>
      </c>
      <c r="AZ9" s="2">
        <v>-1</v>
      </c>
      <c r="BA9" s="2">
        <v>-1</v>
      </c>
      <c r="BB9" s="2">
        <v>-1</v>
      </c>
      <c r="BC9" s="2">
        <v>-1</v>
      </c>
    </row>
    <row r="10" spans="1:55" x14ac:dyDescent="0.25">
      <c r="A10" s="2">
        <v>8</v>
      </c>
      <c r="B10" t="s">
        <v>965</v>
      </c>
      <c r="C10" s="2">
        <v>255</v>
      </c>
      <c r="D10" s="2">
        <v>154</v>
      </c>
      <c r="E10" s="2">
        <v>232</v>
      </c>
      <c r="F10" t="s">
        <v>966</v>
      </c>
      <c r="G10" t="s">
        <v>967</v>
      </c>
      <c r="H10" t="s">
        <v>968</v>
      </c>
      <c r="I10" t="s">
        <v>969</v>
      </c>
      <c r="J10" t="s">
        <v>59</v>
      </c>
      <c r="K10" t="s">
        <v>935</v>
      </c>
      <c r="L10" t="s">
        <v>928</v>
      </c>
      <c r="M10" t="s">
        <v>929</v>
      </c>
      <c r="N10" t="s">
        <v>59</v>
      </c>
      <c r="O10">
        <v>-1</v>
      </c>
      <c r="P10" s="2">
        <v>70000</v>
      </c>
      <c r="Q10" s="2">
        <v>70001</v>
      </c>
      <c r="R10" s="2">
        <v>70002</v>
      </c>
      <c r="S10" s="2">
        <v>70005</v>
      </c>
      <c r="T10" s="2">
        <v>70006</v>
      </c>
      <c r="U10" s="2">
        <v>70007</v>
      </c>
      <c r="V10" s="2">
        <v>70008</v>
      </c>
      <c r="W10" s="2">
        <v>70009</v>
      </c>
      <c r="X10" s="2">
        <v>70010</v>
      </c>
      <c r="Y10" s="2">
        <v>70011</v>
      </c>
      <c r="Z10" s="2">
        <v>-1</v>
      </c>
      <c r="AA10" s="2">
        <v>-1</v>
      </c>
      <c r="AB10" s="2">
        <v>-1</v>
      </c>
      <c r="AC10" s="2">
        <v>-1</v>
      </c>
      <c r="AD10" s="2">
        <v>-1</v>
      </c>
      <c r="AE10" s="2">
        <v>-1</v>
      </c>
      <c r="AF10" s="2">
        <v>-1</v>
      </c>
      <c r="AG10" s="2">
        <v>-1</v>
      </c>
      <c r="AH10" s="2">
        <v>-1</v>
      </c>
      <c r="AI10" s="2">
        <v>-1</v>
      </c>
      <c r="AJ10" s="2">
        <v>-1</v>
      </c>
      <c r="AK10" s="2">
        <v>-1</v>
      </c>
      <c r="AL10" s="2">
        <v>-1</v>
      </c>
      <c r="AM10" s="2">
        <v>-1</v>
      </c>
      <c r="AN10" s="2">
        <v>-1</v>
      </c>
      <c r="AO10" s="2">
        <v>-1</v>
      </c>
      <c r="AP10" s="2">
        <v>-1</v>
      </c>
      <c r="AQ10" s="2">
        <v>-1</v>
      </c>
      <c r="AR10" s="2">
        <v>-1</v>
      </c>
      <c r="AS10" s="2">
        <v>-1</v>
      </c>
      <c r="AT10" s="2">
        <v>-1</v>
      </c>
      <c r="AU10" s="2">
        <v>-1</v>
      </c>
      <c r="AV10" s="2">
        <v>-1</v>
      </c>
      <c r="AW10" s="2">
        <v>-1</v>
      </c>
      <c r="AX10" s="2">
        <v>-1</v>
      </c>
      <c r="AY10" s="2">
        <v>-1</v>
      </c>
      <c r="AZ10" s="2">
        <v>-1</v>
      </c>
      <c r="BA10" s="2">
        <v>-1</v>
      </c>
      <c r="BB10" s="2">
        <v>-1</v>
      </c>
      <c r="BC10" s="2">
        <v>-1</v>
      </c>
    </row>
    <row r="11" spans="1:55" x14ac:dyDescent="0.25">
      <c r="A11" s="2">
        <v>9</v>
      </c>
      <c r="B11" t="s">
        <v>970</v>
      </c>
      <c r="C11" s="2">
        <v>33</v>
      </c>
      <c r="D11" s="2">
        <v>234</v>
      </c>
      <c r="E11" s="2">
        <v>163</v>
      </c>
      <c r="F11" t="s">
        <v>931</v>
      </c>
      <c r="G11" t="s">
        <v>944</v>
      </c>
      <c r="H11" t="s">
        <v>945</v>
      </c>
      <c r="I11" t="s">
        <v>946</v>
      </c>
      <c r="J11" t="s">
        <v>59</v>
      </c>
      <c r="K11" t="s">
        <v>935</v>
      </c>
      <c r="L11" t="s">
        <v>928</v>
      </c>
      <c r="M11" t="s">
        <v>929</v>
      </c>
      <c r="N11" t="s">
        <v>59</v>
      </c>
      <c r="O11">
        <v>-1</v>
      </c>
      <c r="P11" s="2">
        <v>9000</v>
      </c>
      <c r="Q11" s="2">
        <v>9001</v>
      </c>
      <c r="R11" s="2">
        <v>9014</v>
      </c>
      <c r="S11" s="2">
        <v>9015</v>
      </c>
      <c r="T11" s="2">
        <v>9016</v>
      </c>
      <c r="U11" s="2">
        <v>9017</v>
      </c>
      <c r="V11" s="2">
        <v>9018</v>
      </c>
      <c r="W11" s="2">
        <v>9019</v>
      </c>
      <c r="X11" s="2">
        <v>-1</v>
      </c>
      <c r="Y11" s="2">
        <v>-1</v>
      </c>
      <c r="Z11" s="2">
        <v>-1</v>
      </c>
      <c r="AA11" s="2">
        <v>-1</v>
      </c>
      <c r="AB11" s="2">
        <v>-1</v>
      </c>
      <c r="AC11" s="2">
        <v>-1</v>
      </c>
      <c r="AD11" s="2">
        <v>-1</v>
      </c>
      <c r="AE11" s="2">
        <v>-1</v>
      </c>
      <c r="AF11" s="2">
        <v>-1</v>
      </c>
      <c r="AG11" s="2">
        <v>-1</v>
      </c>
      <c r="AH11" s="2">
        <v>-1</v>
      </c>
      <c r="AI11" s="2">
        <v>-1</v>
      </c>
      <c r="AJ11" s="2">
        <v>-1</v>
      </c>
      <c r="AK11" s="2">
        <v>-1</v>
      </c>
      <c r="AL11" s="2">
        <v>-1</v>
      </c>
      <c r="AM11" s="2">
        <v>-1</v>
      </c>
      <c r="AN11" s="2">
        <v>-1</v>
      </c>
      <c r="AO11" s="2">
        <v>-1</v>
      </c>
      <c r="AP11" s="2">
        <v>-1</v>
      </c>
      <c r="AQ11" s="2">
        <v>-1</v>
      </c>
      <c r="AR11" s="2">
        <v>-1</v>
      </c>
      <c r="AS11" s="2">
        <v>-1</v>
      </c>
      <c r="AT11" s="2">
        <v>-1</v>
      </c>
      <c r="AU11" s="2">
        <v>-1</v>
      </c>
      <c r="AV11" s="2">
        <v>-1</v>
      </c>
      <c r="AW11" s="2">
        <v>-1</v>
      </c>
      <c r="AX11" s="2">
        <v>-1</v>
      </c>
      <c r="AY11" s="2">
        <v>-1</v>
      </c>
      <c r="AZ11" s="2">
        <v>-1</v>
      </c>
      <c r="BA11" s="2">
        <v>-1</v>
      </c>
      <c r="BB11" s="2">
        <v>-1</v>
      </c>
      <c r="BC11" s="2">
        <v>-1</v>
      </c>
    </row>
    <row r="12" spans="1:55" x14ac:dyDescent="0.25">
      <c r="A12" s="2">
        <v>10</v>
      </c>
      <c r="B12" t="s">
        <v>943</v>
      </c>
      <c r="C12" s="2">
        <v>33</v>
      </c>
      <c r="D12" s="2">
        <v>234</v>
      </c>
      <c r="E12" s="2">
        <v>163</v>
      </c>
      <c r="F12" t="s">
        <v>931</v>
      </c>
      <c r="G12" t="s">
        <v>944</v>
      </c>
      <c r="H12" t="s">
        <v>945</v>
      </c>
      <c r="I12" t="s">
        <v>946</v>
      </c>
      <c r="J12" t="s">
        <v>59</v>
      </c>
      <c r="K12" t="s">
        <v>935</v>
      </c>
      <c r="L12" t="s">
        <v>928</v>
      </c>
      <c r="M12" t="s">
        <v>929</v>
      </c>
      <c r="N12" t="s">
        <v>59</v>
      </c>
      <c r="O12">
        <v>-1</v>
      </c>
      <c r="P12" s="2">
        <v>9100</v>
      </c>
      <c r="Q12" s="2">
        <v>-1</v>
      </c>
      <c r="R12" s="2">
        <v>-1</v>
      </c>
      <c r="S12" s="2">
        <v>-1</v>
      </c>
      <c r="T12" s="2">
        <v>-1</v>
      </c>
      <c r="U12" s="2">
        <v>-1</v>
      </c>
      <c r="V12" s="2">
        <v>-1</v>
      </c>
      <c r="W12" s="2">
        <v>-1</v>
      </c>
      <c r="X12" s="2">
        <v>-1</v>
      </c>
      <c r="Y12" s="2">
        <v>-1</v>
      </c>
      <c r="Z12" s="2">
        <v>-1</v>
      </c>
      <c r="AA12" s="2">
        <v>-1</v>
      </c>
      <c r="AB12" s="2">
        <v>-1</v>
      </c>
      <c r="AC12" s="2">
        <v>-1</v>
      </c>
      <c r="AD12" s="2">
        <v>-1</v>
      </c>
      <c r="AE12" s="2">
        <v>-1</v>
      </c>
      <c r="AF12" s="2">
        <v>-1</v>
      </c>
      <c r="AG12" s="2">
        <v>-1</v>
      </c>
      <c r="AH12" s="2">
        <v>-1</v>
      </c>
      <c r="AI12" s="2">
        <v>-1</v>
      </c>
      <c r="AJ12" s="2">
        <v>-1</v>
      </c>
      <c r="AK12" s="2">
        <v>-1</v>
      </c>
      <c r="AL12" s="2">
        <v>-1</v>
      </c>
      <c r="AM12" s="2">
        <v>-1</v>
      </c>
      <c r="AN12" s="2">
        <v>-1</v>
      </c>
      <c r="AO12" s="2">
        <v>-1</v>
      </c>
      <c r="AP12" s="2">
        <v>-1</v>
      </c>
      <c r="AQ12" s="2">
        <v>-1</v>
      </c>
      <c r="AR12" s="2">
        <v>-1</v>
      </c>
      <c r="AS12" s="2">
        <v>-1</v>
      </c>
      <c r="AT12" s="2">
        <v>-1</v>
      </c>
      <c r="AU12" s="2">
        <v>-1</v>
      </c>
      <c r="AV12" s="2">
        <v>-1</v>
      </c>
      <c r="AW12" s="2">
        <v>-1</v>
      </c>
      <c r="AX12" s="2">
        <v>-1</v>
      </c>
      <c r="AY12" s="2">
        <v>-1</v>
      </c>
      <c r="AZ12" s="2">
        <v>-1</v>
      </c>
      <c r="BA12" s="2">
        <v>-1</v>
      </c>
      <c r="BB12" s="2">
        <v>-1</v>
      </c>
      <c r="BC12" s="2">
        <v>-1</v>
      </c>
    </row>
    <row r="13" spans="1:55" x14ac:dyDescent="0.25">
      <c r="A13" s="2">
        <v>11</v>
      </c>
      <c r="B13" t="s">
        <v>943</v>
      </c>
      <c r="C13" s="2">
        <v>255</v>
      </c>
      <c r="D13" s="2">
        <v>77</v>
      </c>
      <c r="E13" s="2">
        <v>83</v>
      </c>
      <c r="F13" t="s">
        <v>931</v>
      </c>
      <c r="G13" t="s">
        <v>971</v>
      </c>
      <c r="H13" t="s">
        <v>924</v>
      </c>
      <c r="I13" t="s">
        <v>972</v>
      </c>
      <c r="J13" t="s">
        <v>59</v>
      </c>
      <c r="K13" t="s">
        <v>935</v>
      </c>
      <c r="L13" t="s">
        <v>973</v>
      </c>
      <c r="M13" t="s">
        <v>929</v>
      </c>
      <c r="N13" t="s">
        <v>59</v>
      </c>
      <c r="O13">
        <v>-1</v>
      </c>
      <c r="P13" s="2">
        <v>9103</v>
      </c>
      <c r="Q13" s="2">
        <v>9109</v>
      </c>
      <c r="R13" s="2">
        <v>9112</v>
      </c>
      <c r="S13" s="2">
        <v>9113</v>
      </c>
      <c r="T13" s="2">
        <v>9118</v>
      </c>
      <c r="U13" s="2">
        <v>9127</v>
      </c>
      <c r="V13" s="2">
        <v>9126</v>
      </c>
      <c r="W13" s="2">
        <v>9125</v>
      </c>
      <c r="X13" s="2">
        <v>9124</v>
      </c>
      <c r="Y13" s="2">
        <v>9201</v>
      </c>
      <c r="Z13" s="2">
        <v>9203</v>
      </c>
      <c r="AA13" s="2">
        <v>9204</v>
      </c>
      <c r="AB13" s="2">
        <v>9205</v>
      </c>
      <c r="AC13" s="2">
        <v>-1</v>
      </c>
      <c r="AD13" s="2">
        <v>-1</v>
      </c>
      <c r="AE13" s="2">
        <v>-1</v>
      </c>
      <c r="AF13" s="2">
        <v>-1</v>
      </c>
      <c r="AG13" s="2">
        <v>-1</v>
      </c>
      <c r="AH13" s="2">
        <v>-1</v>
      </c>
      <c r="AI13" s="2">
        <v>-1</v>
      </c>
      <c r="AJ13" s="2">
        <v>-1</v>
      </c>
      <c r="AK13" s="2">
        <v>-1</v>
      </c>
      <c r="AL13" s="2">
        <v>-1</v>
      </c>
      <c r="AM13" s="2">
        <v>-1</v>
      </c>
      <c r="AN13" s="2">
        <v>-1</v>
      </c>
      <c r="AO13" s="2">
        <v>-1</v>
      </c>
      <c r="AP13" s="2">
        <v>-1</v>
      </c>
      <c r="AQ13" s="2">
        <v>-1</v>
      </c>
      <c r="AR13" s="2">
        <v>-1</v>
      </c>
      <c r="AS13" s="2">
        <v>-1</v>
      </c>
      <c r="AT13" s="2">
        <v>-1</v>
      </c>
      <c r="AU13" s="2">
        <v>-1</v>
      </c>
      <c r="AV13" s="2">
        <v>-1</v>
      </c>
      <c r="AW13" s="2">
        <v>-1</v>
      </c>
      <c r="AX13" s="2">
        <v>-1</v>
      </c>
      <c r="AY13" s="2">
        <v>-1</v>
      </c>
      <c r="AZ13" s="2">
        <v>-1</v>
      </c>
      <c r="BA13" s="2">
        <v>-1</v>
      </c>
      <c r="BB13" s="2">
        <v>-1</v>
      </c>
      <c r="BC13" s="2">
        <v>-1</v>
      </c>
    </row>
  </sheetData>
  <conditionalFormatting sqref="A1:BC500">
    <cfRule type="cellIs" dxfId="13" priority="1" operator="equal">
      <formula>"n/a"</formula>
    </cfRule>
    <cfRule type="cellIs" dxfId="12" priority="2" operator="equal">
      <formula>-1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36"/>
  <sheetViews>
    <sheetView workbookViewId="0">
      <pane xSplit="3" ySplit="2" topLeftCell="E3" activePane="bottomRight" state="frozen"/>
      <selection pane="topRight" activeCell="C1" sqref="C1"/>
      <selection pane="bottomLeft" activeCell="A3" sqref="A3"/>
      <selection pane="bottomRight" activeCell="Q1" sqref="Q1:Z1"/>
    </sheetView>
  </sheetViews>
  <sheetFormatPr defaultRowHeight="15" x14ac:dyDescent="0.25"/>
  <cols>
    <col min="1" max="1" width="3.85546875" bestFit="1" customWidth="1"/>
    <col min="2" max="2" width="8" bestFit="1" customWidth="1"/>
    <col min="3" max="3" width="32.28515625" bestFit="1" customWidth="1"/>
    <col min="4" max="4" width="32.5703125" bestFit="1" customWidth="1"/>
    <col min="5" max="5" width="38" bestFit="1" customWidth="1"/>
    <col min="6" max="6" width="11.7109375" bestFit="1" customWidth="1"/>
    <col min="7" max="7" width="11.7109375" customWidth="1"/>
    <col min="8" max="15" width="10.5703125" customWidth="1"/>
    <col min="16" max="26" width="6.28515625" customWidth="1"/>
    <col min="27" max="36" width="6.140625" customWidth="1"/>
    <col min="37" max="46" width="6.28515625" customWidth="1"/>
    <col min="47" max="47" width="28.28515625" bestFit="1" customWidth="1"/>
    <col min="48" max="48" width="6.28515625" customWidth="1"/>
    <col min="49" max="49" width="10.28515625" customWidth="1"/>
  </cols>
  <sheetData>
    <row r="1" spans="1:49" s="1" customFormat="1" ht="45" x14ac:dyDescent="0.25">
      <c r="A1" s="1" t="s">
        <v>3</v>
      </c>
      <c r="B1" s="1" t="s">
        <v>66</v>
      </c>
      <c r="C1" s="1" t="s">
        <v>723</v>
      </c>
      <c r="D1" s="1" t="s">
        <v>64</v>
      </c>
      <c r="E1" s="1" t="s">
        <v>1133</v>
      </c>
      <c r="F1" s="1" t="s">
        <v>7</v>
      </c>
      <c r="G1" s="1" t="s">
        <v>1136</v>
      </c>
      <c r="H1" s="1" t="s">
        <v>1149</v>
      </c>
      <c r="I1" s="1" t="s">
        <v>1150</v>
      </c>
      <c r="J1" s="1" t="s">
        <v>1151</v>
      </c>
      <c r="K1" s="1" t="s">
        <v>1152</v>
      </c>
      <c r="L1" s="1" t="s">
        <v>1153</v>
      </c>
      <c r="M1" s="1" t="s">
        <v>1154</v>
      </c>
      <c r="N1" s="1" t="s">
        <v>1155</v>
      </c>
      <c r="O1" s="1" t="s">
        <v>1156</v>
      </c>
      <c r="P1" s="1" t="s">
        <v>1137</v>
      </c>
      <c r="Q1" s="1" t="s">
        <v>2047</v>
      </c>
      <c r="R1" s="1" t="s">
        <v>2048</v>
      </c>
      <c r="S1" s="1" t="s">
        <v>2049</v>
      </c>
      <c r="T1" s="1" t="s">
        <v>2050</v>
      </c>
      <c r="U1" s="1" t="s">
        <v>2051</v>
      </c>
      <c r="V1" s="1" t="s">
        <v>2052</v>
      </c>
      <c r="W1" s="1" t="s">
        <v>2053</v>
      </c>
      <c r="X1" s="1" t="s">
        <v>2054</v>
      </c>
      <c r="Y1" s="1" t="s">
        <v>2055</v>
      </c>
      <c r="Z1" s="1" t="s">
        <v>2056</v>
      </c>
      <c r="AA1" s="1" t="s">
        <v>1157</v>
      </c>
      <c r="AB1" s="1" t="s">
        <v>1158</v>
      </c>
      <c r="AC1" s="1" t="s">
        <v>1159</v>
      </c>
      <c r="AD1" s="1" t="s">
        <v>1160</v>
      </c>
      <c r="AE1" s="1" t="s">
        <v>1161</v>
      </c>
      <c r="AF1" s="1" t="s">
        <v>1162</v>
      </c>
      <c r="AG1" s="1" t="s">
        <v>1163</v>
      </c>
      <c r="AH1" s="1" t="s">
        <v>1164</v>
      </c>
      <c r="AI1" s="1" t="s">
        <v>1165</v>
      </c>
      <c r="AJ1" s="1" t="s">
        <v>1166</v>
      </c>
      <c r="AK1" s="1" t="s">
        <v>1139</v>
      </c>
      <c r="AL1" s="1" t="s">
        <v>1140</v>
      </c>
      <c r="AM1" s="1" t="s">
        <v>1141</v>
      </c>
      <c r="AN1" s="1" t="s">
        <v>1142</v>
      </c>
      <c r="AO1" s="1" t="s">
        <v>1143</v>
      </c>
      <c r="AP1" s="1" t="s">
        <v>1144</v>
      </c>
      <c r="AQ1" s="1" t="s">
        <v>1145</v>
      </c>
      <c r="AR1" s="1" t="s">
        <v>1146</v>
      </c>
      <c r="AS1" s="1" t="s">
        <v>1147</v>
      </c>
      <c r="AT1" s="1" t="s">
        <v>1148</v>
      </c>
      <c r="AU1" s="1" t="s">
        <v>1134</v>
      </c>
      <c r="AV1" s="1" t="s">
        <v>1138</v>
      </c>
      <c r="AW1" s="1" t="s">
        <v>1135</v>
      </c>
    </row>
    <row r="3" spans="1:49" x14ac:dyDescent="0.25">
      <c r="A3">
        <v>1</v>
      </c>
      <c r="B3" s="2">
        <v>9002</v>
      </c>
      <c r="C3" t="s">
        <v>294</v>
      </c>
      <c r="D3" t="s">
        <v>1072</v>
      </c>
      <c r="E3" t="s">
        <v>1073</v>
      </c>
      <c r="F3">
        <v>9002</v>
      </c>
      <c r="G3">
        <v>8</v>
      </c>
      <c r="H3" s="2">
        <v>3</v>
      </c>
      <c r="I3" s="2">
        <v>4</v>
      </c>
      <c r="J3" s="2">
        <v>5</v>
      </c>
      <c r="K3" s="2">
        <v>6</v>
      </c>
      <c r="L3" s="2">
        <v>7</v>
      </c>
      <c r="M3" s="2">
        <v>8</v>
      </c>
      <c r="N3" s="2">
        <v>9</v>
      </c>
      <c r="O3" s="2">
        <v>10</v>
      </c>
      <c r="P3" s="2">
        <v>10</v>
      </c>
      <c r="Q3" s="2">
        <v>0.1</v>
      </c>
      <c r="R3" s="2">
        <v>0.1</v>
      </c>
      <c r="S3" s="2">
        <v>0.1</v>
      </c>
      <c r="T3" s="2">
        <v>0.1</v>
      </c>
      <c r="U3" s="2">
        <v>0.1</v>
      </c>
      <c r="V3" s="2">
        <v>0.1</v>
      </c>
      <c r="W3" s="2">
        <v>0.1</v>
      </c>
      <c r="X3" s="2">
        <v>0.1</v>
      </c>
      <c r="Y3" s="2">
        <v>0.1</v>
      </c>
      <c r="Z3" s="2">
        <v>0.1</v>
      </c>
      <c r="AA3" s="2">
        <v>7</v>
      </c>
      <c r="AB3" s="2">
        <v>8</v>
      </c>
      <c r="AC3" s="2">
        <v>9</v>
      </c>
      <c r="AD3" s="2">
        <v>10</v>
      </c>
      <c r="AE3" s="2">
        <v>10</v>
      </c>
      <c r="AF3" s="2">
        <v>11</v>
      </c>
      <c r="AG3" s="2">
        <v>12</v>
      </c>
      <c r="AH3" s="2">
        <v>13</v>
      </c>
      <c r="AI3" s="2">
        <v>14</v>
      </c>
      <c r="AJ3" s="2">
        <v>15</v>
      </c>
      <c r="AK3" s="2">
        <v>3</v>
      </c>
      <c r="AL3" s="2">
        <v>3</v>
      </c>
      <c r="AM3" s="2">
        <v>3</v>
      </c>
      <c r="AN3" s="2">
        <v>3</v>
      </c>
      <c r="AO3" s="2">
        <v>3</v>
      </c>
      <c r="AP3" s="2">
        <v>3</v>
      </c>
      <c r="AQ3" s="2">
        <v>3</v>
      </c>
      <c r="AR3" s="2">
        <v>3</v>
      </c>
      <c r="AS3" s="2">
        <v>3</v>
      </c>
      <c r="AT3" s="2">
        <v>3</v>
      </c>
      <c r="AU3" t="s">
        <v>296</v>
      </c>
      <c r="AV3">
        <v>1</v>
      </c>
      <c r="AW3" s="2">
        <v>9002</v>
      </c>
    </row>
    <row r="4" spans="1:49" x14ac:dyDescent="0.25">
      <c r="A4">
        <v>2</v>
      </c>
      <c r="B4">
        <v>9003</v>
      </c>
      <c r="C4" t="s">
        <v>297</v>
      </c>
      <c r="D4" t="s">
        <v>1074</v>
      </c>
      <c r="E4" t="s">
        <v>1075</v>
      </c>
      <c r="F4">
        <v>9003</v>
      </c>
      <c r="G4">
        <v>-1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-1</v>
      </c>
      <c r="Q4" s="2">
        <v>0.1</v>
      </c>
      <c r="R4" s="2">
        <v>0.1</v>
      </c>
      <c r="S4" s="2">
        <v>0.1</v>
      </c>
      <c r="T4" s="2">
        <v>0.1</v>
      </c>
      <c r="U4" s="2">
        <v>0.1</v>
      </c>
      <c r="V4" s="2">
        <v>0.1</v>
      </c>
      <c r="W4" s="2">
        <v>0.1</v>
      </c>
      <c r="X4" s="2">
        <v>0.1</v>
      </c>
      <c r="Y4" s="2">
        <v>0.1</v>
      </c>
      <c r="Z4" s="2">
        <v>0.1</v>
      </c>
      <c r="AA4" s="2">
        <v>7</v>
      </c>
      <c r="AB4" s="2">
        <v>8</v>
      </c>
      <c r="AC4" s="2">
        <v>9</v>
      </c>
      <c r="AD4" s="2">
        <v>10</v>
      </c>
      <c r="AE4" s="2">
        <v>10</v>
      </c>
      <c r="AF4" s="2">
        <v>11</v>
      </c>
      <c r="AG4" s="2">
        <v>12</v>
      </c>
      <c r="AH4" s="2">
        <v>13</v>
      </c>
      <c r="AI4" s="2">
        <v>14</v>
      </c>
      <c r="AJ4" s="2">
        <v>15</v>
      </c>
      <c r="AK4" s="2">
        <v>3</v>
      </c>
      <c r="AL4" s="2">
        <v>3</v>
      </c>
      <c r="AM4" s="2">
        <v>3</v>
      </c>
      <c r="AN4" s="2">
        <v>3</v>
      </c>
      <c r="AO4" s="2">
        <v>3</v>
      </c>
      <c r="AP4" s="2">
        <v>3</v>
      </c>
      <c r="AQ4" s="2">
        <v>3</v>
      </c>
      <c r="AR4" s="2">
        <v>3</v>
      </c>
      <c r="AS4" s="2">
        <v>3</v>
      </c>
      <c r="AT4" s="2">
        <v>3</v>
      </c>
      <c r="AU4" s="2" t="s">
        <v>299</v>
      </c>
      <c r="AV4">
        <v>1</v>
      </c>
      <c r="AW4">
        <v>9003</v>
      </c>
    </row>
    <row r="5" spans="1:49" x14ac:dyDescent="0.25">
      <c r="A5">
        <v>3</v>
      </c>
      <c r="B5">
        <v>9004</v>
      </c>
      <c r="C5" t="s">
        <v>300</v>
      </c>
      <c r="D5" t="s">
        <v>1076</v>
      </c>
      <c r="E5" t="s">
        <v>1077</v>
      </c>
      <c r="F5">
        <v>9004</v>
      </c>
      <c r="G5">
        <v>-1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-1</v>
      </c>
      <c r="N5" s="2">
        <v>-1</v>
      </c>
      <c r="O5" s="2">
        <v>-1</v>
      </c>
      <c r="P5" s="2">
        <v>-1</v>
      </c>
      <c r="Q5" s="2">
        <v>0.3</v>
      </c>
      <c r="R5" s="2">
        <v>0.3</v>
      </c>
      <c r="S5" s="2">
        <v>0.2</v>
      </c>
      <c r="T5" s="2">
        <v>0.15</v>
      </c>
      <c r="U5" s="2">
        <v>0.05</v>
      </c>
      <c r="V5" s="2">
        <v>-1</v>
      </c>
      <c r="W5" s="2">
        <v>-1</v>
      </c>
      <c r="X5" s="2">
        <v>-1</v>
      </c>
      <c r="Y5" s="2">
        <v>-1</v>
      </c>
      <c r="Z5" s="2">
        <v>-1</v>
      </c>
      <c r="AA5" s="2">
        <v>10</v>
      </c>
      <c r="AB5" s="2">
        <v>20</v>
      </c>
      <c r="AC5" s="2">
        <v>30</v>
      </c>
      <c r="AD5" s="2">
        <v>50</v>
      </c>
      <c r="AE5" s="2">
        <v>80</v>
      </c>
      <c r="AF5" s="2">
        <v>-1</v>
      </c>
      <c r="AG5" s="2">
        <v>-1</v>
      </c>
      <c r="AH5" s="2">
        <v>-1</v>
      </c>
      <c r="AI5" s="2">
        <v>-1</v>
      </c>
      <c r="AJ5" s="2">
        <v>-1</v>
      </c>
      <c r="AK5" s="2">
        <v>3</v>
      </c>
      <c r="AL5" s="2">
        <v>3</v>
      </c>
      <c r="AM5" s="2">
        <v>3</v>
      </c>
      <c r="AN5" s="2">
        <v>3</v>
      </c>
      <c r="AO5" s="2">
        <v>3</v>
      </c>
      <c r="AP5" s="2">
        <v>-1</v>
      </c>
      <c r="AQ5" s="2">
        <v>-1</v>
      </c>
      <c r="AR5" s="2">
        <v>-1</v>
      </c>
      <c r="AS5" s="2">
        <v>-1</v>
      </c>
      <c r="AT5" s="2">
        <v>-1</v>
      </c>
      <c r="AU5" t="s">
        <v>302</v>
      </c>
      <c r="AV5">
        <v>1</v>
      </c>
      <c r="AW5">
        <v>9016</v>
      </c>
    </row>
    <row r="6" spans="1:49" x14ac:dyDescent="0.25">
      <c r="A6">
        <v>4</v>
      </c>
      <c r="B6">
        <v>9005</v>
      </c>
      <c r="C6" t="s">
        <v>303</v>
      </c>
      <c r="D6" t="s">
        <v>1078</v>
      </c>
      <c r="E6" t="s">
        <v>1079</v>
      </c>
      <c r="F6">
        <v>9005</v>
      </c>
      <c r="G6">
        <v>-1</v>
      </c>
      <c r="H6" s="2">
        <v>3</v>
      </c>
      <c r="I6" s="2">
        <v>4</v>
      </c>
      <c r="J6" s="2">
        <v>5</v>
      </c>
      <c r="K6" s="2">
        <v>6</v>
      </c>
      <c r="L6" s="2">
        <v>7</v>
      </c>
      <c r="M6" s="2">
        <v>8</v>
      </c>
      <c r="N6" s="2">
        <v>9</v>
      </c>
      <c r="O6" s="2">
        <v>10</v>
      </c>
      <c r="P6" s="2">
        <v>-1</v>
      </c>
      <c r="Q6" s="2">
        <v>0.1</v>
      </c>
      <c r="R6" s="2">
        <v>0.1</v>
      </c>
      <c r="S6" s="2">
        <v>0.1</v>
      </c>
      <c r="T6" s="2">
        <v>0.1</v>
      </c>
      <c r="U6" s="2">
        <v>0.1</v>
      </c>
      <c r="V6" s="2">
        <v>0.1</v>
      </c>
      <c r="W6" s="2">
        <v>0.1</v>
      </c>
      <c r="X6" s="2">
        <v>0.1</v>
      </c>
      <c r="Y6" s="2">
        <v>0.1</v>
      </c>
      <c r="Z6" s="2">
        <v>0.1</v>
      </c>
      <c r="AA6" s="2">
        <v>7</v>
      </c>
      <c r="AB6" s="2">
        <v>8</v>
      </c>
      <c r="AC6" s="2">
        <v>9</v>
      </c>
      <c r="AD6" s="2">
        <v>10</v>
      </c>
      <c r="AE6" s="2">
        <v>10</v>
      </c>
      <c r="AF6" s="2">
        <v>11</v>
      </c>
      <c r="AG6" s="2">
        <v>12</v>
      </c>
      <c r="AH6" s="2">
        <v>13</v>
      </c>
      <c r="AI6" s="2">
        <v>14</v>
      </c>
      <c r="AJ6" s="2">
        <v>15</v>
      </c>
      <c r="AK6" s="2">
        <v>3</v>
      </c>
      <c r="AL6" s="2">
        <v>3</v>
      </c>
      <c r="AM6" s="2">
        <v>3</v>
      </c>
      <c r="AN6" s="2">
        <v>3</v>
      </c>
      <c r="AO6" s="2">
        <v>3</v>
      </c>
      <c r="AP6" s="2">
        <v>3</v>
      </c>
      <c r="AQ6" s="2">
        <v>3</v>
      </c>
      <c r="AR6" s="2">
        <v>3</v>
      </c>
      <c r="AS6" s="2">
        <v>3</v>
      </c>
      <c r="AT6" s="2">
        <v>3</v>
      </c>
      <c r="AU6" s="2" t="s">
        <v>305</v>
      </c>
      <c r="AV6">
        <v>1</v>
      </c>
      <c r="AW6">
        <v>9005</v>
      </c>
    </row>
    <row r="7" spans="1:49" x14ac:dyDescent="0.25">
      <c r="A7">
        <v>5</v>
      </c>
      <c r="B7">
        <v>9006</v>
      </c>
      <c r="C7" t="s">
        <v>306</v>
      </c>
      <c r="D7" t="s">
        <v>1080</v>
      </c>
      <c r="E7" t="s">
        <v>1081</v>
      </c>
      <c r="F7">
        <v>9006</v>
      </c>
      <c r="G7">
        <v>-1</v>
      </c>
      <c r="H7" s="2">
        <v>3</v>
      </c>
      <c r="I7" s="2">
        <v>4</v>
      </c>
      <c r="J7" s="2">
        <v>5</v>
      </c>
      <c r="K7" s="2">
        <v>6</v>
      </c>
      <c r="L7" s="2">
        <v>7</v>
      </c>
      <c r="M7" s="2">
        <v>8</v>
      </c>
      <c r="N7" s="2">
        <v>9</v>
      </c>
      <c r="O7" s="2">
        <v>10</v>
      </c>
      <c r="P7" s="2">
        <v>-1</v>
      </c>
      <c r="Q7" s="2">
        <v>0.1</v>
      </c>
      <c r="R7" s="2">
        <v>0.1</v>
      </c>
      <c r="S7" s="2">
        <v>0.1</v>
      </c>
      <c r="T7" s="2">
        <v>0.1</v>
      </c>
      <c r="U7" s="2">
        <v>0.1</v>
      </c>
      <c r="V7" s="2">
        <v>0.1</v>
      </c>
      <c r="W7" s="2">
        <v>0.1</v>
      </c>
      <c r="X7" s="2">
        <v>0.1</v>
      </c>
      <c r="Y7" s="2">
        <v>0.1</v>
      </c>
      <c r="Z7" s="2">
        <v>0.1</v>
      </c>
      <c r="AA7" s="2">
        <v>7</v>
      </c>
      <c r="AB7" s="2">
        <v>8</v>
      </c>
      <c r="AC7" s="2">
        <v>9</v>
      </c>
      <c r="AD7" s="2">
        <v>10</v>
      </c>
      <c r="AE7" s="2">
        <v>10</v>
      </c>
      <c r="AF7" s="2">
        <v>11</v>
      </c>
      <c r="AG7" s="2">
        <v>12</v>
      </c>
      <c r="AH7" s="2">
        <v>13</v>
      </c>
      <c r="AI7" s="2">
        <v>14</v>
      </c>
      <c r="AJ7" s="2">
        <v>15</v>
      </c>
      <c r="AK7" s="2">
        <v>3</v>
      </c>
      <c r="AL7" s="2">
        <v>3</v>
      </c>
      <c r="AM7" s="2">
        <v>3</v>
      </c>
      <c r="AN7" s="2">
        <v>3</v>
      </c>
      <c r="AO7" s="2">
        <v>3</v>
      </c>
      <c r="AP7" s="2">
        <v>3</v>
      </c>
      <c r="AQ7" s="2">
        <v>3</v>
      </c>
      <c r="AR7" s="2">
        <v>3</v>
      </c>
      <c r="AS7" s="2">
        <v>3</v>
      </c>
      <c r="AT7" s="2">
        <v>3</v>
      </c>
      <c r="AU7" t="s">
        <v>308</v>
      </c>
      <c r="AV7">
        <v>1</v>
      </c>
      <c r="AW7">
        <v>9006</v>
      </c>
    </row>
    <row r="8" spans="1:49" x14ac:dyDescent="0.25">
      <c r="A8">
        <v>6</v>
      </c>
      <c r="B8">
        <v>9007</v>
      </c>
      <c r="C8" t="s">
        <v>309</v>
      </c>
      <c r="D8" t="s">
        <v>1082</v>
      </c>
      <c r="E8" t="s">
        <v>1083</v>
      </c>
      <c r="F8">
        <v>9007</v>
      </c>
      <c r="G8">
        <v>-1</v>
      </c>
      <c r="H8" s="2">
        <v>3</v>
      </c>
      <c r="I8" s="2">
        <v>4</v>
      </c>
      <c r="J8" s="2">
        <v>5</v>
      </c>
      <c r="K8" s="2">
        <v>6</v>
      </c>
      <c r="L8" s="2">
        <v>7</v>
      </c>
      <c r="M8" s="2">
        <v>8</v>
      </c>
      <c r="N8" s="2">
        <v>9</v>
      </c>
      <c r="O8" s="2">
        <v>10</v>
      </c>
      <c r="P8" s="2">
        <v>-1</v>
      </c>
      <c r="Q8" s="2">
        <v>0.1</v>
      </c>
      <c r="R8" s="2">
        <v>0.1</v>
      </c>
      <c r="S8" s="2">
        <v>0.1</v>
      </c>
      <c r="T8" s="2">
        <v>0.1</v>
      </c>
      <c r="U8" s="2">
        <v>0.1</v>
      </c>
      <c r="V8" s="2">
        <v>0.1</v>
      </c>
      <c r="W8" s="2">
        <v>0.1</v>
      </c>
      <c r="X8" s="2">
        <v>0.1</v>
      </c>
      <c r="Y8" s="2">
        <v>0.1</v>
      </c>
      <c r="Z8" s="2">
        <v>0.1</v>
      </c>
      <c r="AA8" s="2">
        <v>7</v>
      </c>
      <c r="AB8" s="2">
        <v>8</v>
      </c>
      <c r="AC8" s="2">
        <v>9</v>
      </c>
      <c r="AD8" s="2">
        <v>10</v>
      </c>
      <c r="AE8" s="2">
        <v>10</v>
      </c>
      <c r="AF8" s="2">
        <v>11</v>
      </c>
      <c r="AG8" s="2">
        <v>12</v>
      </c>
      <c r="AH8" s="2">
        <v>13</v>
      </c>
      <c r="AI8" s="2">
        <v>14</v>
      </c>
      <c r="AJ8" s="2">
        <v>15</v>
      </c>
      <c r="AK8" s="2">
        <v>3</v>
      </c>
      <c r="AL8" s="2">
        <v>3</v>
      </c>
      <c r="AM8" s="2">
        <v>3</v>
      </c>
      <c r="AN8" s="2">
        <v>3</v>
      </c>
      <c r="AO8" s="2">
        <v>3</v>
      </c>
      <c r="AP8" s="2">
        <v>3</v>
      </c>
      <c r="AQ8" s="2">
        <v>3</v>
      </c>
      <c r="AR8" s="2">
        <v>3</v>
      </c>
      <c r="AS8" s="2">
        <v>3</v>
      </c>
      <c r="AT8" s="2">
        <v>3</v>
      </c>
      <c r="AU8" t="s">
        <v>311</v>
      </c>
      <c r="AV8">
        <v>1</v>
      </c>
      <c r="AW8">
        <v>9007</v>
      </c>
    </row>
    <row r="9" spans="1:49" x14ac:dyDescent="0.25">
      <c r="A9">
        <v>7</v>
      </c>
      <c r="B9">
        <v>9008</v>
      </c>
      <c r="C9" t="s">
        <v>312</v>
      </c>
      <c r="D9" t="s">
        <v>1084</v>
      </c>
      <c r="E9" t="s">
        <v>1085</v>
      </c>
      <c r="F9">
        <v>9008</v>
      </c>
      <c r="G9">
        <v>-1</v>
      </c>
      <c r="H9" s="2">
        <v>6</v>
      </c>
      <c r="I9" s="2">
        <v>7</v>
      </c>
      <c r="J9" s="2">
        <v>8</v>
      </c>
      <c r="K9" s="2">
        <v>9</v>
      </c>
      <c r="L9" s="2">
        <v>10</v>
      </c>
      <c r="M9" s="2">
        <v>11</v>
      </c>
      <c r="N9" s="2">
        <v>12</v>
      </c>
      <c r="O9" s="2">
        <v>13</v>
      </c>
      <c r="P9" s="2">
        <v>-1</v>
      </c>
      <c r="Q9" s="2">
        <v>0.14000000000000001</v>
      </c>
      <c r="R9" s="2">
        <v>0.14000000000000001</v>
      </c>
      <c r="S9" s="2">
        <v>0.14000000000000001</v>
      </c>
      <c r="T9" s="2">
        <v>0.14000000000000001</v>
      </c>
      <c r="U9" s="2">
        <v>0.14000000000000001</v>
      </c>
      <c r="V9" s="2">
        <v>0.15</v>
      </c>
      <c r="W9" s="2">
        <v>0.15</v>
      </c>
      <c r="X9" s="2">
        <v>-1</v>
      </c>
      <c r="Y9" s="2">
        <v>-1</v>
      </c>
      <c r="Z9" s="2">
        <v>-1</v>
      </c>
      <c r="AA9" s="2">
        <v>10</v>
      </c>
      <c r="AB9" s="2">
        <v>11</v>
      </c>
      <c r="AC9" s="2">
        <v>12</v>
      </c>
      <c r="AD9" s="2">
        <v>13</v>
      </c>
      <c r="AE9" s="2">
        <v>14</v>
      </c>
      <c r="AF9" s="2">
        <v>15</v>
      </c>
      <c r="AG9" s="2">
        <v>16</v>
      </c>
      <c r="AH9" s="2">
        <v>-1</v>
      </c>
      <c r="AI9" s="2">
        <v>-1</v>
      </c>
      <c r="AJ9" s="2">
        <v>-1</v>
      </c>
      <c r="AK9" s="2">
        <v>3</v>
      </c>
      <c r="AL9" s="2">
        <v>3</v>
      </c>
      <c r="AM9" s="2">
        <v>3</v>
      </c>
      <c r="AN9" s="2">
        <v>3</v>
      </c>
      <c r="AO9" s="2">
        <v>3</v>
      </c>
      <c r="AP9" s="2">
        <v>3</v>
      </c>
      <c r="AQ9" s="2">
        <v>3</v>
      </c>
      <c r="AR9" s="2">
        <v>-1</v>
      </c>
      <c r="AS9" s="2">
        <v>-1</v>
      </c>
      <c r="AT9" s="2">
        <v>-1</v>
      </c>
      <c r="AU9" t="s">
        <v>314</v>
      </c>
      <c r="AV9">
        <v>1</v>
      </c>
      <c r="AW9">
        <v>9008</v>
      </c>
    </row>
    <row r="10" spans="1:49" x14ac:dyDescent="0.25">
      <c r="A10">
        <v>8</v>
      </c>
      <c r="B10">
        <v>9009</v>
      </c>
      <c r="C10" t="s">
        <v>315</v>
      </c>
      <c r="D10" t="s">
        <v>1086</v>
      </c>
      <c r="E10" t="s">
        <v>1087</v>
      </c>
      <c r="F10">
        <v>9009</v>
      </c>
      <c r="G10">
        <v>-1</v>
      </c>
      <c r="H10" s="2">
        <v>3</v>
      </c>
      <c r="I10" s="2">
        <v>4</v>
      </c>
      <c r="J10" s="2">
        <v>5</v>
      </c>
      <c r="K10" s="2">
        <v>6</v>
      </c>
      <c r="L10" s="2">
        <v>7</v>
      </c>
      <c r="M10" s="2">
        <v>8</v>
      </c>
      <c r="N10" s="2">
        <v>9</v>
      </c>
      <c r="O10" s="2">
        <v>10</v>
      </c>
      <c r="P10" s="2">
        <v>-1</v>
      </c>
      <c r="Q10" s="2">
        <v>0.1</v>
      </c>
      <c r="R10" s="2">
        <v>0.1</v>
      </c>
      <c r="S10" s="2">
        <v>0.1</v>
      </c>
      <c r="T10" s="2">
        <v>0.1</v>
      </c>
      <c r="U10" s="2">
        <v>0.1</v>
      </c>
      <c r="V10" s="2">
        <v>0.1</v>
      </c>
      <c r="W10" s="2">
        <v>0.1</v>
      </c>
      <c r="X10" s="2">
        <v>0.1</v>
      </c>
      <c r="Y10" s="2">
        <v>0.1</v>
      </c>
      <c r="Z10" s="2">
        <v>0.1</v>
      </c>
      <c r="AA10" s="2">
        <v>7</v>
      </c>
      <c r="AB10" s="2">
        <v>8</v>
      </c>
      <c r="AC10" s="2">
        <v>9</v>
      </c>
      <c r="AD10" s="2">
        <v>10</v>
      </c>
      <c r="AE10" s="2">
        <v>10</v>
      </c>
      <c r="AF10" s="2">
        <v>11</v>
      </c>
      <c r="AG10" s="2">
        <v>12</v>
      </c>
      <c r="AH10" s="2">
        <v>13</v>
      </c>
      <c r="AI10" s="2">
        <v>14</v>
      </c>
      <c r="AJ10" s="2">
        <v>15</v>
      </c>
      <c r="AK10" s="2">
        <v>3</v>
      </c>
      <c r="AL10" s="2">
        <v>3</v>
      </c>
      <c r="AM10" s="2">
        <v>3</v>
      </c>
      <c r="AN10" s="2">
        <v>3</v>
      </c>
      <c r="AO10" s="2">
        <v>3</v>
      </c>
      <c r="AP10" s="2">
        <v>3</v>
      </c>
      <c r="AQ10" s="2">
        <v>3</v>
      </c>
      <c r="AR10" s="2">
        <v>3</v>
      </c>
      <c r="AS10" s="2">
        <v>3</v>
      </c>
      <c r="AT10" s="2">
        <v>3</v>
      </c>
      <c r="AU10" t="s">
        <v>317</v>
      </c>
      <c r="AV10">
        <v>1</v>
      </c>
      <c r="AW10">
        <v>9009</v>
      </c>
    </row>
    <row r="11" spans="1:49" x14ac:dyDescent="0.25">
      <c r="A11">
        <v>9</v>
      </c>
      <c r="B11">
        <v>9010</v>
      </c>
      <c r="C11" t="s">
        <v>318</v>
      </c>
      <c r="D11" t="s">
        <v>1088</v>
      </c>
      <c r="E11" t="s">
        <v>1089</v>
      </c>
      <c r="F11">
        <v>9010</v>
      </c>
      <c r="G11">
        <v>-1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-1</v>
      </c>
      <c r="Q11" s="2">
        <v>0.1</v>
      </c>
      <c r="R11" s="2">
        <v>0.1</v>
      </c>
      <c r="S11" s="2">
        <v>0.1</v>
      </c>
      <c r="T11" s="2">
        <v>0.1</v>
      </c>
      <c r="U11" s="2">
        <v>0.1</v>
      </c>
      <c r="V11" s="2">
        <v>0.1</v>
      </c>
      <c r="W11" s="2">
        <v>0.1</v>
      </c>
      <c r="X11" s="2">
        <v>0.1</v>
      </c>
      <c r="Y11" s="2">
        <v>0.1</v>
      </c>
      <c r="Z11" s="2">
        <v>0.1</v>
      </c>
      <c r="AA11" s="2">
        <v>7</v>
      </c>
      <c r="AB11" s="2">
        <v>8</v>
      </c>
      <c r="AC11" s="2">
        <v>9</v>
      </c>
      <c r="AD11" s="2">
        <v>10</v>
      </c>
      <c r="AE11" s="2">
        <v>10</v>
      </c>
      <c r="AF11" s="2">
        <v>11</v>
      </c>
      <c r="AG11" s="2">
        <v>12</v>
      </c>
      <c r="AH11" s="2">
        <v>13</v>
      </c>
      <c r="AI11" s="2">
        <v>14</v>
      </c>
      <c r="AJ11" s="2">
        <v>15</v>
      </c>
      <c r="AK11" s="2">
        <v>3</v>
      </c>
      <c r="AL11" s="2">
        <v>3</v>
      </c>
      <c r="AM11" s="2">
        <v>3</v>
      </c>
      <c r="AN11" s="2">
        <v>3</v>
      </c>
      <c r="AO11" s="2">
        <v>3</v>
      </c>
      <c r="AP11" s="2">
        <v>3</v>
      </c>
      <c r="AQ11" s="2">
        <v>3</v>
      </c>
      <c r="AR11" s="2">
        <v>3</v>
      </c>
      <c r="AS11" s="2">
        <v>3</v>
      </c>
      <c r="AT11" s="2">
        <v>3</v>
      </c>
      <c r="AU11" s="2" t="s">
        <v>320</v>
      </c>
      <c r="AV11">
        <v>1</v>
      </c>
      <c r="AW11">
        <v>9010</v>
      </c>
    </row>
    <row r="12" spans="1:49" x14ac:dyDescent="0.25">
      <c r="A12">
        <v>10</v>
      </c>
      <c r="B12">
        <v>9011</v>
      </c>
      <c r="C12" t="s">
        <v>321</v>
      </c>
      <c r="D12" t="s">
        <v>1090</v>
      </c>
      <c r="E12" t="s">
        <v>1091</v>
      </c>
      <c r="F12">
        <v>9011</v>
      </c>
      <c r="G12">
        <v>-1</v>
      </c>
      <c r="H12" s="2">
        <v>3</v>
      </c>
      <c r="I12" s="2">
        <v>4</v>
      </c>
      <c r="J12" s="2">
        <v>5</v>
      </c>
      <c r="K12" s="2">
        <v>6</v>
      </c>
      <c r="L12" s="2">
        <v>7</v>
      </c>
      <c r="M12" s="2">
        <v>8</v>
      </c>
      <c r="N12" s="2">
        <v>9</v>
      </c>
      <c r="O12" s="2">
        <v>10</v>
      </c>
      <c r="P12" s="2">
        <v>-1</v>
      </c>
      <c r="Q12" s="2">
        <v>0.1</v>
      </c>
      <c r="R12" s="2">
        <v>0.1</v>
      </c>
      <c r="S12" s="2">
        <v>0.1</v>
      </c>
      <c r="T12" s="2">
        <v>0.1</v>
      </c>
      <c r="U12" s="2">
        <v>0.1</v>
      </c>
      <c r="V12" s="2">
        <v>0.1</v>
      </c>
      <c r="W12" s="2">
        <v>0.1</v>
      </c>
      <c r="X12" s="2">
        <v>0.1</v>
      </c>
      <c r="Y12" s="2">
        <v>0.1</v>
      </c>
      <c r="Z12" s="2">
        <v>0.1</v>
      </c>
      <c r="AA12" s="2">
        <v>7</v>
      </c>
      <c r="AB12" s="2">
        <v>8</v>
      </c>
      <c r="AC12" s="2">
        <v>9</v>
      </c>
      <c r="AD12" s="2">
        <v>10</v>
      </c>
      <c r="AE12" s="2">
        <v>10</v>
      </c>
      <c r="AF12" s="2">
        <v>11</v>
      </c>
      <c r="AG12" s="2">
        <v>12</v>
      </c>
      <c r="AH12" s="2">
        <v>13</v>
      </c>
      <c r="AI12" s="2">
        <v>14</v>
      </c>
      <c r="AJ12" s="2">
        <v>15</v>
      </c>
      <c r="AK12" s="2">
        <v>3</v>
      </c>
      <c r="AL12" s="2">
        <v>3</v>
      </c>
      <c r="AM12" s="2">
        <v>3</v>
      </c>
      <c r="AN12" s="2">
        <v>3</v>
      </c>
      <c r="AO12" s="2">
        <v>3</v>
      </c>
      <c r="AP12" s="2">
        <v>3</v>
      </c>
      <c r="AQ12" s="2">
        <v>3</v>
      </c>
      <c r="AR12" s="2">
        <v>3</v>
      </c>
      <c r="AS12" s="2">
        <v>3</v>
      </c>
      <c r="AT12" s="2">
        <v>3</v>
      </c>
      <c r="AU12" s="2" t="s">
        <v>323</v>
      </c>
      <c r="AV12">
        <v>1</v>
      </c>
      <c r="AW12">
        <v>9011</v>
      </c>
    </row>
    <row r="13" spans="1:49" x14ac:dyDescent="0.25">
      <c r="A13">
        <v>11</v>
      </c>
      <c r="B13">
        <v>9107</v>
      </c>
      <c r="C13" t="s">
        <v>366</v>
      </c>
      <c r="D13" t="s">
        <v>1068</v>
      </c>
      <c r="E13" t="s">
        <v>1069</v>
      </c>
      <c r="F13">
        <v>9107</v>
      </c>
      <c r="G13">
        <v>-1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-1</v>
      </c>
      <c r="Q13" s="2">
        <v>0.14000000000000001</v>
      </c>
      <c r="R13" s="2">
        <v>0.14000000000000001</v>
      </c>
      <c r="S13" s="2">
        <v>0.14000000000000001</v>
      </c>
      <c r="T13" s="2">
        <v>0.14000000000000001</v>
      </c>
      <c r="U13" s="2">
        <v>0.14000000000000001</v>
      </c>
      <c r="V13" s="2">
        <v>0.15</v>
      </c>
      <c r="W13" s="2">
        <v>0.15</v>
      </c>
      <c r="X13" s="2">
        <v>-1</v>
      </c>
      <c r="Y13" s="2">
        <v>-1</v>
      </c>
      <c r="Z13" s="2">
        <v>-1</v>
      </c>
      <c r="AA13" s="2">
        <v>4</v>
      </c>
      <c r="AB13" s="2">
        <v>5</v>
      </c>
      <c r="AC13" s="2">
        <v>6</v>
      </c>
      <c r="AD13" s="2">
        <v>7</v>
      </c>
      <c r="AE13" s="2">
        <v>8</v>
      </c>
      <c r="AF13" s="2">
        <v>9</v>
      </c>
      <c r="AG13" s="2">
        <v>10</v>
      </c>
      <c r="AH13" s="2">
        <v>-1</v>
      </c>
      <c r="AI13" s="2">
        <v>-1</v>
      </c>
      <c r="AJ13" s="2">
        <v>-1</v>
      </c>
      <c r="AK13" s="2">
        <v>3</v>
      </c>
      <c r="AL13" s="2">
        <v>3</v>
      </c>
      <c r="AM13" s="2">
        <v>3</v>
      </c>
      <c r="AN13" s="2">
        <v>3</v>
      </c>
      <c r="AO13" s="2">
        <v>3</v>
      </c>
      <c r="AP13" s="2">
        <v>3</v>
      </c>
      <c r="AQ13" s="2">
        <v>3</v>
      </c>
      <c r="AR13" s="2">
        <v>-1</v>
      </c>
      <c r="AS13" s="2">
        <v>-1</v>
      </c>
      <c r="AT13" s="2">
        <v>-1</v>
      </c>
      <c r="AU13" t="s">
        <v>368</v>
      </c>
      <c r="AV13">
        <v>1</v>
      </c>
      <c r="AW13">
        <v>9107</v>
      </c>
    </row>
    <row r="14" spans="1:49" x14ac:dyDescent="0.25">
      <c r="A14">
        <v>12</v>
      </c>
      <c r="B14">
        <v>1119107</v>
      </c>
      <c r="C14" t="s">
        <v>366</v>
      </c>
      <c r="D14" t="s">
        <v>1068</v>
      </c>
      <c r="E14" t="s">
        <v>1069</v>
      </c>
      <c r="F14">
        <v>9107</v>
      </c>
      <c r="G14">
        <v>-1</v>
      </c>
      <c r="H14" s="2">
        <v>1</v>
      </c>
      <c r="I14" s="2">
        <v>2</v>
      </c>
      <c r="J14" s="2">
        <v>3</v>
      </c>
      <c r="K14" s="2">
        <v>4</v>
      </c>
      <c r="L14" s="2">
        <v>5</v>
      </c>
      <c r="M14" s="2">
        <v>-1</v>
      </c>
      <c r="N14" s="2">
        <v>-1</v>
      </c>
      <c r="O14" s="2">
        <v>-1</v>
      </c>
      <c r="P14" s="2">
        <v>-1</v>
      </c>
      <c r="Q14" s="2">
        <v>0.33</v>
      </c>
      <c r="R14" s="2">
        <v>0.34</v>
      </c>
      <c r="S14" s="2">
        <v>0.33</v>
      </c>
      <c r="T14" s="2">
        <v>-1</v>
      </c>
      <c r="U14" s="2">
        <v>-1</v>
      </c>
      <c r="V14" s="2">
        <v>-1</v>
      </c>
      <c r="W14" s="2">
        <v>-1</v>
      </c>
      <c r="X14" s="2">
        <v>-1</v>
      </c>
      <c r="Y14" s="2">
        <v>-1</v>
      </c>
      <c r="Z14" s="2">
        <v>-1</v>
      </c>
      <c r="AA14" s="2">
        <v>2</v>
      </c>
      <c r="AB14" s="2">
        <v>3</v>
      </c>
      <c r="AC14" s="2">
        <v>5</v>
      </c>
      <c r="AD14" s="2">
        <v>-1</v>
      </c>
      <c r="AE14" s="2">
        <v>-1</v>
      </c>
      <c r="AF14" s="2">
        <v>-1</v>
      </c>
      <c r="AG14" s="2">
        <v>-1</v>
      </c>
      <c r="AH14" s="2">
        <v>-1</v>
      </c>
      <c r="AI14" s="2">
        <v>-1</v>
      </c>
      <c r="AJ14" s="2">
        <v>-1</v>
      </c>
      <c r="AK14" s="2">
        <v>3</v>
      </c>
      <c r="AL14" s="2">
        <v>3</v>
      </c>
      <c r="AM14" s="2">
        <v>3</v>
      </c>
      <c r="AN14" s="2">
        <v>-1</v>
      </c>
      <c r="AO14" s="2">
        <v>-1</v>
      </c>
      <c r="AP14" s="2">
        <v>-1</v>
      </c>
      <c r="AQ14" s="2">
        <v>-1</v>
      </c>
      <c r="AR14" s="2">
        <v>-1</v>
      </c>
      <c r="AS14" s="2">
        <v>-1</v>
      </c>
      <c r="AT14" s="2">
        <v>-1</v>
      </c>
      <c r="AU14" t="s">
        <v>368</v>
      </c>
      <c r="AV14">
        <v>1</v>
      </c>
      <c r="AW14">
        <v>9107</v>
      </c>
    </row>
    <row r="15" spans="1:49" x14ac:dyDescent="0.25">
      <c r="A15">
        <v>13</v>
      </c>
      <c r="B15" s="2">
        <v>9108</v>
      </c>
      <c r="C15" t="s">
        <v>369</v>
      </c>
      <c r="D15" t="s">
        <v>1058</v>
      </c>
      <c r="E15" t="s">
        <v>1059</v>
      </c>
      <c r="F15">
        <v>9108</v>
      </c>
      <c r="G15">
        <v>-1</v>
      </c>
      <c r="H15" s="2">
        <v>3</v>
      </c>
      <c r="I15" s="2">
        <v>4</v>
      </c>
      <c r="J15" s="2">
        <v>5</v>
      </c>
      <c r="K15" s="2">
        <v>6</v>
      </c>
      <c r="L15" s="2">
        <v>7</v>
      </c>
      <c r="M15" s="2">
        <v>8</v>
      </c>
      <c r="N15" s="2">
        <v>9</v>
      </c>
      <c r="O15" s="2">
        <v>10</v>
      </c>
      <c r="P15" s="2">
        <v>-1</v>
      </c>
      <c r="Q15" s="2">
        <v>0.14000000000000001</v>
      </c>
      <c r="R15" s="2">
        <v>0.14000000000000001</v>
      </c>
      <c r="S15" s="2">
        <v>0.14000000000000001</v>
      </c>
      <c r="T15" s="2">
        <v>0.14000000000000001</v>
      </c>
      <c r="U15" s="2">
        <v>0.14000000000000001</v>
      </c>
      <c r="V15" s="2">
        <v>0.15</v>
      </c>
      <c r="W15" s="2">
        <v>0.15</v>
      </c>
      <c r="X15" s="2">
        <v>-1</v>
      </c>
      <c r="Y15" s="2">
        <v>-1</v>
      </c>
      <c r="Z15" s="2">
        <v>-1</v>
      </c>
      <c r="AA15" s="2">
        <v>8</v>
      </c>
      <c r="AB15" s="2">
        <v>9</v>
      </c>
      <c r="AC15" s="2">
        <v>10</v>
      </c>
      <c r="AD15" s="2">
        <v>11</v>
      </c>
      <c r="AE15" s="2">
        <v>12</v>
      </c>
      <c r="AF15" s="2">
        <v>13</v>
      </c>
      <c r="AG15" s="2">
        <v>14</v>
      </c>
      <c r="AH15" s="2">
        <v>-1</v>
      </c>
      <c r="AI15" s="2">
        <v>-1</v>
      </c>
      <c r="AJ15" s="2">
        <v>-1</v>
      </c>
      <c r="AK15" s="2">
        <v>3</v>
      </c>
      <c r="AL15" s="2">
        <v>3</v>
      </c>
      <c r="AM15" s="2">
        <v>3</v>
      </c>
      <c r="AN15" s="2">
        <v>3</v>
      </c>
      <c r="AO15" s="2">
        <v>3</v>
      </c>
      <c r="AP15" s="2">
        <v>3</v>
      </c>
      <c r="AQ15" s="2">
        <v>3</v>
      </c>
      <c r="AR15" s="2">
        <v>-1</v>
      </c>
      <c r="AS15" s="2">
        <v>-1</v>
      </c>
      <c r="AT15" s="2">
        <v>-1</v>
      </c>
      <c r="AU15" t="s">
        <v>371</v>
      </c>
      <c r="AV15" s="2">
        <v>1</v>
      </c>
      <c r="AW15" s="2">
        <v>9108</v>
      </c>
    </row>
    <row r="16" spans="1:49" x14ac:dyDescent="0.25">
      <c r="A16">
        <v>14</v>
      </c>
      <c r="B16">
        <v>1119108</v>
      </c>
      <c r="C16" t="s">
        <v>369</v>
      </c>
      <c r="D16" t="s">
        <v>1058</v>
      </c>
      <c r="E16" t="s">
        <v>1059</v>
      </c>
      <c r="F16">
        <v>9108</v>
      </c>
      <c r="G16">
        <v>-1</v>
      </c>
      <c r="H16" s="2">
        <v>1</v>
      </c>
      <c r="I16" s="2">
        <v>2</v>
      </c>
      <c r="J16" s="2">
        <v>3</v>
      </c>
      <c r="K16" s="2">
        <v>4</v>
      </c>
      <c r="L16" s="2">
        <v>5</v>
      </c>
      <c r="M16" s="2">
        <v>-1</v>
      </c>
      <c r="N16" s="2">
        <v>-1</v>
      </c>
      <c r="O16" s="2">
        <v>-1</v>
      </c>
      <c r="P16" s="2">
        <v>-1</v>
      </c>
      <c r="Q16" s="2">
        <v>0.33</v>
      </c>
      <c r="R16" s="2">
        <v>0.34</v>
      </c>
      <c r="S16" s="2">
        <v>0.33</v>
      </c>
      <c r="T16" s="2">
        <v>-1</v>
      </c>
      <c r="U16" s="2">
        <v>-1</v>
      </c>
      <c r="V16" s="2">
        <v>-1</v>
      </c>
      <c r="W16" s="2">
        <v>-1</v>
      </c>
      <c r="X16" s="2">
        <v>-1</v>
      </c>
      <c r="Y16" s="2">
        <v>-1</v>
      </c>
      <c r="Z16" s="2">
        <v>-1</v>
      </c>
      <c r="AA16" s="2">
        <v>4</v>
      </c>
      <c r="AB16" s="2">
        <v>5</v>
      </c>
      <c r="AC16" s="2">
        <v>7</v>
      </c>
      <c r="AD16" s="2">
        <v>-1</v>
      </c>
      <c r="AE16" s="2">
        <v>-1</v>
      </c>
      <c r="AF16" s="2">
        <v>-1</v>
      </c>
      <c r="AG16" s="2">
        <v>-1</v>
      </c>
      <c r="AH16" s="2">
        <v>-1</v>
      </c>
      <c r="AI16" s="2">
        <v>-1</v>
      </c>
      <c r="AJ16" s="2">
        <v>-1</v>
      </c>
      <c r="AK16" s="2">
        <v>3</v>
      </c>
      <c r="AL16" s="2">
        <v>3</v>
      </c>
      <c r="AM16" s="2">
        <v>3</v>
      </c>
      <c r="AN16" s="2">
        <v>-1</v>
      </c>
      <c r="AO16" s="2">
        <v>-1</v>
      </c>
      <c r="AP16" s="2">
        <v>-1</v>
      </c>
      <c r="AQ16" s="2">
        <v>-1</v>
      </c>
      <c r="AR16" s="2">
        <v>-1</v>
      </c>
      <c r="AS16" s="2">
        <v>-1</v>
      </c>
      <c r="AT16" s="2">
        <v>-1</v>
      </c>
      <c r="AU16" t="s">
        <v>371</v>
      </c>
      <c r="AV16">
        <v>1</v>
      </c>
      <c r="AW16">
        <v>9108</v>
      </c>
    </row>
    <row r="17" spans="1:49" x14ac:dyDescent="0.25">
      <c r="A17">
        <v>15</v>
      </c>
      <c r="B17">
        <v>9110</v>
      </c>
      <c r="C17" t="s">
        <v>375</v>
      </c>
      <c r="D17" t="s">
        <v>1060</v>
      </c>
      <c r="E17" t="s">
        <v>1061</v>
      </c>
      <c r="F17">
        <v>9110</v>
      </c>
      <c r="G17">
        <v>-1</v>
      </c>
      <c r="H17" s="2">
        <v>3</v>
      </c>
      <c r="I17" s="2">
        <v>4</v>
      </c>
      <c r="J17" s="2">
        <v>5</v>
      </c>
      <c r="K17" s="2">
        <v>6</v>
      </c>
      <c r="L17" s="2">
        <v>7</v>
      </c>
      <c r="M17" s="2">
        <v>8</v>
      </c>
      <c r="N17" s="2">
        <v>9</v>
      </c>
      <c r="O17" s="2">
        <v>10</v>
      </c>
      <c r="P17" s="2">
        <v>-1</v>
      </c>
      <c r="Q17" s="2">
        <v>0.14000000000000001</v>
      </c>
      <c r="R17" s="2">
        <v>0.14000000000000001</v>
      </c>
      <c r="S17" s="2">
        <v>0.14000000000000001</v>
      </c>
      <c r="T17" s="2">
        <v>0.14000000000000001</v>
      </c>
      <c r="U17" s="2">
        <v>0.14000000000000001</v>
      </c>
      <c r="V17" s="2">
        <v>0.15</v>
      </c>
      <c r="W17" s="2">
        <v>0.15</v>
      </c>
      <c r="X17" s="2">
        <v>-1</v>
      </c>
      <c r="Y17" s="2">
        <v>-1</v>
      </c>
      <c r="Z17" s="2">
        <v>-1</v>
      </c>
      <c r="AA17" s="2">
        <v>9</v>
      </c>
      <c r="AB17" s="2">
        <v>10</v>
      </c>
      <c r="AC17" s="2">
        <v>11</v>
      </c>
      <c r="AD17" s="2">
        <v>12</v>
      </c>
      <c r="AE17" s="2">
        <v>13</v>
      </c>
      <c r="AF17" s="2">
        <v>14</v>
      </c>
      <c r="AG17" s="2">
        <v>15</v>
      </c>
      <c r="AH17" s="2">
        <v>-1</v>
      </c>
      <c r="AI17" s="2">
        <v>-1</v>
      </c>
      <c r="AJ17" s="2">
        <v>-1</v>
      </c>
      <c r="AK17" s="2">
        <v>3</v>
      </c>
      <c r="AL17" s="2">
        <v>3</v>
      </c>
      <c r="AM17" s="2">
        <v>3</v>
      </c>
      <c r="AN17" s="2">
        <v>3</v>
      </c>
      <c r="AO17" s="2">
        <v>3</v>
      </c>
      <c r="AP17" s="2">
        <v>3</v>
      </c>
      <c r="AQ17" s="2">
        <v>3</v>
      </c>
      <c r="AR17" s="2">
        <v>-1</v>
      </c>
      <c r="AS17" s="2">
        <v>-1</v>
      </c>
      <c r="AT17" s="2">
        <v>-1</v>
      </c>
      <c r="AU17" t="s">
        <v>377</v>
      </c>
      <c r="AV17">
        <v>1</v>
      </c>
      <c r="AW17">
        <v>9110</v>
      </c>
    </row>
    <row r="18" spans="1:49" x14ac:dyDescent="0.25">
      <c r="A18">
        <v>16</v>
      </c>
      <c r="B18">
        <v>1119110</v>
      </c>
      <c r="C18" t="s">
        <v>375</v>
      </c>
      <c r="D18" t="s">
        <v>1060</v>
      </c>
      <c r="E18" t="s">
        <v>1061</v>
      </c>
      <c r="F18">
        <v>9110</v>
      </c>
      <c r="G18">
        <v>-1</v>
      </c>
      <c r="H18" s="2">
        <v>1</v>
      </c>
      <c r="I18" s="2">
        <v>2</v>
      </c>
      <c r="J18" s="2">
        <v>3</v>
      </c>
      <c r="K18" s="2">
        <v>4</v>
      </c>
      <c r="L18" s="2">
        <v>5</v>
      </c>
      <c r="M18" s="2">
        <v>-1</v>
      </c>
      <c r="N18" s="2">
        <v>-1</v>
      </c>
      <c r="O18" s="2">
        <v>-1</v>
      </c>
      <c r="P18" s="2">
        <v>-1</v>
      </c>
      <c r="Q18" s="2">
        <v>0.33</v>
      </c>
      <c r="R18" s="2">
        <v>0.34</v>
      </c>
      <c r="S18" s="2">
        <v>0.33</v>
      </c>
      <c r="T18" s="2">
        <v>-1</v>
      </c>
      <c r="U18" s="2">
        <v>-1</v>
      </c>
      <c r="V18" s="2">
        <v>-1</v>
      </c>
      <c r="W18" s="2">
        <v>-1</v>
      </c>
      <c r="X18" s="2">
        <v>-1</v>
      </c>
      <c r="Y18" s="2">
        <v>-1</v>
      </c>
      <c r="Z18" s="2">
        <v>-1</v>
      </c>
      <c r="AA18" s="2">
        <v>5</v>
      </c>
      <c r="AB18" s="2">
        <v>6</v>
      </c>
      <c r="AC18" s="2">
        <v>8</v>
      </c>
      <c r="AD18" s="2">
        <v>-1</v>
      </c>
      <c r="AE18" s="2">
        <v>-1</v>
      </c>
      <c r="AF18" s="2">
        <v>-1</v>
      </c>
      <c r="AG18" s="2">
        <v>-1</v>
      </c>
      <c r="AH18" s="2">
        <v>-1</v>
      </c>
      <c r="AI18" s="2">
        <v>-1</v>
      </c>
      <c r="AJ18" s="2">
        <v>-1</v>
      </c>
      <c r="AK18" s="2">
        <v>3</v>
      </c>
      <c r="AL18" s="2">
        <v>3</v>
      </c>
      <c r="AM18" s="2">
        <v>3</v>
      </c>
      <c r="AN18" s="2">
        <v>-1</v>
      </c>
      <c r="AO18" s="2">
        <v>-1</v>
      </c>
      <c r="AP18" s="2">
        <v>-1</v>
      </c>
      <c r="AQ18" s="2">
        <v>-1</v>
      </c>
      <c r="AR18" s="2">
        <v>-1</v>
      </c>
      <c r="AS18" s="2">
        <v>-1</v>
      </c>
      <c r="AT18" s="2">
        <v>-1</v>
      </c>
      <c r="AU18" t="s">
        <v>377</v>
      </c>
      <c r="AV18">
        <v>1</v>
      </c>
      <c r="AW18">
        <v>9110</v>
      </c>
    </row>
    <row r="19" spans="1:49" x14ac:dyDescent="0.25">
      <c r="A19">
        <v>17</v>
      </c>
      <c r="B19" s="2">
        <v>9111</v>
      </c>
      <c r="C19" t="s">
        <v>378</v>
      </c>
      <c r="D19" t="s">
        <v>1062</v>
      </c>
      <c r="E19" t="s">
        <v>1063</v>
      </c>
      <c r="F19">
        <v>9111</v>
      </c>
      <c r="G19">
        <v>-1</v>
      </c>
      <c r="H19" s="2">
        <v>3</v>
      </c>
      <c r="I19" s="2">
        <v>4</v>
      </c>
      <c r="J19" s="2">
        <v>5</v>
      </c>
      <c r="K19" s="2">
        <v>6</v>
      </c>
      <c r="L19" s="2">
        <v>7</v>
      </c>
      <c r="M19" s="2">
        <v>8</v>
      </c>
      <c r="N19" s="2">
        <v>9</v>
      </c>
      <c r="O19" s="2">
        <v>10</v>
      </c>
      <c r="P19" s="2">
        <v>-1</v>
      </c>
      <c r="Q19" s="2">
        <v>0.14000000000000001</v>
      </c>
      <c r="R19" s="2">
        <v>0.14000000000000001</v>
      </c>
      <c r="S19" s="2">
        <v>0.14000000000000001</v>
      </c>
      <c r="T19" s="2">
        <v>0.14000000000000001</v>
      </c>
      <c r="U19" s="2">
        <v>0.14000000000000001</v>
      </c>
      <c r="V19" s="2">
        <v>0.15</v>
      </c>
      <c r="W19" s="2">
        <v>0.15</v>
      </c>
      <c r="X19" s="2">
        <v>-1</v>
      </c>
      <c r="Y19" s="2">
        <v>-1</v>
      </c>
      <c r="Z19" s="2">
        <v>-1</v>
      </c>
      <c r="AA19" s="2">
        <v>10</v>
      </c>
      <c r="AB19" s="2">
        <v>11</v>
      </c>
      <c r="AC19" s="2">
        <v>12</v>
      </c>
      <c r="AD19" s="2">
        <v>13</v>
      </c>
      <c r="AE19" s="2">
        <v>14</v>
      </c>
      <c r="AF19" s="2">
        <v>15</v>
      </c>
      <c r="AG19" s="2">
        <v>16</v>
      </c>
      <c r="AH19" s="2">
        <v>-1</v>
      </c>
      <c r="AI19" s="2">
        <v>-1</v>
      </c>
      <c r="AJ19" s="2">
        <v>-1</v>
      </c>
      <c r="AK19" s="2">
        <v>3</v>
      </c>
      <c r="AL19" s="2">
        <v>3</v>
      </c>
      <c r="AM19" s="2">
        <v>3</v>
      </c>
      <c r="AN19" s="2">
        <v>3</v>
      </c>
      <c r="AO19" s="2">
        <v>3</v>
      </c>
      <c r="AP19" s="2">
        <v>3</v>
      </c>
      <c r="AQ19" s="2">
        <v>3</v>
      </c>
      <c r="AR19" s="2">
        <v>-1</v>
      </c>
      <c r="AS19" s="2">
        <v>-1</v>
      </c>
      <c r="AT19" s="2">
        <v>-1</v>
      </c>
      <c r="AU19" t="s">
        <v>380</v>
      </c>
      <c r="AV19" s="2">
        <v>1</v>
      </c>
      <c r="AW19" s="2">
        <v>9111</v>
      </c>
    </row>
    <row r="20" spans="1:49" x14ac:dyDescent="0.25">
      <c r="A20">
        <v>18</v>
      </c>
      <c r="B20">
        <v>1119111</v>
      </c>
      <c r="C20" t="s">
        <v>378</v>
      </c>
      <c r="D20" t="s">
        <v>1062</v>
      </c>
      <c r="E20" t="s">
        <v>1063</v>
      </c>
      <c r="F20">
        <v>9111</v>
      </c>
      <c r="G20">
        <v>-1</v>
      </c>
      <c r="H20" s="2">
        <v>1</v>
      </c>
      <c r="I20" s="2">
        <v>2</v>
      </c>
      <c r="J20" s="2">
        <v>3</v>
      </c>
      <c r="K20" s="2">
        <v>4</v>
      </c>
      <c r="L20" s="2">
        <v>5</v>
      </c>
      <c r="M20" s="2">
        <v>-1</v>
      </c>
      <c r="N20" s="2">
        <v>-1</v>
      </c>
      <c r="O20" s="2">
        <v>-1</v>
      </c>
      <c r="P20" s="2">
        <v>-1</v>
      </c>
      <c r="Q20" s="2">
        <v>0.33</v>
      </c>
      <c r="R20" s="2">
        <v>0.34</v>
      </c>
      <c r="S20" s="2">
        <v>0.33</v>
      </c>
      <c r="T20" s="2">
        <v>-1</v>
      </c>
      <c r="U20" s="2">
        <v>-1</v>
      </c>
      <c r="V20" s="2">
        <v>-1</v>
      </c>
      <c r="W20" s="2">
        <v>-1</v>
      </c>
      <c r="X20" s="2">
        <v>-1</v>
      </c>
      <c r="Y20" s="2">
        <v>-1</v>
      </c>
      <c r="Z20" s="2">
        <v>-1</v>
      </c>
      <c r="AA20" s="2">
        <v>5</v>
      </c>
      <c r="AB20" s="2">
        <v>6</v>
      </c>
      <c r="AC20" s="2">
        <v>8</v>
      </c>
      <c r="AD20" s="2">
        <v>-1</v>
      </c>
      <c r="AE20" s="2">
        <v>-1</v>
      </c>
      <c r="AF20" s="2">
        <v>-1</v>
      </c>
      <c r="AG20" s="2">
        <v>-1</v>
      </c>
      <c r="AH20" s="2">
        <v>-1</v>
      </c>
      <c r="AI20" s="2">
        <v>-1</v>
      </c>
      <c r="AJ20" s="2">
        <v>-1</v>
      </c>
      <c r="AK20" s="2">
        <v>3</v>
      </c>
      <c r="AL20" s="2">
        <v>3</v>
      </c>
      <c r="AM20" s="2">
        <v>3</v>
      </c>
      <c r="AN20" s="2">
        <v>-1</v>
      </c>
      <c r="AO20" s="2">
        <v>-1</v>
      </c>
      <c r="AP20" s="2">
        <v>-1</v>
      </c>
      <c r="AQ20" s="2">
        <v>-1</v>
      </c>
      <c r="AR20" s="2">
        <v>-1</v>
      </c>
      <c r="AS20" s="2">
        <v>-1</v>
      </c>
      <c r="AT20" s="2">
        <v>-1</v>
      </c>
      <c r="AU20" t="s">
        <v>380</v>
      </c>
      <c r="AV20">
        <v>1</v>
      </c>
      <c r="AW20">
        <v>9111</v>
      </c>
    </row>
    <row r="21" spans="1:49" x14ac:dyDescent="0.25">
      <c r="A21">
        <v>19</v>
      </c>
      <c r="B21">
        <v>9114</v>
      </c>
      <c r="C21" t="s">
        <v>387</v>
      </c>
      <c r="D21" t="s">
        <v>1064</v>
      </c>
      <c r="E21" t="s">
        <v>1065</v>
      </c>
      <c r="F21">
        <v>9114</v>
      </c>
      <c r="G21">
        <v>-1</v>
      </c>
      <c r="H21" s="2">
        <v>3</v>
      </c>
      <c r="I21" s="2">
        <v>4</v>
      </c>
      <c r="J21" s="2">
        <v>5</v>
      </c>
      <c r="K21" s="2">
        <v>6</v>
      </c>
      <c r="L21" s="2">
        <v>7</v>
      </c>
      <c r="M21" s="2">
        <v>8</v>
      </c>
      <c r="N21" s="2">
        <v>9</v>
      </c>
      <c r="O21" s="2">
        <v>10</v>
      </c>
      <c r="P21" s="2">
        <v>-1</v>
      </c>
      <c r="Q21" s="2">
        <v>0.14000000000000001</v>
      </c>
      <c r="R21" s="2">
        <v>0.14000000000000001</v>
      </c>
      <c r="S21" s="2">
        <v>0.14000000000000001</v>
      </c>
      <c r="T21" s="2">
        <v>0.14000000000000001</v>
      </c>
      <c r="U21" s="2">
        <v>0.14000000000000001</v>
      </c>
      <c r="V21" s="2">
        <v>0.15</v>
      </c>
      <c r="W21" s="2">
        <v>0.15</v>
      </c>
      <c r="X21" s="2">
        <v>-1</v>
      </c>
      <c r="Y21" s="2">
        <v>-1</v>
      </c>
      <c r="Z21" s="2">
        <v>-1</v>
      </c>
      <c r="AA21" s="2">
        <v>10</v>
      </c>
      <c r="AB21" s="2">
        <v>11</v>
      </c>
      <c r="AC21" s="2">
        <v>12</v>
      </c>
      <c r="AD21" s="2">
        <v>13</v>
      </c>
      <c r="AE21" s="2">
        <v>14</v>
      </c>
      <c r="AF21" s="2">
        <v>15</v>
      </c>
      <c r="AG21" s="2">
        <v>16</v>
      </c>
      <c r="AH21" s="2">
        <v>-1</v>
      </c>
      <c r="AI21" s="2">
        <v>-1</v>
      </c>
      <c r="AJ21" s="2">
        <v>-1</v>
      </c>
      <c r="AK21" s="2">
        <v>3</v>
      </c>
      <c r="AL21" s="2">
        <v>3</v>
      </c>
      <c r="AM21" s="2">
        <v>3</v>
      </c>
      <c r="AN21" s="2">
        <v>3</v>
      </c>
      <c r="AO21" s="2">
        <v>3</v>
      </c>
      <c r="AP21" s="2">
        <v>3</v>
      </c>
      <c r="AQ21" s="2">
        <v>3</v>
      </c>
      <c r="AR21" s="2">
        <v>-1</v>
      </c>
      <c r="AS21" s="2">
        <v>-1</v>
      </c>
      <c r="AT21" s="2">
        <v>-1</v>
      </c>
      <c r="AU21" t="s">
        <v>389</v>
      </c>
      <c r="AV21">
        <v>1</v>
      </c>
      <c r="AW21">
        <v>9114</v>
      </c>
    </row>
    <row r="22" spans="1:49" x14ac:dyDescent="0.25">
      <c r="A22">
        <v>20</v>
      </c>
      <c r="B22">
        <v>1119114</v>
      </c>
      <c r="C22" t="s">
        <v>387</v>
      </c>
      <c r="D22" t="s">
        <v>1064</v>
      </c>
      <c r="E22" t="s">
        <v>1065</v>
      </c>
      <c r="F22">
        <v>9114</v>
      </c>
      <c r="G22">
        <v>-1</v>
      </c>
      <c r="H22" s="2">
        <v>1</v>
      </c>
      <c r="I22" s="2">
        <v>2</v>
      </c>
      <c r="J22" s="2">
        <v>3</v>
      </c>
      <c r="K22" s="2">
        <v>4</v>
      </c>
      <c r="L22" s="2">
        <v>5</v>
      </c>
      <c r="M22" s="2">
        <v>-1</v>
      </c>
      <c r="N22" s="2">
        <v>-1</v>
      </c>
      <c r="O22" s="2">
        <v>-1</v>
      </c>
      <c r="P22" s="2">
        <v>-1</v>
      </c>
      <c r="Q22" s="2">
        <v>0.33</v>
      </c>
      <c r="R22" s="2">
        <v>0.34</v>
      </c>
      <c r="S22" s="2">
        <v>0.33</v>
      </c>
      <c r="T22" s="2">
        <v>-1</v>
      </c>
      <c r="U22" s="2">
        <v>-1</v>
      </c>
      <c r="V22" s="2">
        <v>-1</v>
      </c>
      <c r="W22" s="2">
        <v>-1</v>
      </c>
      <c r="X22" s="2">
        <v>-1</v>
      </c>
      <c r="Y22" s="2">
        <v>-1</v>
      </c>
      <c r="Z22" s="2">
        <v>-1</v>
      </c>
      <c r="AA22" s="2">
        <v>5</v>
      </c>
      <c r="AB22" s="2">
        <v>6</v>
      </c>
      <c r="AC22" s="2">
        <v>8</v>
      </c>
      <c r="AD22" s="2">
        <v>-1</v>
      </c>
      <c r="AE22" s="2">
        <v>-1</v>
      </c>
      <c r="AF22" s="2">
        <v>-1</v>
      </c>
      <c r="AG22" s="2">
        <v>-1</v>
      </c>
      <c r="AH22" s="2">
        <v>-1</v>
      </c>
      <c r="AI22" s="2">
        <v>-1</v>
      </c>
      <c r="AJ22" s="2">
        <v>-1</v>
      </c>
      <c r="AK22" s="2">
        <v>3</v>
      </c>
      <c r="AL22" s="2">
        <v>3</v>
      </c>
      <c r="AM22" s="2">
        <v>3</v>
      </c>
      <c r="AN22" s="2">
        <v>-1</v>
      </c>
      <c r="AO22" s="2">
        <v>-1</v>
      </c>
      <c r="AP22" s="2">
        <v>-1</v>
      </c>
      <c r="AQ22" s="2">
        <v>-1</v>
      </c>
      <c r="AR22" s="2">
        <v>-1</v>
      </c>
      <c r="AS22" s="2">
        <v>-1</v>
      </c>
      <c r="AT22" s="2">
        <v>-1</v>
      </c>
      <c r="AU22" t="s">
        <v>389</v>
      </c>
      <c r="AV22">
        <v>1</v>
      </c>
      <c r="AW22">
        <v>9114</v>
      </c>
    </row>
    <row r="23" spans="1:49" x14ac:dyDescent="0.25">
      <c r="A23">
        <v>21</v>
      </c>
      <c r="B23">
        <v>9116</v>
      </c>
      <c r="C23" t="s">
        <v>393</v>
      </c>
      <c r="D23" t="s">
        <v>1066</v>
      </c>
      <c r="E23" t="s">
        <v>1067</v>
      </c>
      <c r="F23">
        <v>9116</v>
      </c>
      <c r="G23">
        <v>-1</v>
      </c>
      <c r="H23" s="2">
        <v>3</v>
      </c>
      <c r="I23" s="2">
        <v>4</v>
      </c>
      <c r="J23" s="2">
        <v>5</v>
      </c>
      <c r="K23" s="2">
        <v>6</v>
      </c>
      <c r="L23" s="2">
        <v>7</v>
      </c>
      <c r="M23" s="2">
        <v>8</v>
      </c>
      <c r="N23" s="2">
        <v>9</v>
      </c>
      <c r="O23" s="2">
        <v>10</v>
      </c>
      <c r="P23" s="2">
        <v>-1</v>
      </c>
      <c r="Q23" s="2">
        <v>0.14000000000000001</v>
      </c>
      <c r="R23" s="2">
        <v>0.14000000000000001</v>
      </c>
      <c r="S23" s="2">
        <v>0.14000000000000001</v>
      </c>
      <c r="T23" s="2">
        <v>0.14000000000000001</v>
      </c>
      <c r="U23" s="2">
        <v>0.14000000000000001</v>
      </c>
      <c r="V23" s="2">
        <v>0.15</v>
      </c>
      <c r="W23" s="2">
        <v>0.15</v>
      </c>
      <c r="X23" s="2">
        <v>-1</v>
      </c>
      <c r="Y23" s="2">
        <v>-1</v>
      </c>
      <c r="Z23" s="2">
        <v>-1</v>
      </c>
      <c r="AA23" s="2">
        <v>11</v>
      </c>
      <c r="AB23" s="2">
        <v>12</v>
      </c>
      <c r="AC23" s="2">
        <v>13</v>
      </c>
      <c r="AD23" s="2">
        <v>14</v>
      </c>
      <c r="AE23" s="2">
        <v>15</v>
      </c>
      <c r="AF23" s="2">
        <v>16</v>
      </c>
      <c r="AG23" s="2">
        <v>17</v>
      </c>
      <c r="AH23" s="2">
        <v>-1</v>
      </c>
      <c r="AI23" s="2">
        <v>-1</v>
      </c>
      <c r="AJ23" s="2">
        <v>-1</v>
      </c>
      <c r="AK23" s="2">
        <v>3</v>
      </c>
      <c r="AL23" s="2">
        <v>3</v>
      </c>
      <c r="AM23" s="2">
        <v>3</v>
      </c>
      <c r="AN23" s="2">
        <v>3</v>
      </c>
      <c r="AO23" s="2">
        <v>3</v>
      </c>
      <c r="AP23" s="2">
        <v>3</v>
      </c>
      <c r="AQ23" s="2">
        <v>3</v>
      </c>
      <c r="AR23" s="2">
        <v>-1</v>
      </c>
      <c r="AS23" s="2">
        <v>-1</v>
      </c>
      <c r="AT23" s="2">
        <v>-1</v>
      </c>
      <c r="AU23" t="s">
        <v>395</v>
      </c>
      <c r="AV23">
        <v>1</v>
      </c>
      <c r="AW23">
        <v>9116</v>
      </c>
    </row>
    <row r="24" spans="1:49" x14ac:dyDescent="0.25">
      <c r="A24">
        <v>22</v>
      </c>
      <c r="B24">
        <v>1119116</v>
      </c>
      <c r="C24" t="s">
        <v>393</v>
      </c>
      <c r="D24" t="s">
        <v>1066</v>
      </c>
      <c r="E24" t="s">
        <v>1067</v>
      </c>
      <c r="F24">
        <v>9116</v>
      </c>
      <c r="G24">
        <v>-1</v>
      </c>
      <c r="H24" s="2">
        <v>1</v>
      </c>
      <c r="I24" s="2">
        <v>2</v>
      </c>
      <c r="J24" s="2">
        <v>3</v>
      </c>
      <c r="K24" s="2">
        <v>4</v>
      </c>
      <c r="L24" s="2">
        <v>5</v>
      </c>
      <c r="M24" s="2">
        <v>-1</v>
      </c>
      <c r="N24" s="2">
        <v>-1</v>
      </c>
      <c r="O24" s="2">
        <v>-1</v>
      </c>
      <c r="P24" s="2">
        <v>-1</v>
      </c>
      <c r="Q24" s="2">
        <v>0.33</v>
      </c>
      <c r="R24" s="2">
        <v>0.34</v>
      </c>
      <c r="S24" s="2">
        <v>0.33</v>
      </c>
      <c r="T24" s="2">
        <v>-1</v>
      </c>
      <c r="U24" s="2">
        <v>-1</v>
      </c>
      <c r="V24" s="2">
        <v>-1</v>
      </c>
      <c r="W24" s="2">
        <v>-1</v>
      </c>
      <c r="X24" s="2">
        <v>-1</v>
      </c>
      <c r="Y24" s="2">
        <v>-1</v>
      </c>
      <c r="Z24" s="2">
        <v>-1</v>
      </c>
      <c r="AA24" s="2">
        <v>6</v>
      </c>
      <c r="AB24" s="2">
        <v>7</v>
      </c>
      <c r="AC24" s="2">
        <v>9</v>
      </c>
      <c r="AD24" s="2">
        <v>-1</v>
      </c>
      <c r="AE24" s="2">
        <v>-1</v>
      </c>
      <c r="AF24" s="2">
        <v>-1</v>
      </c>
      <c r="AG24" s="2">
        <v>-1</v>
      </c>
      <c r="AH24" s="2">
        <v>-1</v>
      </c>
      <c r="AI24" s="2">
        <v>-1</v>
      </c>
      <c r="AJ24" s="2">
        <v>-1</v>
      </c>
      <c r="AK24" s="2">
        <v>3</v>
      </c>
      <c r="AL24" s="2">
        <v>3</v>
      </c>
      <c r="AM24" s="2">
        <v>3</v>
      </c>
      <c r="AN24" s="2">
        <v>-1</v>
      </c>
      <c r="AO24" s="2">
        <v>-1</v>
      </c>
      <c r="AP24" s="2">
        <v>-1</v>
      </c>
      <c r="AQ24" s="2">
        <v>-1</v>
      </c>
      <c r="AR24" s="2">
        <v>-1</v>
      </c>
      <c r="AS24" s="2">
        <v>-1</v>
      </c>
      <c r="AT24" s="2">
        <v>-1</v>
      </c>
      <c r="AU24" t="s">
        <v>395</v>
      </c>
      <c r="AV24">
        <v>1</v>
      </c>
      <c r="AW24">
        <v>9116</v>
      </c>
    </row>
    <row r="25" spans="1:49" x14ac:dyDescent="0.25">
      <c r="A25">
        <v>23</v>
      </c>
      <c r="B25">
        <v>9117</v>
      </c>
      <c r="C25" t="s">
        <v>396</v>
      </c>
      <c r="D25" t="s">
        <v>1070</v>
      </c>
      <c r="E25" t="s">
        <v>1071</v>
      </c>
      <c r="F25">
        <v>9117</v>
      </c>
      <c r="G25">
        <v>-1</v>
      </c>
      <c r="H25" s="2">
        <v>3</v>
      </c>
      <c r="I25" s="2">
        <v>4</v>
      </c>
      <c r="J25" s="2">
        <v>5</v>
      </c>
      <c r="K25" s="2">
        <v>6</v>
      </c>
      <c r="L25" s="2">
        <v>7</v>
      </c>
      <c r="M25" s="2">
        <v>8</v>
      </c>
      <c r="N25" s="2">
        <v>9</v>
      </c>
      <c r="O25" s="2">
        <v>10</v>
      </c>
      <c r="P25" s="2">
        <v>-1</v>
      </c>
      <c r="Q25" s="2">
        <v>0.14000000000000001</v>
      </c>
      <c r="R25" s="2">
        <v>0.14000000000000001</v>
      </c>
      <c r="S25" s="2">
        <v>0.14000000000000001</v>
      </c>
      <c r="T25" s="2">
        <v>0.14000000000000001</v>
      </c>
      <c r="U25" s="2">
        <v>0.14000000000000001</v>
      </c>
      <c r="V25" s="2">
        <v>0.15</v>
      </c>
      <c r="W25" s="2">
        <v>0.15</v>
      </c>
      <c r="X25" s="2">
        <v>-1</v>
      </c>
      <c r="Y25" s="2">
        <v>-1</v>
      </c>
      <c r="Z25" s="2">
        <v>-1</v>
      </c>
      <c r="AA25" s="2">
        <v>7</v>
      </c>
      <c r="AB25" s="2">
        <v>8</v>
      </c>
      <c r="AC25" s="2">
        <v>9</v>
      </c>
      <c r="AD25" s="2">
        <v>10</v>
      </c>
      <c r="AE25" s="2">
        <v>11</v>
      </c>
      <c r="AF25" s="2">
        <v>12</v>
      </c>
      <c r="AG25" s="2">
        <v>13</v>
      </c>
      <c r="AH25" s="2">
        <v>-1</v>
      </c>
      <c r="AI25" s="2">
        <v>-1</v>
      </c>
      <c r="AJ25" s="2">
        <v>-1</v>
      </c>
      <c r="AK25" s="2">
        <v>3</v>
      </c>
      <c r="AL25" s="2">
        <v>3</v>
      </c>
      <c r="AM25" s="2">
        <v>3</v>
      </c>
      <c r="AN25" s="2">
        <v>3</v>
      </c>
      <c r="AO25" s="2">
        <v>3</v>
      </c>
      <c r="AP25" s="2">
        <v>3</v>
      </c>
      <c r="AQ25" s="2">
        <v>3</v>
      </c>
      <c r="AR25" s="2">
        <v>-1</v>
      </c>
      <c r="AS25" s="2">
        <v>-1</v>
      </c>
      <c r="AT25" s="2">
        <v>-1</v>
      </c>
      <c r="AU25" t="s">
        <v>398</v>
      </c>
      <c r="AV25">
        <v>1</v>
      </c>
      <c r="AW25">
        <v>9117</v>
      </c>
    </row>
    <row r="26" spans="1:49" x14ac:dyDescent="0.25">
      <c r="A26">
        <v>24</v>
      </c>
      <c r="B26">
        <v>1119117</v>
      </c>
      <c r="C26" t="s">
        <v>396</v>
      </c>
      <c r="D26" t="s">
        <v>1070</v>
      </c>
      <c r="E26" t="s">
        <v>1071</v>
      </c>
      <c r="F26">
        <v>9117</v>
      </c>
      <c r="G26">
        <v>-1</v>
      </c>
      <c r="H26" s="2">
        <v>1</v>
      </c>
      <c r="I26" s="2">
        <v>2</v>
      </c>
      <c r="J26" s="2">
        <v>3</v>
      </c>
      <c r="K26" s="2">
        <v>4</v>
      </c>
      <c r="L26" s="2">
        <v>5</v>
      </c>
      <c r="M26" s="2">
        <v>-1</v>
      </c>
      <c r="N26" s="2">
        <v>-1</v>
      </c>
      <c r="O26" s="2">
        <v>-1</v>
      </c>
      <c r="P26" s="2">
        <v>-1</v>
      </c>
      <c r="Q26" s="2">
        <v>0.33</v>
      </c>
      <c r="R26" s="2">
        <v>0.34</v>
      </c>
      <c r="S26" s="2">
        <v>0.33</v>
      </c>
      <c r="T26" s="2">
        <v>-1</v>
      </c>
      <c r="U26" s="2">
        <v>-1</v>
      </c>
      <c r="V26" s="2">
        <v>-1</v>
      </c>
      <c r="W26" s="2">
        <v>-1</v>
      </c>
      <c r="X26" s="2">
        <v>-1</v>
      </c>
      <c r="Y26" s="2">
        <v>-1</v>
      </c>
      <c r="Z26" s="2">
        <v>-1</v>
      </c>
      <c r="AA26" s="2">
        <v>4</v>
      </c>
      <c r="AB26" s="2">
        <v>5</v>
      </c>
      <c r="AC26" s="2">
        <v>7</v>
      </c>
      <c r="AD26" s="2">
        <v>-1</v>
      </c>
      <c r="AE26" s="2">
        <v>-1</v>
      </c>
      <c r="AF26" s="2">
        <v>-1</v>
      </c>
      <c r="AG26" s="2">
        <v>-1</v>
      </c>
      <c r="AH26" s="2">
        <v>-1</v>
      </c>
      <c r="AI26" s="2">
        <v>-1</v>
      </c>
      <c r="AJ26" s="2">
        <v>-1</v>
      </c>
      <c r="AK26" s="2">
        <v>3</v>
      </c>
      <c r="AL26" s="2">
        <v>3</v>
      </c>
      <c r="AM26" s="2">
        <v>3</v>
      </c>
      <c r="AN26" s="2">
        <v>-1</v>
      </c>
      <c r="AO26" s="2">
        <v>-1</v>
      </c>
      <c r="AP26" s="2">
        <v>-1</v>
      </c>
      <c r="AQ26" s="2">
        <v>-1</v>
      </c>
      <c r="AR26" s="2">
        <v>-1</v>
      </c>
      <c r="AS26" s="2">
        <v>-1</v>
      </c>
      <c r="AT26" s="2">
        <v>-1</v>
      </c>
      <c r="AU26" t="s">
        <v>398</v>
      </c>
      <c r="AV26">
        <v>1</v>
      </c>
      <c r="AW26">
        <v>9117</v>
      </c>
    </row>
    <row r="27" spans="1:49" x14ac:dyDescent="0.25">
      <c r="A27">
        <v>25</v>
      </c>
      <c r="B27">
        <v>20031</v>
      </c>
      <c r="C27" t="s">
        <v>1092</v>
      </c>
      <c r="D27" t="s">
        <v>1093</v>
      </c>
      <c r="E27" t="s">
        <v>1094</v>
      </c>
      <c r="F27">
        <v>2003</v>
      </c>
      <c r="G27">
        <v>-1</v>
      </c>
      <c r="H27" s="2">
        <v>1</v>
      </c>
      <c r="I27" s="2">
        <v>-1</v>
      </c>
      <c r="J27" s="2">
        <v>-1</v>
      </c>
      <c r="K27" s="2">
        <v>-1</v>
      </c>
      <c r="L27" s="2">
        <v>-1</v>
      </c>
      <c r="M27" s="2">
        <v>-1</v>
      </c>
      <c r="N27" s="2">
        <v>-1</v>
      </c>
      <c r="O27" s="2">
        <v>-1</v>
      </c>
      <c r="P27" s="2">
        <v>-1</v>
      </c>
      <c r="Q27" s="2">
        <v>0.5</v>
      </c>
      <c r="R27" s="2">
        <v>0.5</v>
      </c>
      <c r="S27" s="2">
        <v>-1</v>
      </c>
      <c r="T27" s="2">
        <v>-1</v>
      </c>
      <c r="U27" s="2">
        <v>-1</v>
      </c>
      <c r="V27" s="2">
        <v>-1</v>
      </c>
      <c r="W27" s="2">
        <v>-1</v>
      </c>
      <c r="X27" s="2">
        <v>-1</v>
      </c>
      <c r="Y27" s="2">
        <v>-1</v>
      </c>
      <c r="Z27" s="2">
        <v>-1</v>
      </c>
      <c r="AA27" s="2">
        <v>6</v>
      </c>
      <c r="AB27" s="2">
        <v>800</v>
      </c>
      <c r="AC27" s="2">
        <v>-1</v>
      </c>
      <c r="AD27" s="2">
        <v>-1</v>
      </c>
      <c r="AE27" s="2">
        <v>-1</v>
      </c>
      <c r="AF27" s="2">
        <v>-1</v>
      </c>
      <c r="AG27" s="2">
        <v>-1</v>
      </c>
      <c r="AH27" s="2">
        <v>-1</v>
      </c>
      <c r="AI27" s="2">
        <v>-1</v>
      </c>
      <c r="AJ27" s="2">
        <v>-1</v>
      </c>
      <c r="AK27" s="2">
        <v>2</v>
      </c>
      <c r="AL27" s="2">
        <v>3</v>
      </c>
      <c r="AM27" s="2">
        <v>-1</v>
      </c>
      <c r="AN27" s="2">
        <v>-1</v>
      </c>
      <c r="AO27" s="2">
        <v>-1</v>
      </c>
      <c r="AP27" s="2">
        <v>-1</v>
      </c>
      <c r="AQ27" s="2">
        <v>-1</v>
      </c>
      <c r="AR27" s="2">
        <v>-1</v>
      </c>
      <c r="AS27" s="2">
        <v>-1</v>
      </c>
      <c r="AT27" s="2">
        <v>-1</v>
      </c>
      <c r="AU27" t="s">
        <v>1095</v>
      </c>
      <c r="AV27">
        <v>1</v>
      </c>
      <c r="AW27">
        <v>-1</v>
      </c>
    </row>
    <row r="28" spans="1:49" x14ac:dyDescent="0.25">
      <c r="A28">
        <v>26</v>
      </c>
      <c r="B28">
        <v>20121</v>
      </c>
      <c r="C28" t="s">
        <v>1096</v>
      </c>
      <c r="D28" t="s">
        <v>1097</v>
      </c>
      <c r="E28" t="s">
        <v>1098</v>
      </c>
      <c r="F28">
        <v>2012</v>
      </c>
      <c r="G28">
        <v>-1</v>
      </c>
      <c r="H28" s="2">
        <v>1</v>
      </c>
      <c r="I28" s="2">
        <v>-1</v>
      </c>
      <c r="J28" s="2">
        <v>-1</v>
      </c>
      <c r="K28" s="2">
        <v>-1</v>
      </c>
      <c r="L28" s="2">
        <v>-1</v>
      </c>
      <c r="M28" s="2">
        <v>-1</v>
      </c>
      <c r="N28" s="2">
        <v>-1</v>
      </c>
      <c r="O28" s="2">
        <v>-1</v>
      </c>
      <c r="P28" s="2">
        <v>-1</v>
      </c>
      <c r="Q28" s="2">
        <v>0.5</v>
      </c>
      <c r="R28" s="2">
        <v>0.5</v>
      </c>
      <c r="S28" s="2">
        <v>-1</v>
      </c>
      <c r="T28" s="2">
        <v>-1</v>
      </c>
      <c r="U28" s="2">
        <v>-1</v>
      </c>
      <c r="V28" s="2">
        <v>-1</v>
      </c>
      <c r="W28" s="2">
        <v>-1</v>
      </c>
      <c r="X28" s="2">
        <v>-1</v>
      </c>
      <c r="Y28" s="2">
        <v>-1</v>
      </c>
      <c r="Z28" s="2">
        <v>-1</v>
      </c>
      <c r="AA28" s="2">
        <v>8</v>
      </c>
      <c r="AB28" s="2">
        <v>1000</v>
      </c>
      <c r="AC28" s="2">
        <v>-1</v>
      </c>
      <c r="AD28" s="2">
        <v>-1</v>
      </c>
      <c r="AE28" s="2">
        <v>-1</v>
      </c>
      <c r="AF28" s="2">
        <v>-1</v>
      </c>
      <c r="AG28" s="2">
        <v>-1</v>
      </c>
      <c r="AH28" s="2">
        <v>-1</v>
      </c>
      <c r="AI28" s="2">
        <v>-1</v>
      </c>
      <c r="AJ28" s="2">
        <v>-1</v>
      </c>
      <c r="AK28" s="2">
        <v>2</v>
      </c>
      <c r="AL28" s="2">
        <v>3</v>
      </c>
      <c r="AM28" s="2">
        <v>-1</v>
      </c>
      <c r="AN28" s="2">
        <v>-1</v>
      </c>
      <c r="AO28" s="2">
        <v>-1</v>
      </c>
      <c r="AP28" s="2">
        <v>-1</v>
      </c>
      <c r="AQ28" s="2">
        <v>-1</v>
      </c>
      <c r="AR28" s="2">
        <v>-1</v>
      </c>
      <c r="AS28" s="2">
        <v>-1</v>
      </c>
      <c r="AT28" s="2">
        <v>-1</v>
      </c>
      <c r="AU28" t="s">
        <v>1099</v>
      </c>
      <c r="AV28">
        <v>1</v>
      </c>
      <c r="AW28">
        <v>-1</v>
      </c>
    </row>
    <row r="29" spans="1:49" x14ac:dyDescent="0.25">
      <c r="A29">
        <v>27</v>
      </c>
      <c r="B29">
        <v>20181</v>
      </c>
      <c r="C29" t="s">
        <v>1104</v>
      </c>
      <c r="D29" t="s">
        <v>1105</v>
      </c>
      <c r="E29" t="s">
        <v>1106</v>
      </c>
      <c r="F29">
        <v>2018</v>
      </c>
      <c r="G29">
        <v>-1</v>
      </c>
      <c r="H29" s="2">
        <v>1</v>
      </c>
      <c r="I29" s="2">
        <v>-1</v>
      </c>
      <c r="J29" s="2">
        <v>-1</v>
      </c>
      <c r="K29" s="2">
        <v>-1</v>
      </c>
      <c r="L29" s="2">
        <v>-1</v>
      </c>
      <c r="M29" s="2">
        <v>-1</v>
      </c>
      <c r="N29" s="2">
        <v>-1</v>
      </c>
      <c r="O29" s="2">
        <v>-1</v>
      </c>
      <c r="P29" s="2">
        <v>-1</v>
      </c>
      <c r="Q29" s="2">
        <v>0.5</v>
      </c>
      <c r="R29" s="2">
        <v>0.5</v>
      </c>
      <c r="S29" s="2">
        <v>-1</v>
      </c>
      <c r="T29" s="2">
        <v>-1</v>
      </c>
      <c r="U29" s="2">
        <v>-1</v>
      </c>
      <c r="V29" s="2">
        <v>-1</v>
      </c>
      <c r="W29" s="2">
        <v>-1</v>
      </c>
      <c r="X29" s="2">
        <v>-1</v>
      </c>
      <c r="Y29" s="2">
        <v>-1</v>
      </c>
      <c r="Z29" s="2">
        <v>-1</v>
      </c>
      <c r="AA29" s="2">
        <v>2</v>
      </c>
      <c r="AB29" s="2">
        <v>300</v>
      </c>
      <c r="AC29" s="2">
        <v>-1</v>
      </c>
      <c r="AD29" s="2">
        <v>-1</v>
      </c>
      <c r="AE29" s="2">
        <v>-1</v>
      </c>
      <c r="AF29" s="2">
        <v>-1</v>
      </c>
      <c r="AG29" s="2">
        <v>-1</v>
      </c>
      <c r="AH29" s="2">
        <v>-1</v>
      </c>
      <c r="AI29" s="2">
        <v>-1</v>
      </c>
      <c r="AJ29" s="2">
        <v>-1</v>
      </c>
      <c r="AK29" s="2">
        <v>2</v>
      </c>
      <c r="AL29" s="2">
        <v>3</v>
      </c>
      <c r="AM29" s="2">
        <v>-1</v>
      </c>
      <c r="AN29" s="2">
        <v>-1</v>
      </c>
      <c r="AO29" s="2">
        <v>-1</v>
      </c>
      <c r="AP29" s="2">
        <v>-1</v>
      </c>
      <c r="AQ29" s="2">
        <v>-1</v>
      </c>
      <c r="AR29" s="2">
        <v>-1</v>
      </c>
      <c r="AS29" s="2">
        <v>-1</v>
      </c>
      <c r="AT29" s="2">
        <v>-1</v>
      </c>
      <c r="AU29" t="s">
        <v>1107</v>
      </c>
      <c r="AV29">
        <v>1</v>
      </c>
      <c r="AW29">
        <v>-1</v>
      </c>
    </row>
    <row r="30" spans="1:49" x14ac:dyDescent="0.25">
      <c r="A30">
        <v>28</v>
      </c>
      <c r="B30">
        <v>20191</v>
      </c>
      <c r="C30" t="s">
        <v>1108</v>
      </c>
      <c r="D30" t="s">
        <v>1109</v>
      </c>
      <c r="E30" t="s">
        <v>1110</v>
      </c>
      <c r="F30">
        <v>2019</v>
      </c>
      <c r="G30">
        <v>-1</v>
      </c>
      <c r="H30" s="2">
        <v>1</v>
      </c>
      <c r="I30" s="2">
        <v>-1</v>
      </c>
      <c r="J30" s="2">
        <v>-1</v>
      </c>
      <c r="K30" s="2">
        <v>-1</v>
      </c>
      <c r="L30" s="2">
        <v>-1</v>
      </c>
      <c r="M30" s="2">
        <v>-1</v>
      </c>
      <c r="N30" s="2">
        <v>-1</v>
      </c>
      <c r="O30" s="2">
        <v>-1</v>
      </c>
      <c r="P30" s="2">
        <v>-1</v>
      </c>
      <c r="Q30" s="2">
        <v>0.5</v>
      </c>
      <c r="R30" s="2">
        <v>0.5</v>
      </c>
      <c r="S30" s="2">
        <v>-1</v>
      </c>
      <c r="T30" s="2">
        <v>-1</v>
      </c>
      <c r="U30" s="2">
        <v>-1</v>
      </c>
      <c r="V30" s="2">
        <v>-1</v>
      </c>
      <c r="W30" s="2">
        <v>-1</v>
      </c>
      <c r="X30" s="2">
        <v>-1</v>
      </c>
      <c r="Y30" s="2">
        <v>-1</v>
      </c>
      <c r="Z30" s="2">
        <v>-1</v>
      </c>
      <c r="AA30" s="2">
        <v>23</v>
      </c>
      <c r="AB30" s="2">
        <v>3000</v>
      </c>
      <c r="AC30" s="2">
        <v>-1</v>
      </c>
      <c r="AD30" s="2">
        <v>-1</v>
      </c>
      <c r="AE30" s="2">
        <v>-1</v>
      </c>
      <c r="AF30" s="2">
        <v>-1</v>
      </c>
      <c r="AG30" s="2">
        <v>-1</v>
      </c>
      <c r="AH30" s="2">
        <v>-1</v>
      </c>
      <c r="AI30" s="2">
        <v>-1</v>
      </c>
      <c r="AJ30" s="2">
        <v>-1</v>
      </c>
      <c r="AK30" s="2">
        <v>2</v>
      </c>
      <c r="AL30" s="2">
        <v>3</v>
      </c>
      <c r="AM30" s="2">
        <v>-1</v>
      </c>
      <c r="AN30" s="2">
        <v>-1</v>
      </c>
      <c r="AO30" s="2">
        <v>-1</v>
      </c>
      <c r="AP30" s="2">
        <v>-1</v>
      </c>
      <c r="AQ30" s="2">
        <v>-1</v>
      </c>
      <c r="AR30" s="2">
        <v>-1</v>
      </c>
      <c r="AS30" s="2">
        <v>-1</v>
      </c>
      <c r="AT30" s="2">
        <v>-1</v>
      </c>
      <c r="AU30" t="s">
        <v>1111</v>
      </c>
      <c r="AV30">
        <v>1</v>
      </c>
      <c r="AW30">
        <v>-1</v>
      </c>
    </row>
    <row r="31" spans="1:49" x14ac:dyDescent="0.25">
      <c r="A31">
        <v>29</v>
      </c>
      <c r="B31">
        <v>20211</v>
      </c>
      <c r="C31" t="s">
        <v>1112</v>
      </c>
      <c r="D31" t="s">
        <v>1113</v>
      </c>
      <c r="E31" t="s">
        <v>1114</v>
      </c>
      <c r="F31">
        <v>2021</v>
      </c>
      <c r="G31">
        <v>-1</v>
      </c>
      <c r="H31" s="2">
        <v>1</v>
      </c>
      <c r="I31" s="2">
        <v>-1</v>
      </c>
      <c r="J31" s="2">
        <v>-1</v>
      </c>
      <c r="K31" s="2">
        <v>-1</v>
      </c>
      <c r="L31" s="2">
        <v>-1</v>
      </c>
      <c r="M31" s="2">
        <v>-1</v>
      </c>
      <c r="N31" s="2">
        <v>-1</v>
      </c>
      <c r="O31" s="2">
        <v>-1</v>
      </c>
      <c r="P31" s="2">
        <v>-1</v>
      </c>
      <c r="Q31" s="2">
        <v>0.5</v>
      </c>
      <c r="R31" s="2">
        <v>0.5</v>
      </c>
      <c r="S31" s="2">
        <v>-1</v>
      </c>
      <c r="T31" s="2">
        <v>-1</v>
      </c>
      <c r="U31" s="2">
        <v>-1</v>
      </c>
      <c r="V31" s="2">
        <v>-1</v>
      </c>
      <c r="W31" s="2">
        <v>-1</v>
      </c>
      <c r="X31" s="2">
        <v>-1</v>
      </c>
      <c r="Y31" s="2">
        <v>-1</v>
      </c>
      <c r="Z31" s="2">
        <v>-1</v>
      </c>
      <c r="AA31" s="2">
        <v>23</v>
      </c>
      <c r="AB31" s="2">
        <v>3000</v>
      </c>
      <c r="AC31" s="2">
        <v>-1</v>
      </c>
      <c r="AD31" s="2">
        <v>-1</v>
      </c>
      <c r="AE31" s="2">
        <v>-1</v>
      </c>
      <c r="AF31" s="2">
        <v>-1</v>
      </c>
      <c r="AG31" s="2">
        <v>-1</v>
      </c>
      <c r="AH31" s="2">
        <v>-1</v>
      </c>
      <c r="AI31" s="2">
        <v>-1</v>
      </c>
      <c r="AJ31" s="2">
        <v>-1</v>
      </c>
      <c r="AK31" s="2">
        <v>2</v>
      </c>
      <c r="AL31" s="2">
        <v>3</v>
      </c>
      <c r="AM31" s="2">
        <v>-1</v>
      </c>
      <c r="AN31" s="2">
        <v>-1</v>
      </c>
      <c r="AO31" s="2">
        <v>-1</v>
      </c>
      <c r="AP31" s="2">
        <v>-1</v>
      </c>
      <c r="AQ31" s="2">
        <v>-1</v>
      </c>
      <c r="AR31" s="2">
        <v>-1</v>
      </c>
      <c r="AS31" s="2">
        <v>-1</v>
      </c>
      <c r="AT31" s="2">
        <v>-1</v>
      </c>
      <c r="AU31" t="s">
        <v>1115</v>
      </c>
      <c r="AV31">
        <v>1</v>
      </c>
      <c r="AW31">
        <v>-1</v>
      </c>
    </row>
    <row r="32" spans="1:49" x14ac:dyDescent="0.25">
      <c r="A32">
        <v>30</v>
      </c>
      <c r="B32">
        <v>20221</v>
      </c>
      <c r="C32" t="s">
        <v>1116</v>
      </c>
      <c r="D32" t="s">
        <v>1117</v>
      </c>
      <c r="E32" t="s">
        <v>1118</v>
      </c>
      <c r="F32">
        <v>2022</v>
      </c>
      <c r="G32">
        <v>-1</v>
      </c>
      <c r="H32" s="2">
        <v>1</v>
      </c>
      <c r="I32" s="2">
        <v>-1</v>
      </c>
      <c r="J32" s="2">
        <v>-1</v>
      </c>
      <c r="K32" s="2">
        <v>-1</v>
      </c>
      <c r="L32" s="2">
        <v>-1</v>
      </c>
      <c r="M32" s="2">
        <v>-1</v>
      </c>
      <c r="N32" s="2">
        <v>-1</v>
      </c>
      <c r="O32" s="2">
        <v>-1</v>
      </c>
      <c r="P32" s="2">
        <v>-1</v>
      </c>
      <c r="Q32" s="2">
        <v>0.5</v>
      </c>
      <c r="R32" s="2">
        <v>0.5</v>
      </c>
      <c r="S32" s="2">
        <v>-1</v>
      </c>
      <c r="T32" s="2">
        <v>-1</v>
      </c>
      <c r="U32" s="2">
        <v>-1</v>
      </c>
      <c r="V32" s="2">
        <v>-1</v>
      </c>
      <c r="W32" s="2">
        <v>-1</v>
      </c>
      <c r="X32" s="2">
        <v>-1</v>
      </c>
      <c r="Y32" s="2">
        <v>-1</v>
      </c>
      <c r="Z32" s="2">
        <v>-1</v>
      </c>
      <c r="AA32" s="2">
        <v>4</v>
      </c>
      <c r="AB32" s="2">
        <v>500</v>
      </c>
      <c r="AC32" s="2">
        <v>-1</v>
      </c>
      <c r="AD32" s="2">
        <v>-1</v>
      </c>
      <c r="AE32" s="2">
        <v>-1</v>
      </c>
      <c r="AF32" s="2">
        <v>-1</v>
      </c>
      <c r="AG32" s="2">
        <v>-1</v>
      </c>
      <c r="AH32" s="2">
        <v>-1</v>
      </c>
      <c r="AI32" s="2">
        <v>-1</v>
      </c>
      <c r="AJ32" s="2">
        <v>-1</v>
      </c>
      <c r="AK32" s="2">
        <v>2</v>
      </c>
      <c r="AL32" s="2">
        <v>3</v>
      </c>
      <c r="AM32" s="2">
        <v>-1</v>
      </c>
      <c r="AN32" s="2">
        <v>-1</v>
      </c>
      <c r="AO32" s="2">
        <v>-1</v>
      </c>
      <c r="AP32" s="2">
        <v>-1</v>
      </c>
      <c r="AQ32" s="2">
        <v>-1</v>
      </c>
      <c r="AR32" s="2">
        <v>-1</v>
      </c>
      <c r="AS32" s="2">
        <v>-1</v>
      </c>
      <c r="AT32" s="2">
        <v>-1</v>
      </c>
      <c r="AU32" t="s">
        <v>1119</v>
      </c>
      <c r="AV32">
        <v>1</v>
      </c>
      <c r="AW32">
        <v>-1</v>
      </c>
    </row>
    <row r="33" spans="1:49" x14ac:dyDescent="0.25">
      <c r="A33">
        <v>31</v>
      </c>
      <c r="B33">
        <v>20241</v>
      </c>
      <c r="C33" t="s">
        <v>1120</v>
      </c>
      <c r="D33" t="s">
        <v>1121</v>
      </c>
      <c r="E33" t="s">
        <v>1122</v>
      </c>
      <c r="F33">
        <v>2024</v>
      </c>
      <c r="G33">
        <v>-1</v>
      </c>
      <c r="H33" s="2">
        <v>1</v>
      </c>
      <c r="I33" s="2">
        <v>-1</v>
      </c>
      <c r="J33" s="2">
        <v>-1</v>
      </c>
      <c r="K33" s="2">
        <v>-1</v>
      </c>
      <c r="L33" s="2">
        <v>-1</v>
      </c>
      <c r="M33" s="2">
        <v>-1</v>
      </c>
      <c r="N33" s="2">
        <v>-1</v>
      </c>
      <c r="O33" s="2">
        <v>-1</v>
      </c>
      <c r="P33" s="2">
        <v>-1</v>
      </c>
      <c r="Q33" s="2">
        <v>0.5</v>
      </c>
      <c r="R33" s="2">
        <v>0.5</v>
      </c>
      <c r="S33" s="2">
        <v>-1</v>
      </c>
      <c r="T33" s="2">
        <v>-1</v>
      </c>
      <c r="U33" s="2">
        <v>-1</v>
      </c>
      <c r="V33" s="2">
        <v>-1</v>
      </c>
      <c r="W33" s="2">
        <v>-1</v>
      </c>
      <c r="X33" s="2">
        <v>-1</v>
      </c>
      <c r="Y33" s="2">
        <v>-1</v>
      </c>
      <c r="Z33" s="2">
        <v>-1</v>
      </c>
      <c r="AA33" s="2">
        <v>3</v>
      </c>
      <c r="AB33" s="2">
        <v>400</v>
      </c>
      <c r="AC33" s="2">
        <v>-1</v>
      </c>
      <c r="AD33" s="2">
        <v>-1</v>
      </c>
      <c r="AE33" s="2">
        <v>-1</v>
      </c>
      <c r="AF33" s="2">
        <v>-1</v>
      </c>
      <c r="AG33" s="2">
        <v>-1</v>
      </c>
      <c r="AH33" s="2">
        <v>-1</v>
      </c>
      <c r="AI33" s="2">
        <v>-1</v>
      </c>
      <c r="AJ33" s="2">
        <v>-1</v>
      </c>
      <c r="AK33" s="2">
        <v>2</v>
      </c>
      <c r="AL33" s="2">
        <v>3</v>
      </c>
      <c r="AM33" s="2">
        <v>-1</v>
      </c>
      <c r="AN33" s="2">
        <v>-1</v>
      </c>
      <c r="AO33" s="2">
        <v>-1</v>
      </c>
      <c r="AP33" s="2">
        <v>-1</v>
      </c>
      <c r="AQ33" s="2">
        <v>-1</v>
      </c>
      <c r="AR33" s="2">
        <v>-1</v>
      </c>
      <c r="AS33" s="2">
        <v>-1</v>
      </c>
      <c r="AT33" s="2">
        <v>-1</v>
      </c>
      <c r="AU33" t="s">
        <v>1123</v>
      </c>
      <c r="AV33">
        <v>1</v>
      </c>
      <c r="AW33">
        <v>-1</v>
      </c>
    </row>
    <row r="34" spans="1:49" x14ac:dyDescent="0.25">
      <c r="A34">
        <v>32</v>
      </c>
      <c r="B34">
        <v>20261</v>
      </c>
      <c r="C34" t="s">
        <v>1124</v>
      </c>
      <c r="D34" t="s">
        <v>1125</v>
      </c>
      <c r="E34" t="s">
        <v>1126</v>
      </c>
      <c r="F34">
        <v>2026</v>
      </c>
      <c r="G34">
        <v>-1</v>
      </c>
      <c r="H34" s="2">
        <v>1</v>
      </c>
      <c r="I34" s="2">
        <v>-1</v>
      </c>
      <c r="J34" s="2">
        <v>-1</v>
      </c>
      <c r="K34" s="2">
        <v>-1</v>
      </c>
      <c r="L34" s="2">
        <v>-1</v>
      </c>
      <c r="M34" s="2">
        <v>-1</v>
      </c>
      <c r="N34" s="2">
        <v>-1</v>
      </c>
      <c r="O34" s="2">
        <v>-1</v>
      </c>
      <c r="P34" s="2">
        <v>-1</v>
      </c>
      <c r="Q34" s="2">
        <v>0.5</v>
      </c>
      <c r="R34" s="2">
        <v>0.5</v>
      </c>
      <c r="S34" s="2">
        <v>-1</v>
      </c>
      <c r="T34" s="2">
        <v>-1</v>
      </c>
      <c r="U34" s="2">
        <v>-1</v>
      </c>
      <c r="V34" s="2">
        <v>-1</v>
      </c>
      <c r="W34" s="2">
        <v>-1</v>
      </c>
      <c r="X34" s="2">
        <v>-1</v>
      </c>
      <c r="Y34" s="2">
        <v>-1</v>
      </c>
      <c r="Z34" s="2">
        <v>-1</v>
      </c>
      <c r="AA34" s="2">
        <v>6</v>
      </c>
      <c r="AB34" s="2">
        <v>800</v>
      </c>
      <c r="AC34" s="2">
        <v>-1</v>
      </c>
      <c r="AD34" s="2">
        <v>-1</v>
      </c>
      <c r="AE34" s="2">
        <v>-1</v>
      </c>
      <c r="AF34" s="2">
        <v>-1</v>
      </c>
      <c r="AG34" s="2">
        <v>-1</v>
      </c>
      <c r="AH34" s="2">
        <v>-1</v>
      </c>
      <c r="AI34" s="2">
        <v>-1</v>
      </c>
      <c r="AJ34" s="2">
        <v>-1</v>
      </c>
      <c r="AK34" s="2">
        <v>2</v>
      </c>
      <c r="AL34" s="2">
        <v>3</v>
      </c>
      <c r="AM34" s="2">
        <v>-1</v>
      </c>
      <c r="AN34" s="2">
        <v>-1</v>
      </c>
      <c r="AO34" s="2">
        <v>-1</v>
      </c>
      <c r="AP34" s="2">
        <v>-1</v>
      </c>
      <c r="AQ34" s="2">
        <v>-1</v>
      </c>
      <c r="AR34" s="2">
        <v>-1</v>
      </c>
      <c r="AS34" s="2">
        <v>-1</v>
      </c>
      <c r="AT34" s="2">
        <v>-1</v>
      </c>
      <c r="AU34" t="s">
        <v>1127</v>
      </c>
      <c r="AV34">
        <v>1</v>
      </c>
      <c r="AW34">
        <v>-1</v>
      </c>
    </row>
    <row r="35" spans="1:49" x14ac:dyDescent="0.25">
      <c r="A35">
        <v>33</v>
      </c>
      <c r="B35">
        <v>20371</v>
      </c>
      <c r="C35" t="s">
        <v>1128</v>
      </c>
      <c r="D35" t="s">
        <v>1129</v>
      </c>
      <c r="E35" t="s">
        <v>1130</v>
      </c>
      <c r="F35">
        <v>2037</v>
      </c>
      <c r="G35">
        <v>-1</v>
      </c>
      <c r="H35" s="2">
        <v>1</v>
      </c>
      <c r="I35" s="2">
        <v>-1</v>
      </c>
      <c r="J35" s="2">
        <v>-1</v>
      </c>
      <c r="K35" s="2">
        <v>-1</v>
      </c>
      <c r="L35" s="2">
        <v>-1</v>
      </c>
      <c r="M35" s="2">
        <v>-1</v>
      </c>
      <c r="N35" s="2">
        <v>-1</v>
      </c>
      <c r="O35" s="2">
        <v>-1</v>
      </c>
      <c r="P35" s="2">
        <v>-1</v>
      </c>
      <c r="Q35" s="2">
        <v>0.5</v>
      </c>
      <c r="R35" s="2">
        <v>0.5</v>
      </c>
      <c r="S35" s="2">
        <v>-1</v>
      </c>
      <c r="T35" s="2">
        <v>-1</v>
      </c>
      <c r="U35" s="2">
        <v>-1</v>
      </c>
      <c r="V35" s="2">
        <v>-1</v>
      </c>
      <c r="W35" s="2">
        <v>-1</v>
      </c>
      <c r="X35" s="2">
        <v>-1</v>
      </c>
      <c r="Y35" s="2">
        <v>-1</v>
      </c>
      <c r="Z35" s="2">
        <v>-1</v>
      </c>
      <c r="AA35" s="2">
        <v>8</v>
      </c>
      <c r="AB35" s="2">
        <v>1000</v>
      </c>
      <c r="AC35" s="2">
        <v>-1</v>
      </c>
      <c r="AD35" s="2">
        <v>-1</v>
      </c>
      <c r="AE35" s="2">
        <v>-1</v>
      </c>
      <c r="AF35" s="2">
        <v>-1</v>
      </c>
      <c r="AG35" s="2">
        <v>-1</v>
      </c>
      <c r="AH35" s="2">
        <v>-1</v>
      </c>
      <c r="AI35" s="2">
        <v>-1</v>
      </c>
      <c r="AJ35" s="2">
        <v>-1</v>
      </c>
      <c r="AK35" s="2">
        <v>2</v>
      </c>
      <c r="AL35" s="2">
        <v>3</v>
      </c>
      <c r="AM35" s="2">
        <v>-1</v>
      </c>
      <c r="AN35" s="2">
        <v>-1</v>
      </c>
      <c r="AO35" s="2">
        <v>-1</v>
      </c>
      <c r="AP35" s="2">
        <v>-1</v>
      </c>
      <c r="AQ35" s="2">
        <v>-1</v>
      </c>
      <c r="AR35" s="2">
        <v>-1</v>
      </c>
      <c r="AS35" s="2">
        <v>-1</v>
      </c>
      <c r="AT35" s="2">
        <v>-1</v>
      </c>
      <c r="AU35" t="s">
        <v>1131</v>
      </c>
      <c r="AV35">
        <v>1</v>
      </c>
      <c r="AW35">
        <v>-1</v>
      </c>
    </row>
    <row r="36" spans="1:49" x14ac:dyDescent="0.25">
      <c r="A36">
        <v>34</v>
      </c>
      <c r="B36">
        <v>20441</v>
      </c>
      <c r="C36" t="s">
        <v>1100</v>
      </c>
      <c r="D36" t="s">
        <v>1101</v>
      </c>
      <c r="E36" t="s">
        <v>1102</v>
      </c>
      <c r="F36">
        <v>2044</v>
      </c>
      <c r="G36">
        <v>-1</v>
      </c>
      <c r="H36" s="2">
        <v>1</v>
      </c>
      <c r="I36" s="2">
        <v>-1</v>
      </c>
      <c r="J36" s="2">
        <v>-1</v>
      </c>
      <c r="K36" s="2">
        <v>-1</v>
      </c>
      <c r="L36" s="2">
        <v>-1</v>
      </c>
      <c r="M36" s="2">
        <v>-1</v>
      </c>
      <c r="N36" s="2">
        <v>-1</v>
      </c>
      <c r="O36" s="2">
        <v>-1</v>
      </c>
      <c r="P36" s="2">
        <v>-1</v>
      </c>
      <c r="Q36" s="2">
        <v>0.5</v>
      </c>
      <c r="R36" s="2">
        <v>0.5</v>
      </c>
      <c r="S36" s="2">
        <v>-1</v>
      </c>
      <c r="T36" s="2">
        <v>-1</v>
      </c>
      <c r="U36" s="2">
        <v>-1</v>
      </c>
      <c r="V36" s="2">
        <v>-1</v>
      </c>
      <c r="W36" s="2">
        <v>-1</v>
      </c>
      <c r="X36" s="2">
        <v>-1</v>
      </c>
      <c r="Y36" s="2">
        <v>-1</v>
      </c>
      <c r="Z36" s="2">
        <v>-1</v>
      </c>
      <c r="AA36" s="2">
        <v>8</v>
      </c>
      <c r="AB36" s="2">
        <v>1000</v>
      </c>
      <c r="AC36" s="2">
        <v>-1</v>
      </c>
      <c r="AD36" s="2">
        <v>-1</v>
      </c>
      <c r="AE36" s="2">
        <v>-1</v>
      </c>
      <c r="AF36" s="2">
        <v>-1</v>
      </c>
      <c r="AG36" s="2">
        <v>-1</v>
      </c>
      <c r="AH36" s="2">
        <v>-1</v>
      </c>
      <c r="AI36" s="2">
        <v>-1</v>
      </c>
      <c r="AJ36" s="2">
        <v>-1</v>
      </c>
      <c r="AK36" s="2">
        <v>2</v>
      </c>
      <c r="AL36" s="2">
        <v>3</v>
      </c>
      <c r="AM36" s="2">
        <v>-1</v>
      </c>
      <c r="AN36" s="2">
        <v>-1</v>
      </c>
      <c r="AO36" s="2">
        <v>-1</v>
      </c>
      <c r="AP36" s="2">
        <v>-1</v>
      </c>
      <c r="AQ36" s="2">
        <v>-1</v>
      </c>
      <c r="AR36" s="2">
        <v>-1</v>
      </c>
      <c r="AS36" s="2">
        <v>-1</v>
      </c>
      <c r="AT36" s="2">
        <v>-1</v>
      </c>
      <c r="AU36" t="s">
        <v>1103</v>
      </c>
      <c r="AV36">
        <v>1</v>
      </c>
      <c r="AW36">
        <v>-1</v>
      </c>
    </row>
  </sheetData>
  <sortState ref="A2:M69">
    <sortCondition ref="F2:F69"/>
  </sortState>
  <conditionalFormatting sqref="AL1:AT1 AL3:AT36 AK1:AK500 AU1:AW500 A1:Z500">
    <cfRule type="cellIs" dxfId="11" priority="18" operator="equal">
      <formula>-1</formula>
    </cfRule>
  </conditionalFormatting>
  <conditionalFormatting sqref="AD16:AG16">
    <cfRule type="cellIs" dxfId="10" priority="8" operator="equal">
      <formula>-1</formula>
    </cfRule>
  </conditionalFormatting>
  <conditionalFormatting sqref="AA27:AB36 AA26:AC26 AA24:AC24 AA25:AG25 AA22:AC22 AA23:AG23 AA20:AC20 AA21:AG21 AA18:AC18 AA19:AG19 AA16:AC16 AA17:AG17 AA13:AG15 AA37:AJ500 AA1:AJ12">
    <cfRule type="cellIs" dxfId="9" priority="9" operator="equal">
      <formula>-1</formula>
    </cfRule>
  </conditionalFormatting>
  <conditionalFormatting sqref="AD18:AG18">
    <cfRule type="cellIs" dxfId="8" priority="7" operator="equal">
      <formula>-1</formula>
    </cfRule>
  </conditionalFormatting>
  <conditionalFormatting sqref="AD20:AG20">
    <cfRule type="cellIs" dxfId="7" priority="6" operator="equal">
      <formula>-1</formula>
    </cfRule>
  </conditionalFormatting>
  <conditionalFormatting sqref="AD22:AG22">
    <cfRule type="cellIs" dxfId="6" priority="5" operator="equal">
      <formula>-1</formula>
    </cfRule>
  </conditionalFormatting>
  <conditionalFormatting sqref="AD24:AG24">
    <cfRule type="cellIs" dxfId="5" priority="4" operator="equal">
      <formula>-1</formula>
    </cfRule>
  </conditionalFormatting>
  <conditionalFormatting sqref="AD26:AJ26 AH13:AJ25">
    <cfRule type="cellIs" dxfId="4" priority="3" operator="equal">
      <formula>-1</formula>
    </cfRule>
  </conditionalFormatting>
  <conditionalFormatting sqref="AC27:AJ36">
    <cfRule type="cellIs" dxfId="3" priority="2" operator="equal">
      <formula>-1</formula>
    </cfRule>
  </conditionalFormatting>
  <conditionalFormatting sqref="AL2:AT2 AL37:AT500">
    <cfRule type="cellIs" dxfId="2" priority="1" operator="equal">
      <formula>-1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4"/>
  <sheetViews>
    <sheetView workbookViewId="0">
      <selection activeCell="I11" sqref="I11"/>
    </sheetView>
  </sheetViews>
  <sheetFormatPr defaultRowHeight="15" x14ac:dyDescent="0.25"/>
  <cols>
    <col min="1" max="1" width="3.85546875" bestFit="1" customWidth="1"/>
    <col min="2" max="2" width="5.28515625" bestFit="1" customWidth="1"/>
    <col min="3" max="3" width="23.42578125" bestFit="1" customWidth="1"/>
    <col min="4" max="6" width="12.28515625" customWidth="1"/>
    <col min="7" max="7" width="16.85546875" bestFit="1" customWidth="1"/>
    <col min="8" max="8" width="18.85546875" bestFit="1" customWidth="1"/>
    <col min="9" max="9" width="22.7109375" bestFit="1" customWidth="1"/>
    <col min="10" max="10" width="13.7109375" bestFit="1" customWidth="1"/>
    <col min="11" max="11" width="16.28515625" bestFit="1" customWidth="1"/>
    <col min="12" max="12" width="12" bestFit="1" customWidth="1"/>
    <col min="13" max="13" width="7.5703125" bestFit="1" customWidth="1"/>
    <col min="14" max="14" width="7.85546875" bestFit="1" customWidth="1"/>
    <col min="15" max="15" width="7.85546875" customWidth="1"/>
    <col min="16" max="17" width="9" bestFit="1" customWidth="1"/>
  </cols>
  <sheetData>
    <row r="1" spans="1:35" s="1" customFormat="1" ht="45" x14ac:dyDescent="0.25">
      <c r="A1" s="1" t="s">
        <v>3</v>
      </c>
      <c r="B1" s="1" t="s">
        <v>66</v>
      </c>
      <c r="C1" s="1" t="s">
        <v>975</v>
      </c>
      <c r="D1" s="1" t="s">
        <v>997</v>
      </c>
      <c r="E1" s="1" t="s">
        <v>998</v>
      </c>
      <c r="F1" s="1" t="s">
        <v>999</v>
      </c>
      <c r="G1" s="1" t="s">
        <v>1000</v>
      </c>
      <c r="H1" s="1" t="s">
        <v>1001</v>
      </c>
      <c r="I1" s="1" t="s">
        <v>1003</v>
      </c>
      <c r="J1" s="1" t="s">
        <v>1005</v>
      </c>
      <c r="K1" s="1" t="s">
        <v>1006</v>
      </c>
      <c r="L1" s="1" t="s">
        <v>1007</v>
      </c>
      <c r="M1" s="1" t="s">
        <v>1008</v>
      </c>
      <c r="N1" s="1" t="s">
        <v>1175</v>
      </c>
      <c r="O1" s="1" t="s">
        <v>1186</v>
      </c>
      <c r="P1" s="1" t="s">
        <v>1176</v>
      </c>
      <c r="Q1" s="1" t="s">
        <v>1177</v>
      </c>
      <c r="R1" s="1" t="s">
        <v>1178</v>
      </c>
      <c r="S1" s="1" t="s">
        <v>1179</v>
      </c>
      <c r="T1" s="1" t="s">
        <v>1180</v>
      </c>
      <c r="U1" s="1" t="s">
        <v>1181</v>
      </c>
      <c r="V1" s="1" t="s">
        <v>1182</v>
      </c>
      <c r="W1" s="1" t="s">
        <v>1183</v>
      </c>
      <c r="X1" s="1" t="s">
        <v>1184</v>
      </c>
      <c r="Y1" s="1" t="s">
        <v>1196</v>
      </c>
      <c r="Z1" s="1" t="s">
        <v>1185</v>
      </c>
      <c r="AA1" s="1" t="s">
        <v>1187</v>
      </c>
      <c r="AB1" s="1" t="s">
        <v>1188</v>
      </c>
      <c r="AC1" s="1" t="s">
        <v>1189</v>
      </c>
      <c r="AD1" s="1" t="s">
        <v>1190</v>
      </c>
      <c r="AE1" s="1" t="s">
        <v>1191</v>
      </c>
      <c r="AF1" s="1" t="s">
        <v>1192</v>
      </c>
      <c r="AG1" s="1" t="s">
        <v>1193</v>
      </c>
      <c r="AH1" s="1" t="s">
        <v>1194</v>
      </c>
      <c r="AI1" s="1" t="s">
        <v>1195</v>
      </c>
    </row>
    <row r="2" spans="1:35" s="1" customFormat="1" x14ac:dyDescent="0.25"/>
    <row r="3" spans="1:35" x14ac:dyDescent="0.25">
      <c r="A3">
        <v>1</v>
      </c>
      <c r="B3" s="2">
        <v>1</v>
      </c>
      <c r="C3" t="s">
        <v>1167</v>
      </c>
      <c r="D3" s="2">
        <v>255</v>
      </c>
      <c r="E3" s="2">
        <v>155</v>
      </c>
      <c r="F3" s="2">
        <v>45</v>
      </c>
      <c r="G3" t="s">
        <v>957</v>
      </c>
      <c r="H3" t="s">
        <v>1168</v>
      </c>
      <c r="I3" t="s">
        <v>1169</v>
      </c>
      <c r="J3" t="s">
        <v>1170</v>
      </c>
      <c r="K3" t="s">
        <v>928</v>
      </c>
      <c r="L3" t="s">
        <v>929</v>
      </c>
      <c r="M3" t="s">
        <v>926</v>
      </c>
      <c r="N3" s="2">
        <v>10</v>
      </c>
      <c r="O3" s="2">
        <v>9</v>
      </c>
      <c r="P3" s="2">
        <v>9002</v>
      </c>
      <c r="Q3" s="2">
        <v>9003</v>
      </c>
      <c r="R3" s="2">
        <v>9005</v>
      </c>
      <c r="S3" s="2">
        <v>9006</v>
      </c>
      <c r="T3" s="2">
        <v>9007</v>
      </c>
      <c r="U3" s="2">
        <v>9009</v>
      </c>
      <c r="V3" s="2">
        <v>9010</v>
      </c>
      <c r="W3" s="2">
        <v>9011</v>
      </c>
      <c r="X3" s="2">
        <v>9004</v>
      </c>
      <c r="Y3" s="2">
        <v>10</v>
      </c>
      <c r="Z3" s="2">
        <v>20031</v>
      </c>
      <c r="AA3" s="2">
        <v>20121</v>
      </c>
      <c r="AB3" s="2">
        <v>20441</v>
      </c>
      <c r="AC3" s="2">
        <v>20181</v>
      </c>
      <c r="AD3" s="2">
        <v>20191</v>
      </c>
      <c r="AE3" s="2">
        <v>20211</v>
      </c>
      <c r="AF3" s="2">
        <v>20221</v>
      </c>
      <c r="AG3" s="2">
        <v>20241</v>
      </c>
      <c r="AH3" s="2">
        <v>20261</v>
      </c>
      <c r="AI3" s="2">
        <v>20371</v>
      </c>
    </row>
    <row r="4" spans="1:35" x14ac:dyDescent="0.25">
      <c r="A4">
        <v>2</v>
      </c>
      <c r="B4" s="2">
        <v>2</v>
      </c>
      <c r="C4" t="s">
        <v>1171</v>
      </c>
      <c r="D4" s="2">
        <v>50</v>
      </c>
      <c r="E4" s="2">
        <v>255</v>
      </c>
      <c r="F4" s="2">
        <v>45</v>
      </c>
      <c r="G4" t="s">
        <v>957</v>
      </c>
      <c r="H4" t="s">
        <v>1172</v>
      </c>
      <c r="I4" t="s">
        <v>1173</v>
      </c>
      <c r="J4" t="s">
        <v>1170</v>
      </c>
      <c r="K4" t="s">
        <v>1174</v>
      </c>
      <c r="L4" t="s">
        <v>929</v>
      </c>
      <c r="M4" t="s">
        <v>926</v>
      </c>
      <c r="N4" s="2">
        <v>1</v>
      </c>
      <c r="O4" s="2">
        <v>-1</v>
      </c>
      <c r="P4" s="2">
        <v>9008</v>
      </c>
      <c r="Q4" s="2">
        <v>9107</v>
      </c>
      <c r="R4" s="2">
        <v>9108</v>
      </c>
      <c r="S4" s="2">
        <v>9110</v>
      </c>
      <c r="T4" s="2">
        <v>9111</v>
      </c>
      <c r="U4" s="2">
        <v>9114</v>
      </c>
      <c r="V4" s="2">
        <v>9116</v>
      </c>
      <c r="W4" s="2">
        <v>9117</v>
      </c>
      <c r="X4" s="2">
        <v>-1</v>
      </c>
      <c r="Y4" s="2">
        <v>-1</v>
      </c>
      <c r="Z4" s="2">
        <v>1119107</v>
      </c>
      <c r="AA4" s="2">
        <v>1119108</v>
      </c>
      <c r="AB4" s="2">
        <v>1119110</v>
      </c>
      <c r="AC4" s="2">
        <v>1119111</v>
      </c>
      <c r="AD4" s="2">
        <v>1119114</v>
      </c>
      <c r="AE4" s="2">
        <v>1119116</v>
      </c>
      <c r="AF4" s="2">
        <v>1119117</v>
      </c>
      <c r="AG4" s="2">
        <v>-1</v>
      </c>
      <c r="AH4" s="2">
        <v>-1</v>
      </c>
      <c r="AI4" s="2">
        <v>-1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4" sqref="A4"/>
    </sheetView>
  </sheetViews>
  <sheetFormatPr defaultRowHeight="15" x14ac:dyDescent="0.25"/>
  <cols>
    <col min="2" max="2" width="6.7109375" bestFit="1" customWidth="1"/>
    <col min="3" max="3" width="19.140625" bestFit="1" customWidth="1"/>
    <col min="4" max="4" width="14.85546875" bestFit="1" customWidth="1"/>
    <col min="5" max="5" width="11.140625" bestFit="1" customWidth="1"/>
    <col min="6" max="6" width="10.28515625" bestFit="1" customWidth="1"/>
    <col min="7" max="7" width="12.28515625" bestFit="1" customWidth="1"/>
    <col min="8" max="8" width="27.140625" bestFit="1" customWidth="1"/>
    <col min="10" max="10" width="22" bestFit="1" customWidth="1"/>
    <col min="11" max="11" width="23.42578125" bestFit="1" customWidth="1"/>
    <col min="12" max="12" width="20.42578125" bestFit="1" customWidth="1"/>
    <col min="13" max="13" width="24.7109375" bestFit="1" customWidth="1"/>
    <col min="14" max="15" width="22.42578125" bestFit="1" customWidth="1"/>
    <col min="16" max="16" width="28.140625" bestFit="1" customWidth="1"/>
    <col min="17" max="18" width="29" bestFit="1" customWidth="1"/>
    <col min="19" max="19" width="16.7109375" bestFit="1" customWidth="1"/>
  </cols>
  <sheetData>
    <row r="1" spans="1:19" s="1" customFormat="1" ht="45" x14ac:dyDescent="0.25">
      <c r="A1" s="1" t="s">
        <v>3</v>
      </c>
      <c r="B1" s="1" t="s">
        <v>1199</v>
      </c>
      <c r="C1" s="1" t="s">
        <v>1200</v>
      </c>
      <c r="D1" s="1" t="s">
        <v>1246</v>
      </c>
      <c r="E1" s="1" t="s">
        <v>1197</v>
      </c>
      <c r="F1" s="1" t="s">
        <v>1198</v>
      </c>
      <c r="G1" s="1" t="s">
        <v>1222</v>
      </c>
      <c r="H1" s="1" t="s">
        <v>1223</v>
      </c>
      <c r="I1" s="1" t="s">
        <v>1224</v>
      </c>
      <c r="J1" s="1" t="s">
        <v>1225</v>
      </c>
      <c r="K1" s="1" t="s">
        <v>1226</v>
      </c>
      <c r="L1" s="1" t="s">
        <v>1230</v>
      </c>
      <c r="M1" s="1" t="s">
        <v>1231</v>
      </c>
      <c r="N1" s="1" t="s">
        <v>1232</v>
      </c>
      <c r="O1" s="1" t="s">
        <v>1239</v>
      </c>
      <c r="P1" s="1" t="s">
        <v>1237</v>
      </c>
      <c r="Q1" s="1" t="s">
        <v>1242</v>
      </c>
      <c r="R1" s="1" t="s">
        <v>1243</v>
      </c>
      <c r="S1" s="1" t="s">
        <v>1244</v>
      </c>
    </row>
    <row r="2" spans="1:19" x14ac:dyDescent="0.25">
      <c r="B2" t="s">
        <v>1201</v>
      </c>
      <c r="C2" t="s">
        <v>1201</v>
      </c>
      <c r="E2" t="s">
        <v>1201</v>
      </c>
      <c r="F2" t="s">
        <v>1201</v>
      </c>
    </row>
    <row r="3" spans="1:19" x14ac:dyDescent="0.25">
      <c r="A3">
        <v>0</v>
      </c>
      <c r="B3">
        <v>0</v>
      </c>
      <c r="C3" t="s">
        <v>1202</v>
      </c>
      <c r="D3">
        <v>53</v>
      </c>
      <c r="E3" s="4">
        <v>41671</v>
      </c>
      <c r="F3" s="4">
        <v>41698</v>
      </c>
      <c r="G3">
        <v>4500</v>
      </c>
      <c r="H3" t="s">
        <v>1227</v>
      </c>
      <c r="I3">
        <v>2</v>
      </c>
      <c r="J3" t="s">
        <v>1228</v>
      </c>
      <c r="K3" t="s">
        <v>1229</v>
      </c>
      <c r="L3" t="s">
        <v>1233</v>
      </c>
      <c r="M3" t="s">
        <v>1234</v>
      </c>
      <c r="N3" t="s">
        <v>1235</v>
      </c>
      <c r="O3" t="s">
        <v>1236</v>
      </c>
      <c r="P3" t="s">
        <v>1238</v>
      </c>
      <c r="Q3" t="s">
        <v>1240</v>
      </c>
      <c r="R3" t="s">
        <v>1241</v>
      </c>
      <c r="S3" t="s">
        <v>1245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workbookViewId="0">
      <selection activeCell="H23" sqref="H23"/>
    </sheetView>
  </sheetViews>
  <sheetFormatPr defaultRowHeight="15" x14ac:dyDescent="0.25"/>
  <cols>
    <col min="1" max="1" width="6.7109375" bestFit="1" customWidth="1"/>
    <col min="2" max="2" width="9.42578125" bestFit="1" customWidth="1"/>
    <col min="3" max="3" width="10.7109375" bestFit="1" customWidth="1"/>
    <col min="4" max="4" width="11" bestFit="1" customWidth="1"/>
    <col min="5" max="5" width="9.140625" bestFit="1" customWidth="1"/>
    <col min="6" max="6" width="6.7109375" bestFit="1" customWidth="1"/>
    <col min="7" max="7" width="19.7109375" bestFit="1" customWidth="1"/>
    <col min="8" max="8" width="36" bestFit="1" customWidth="1"/>
    <col min="9" max="9" width="7.5703125" bestFit="1" customWidth="1"/>
    <col min="10" max="10" width="8" bestFit="1" customWidth="1"/>
  </cols>
  <sheetData>
    <row r="1" spans="1:10" s="1" customFormat="1" ht="30" x14ac:dyDescent="0.25">
      <c r="A1" s="1" t="s">
        <v>3</v>
      </c>
      <c r="B1" t="s">
        <v>1268</v>
      </c>
      <c r="C1" s="1" t="s">
        <v>1267</v>
      </c>
      <c r="D1" s="1" t="s">
        <v>63</v>
      </c>
      <c r="E1" s="1" t="s">
        <v>1247</v>
      </c>
      <c r="F1" s="1" t="s">
        <v>66</v>
      </c>
      <c r="G1" s="1" t="s">
        <v>1203</v>
      </c>
      <c r="H1" t="s">
        <v>724</v>
      </c>
      <c r="I1" t="s">
        <v>1265</v>
      </c>
      <c r="J1" t="s">
        <v>1266</v>
      </c>
    </row>
    <row r="2" spans="1:10" x14ac:dyDescent="0.25">
      <c r="A2" t="s">
        <v>1201</v>
      </c>
      <c r="C2" t="s">
        <v>1201</v>
      </c>
      <c r="D2" t="s">
        <v>1201</v>
      </c>
      <c r="F2" t="s">
        <v>1201</v>
      </c>
      <c r="G2" t="s">
        <v>1201</v>
      </c>
    </row>
    <row r="3" spans="1:10" x14ac:dyDescent="0.25">
      <c r="A3">
        <v>0</v>
      </c>
      <c r="B3">
        <v>0</v>
      </c>
      <c r="C3" s="2">
        <v>60</v>
      </c>
      <c r="D3" t="s">
        <v>1204</v>
      </c>
      <c r="E3" t="s">
        <v>1248</v>
      </c>
      <c r="F3" s="2">
        <v>20202</v>
      </c>
      <c r="G3" t="s">
        <v>1205</v>
      </c>
      <c r="H3" t="s">
        <v>1251</v>
      </c>
      <c r="I3" s="2">
        <v>100</v>
      </c>
      <c r="J3" s="2">
        <v>100</v>
      </c>
    </row>
    <row r="4" spans="1:10" x14ac:dyDescent="0.25">
      <c r="A4">
        <v>1</v>
      </c>
      <c r="B4">
        <v>0</v>
      </c>
      <c r="C4" s="2">
        <v>60</v>
      </c>
      <c r="D4" t="s">
        <v>1204</v>
      </c>
      <c r="E4" t="s">
        <v>50</v>
      </c>
      <c r="F4" s="2">
        <v>9202</v>
      </c>
      <c r="G4" t="s">
        <v>1206</v>
      </c>
      <c r="H4" t="s">
        <v>437</v>
      </c>
      <c r="I4" s="2">
        <v>75</v>
      </c>
      <c r="J4" s="2">
        <v>75</v>
      </c>
    </row>
    <row r="5" spans="1:10" x14ac:dyDescent="0.25">
      <c r="A5">
        <v>2</v>
      </c>
      <c r="B5">
        <v>0</v>
      </c>
      <c r="C5" s="2">
        <v>150</v>
      </c>
      <c r="D5" t="s">
        <v>1204</v>
      </c>
      <c r="E5" t="s">
        <v>1248</v>
      </c>
      <c r="F5" s="2">
        <v>20203</v>
      </c>
      <c r="G5" t="s">
        <v>1207</v>
      </c>
      <c r="H5" t="s">
        <v>1252</v>
      </c>
      <c r="I5" s="2">
        <v>100</v>
      </c>
      <c r="J5" s="2">
        <v>100</v>
      </c>
    </row>
    <row r="6" spans="1:10" x14ac:dyDescent="0.25">
      <c r="A6">
        <v>3</v>
      </c>
      <c r="B6">
        <v>0</v>
      </c>
      <c r="C6" s="2">
        <v>270</v>
      </c>
      <c r="D6" t="s">
        <v>1204</v>
      </c>
      <c r="E6" t="s">
        <v>1248</v>
      </c>
      <c r="F6" s="2">
        <v>20201</v>
      </c>
      <c r="G6" t="s">
        <v>1253</v>
      </c>
      <c r="H6" t="s">
        <v>1254</v>
      </c>
      <c r="I6" s="2">
        <v>100</v>
      </c>
      <c r="J6" s="2">
        <v>100</v>
      </c>
    </row>
    <row r="7" spans="1:10" x14ac:dyDescent="0.25">
      <c r="A7">
        <v>4</v>
      </c>
      <c r="B7">
        <v>0</v>
      </c>
      <c r="C7" s="2">
        <v>270</v>
      </c>
      <c r="D7" t="s">
        <v>1204</v>
      </c>
      <c r="E7" t="s">
        <v>50</v>
      </c>
      <c r="F7" s="2">
        <v>9203</v>
      </c>
      <c r="G7" t="s">
        <v>1208</v>
      </c>
      <c r="H7" t="s">
        <v>440</v>
      </c>
      <c r="I7" s="2">
        <v>75</v>
      </c>
      <c r="J7" s="2">
        <v>75</v>
      </c>
    </row>
    <row r="8" spans="1:10" x14ac:dyDescent="0.25">
      <c r="A8">
        <v>5</v>
      </c>
      <c r="B8">
        <v>0</v>
      </c>
      <c r="C8" s="2">
        <v>390</v>
      </c>
      <c r="D8" t="s">
        <v>1204</v>
      </c>
      <c r="E8" t="s">
        <v>1248</v>
      </c>
      <c r="F8" s="2">
        <v>20207</v>
      </c>
      <c r="G8" t="s">
        <v>1209</v>
      </c>
      <c r="H8" t="s">
        <v>1255</v>
      </c>
      <c r="I8" s="2">
        <v>100</v>
      </c>
      <c r="J8" s="2">
        <v>100</v>
      </c>
    </row>
    <row r="9" spans="1:10" x14ac:dyDescent="0.25">
      <c r="A9">
        <v>6</v>
      </c>
      <c r="B9">
        <v>0</v>
      </c>
      <c r="C9" s="2">
        <v>600</v>
      </c>
      <c r="D9" t="s">
        <v>1204</v>
      </c>
      <c r="E9" t="s">
        <v>1248</v>
      </c>
      <c r="F9" s="2">
        <v>20208</v>
      </c>
      <c r="G9" t="s">
        <v>1210</v>
      </c>
      <c r="H9" t="s">
        <v>1256</v>
      </c>
      <c r="I9" s="2">
        <v>100</v>
      </c>
      <c r="J9" s="2">
        <v>100</v>
      </c>
    </row>
    <row r="10" spans="1:10" x14ac:dyDescent="0.25">
      <c r="A10">
        <v>7</v>
      </c>
      <c r="B10">
        <v>0</v>
      </c>
      <c r="C10" s="2">
        <v>600</v>
      </c>
      <c r="D10" t="s">
        <v>1204</v>
      </c>
      <c r="E10" t="s">
        <v>50</v>
      </c>
      <c r="F10" s="2">
        <v>9204</v>
      </c>
      <c r="G10" t="s">
        <v>1211</v>
      </c>
      <c r="H10" t="s">
        <v>443</v>
      </c>
      <c r="I10" s="2">
        <v>75</v>
      </c>
      <c r="J10" s="2">
        <v>75</v>
      </c>
    </row>
    <row r="11" spans="1:10" x14ac:dyDescent="0.25">
      <c r="A11">
        <v>8</v>
      </c>
      <c r="B11">
        <v>0</v>
      </c>
      <c r="C11" s="2">
        <v>1200</v>
      </c>
      <c r="D11" t="s">
        <v>1204</v>
      </c>
      <c r="E11" t="s">
        <v>1248</v>
      </c>
      <c r="F11" s="2">
        <v>20209</v>
      </c>
      <c r="G11" t="s">
        <v>1212</v>
      </c>
      <c r="H11" t="s">
        <v>1257</v>
      </c>
      <c r="I11" s="2">
        <v>100</v>
      </c>
      <c r="J11" s="2">
        <v>100</v>
      </c>
    </row>
    <row r="12" spans="1:10" x14ac:dyDescent="0.25">
      <c r="A12">
        <v>9</v>
      </c>
      <c r="B12">
        <v>0</v>
      </c>
      <c r="C12" s="2">
        <v>1800</v>
      </c>
      <c r="D12" t="s">
        <v>1204</v>
      </c>
      <c r="E12" t="s">
        <v>1248</v>
      </c>
      <c r="F12" s="2">
        <v>20210</v>
      </c>
      <c r="G12" t="s">
        <v>1213</v>
      </c>
      <c r="H12" t="s">
        <v>1258</v>
      </c>
      <c r="I12" s="2">
        <v>100</v>
      </c>
      <c r="J12" s="2">
        <v>100</v>
      </c>
    </row>
    <row r="13" spans="1:10" x14ac:dyDescent="0.25">
      <c r="A13">
        <v>10</v>
      </c>
      <c r="B13">
        <v>0</v>
      </c>
      <c r="C13" s="2">
        <v>1800</v>
      </c>
      <c r="D13" t="s">
        <v>1204</v>
      </c>
      <c r="E13" t="s">
        <v>50</v>
      </c>
      <c r="F13" s="2">
        <v>9205</v>
      </c>
      <c r="G13" t="s">
        <v>1214</v>
      </c>
      <c r="H13" t="s">
        <v>446</v>
      </c>
      <c r="I13" s="2">
        <v>75</v>
      </c>
      <c r="J13" s="2">
        <v>75</v>
      </c>
    </row>
    <row r="14" spans="1:10" x14ac:dyDescent="0.25">
      <c r="A14">
        <v>11</v>
      </c>
      <c r="B14">
        <v>0</v>
      </c>
      <c r="C14" s="2">
        <v>2400</v>
      </c>
      <c r="D14" t="s">
        <v>1204</v>
      </c>
      <c r="E14" t="s">
        <v>1248</v>
      </c>
      <c r="F14" s="2">
        <v>20211</v>
      </c>
      <c r="G14" t="s">
        <v>1215</v>
      </c>
      <c r="H14" t="s">
        <v>1259</v>
      </c>
      <c r="I14" s="2">
        <v>100</v>
      </c>
      <c r="J14" s="2">
        <v>100</v>
      </c>
    </row>
    <row r="15" spans="1:10" x14ac:dyDescent="0.25">
      <c r="A15">
        <v>12</v>
      </c>
      <c r="B15">
        <v>0</v>
      </c>
      <c r="C15" s="2">
        <v>3300</v>
      </c>
      <c r="D15" t="s">
        <v>1204</v>
      </c>
      <c r="E15" t="s">
        <v>1248</v>
      </c>
      <c r="F15" s="2">
        <v>20212</v>
      </c>
      <c r="G15" t="s">
        <v>1216</v>
      </c>
      <c r="H15" t="s">
        <v>1260</v>
      </c>
      <c r="I15" s="2">
        <v>100</v>
      </c>
      <c r="J15" s="2">
        <v>100</v>
      </c>
    </row>
    <row r="16" spans="1:10" x14ac:dyDescent="0.25">
      <c r="A16">
        <v>13</v>
      </c>
      <c r="B16">
        <v>0</v>
      </c>
      <c r="C16" s="2">
        <v>4500</v>
      </c>
      <c r="D16" t="s">
        <v>1204</v>
      </c>
      <c r="E16" t="s">
        <v>1248</v>
      </c>
      <c r="F16" s="2">
        <v>20213</v>
      </c>
      <c r="G16" t="s">
        <v>1217</v>
      </c>
      <c r="H16" t="s">
        <v>1261</v>
      </c>
      <c r="I16" s="2">
        <v>100</v>
      </c>
      <c r="J16" s="2">
        <v>100</v>
      </c>
    </row>
    <row r="17" spans="1:10" x14ac:dyDescent="0.25">
      <c r="A17">
        <v>16</v>
      </c>
      <c r="B17">
        <v>0</v>
      </c>
      <c r="C17" s="2">
        <v>14500000</v>
      </c>
      <c r="D17" t="s">
        <v>1218</v>
      </c>
      <c r="E17" t="s">
        <v>1248</v>
      </c>
      <c r="F17" s="2">
        <v>20214</v>
      </c>
      <c r="G17" t="s">
        <v>1219</v>
      </c>
      <c r="H17" t="s">
        <v>1262</v>
      </c>
      <c r="I17" s="2">
        <v>100</v>
      </c>
      <c r="J17" s="2">
        <v>100</v>
      </c>
    </row>
    <row r="18" spans="1:10" x14ac:dyDescent="0.25">
      <c r="A18">
        <v>17</v>
      </c>
      <c r="B18">
        <v>0</v>
      </c>
      <c r="C18" s="2">
        <v>35100000</v>
      </c>
      <c r="D18" t="s">
        <v>1218</v>
      </c>
      <c r="E18" t="s">
        <v>1248</v>
      </c>
      <c r="F18" s="2">
        <v>20216</v>
      </c>
      <c r="G18" t="s">
        <v>1220</v>
      </c>
      <c r="H18" t="s">
        <v>1263</v>
      </c>
      <c r="I18" s="2">
        <v>100</v>
      </c>
      <c r="J18" s="2">
        <v>100</v>
      </c>
    </row>
    <row r="19" spans="1:10" x14ac:dyDescent="0.25">
      <c r="A19">
        <v>18</v>
      </c>
      <c r="B19">
        <v>0</v>
      </c>
      <c r="C19" s="2">
        <v>67100000</v>
      </c>
      <c r="D19" t="s">
        <v>1218</v>
      </c>
      <c r="E19" t="s">
        <v>1248</v>
      </c>
      <c r="F19" s="2">
        <v>20217</v>
      </c>
      <c r="G19" t="s">
        <v>1221</v>
      </c>
      <c r="H19" t="s">
        <v>1264</v>
      </c>
      <c r="I19" s="2">
        <v>100</v>
      </c>
      <c r="J19" s="2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07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9" sqref="D9"/>
    </sheetView>
  </sheetViews>
  <sheetFormatPr defaultRowHeight="15" x14ac:dyDescent="0.25"/>
  <cols>
    <col min="1" max="1" width="5.140625" bestFit="1" customWidth="1"/>
    <col min="2" max="2" width="16.140625" bestFit="1" customWidth="1"/>
    <col min="3" max="3" width="47.5703125" bestFit="1" customWidth="1"/>
    <col min="4" max="4" width="62.5703125" bestFit="1" customWidth="1"/>
    <col min="5" max="5" width="16.140625" bestFit="1" customWidth="1"/>
    <col min="6" max="6" width="14" bestFit="1" customWidth="1"/>
    <col min="7" max="7" width="32" bestFit="1" customWidth="1"/>
    <col min="8" max="8" width="30.140625" bestFit="1" customWidth="1"/>
    <col min="9" max="9" width="39" bestFit="1" customWidth="1"/>
    <col min="10" max="10" width="40.140625" bestFit="1" customWidth="1"/>
    <col min="11" max="11" width="39.42578125" bestFit="1" customWidth="1"/>
    <col min="12" max="12" width="42" bestFit="1" customWidth="1"/>
    <col min="13" max="13" width="41.140625" bestFit="1" customWidth="1"/>
    <col min="14" max="14" width="36.28515625" bestFit="1" customWidth="1"/>
    <col min="15" max="15" width="33.42578125" bestFit="1" customWidth="1"/>
    <col min="16" max="16" width="42" bestFit="1" customWidth="1"/>
    <col min="17" max="17" width="33.7109375" bestFit="1" customWidth="1"/>
    <col min="18" max="18" width="38.42578125" bestFit="1" customWidth="1"/>
    <col min="19" max="19" width="34.7109375" bestFit="1" customWidth="1"/>
    <col min="20" max="20" width="33.7109375" bestFit="1" customWidth="1"/>
    <col min="21" max="21" width="28" bestFit="1" customWidth="1"/>
    <col min="22" max="22" width="22.5703125" bestFit="1" customWidth="1"/>
    <col min="23" max="23" width="36.85546875" bestFit="1" customWidth="1"/>
    <col min="24" max="24" width="27.5703125" bestFit="1" customWidth="1"/>
    <col min="25" max="25" width="24.140625" bestFit="1" customWidth="1"/>
  </cols>
  <sheetData>
    <row r="1" spans="1:25" s="1" customFormat="1" ht="67.5" customHeight="1" x14ac:dyDescent="0.25">
      <c r="A1" s="1" t="s">
        <v>2142</v>
      </c>
      <c r="B1" s="1" t="s">
        <v>63</v>
      </c>
      <c r="C1" s="1" t="s">
        <v>723</v>
      </c>
      <c r="D1" s="1" t="s">
        <v>5273</v>
      </c>
      <c r="E1" s="1" t="s">
        <v>5274</v>
      </c>
      <c r="F1" s="1" t="s">
        <v>5298</v>
      </c>
      <c r="G1" s="1" t="s">
        <v>5279</v>
      </c>
      <c r="H1" s="1" t="s">
        <v>5280</v>
      </c>
      <c r="I1" s="1" t="s">
        <v>5281</v>
      </c>
      <c r="J1" s="1" t="s">
        <v>5282</v>
      </c>
      <c r="K1" s="1" t="s">
        <v>5283</v>
      </c>
      <c r="L1" s="1" t="s">
        <v>5284</v>
      </c>
      <c r="M1" s="1" t="s">
        <v>5285</v>
      </c>
      <c r="N1" s="1" t="s">
        <v>5286</v>
      </c>
      <c r="O1" s="1" t="s">
        <v>5287</v>
      </c>
      <c r="P1" s="1" t="s">
        <v>5288</v>
      </c>
      <c r="Q1" s="1" t="s">
        <v>5289</v>
      </c>
      <c r="R1" s="1" t="s">
        <v>5290</v>
      </c>
      <c r="S1" s="1" t="s">
        <v>5291</v>
      </c>
      <c r="T1" s="1" t="s">
        <v>5292</v>
      </c>
      <c r="U1" s="1" t="s">
        <v>5293</v>
      </c>
      <c r="V1" s="1" t="s">
        <v>5294</v>
      </c>
      <c r="W1" s="1" t="s">
        <v>5295</v>
      </c>
      <c r="X1" s="1" t="s">
        <v>5296</v>
      </c>
      <c r="Y1" s="1" t="s">
        <v>5297</v>
      </c>
    </row>
    <row r="2" spans="1:25" s="1" customFormat="1" x14ac:dyDescent="0.25"/>
    <row r="3" spans="1:25" x14ac:dyDescent="0.25">
      <c r="A3">
        <v>3</v>
      </c>
      <c r="B3" t="s">
        <v>5271</v>
      </c>
      <c r="C3" t="s">
        <v>4123</v>
      </c>
      <c r="D3" t="s">
        <v>4124</v>
      </c>
      <c r="E3" t="s">
        <v>59</v>
      </c>
      <c r="F3">
        <v>19</v>
      </c>
      <c r="G3" t="s">
        <v>59</v>
      </c>
      <c r="H3" t="s">
        <v>59</v>
      </c>
      <c r="I3" t="s">
        <v>59</v>
      </c>
      <c r="J3" t="s">
        <v>59</v>
      </c>
      <c r="K3" t="s">
        <v>59</v>
      </c>
      <c r="L3" t="s">
        <v>59</v>
      </c>
      <c r="M3" t="s">
        <v>59</v>
      </c>
      <c r="N3" t="s">
        <v>59</v>
      </c>
      <c r="O3" t="s">
        <v>59</v>
      </c>
      <c r="P3" t="s">
        <v>59</v>
      </c>
      <c r="Q3" t="s">
        <v>59</v>
      </c>
      <c r="R3" t="s">
        <v>59</v>
      </c>
      <c r="S3" t="s">
        <v>59</v>
      </c>
      <c r="T3" t="s">
        <v>59</v>
      </c>
      <c r="U3" t="s">
        <v>59</v>
      </c>
      <c r="V3" t="s">
        <v>59</v>
      </c>
      <c r="W3" t="s">
        <v>59</v>
      </c>
      <c r="X3" t="s">
        <v>59</v>
      </c>
      <c r="Y3" t="s">
        <v>59</v>
      </c>
    </row>
    <row r="4" spans="1:25" x14ac:dyDescent="0.25">
      <c r="A4">
        <v>2</v>
      </c>
      <c r="B4" t="s">
        <v>5271</v>
      </c>
      <c r="C4" t="s">
        <v>4122</v>
      </c>
      <c r="D4" t="s">
        <v>4121</v>
      </c>
      <c r="E4" t="s">
        <v>59</v>
      </c>
      <c r="F4">
        <v>-1</v>
      </c>
      <c r="G4" t="s">
        <v>59</v>
      </c>
      <c r="H4" t="s">
        <v>59</v>
      </c>
      <c r="I4" t="s">
        <v>59</v>
      </c>
      <c r="J4" t="s">
        <v>59</v>
      </c>
      <c r="K4" t="s">
        <v>59</v>
      </c>
      <c r="L4" t="s">
        <v>59</v>
      </c>
      <c r="M4" t="s">
        <v>59</v>
      </c>
      <c r="N4" t="s">
        <v>59</v>
      </c>
      <c r="O4" t="s">
        <v>59</v>
      </c>
      <c r="P4" t="s">
        <v>59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  <c r="Y4" t="s">
        <v>59</v>
      </c>
    </row>
    <row r="5" spans="1:25" x14ac:dyDescent="0.25">
      <c r="A5">
        <v>7</v>
      </c>
      <c r="B5" t="s">
        <v>5271</v>
      </c>
      <c r="C5" t="s">
        <v>964</v>
      </c>
      <c r="D5" t="s">
        <v>4121</v>
      </c>
      <c r="E5" t="s">
        <v>59</v>
      </c>
      <c r="F5">
        <v>-1</v>
      </c>
      <c r="G5" t="s">
        <v>59</v>
      </c>
      <c r="H5" t="s">
        <v>59</v>
      </c>
      <c r="I5" t="s">
        <v>59</v>
      </c>
      <c r="J5" t="s">
        <v>59</v>
      </c>
      <c r="K5" t="s">
        <v>59</v>
      </c>
      <c r="L5" t="s">
        <v>59</v>
      </c>
      <c r="M5" t="s">
        <v>59</v>
      </c>
      <c r="N5" t="s">
        <v>59</v>
      </c>
      <c r="O5" t="s">
        <v>59</v>
      </c>
      <c r="P5" t="s">
        <v>59</v>
      </c>
      <c r="Q5" t="s">
        <v>59</v>
      </c>
      <c r="R5" t="s">
        <v>59</v>
      </c>
      <c r="S5" t="s">
        <v>59</v>
      </c>
      <c r="T5" t="s">
        <v>59</v>
      </c>
      <c r="U5" t="s">
        <v>59</v>
      </c>
      <c r="V5" t="s">
        <v>59</v>
      </c>
      <c r="W5" t="s">
        <v>59</v>
      </c>
      <c r="X5" t="s">
        <v>59</v>
      </c>
      <c r="Y5" t="s">
        <v>59</v>
      </c>
    </row>
    <row r="6" spans="1:25" x14ac:dyDescent="0.25">
      <c r="A6">
        <v>1</v>
      </c>
      <c r="B6" t="s">
        <v>5271</v>
      </c>
      <c r="C6" t="s">
        <v>4120</v>
      </c>
      <c r="D6" t="s">
        <v>4121</v>
      </c>
      <c r="E6" t="s">
        <v>59</v>
      </c>
      <c r="F6">
        <v>-1</v>
      </c>
      <c r="G6" t="s">
        <v>59</v>
      </c>
      <c r="H6" t="s">
        <v>59</v>
      </c>
      <c r="I6" t="s">
        <v>59</v>
      </c>
      <c r="J6" t="s">
        <v>59</v>
      </c>
      <c r="K6" t="s">
        <v>59</v>
      </c>
      <c r="L6" t="s">
        <v>59</v>
      </c>
      <c r="M6" t="s">
        <v>59</v>
      </c>
      <c r="N6" t="s">
        <v>59</v>
      </c>
      <c r="O6" t="s">
        <v>59</v>
      </c>
      <c r="P6" t="s">
        <v>59</v>
      </c>
      <c r="Q6" t="s">
        <v>59</v>
      </c>
      <c r="R6" t="s">
        <v>59</v>
      </c>
      <c r="S6" t="s">
        <v>59</v>
      </c>
      <c r="T6" t="s">
        <v>59</v>
      </c>
      <c r="U6" t="s">
        <v>59</v>
      </c>
      <c r="V6" t="s">
        <v>59</v>
      </c>
      <c r="W6" t="s">
        <v>59</v>
      </c>
      <c r="X6" t="s">
        <v>59</v>
      </c>
      <c r="Y6" t="s">
        <v>59</v>
      </c>
    </row>
    <row r="7" spans="1:25" x14ac:dyDescent="0.25">
      <c r="A7">
        <v>4</v>
      </c>
      <c r="B7" t="s">
        <v>5271</v>
      </c>
      <c r="C7" t="s">
        <v>4125</v>
      </c>
      <c r="D7" t="s">
        <v>4121</v>
      </c>
      <c r="E7" t="s">
        <v>59</v>
      </c>
      <c r="F7">
        <v>-1</v>
      </c>
      <c r="G7" t="s">
        <v>59</v>
      </c>
      <c r="H7" t="s">
        <v>59</v>
      </c>
      <c r="I7" t="s">
        <v>59</v>
      </c>
      <c r="J7" t="s">
        <v>59</v>
      </c>
      <c r="K7" t="s">
        <v>59</v>
      </c>
      <c r="L7" t="s">
        <v>59</v>
      </c>
      <c r="M7" t="s">
        <v>59</v>
      </c>
      <c r="N7" t="s">
        <v>59</v>
      </c>
      <c r="O7" t="s">
        <v>59</v>
      </c>
      <c r="P7" t="s">
        <v>59</v>
      </c>
      <c r="Q7" t="s">
        <v>59</v>
      </c>
      <c r="R7" t="s">
        <v>59</v>
      </c>
      <c r="S7" t="s">
        <v>59</v>
      </c>
      <c r="T7" t="s">
        <v>59</v>
      </c>
      <c r="U7" t="s">
        <v>59</v>
      </c>
      <c r="V7" t="s">
        <v>59</v>
      </c>
      <c r="W7" t="s">
        <v>59</v>
      </c>
      <c r="X7" t="s">
        <v>59</v>
      </c>
      <c r="Y7" t="s">
        <v>59</v>
      </c>
    </row>
    <row r="8" spans="1:25" x14ac:dyDescent="0.25">
      <c r="A8">
        <v>5</v>
      </c>
      <c r="B8" t="s">
        <v>5271</v>
      </c>
      <c r="C8" t="s">
        <v>4126</v>
      </c>
      <c r="D8" t="s">
        <v>4121</v>
      </c>
      <c r="E8" t="s">
        <v>59</v>
      </c>
      <c r="F8">
        <v>-1</v>
      </c>
      <c r="G8" t="s">
        <v>59</v>
      </c>
      <c r="H8" t="s">
        <v>59</v>
      </c>
      <c r="I8" t="s">
        <v>59</v>
      </c>
      <c r="J8" t="s">
        <v>59</v>
      </c>
      <c r="K8" t="s">
        <v>59</v>
      </c>
      <c r="L8" t="s">
        <v>59</v>
      </c>
      <c r="M8" t="s">
        <v>59</v>
      </c>
      <c r="N8" t="s">
        <v>59</v>
      </c>
      <c r="O8" t="s">
        <v>59</v>
      </c>
      <c r="P8" t="s">
        <v>59</v>
      </c>
      <c r="Q8" t="s">
        <v>59</v>
      </c>
      <c r="R8" t="s">
        <v>59</v>
      </c>
      <c r="S8" t="s">
        <v>59</v>
      </c>
      <c r="T8" t="s">
        <v>59</v>
      </c>
      <c r="U8" t="s">
        <v>59</v>
      </c>
      <c r="V8" t="s">
        <v>59</v>
      </c>
      <c r="W8" t="s">
        <v>59</v>
      </c>
      <c r="X8" t="s">
        <v>59</v>
      </c>
      <c r="Y8" t="s">
        <v>59</v>
      </c>
    </row>
    <row r="9" spans="1:25" x14ac:dyDescent="0.25">
      <c r="A9">
        <v>6</v>
      </c>
      <c r="B9" t="s">
        <v>5271</v>
      </c>
      <c r="C9" t="s">
        <v>942</v>
      </c>
      <c r="D9" t="s">
        <v>4121</v>
      </c>
      <c r="E9" t="s">
        <v>59</v>
      </c>
      <c r="F9">
        <v>-1</v>
      </c>
      <c r="G9" t="s">
        <v>59</v>
      </c>
      <c r="H9" t="s">
        <v>59</v>
      </c>
      <c r="I9" t="s">
        <v>59</v>
      </c>
      <c r="J9" t="s">
        <v>59</v>
      </c>
      <c r="K9" t="s">
        <v>59</v>
      </c>
      <c r="L9" t="s">
        <v>59</v>
      </c>
      <c r="M9" t="s">
        <v>59</v>
      </c>
      <c r="N9" t="s">
        <v>59</v>
      </c>
      <c r="O9" t="s">
        <v>59</v>
      </c>
      <c r="P9" t="s">
        <v>59</v>
      </c>
      <c r="Q9" t="s">
        <v>59</v>
      </c>
      <c r="R9" t="s">
        <v>59</v>
      </c>
      <c r="S9" t="s">
        <v>59</v>
      </c>
      <c r="T9" t="s">
        <v>59</v>
      </c>
      <c r="U9" t="s">
        <v>59</v>
      </c>
      <c r="V9" t="s">
        <v>59</v>
      </c>
      <c r="W9" t="s">
        <v>59</v>
      </c>
      <c r="X9" t="s">
        <v>59</v>
      </c>
      <c r="Y9" t="s">
        <v>59</v>
      </c>
    </row>
    <row r="10" spans="1:25" x14ac:dyDescent="0.25">
      <c r="A10">
        <v>42</v>
      </c>
      <c r="B10" t="s">
        <v>5272</v>
      </c>
      <c r="C10" t="s">
        <v>4194</v>
      </c>
      <c r="D10" t="s">
        <v>4195</v>
      </c>
      <c r="E10" t="s">
        <v>59</v>
      </c>
      <c r="F10">
        <v>-1</v>
      </c>
      <c r="G10" t="s">
        <v>59</v>
      </c>
      <c r="H10" t="s">
        <v>59</v>
      </c>
      <c r="I10" t="s">
        <v>59</v>
      </c>
      <c r="J10" t="s">
        <v>59</v>
      </c>
      <c r="K10" t="s">
        <v>59</v>
      </c>
      <c r="L10" t="s">
        <v>59</v>
      </c>
      <c r="M10" t="s">
        <v>59</v>
      </c>
      <c r="N10" t="s">
        <v>59</v>
      </c>
      <c r="O10" t="s">
        <v>59</v>
      </c>
      <c r="P10" t="s">
        <v>59</v>
      </c>
      <c r="Q10" t="s">
        <v>59</v>
      </c>
      <c r="R10" t="s">
        <v>59</v>
      </c>
      <c r="S10" t="s">
        <v>59</v>
      </c>
      <c r="T10" t="s">
        <v>59</v>
      </c>
      <c r="U10" t="s">
        <v>59</v>
      </c>
      <c r="V10" t="s">
        <v>59</v>
      </c>
      <c r="W10" t="s">
        <v>59</v>
      </c>
      <c r="X10" t="s">
        <v>59</v>
      </c>
      <c r="Y10" t="s">
        <v>59</v>
      </c>
    </row>
    <row r="11" spans="1:25" x14ac:dyDescent="0.25">
      <c r="A11">
        <v>48</v>
      </c>
      <c r="B11" t="s">
        <v>5272</v>
      </c>
      <c r="C11" t="s">
        <v>4203</v>
      </c>
      <c r="D11" t="s">
        <v>4204</v>
      </c>
      <c r="E11" t="s">
        <v>59</v>
      </c>
      <c r="F11">
        <v>-1</v>
      </c>
      <c r="G11" t="s">
        <v>59</v>
      </c>
      <c r="H11" t="s">
        <v>59</v>
      </c>
      <c r="I11" t="s">
        <v>59</v>
      </c>
      <c r="J11" t="s">
        <v>59</v>
      </c>
      <c r="K11" t="s">
        <v>59</v>
      </c>
      <c r="L11" t="s">
        <v>59</v>
      </c>
      <c r="M11" t="s">
        <v>59</v>
      </c>
      <c r="N11" t="s">
        <v>59</v>
      </c>
      <c r="O11" t="s">
        <v>59</v>
      </c>
      <c r="P11" t="s">
        <v>59</v>
      </c>
      <c r="Q11" t="s">
        <v>59</v>
      </c>
      <c r="R11" t="s">
        <v>59</v>
      </c>
      <c r="S11" t="s">
        <v>59</v>
      </c>
      <c r="T11" t="s">
        <v>59</v>
      </c>
      <c r="U11" t="s">
        <v>59</v>
      </c>
      <c r="V11" t="s">
        <v>59</v>
      </c>
      <c r="W11" t="s">
        <v>59</v>
      </c>
      <c r="X11" t="s">
        <v>59</v>
      </c>
      <c r="Y11" t="s">
        <v>59</v>
      </c>
    </row>
    <row r="12" spans="1:25" x14ac:dyDescent="0.25">
      <c r="A12">
        <v>140</v>
      </c>
      <c r="B12" t="s">
        <v>5272</v>
      </c>
      <c r="C12" t="s">
        <v>4277</v>
      </c>
      <c r="D12" t="s">
        <v>4278</v>
      </c>
      <c r="E12" t="s">
        <v>59</v>
      </c>
      <c r="F12">
        <v>-1</v>
      </c>
      <c r="G12" t="s">
        <v>59</v>
      </c>
      <c r="H12" t="s">
        <v>59</v>
      </c>
      <c r="I12" t="s">
        <v>59</v>
      </c>
      <c r="J12" t="s">
        <v>59</v>
      </c>
      <c r="K12" t="s">
        <v>59</v>
      </c>
      <c r="L12" t="s">
        <v>59</v>
      </c>
      <c r="M12" t="s">
        <v>59</v>
      </c>
      <c r="N12" t="s">
        <v>59</v>
      </c>
      <c r="O12" t="s">
        <v>59</v>
      </c>
      <c r="P12" t="s">
        <v>59</v>
      </c>
      <c r="Q12" t="s">
        <v>59</v>
      </c>
      <c r="R12" t="s">
        <v>59</v>
      </c>
      <c r="S12" t="s">
        <v>59</v>
      </c>
      <c r="T12" t="s">
        <v>59</v>
      </c>
      <c r="U12" t="s">
        <v>59</v>
      </c>
      <c r="V12" t="s">
        <v>59</v>
      </c>
      <c r="W12" t="s">
        <v>59</v>
      </c>
      <c r="X12" t="s">
        <v>59</v>
      </c>
      <c r="Y12" t="s">
        <v>59</v>
      </c>
    </row>
    <row r="13" spans="1:25" x14ac:dyDescent="0.25">
      <c r="A13">
        <v>40</v>
      </c>
      <c r="B13" t="s">
        <v>5272</v>
      </c>
      <c r="C13" t="s">
        <v>4190</v>
      </c>
      <c r="D13" t="s">
        <v>4191</v>
      </c>
      <c r="E13" t="s">
        <v>59</v>
      </c>
      <c r="F13">
        <v>-1</v>
      </c>
      <c r="G13" t="s">
        <v>59</v>
      </c>
      <c r="H13" t="s">
        <v>59</v>
      </c>
      <c r="I13" t="s">
        <v>59</v>
      </c>
      <c r="J13" t="s">
        <v>59</v>
      </c>
      <c r="K13" t="s">
        <v>59</v>
      </c>
      <c r="L13" t="s">
        <v>59</v>
      </c>
      <c r="M13" t="s">
        <v>59</v>
      </c>
      <c r="N13" t="s">
        <v>59</v>
      </c>
      <c r="O13" t="s">
        <v>59</v>
      </c>
      <c r="P13" t="s">
        <v>59</v>
      </c>
      <c r="Q13" t="s">
        <v>59</v>
      </c>
      <c r="R13" t="s">
        <v>59</v>
      </c>
      <c r="S13" t="s">
        <v>59</v>
      </c>
      <c r="T13" t="s">
        <v>59</v>
      </c>
      <c r="U13" t="s">
        <v>59</v>
      </c>
      <c r="V13" t="s">
        <v>59</v>
      </c>
      <c r="W13" t="s">
        <v>59</v>
      </c>
      <c r="X13" t="s">
        <v>59</v>
      </c>
      <c r="Y13" t="s">
        <v>59</v>
      </c>
    </row>
    <row r="14" spans="1:25" x14ac:dyDescent="0.25">
      <c r="A14">
        <v>106</v>
      </c>
      <c r="B14" t="s">
        <v>5272</v>
      </c>
      <c r="C14" t="s">
        <v>834</v>
      </c>
      <c r="D14" t="s">
        <v>4191</v>
      </c>
      <c r="E14" t="s">
        <v>59</v>
      </c>
      <c r="F14">
        <v>-1</v>
      </c>
      <c r="G14" t="s">
        <v>59</v>
      </c>
      <c r="H14" t="s">
        <v>59</v>
      </c>
      <c r="I14" t="s">
        <v>59</v>
      </c>
      <c r="J14" t="s">
        <v>59</v>
      </c>
      <c r="K14" t="s">
        <v>59</v>
      </c>
      <c r="L14" t="s">
        <v>59</v>
      </c>
      <c r="M14" t="s">
        <v>59</v>
      </c>
      <c r="N14" t="s">
        <v>59</v>
      </c>
      <c r="O14" t="s">
        <v>59</v>
      </c>
      <c r="P14" t="s">
        <v>59</v>
      </c>
      <c r="Q14" t="s">
        <v>59</v>
      </c>
      <c r="R14" t="s">
        <v>59</v>
      </c>
      <c r="S14" t="s">
        <v>59</v>
      </c>
      <c r="T14" t="s">
        <v>59</v>
      </c>
      <c r="U14" t="s">
        <v>59</v>
      </c>
      <c r="V14" t="s">
        <v>59</v>
      </c>
      <c r="W14" t="s">
        <v>59</v>
      </c>
      <c r="X14" t="s">
        <v>59</v>
      </c>
      <c r="Y14" t="s">
        <v>59</v>
      </c>
    </row>
    <row r="15" spans="1:25" x14ac:dyDescent="0.25">
      <c r="A15">
        <v>105</v>
      </c>
      <c r="B15" t="s">
        <v>5272</v>
      </c>
      <c r="C15" t="s">
        <v>57</v>
      </c>
      <c r="D15" t="s">
        <v>4191</v>
      </c>
      <c r="E15" t="s">
        <v>59</v>
      </c>
      <c r="F15">
        <v>-1</v>
      </c>
      <c r="G15" t="s">
        <v>59</v>
      </c>
      <c r="H15" t="s">
        <v>59</v>
      </c>
      <c r="I15" t="s">
        <v>59</v>
      </c>
      <c r="J15" t="s">
        <v>59</v>
      </c>
      <c r="K15" t="s">
        <v>59</v>
      </c>
      <c r="L15" t="s">
        <v>59</v>
      </c>
      <c r="M15" t="s">
        <v>59</v>
      </c>
      <c r="N15" t="s">
        <v>59</v>
      </c>
      <c r="O15" t="s">
        <v>59</v>
      </c>
      <c r="P15" t="s">
        <v>59</v>
      </c>
      <c r="Q15" t="s">
        <v>59</v>
      </c>
      <c r="R15" t="s">
        <v>59</v>
      </c>
      <c r="S15" t="s">
        <v>59</v>
      </c>
      <c r="T15" t="s">
        <v>59</v>
      </c>
      <c r="U15" t="s">
        <v>59</v>
      </c>
      <c r="V15" t="s">
        <v>59</v>
      </c>
      <c r="W15" t="s">
        <v>59</v>
      </c>
      <c r="X15" t="s">
        <v>59</v>
      </c>
      <c r="Y15" t="s">
        <v>59</v>
      </c>
    </row>
    <row r="16" spans="1:25" x14ac:dyDescent="0.25">
      <c r="A16">
        <v>114</v>
      </c>
      <c r="B16" t="s">
        <v>5272</v>
      </c>
      <c r="C16" t="s">
        <v>896</v>
      </c>
      <c r="D16" t="s">
        <v>4191</v>
      </c>
      <c r="E16" t="s">
        <v>59</v>
      </c>
      <c r="F16">
        <v>-1</v>
      </c>
      <c r="G16" t="s">
        <v>59</v>
      </c>
      <c r="H16" t="s">
        <v>59</v>
      </c>
      <c r="I16" t="s">
        <v>59</v>
      </c>
      <c r="J16" t="s">
        <v>59</v>
      </c>
      <c r="K16" t="s">
        <v>59</v>
      </c>
      <c r="L16" t="s">
        <v>59</v>
      </c>
      <c r="M16" t="s">
        <v>59</v>
      </c>
      <c r="N16" t="s">
        <v>59</v>
      </c>
      <c r="O16" t="s">
        <v>59</v>
      </c>
      <c r="P16" t="s">
        <v>59</v>
      </c>
      <c r="Q16" t="s">
        <v>59</v>
      </c>
      <c r="R16" t="s">
        <v>59</v>
      </c>
      <c r="S16" t="s">
        <v>59</v>
      </c>
      <c r="T16" t="s">
        <v>59</v>
      </c>
      <c r="U16" t="s">
        <v>59</v>
      </c>
      <c r="V16" t="s">
        <v>59</v>
      </c>
      <c r="W16" t="s">
        <v>59</v>
      </c>
      <c r="X16" t="s">
        <v>59</v>
      </c>
      <c r="Y16" t="s">
        <v>59</v>
      </c>
    </row>
    <row r="17" spans="1:25" x14ac:dyDescent="0.25">
      <c r="A17">
        <v>37</v>
      </c>
      <c r="B17" t="s">
        <v>5272</v>
      </c>
      <c r="C17" t="s">
        <v>4185</v>
      </c>
      <c r="D17" t="s">
        <v>4186</v>
      </c>
      <c r="E17" t="s">
        <v>59</v>
      </c>
      <c r="F17">
        <v>-1</v>
      </c>
      <c r="G17" t="s">
        <v>59</v>
      </c>
      <c r="H17" t="s">
        <v>59</v>
      </c>
      <c r="I17" t="s">
        <v>59</v>
      </c>
      <c r="J17" t="s">
        <v>59</v>
      </c>
      <c r="K17" t="s">
        <v>59</v>
      </c>
      <c r="L17" t="s">
        <v>59</v>
      </c>
      <c r="M17" t="s">
        <v>59</v>
      </c>
      <c r="N17" t="s">
        <v>59</v>
      </c>
      <c r="O17" t="s">
        <v>59</v>
      </c>
      <c r="P17" t="s">
        <v>59</v>
      </c>
      <c r="Q17" t="s">
        <v>59</v>
      </c>
      <c r="R17" t="s">
        <v>59</v>
      </c>
      <c r="S17" t="s">
        <v>59</v>
      </c>
      <c r="T17" t="s">
        <v>59</v>
      </c>
      <c r="U17" t="s">
        <v>59</v>
      </c>
      <c r="V17" t="s">
        <v>59</v>
      </c>
      <c r="W17" t="s">
        <v>59</v>
      </c>
      <c r="X17" t="s">
        <v>59</v>
      </c>
      <c r="Y17" t="s">
        <v>59</v>
      </c>
    </row>
    <row r="18" spans="1:25" x14ac:dyDescent="0.25">
      <c r="A18">
        <v>47</v>
      </c>
      <c r="B18" t="s">
        <v>5272</v>
      </c>
      <c r="C18" t="s">
        <v>4201</v>
      </c>
      <c r="D18" t="s">
        <v>4202</v>
      </c>
      <c r="E18" t="s">
        <v>59</v>
      </c>
      <c r="F18">
        <v>-1</v>
      </c>
      <c r="G18" t="s">
        <v>59</v>
      </c>
      <c r="H18" t="s">
        <v>59</v>
      </c>
      <c r="I18" t="s">
        <v>59</v>
      </c>
      <c r="J18" t="s">
        <v>59</v>
      </c>
      <c r="K18" t="s">
        <v>59</v>
      </c>
      <c r="L18" t="s">
        <v>59</v>
      </c>
      <c r="M18" t="s">
        <v>59</v>
      </c>
      <c r="N18" t="s">
        <v>59</v>
      </c>
      <c r="O18" t="s">
        <v>59</v>
      </c>
      <c r="P18" t="s">
        <v>59</v>
      </c>
      <c r="Q18" t="s">
        <v>59</v>
      </c>
      <c r="R18" t="s">
        <v>59</v>
      </c>
      <c r="S18" t="s">
        <v>59</v>
      </c>
      <c r="T18" t="s">
        <v>59</v>
      </c>
      <c r="U18" t="s">
        <v>59</v>
      </c>
      <c r="V18" t="s">
        <v>59</v>
      </c>
      <c r="W18" t="s">
        <v>59</v>
      </c>
      <c r="X18" t="s">
        <v>59</v>
      </c>
      <c r="Y18" t="s">
        <v>59</v>
      </c>
    </row>
    <row r="19" spans="1:25" x14ac:dyDescent="0.25">
      <c r="A19">
        <v>83</v>
      </c>
      <c r="B19" t="s">
        <v>5272</v>
      </c>
      <c r="C19" t="s">
        <v>4240</v>
      </c>
      <c r="D19" t="s">
        <v>4202</v>
      </c>
      <c r="E19" t="s">
        <v>59</v>
      </c>
      <c r="F19">
        <v>-1</v>
      </c>
      <c r="G19" t="s">
        <v>59</v>
      </c>
      <c r="H19" t="s">
        <v>59</v>
      </c>
      <c r="I19" t="s">
        <v>59</v>
      </c>
      <c r="J19" t="s">
        <v>59</v>
      </c>
      <c r="K19" t="s">
        <v>59</v>
      </c>
      <c r="L19" t="s">
        <v>59</v>
      </c>
      <c r="M19" t="s">
        <v>59</v>
      </c>
      <c r="N19" t="s">
        <v>59</v>
      </c>
      <c r="O19" t="s">
        <v>59</v>
      </c>
      <c r="P19" t="s">
        <v>59</v>
      </c>
      <c r="Q19" t="s">
        <v>59</v>
      </c>
      <c r="R19" t="s">
        <v>59</v>
      </c>
      <c r="S19" t="s">
        <v>59</v>
      </c>
      <c r="T19" t="s">
        <v>59</v>
      </c>
      <c r="U19" t="s">
        <v>59</v>
      </c>
      <c r="V19" t="s">
        <v>59</v>
      </c>
      <c r="W19" t="s">
        <v>59</v>
      </c>
      <c r="X19" t="s">
        <v>59</v>
      </c>
      <c r="Y19" t="s">
        <v>59</v>
      </c>
    </row>
    <row r="20" spans="1:25" x14ac:dyDescent="0.25">
      <c r="A20">
        <v>157</v>
      </c>
      <c r="B20" t="s">
        <v>5272</v>
      </c>
      <c r="C20" t="s">
        <v>4298</v>
      </c>
      <c r="D20" t="s">
        <v>4299</v>
      </c>
      <c r="E20" t="s">
        <v>59</v>
      </c>
      <c r="F20">
        <v>-1</v>
      </c>
      <c r="G20" t="s">
        <v>59</v>
      </c>
      <c r="H20" t="s">
        <v>59</v>
      </c>
      <c r="I20" t="s">
        <v>59</v>
      </c>
      <c r="J20" t="s">
        <v>59</v>
      </c>
      <c r="K20" t="s">
        <v>59</v>
      </c>
      <c r="L20" t="s">
        <v>59</v>
      </c>
      <c r="M20" t="s">
        <v>59</v>
      </c>
      <c r="N20" t="s">
        <v>59</v>
      </c>
      <c r="O20" t="s">
        <v>59</v>
      </c>
      <c r="P20" t="s">
        <v>59</v>
      </c>
      <c r="Q20" t="s">
        <v>59</v>
      </c>
      <c r="R20" t="s">
        <v>59</v>
      </c>
      <c r="S20" t="s">
        <v>59</v>
      </c>
      <c r="T20" t="s">
        <v>59</v>
      </c>
      <c r="U20" t="s">
        <v>59</v>
      </c>
      <c r="V20" t="s">
        <v>59</v>
      </c>
      <c r="W20" t="s">
        <v>59</v>
      </c>
      <c r="X20" t="s">
        <v>59</v>
      </c>
      <c r="Y20" t="s">
        <v>59</v>
      </c>
    </row>
    <row r="21" spans="1:25" x14ac:dyDescent="0.25">
      <c r="A21">
        <v>156</v>
      </c>
      <c r="B21" t="s">
        <v>5272</v>
      </c>
      <c r="C21" t="s">
        <v>4296</v>
      </c>
      <c r="D21" t="s">
        <v>4297</v>
      </c>
      <c r="E21" t="s">
        <v>59</v>
      </c>
      <c r="F21">
        <v>-1</v>
      </c>
      <c r="G21" t="s">
        <v>59</v>
      </c>
      <c r="H21" t="s">
        <v>59</v>
      </c>
      <c r="I21" t="s">
        <v>59</v>
      </c>
      <c r="J21" t="s">
        <v>59</v>
      </c>
      <c r="K21" t="s">
        <v>59</v>
      </c>
      <c r="L21" t="s">
        <v>59</v>
      </c>
      <c r="M21" t="s">
        <v>59</v>
      </c>
      <c r="N21" t="s">
        <v>59</v>
      </c>
      <c r="O21" t="s">
        <v>59</v>
      </c>
      <c r="P21" t="s">
        <v>59</v>
      </c>
      <c r="Q21" t="s">
        <v>59</v>
      </c>
      <c r="R21" t="s">
        <v>59</v>
      </c>
      <c r="S21" t="s">
        <v>59</v>
      </c>
      <c r="T21" t="s">
        <v>59</v>
      </c>
      <c r="U21" t="s">
        <v>59</v>
      </c>
      <c r="V21" t="s">
        <v>59</v>
      </c>
      <c r="W21" t="s">
        <v>59</v>
      </c>
      <c r="X21" t="s">
        <v>59</v>
      </c>
      <c r="Y21" t="s">
        <v>59</v>
      </c>
    </row>
    <row r="22" spans="1:25" x14ac:dyDescent="0.25">
      <c r="A22">
        <v>159</v>
      </c>
      <c r="B22" t="s">
        <v>5272</v>
      </c>
      <c r="C22" t="s">
        <v>4302</v>
      </c>
      <c r="D22" t="s">
        <v>4303</v>
      </c>
      <c r="E22" t="s">
        <v>59</v>
      </c>
      <c r="F22">
        <v>-1</v>
      </c>
      <c r="G22" t="s">
        <v>59</v>
      </c>
      <c r="H22" t="s">
        <v>59</v>
      </c>
      <c r="I22" t="s">
        <v>59</v>
      </c>
      <c r="J22" t="s">
        <v>59</v>
      </c>
      <c r="K22" t="s">
        <v>59</v>
      </c>
      <c r="L22" t="s">
        <v>59</v>
      </c>
      <c r="M22" t="s">
        <v>59</v>
      </c>
      <c r="N22" t="s">
        <v>59</v>
      </c>
      <c r="O22" t="s">
        <v>59</v>
      </c>
      <c r="P22" t="s">
        <v>59</v>
      </c>
      <c r="Q22" t="s">
        <v>59</v>
      </c>
      <c r="R22" t="s">
        <v>59</v>
      </c>
      <c r="S22" t="s">
        <v>59</v>
      </c>
      <c r="T22" t="s">
        <v>59</v>
      </c>
      <c r="U22" t="s">
        <v>59</v>
      </c>
      <c r="V22" t="s">
        <v>59</v>
      </c>
      <c r="W22" t="s">
        <v>59</v>
      </c>
      <c r="X22" t="s">
        <v>59</v>
      </c>
      <c r="Y22" t="s">
        <v>59</v>
      </c>
    </row>
    <row r="23" spans="1:25" x14ac:dyDescent="0.25">
      <c r="A23">
        <v>158</v>
      </c>
      <c r="B23" t="s">
        <v>5272</v>
      </c>
      <c r="C23" t="s">
        <v>4300</v>
      </c>
      <c r="D23" t="s">
        <v>4301</v>
      </c>
      <c r="E23" t="s">
        <v>59</v>
      </c>
      <c r="F23">
        <v>-1</v>
      </c>
      <c r="G23" t="s">
        <v>59</v>
      </c>
      <c r="H23" t="s">
        <v>59</v>
      </c>
      <c r="I23" t="s">
        <v>59</v>
      </c>
      <c r="J23" t="s">
        <v>59</v>
      </c>
      <c r="K23" t="s">
        <v>59</v>
      </c>
      <c r="L23" t="s">
        <v>59</v>
      </c>
      <c r="M23" t="s">
        <v>59</v>
      </c>
      <c r="N23" t="s">
        <v>59</v>
      </c>
      <c r="O23" t="s">
        <v>59</v>
      </c>
      <c r="P23" t="s">
        <v>59</v>
      </c>
      <c r="Q23" t="s">
        <v>59</v>
      </c>
      <c r="R23" t="s">
        <v>59</v>
      </c>
      <c r="S23" t="s">
        <v>59</v>
      </c>
      <c r="T23" t="s">
        <v>59</v>
      </c>
      <c r="U23" t="s">
        <v>59</v>
      </c>
      <c r="V23" t="s">
        <v>59</v>
      </c>
      <c r="W23" t="s">
        <v>59</v>
      </c>
      <c r="X23" t="s">
        <v>59</v>
      </c>
      <c r="Y23" t="s">
        <v>59</v>
      </c>
    </row>
    <row r="24" spans="1:25" x14ac:dyDescent="0.25">
      <c r="A24">
        <v>93</v>
      </c>
      <c r="B24" t="s">
        <v>5272</v>
      </c>
      <c r="C24" t="s">
        <v>4253</v>
      </c>
      <c r="D24" t="s">
        <v>4254</v>
      </c>
      <c r="E24" t="s">
        <v>59</v>
      </c>
      <c r="F24">
        <v>-1</v>
      </c>
      <c r="G24" t="s">
        <v>59</v>
      </c>
      <c r="H24" t="s">
        <v>59</v>
      </c>
      <c r="I24" t="s">
        <v>59</v>
      </c>
      <c r="J24" t="s">
        <v>59</v>
      </c>
      <c r="K24" t="s">
        <v>59</v>
      </c>
      <c r="L24" t="s">
        <v>59</v>
      </c>
      <c r="M24" t="s">
        <v>59</v>
      </c>
      <c r="N24" t="s">
        <v>59</v>
      </c>
      <c r="O24" t="s">
        <v>59</v>
      </c>
      <c r="P24" t="s">
        <v>59</v>
      </c>
      <c r="Q24" t="s">
        <v>59</v>
      </c>
      <c r="R24" t="s">
        <v>59</v>
      </c>
      <c r="S24" t="s">
        <v>59</v>
      </c>
      <c r="T24" t="s">
        <v>59</v>
      </c>
      <c r="U24" t="s">
        <v>59</v>
      </c>
      <c r="V24" t="s">
        <v>59</v>
      </c>
      <c r="W24" t="s">
        <v>59</v>
      </c>
      <c r="X24" t="s">
        <v>59</v>
      </c>
      <c r="Y24" t="s">
        <v>59</v>
      </c>
    </row>
    <row r="25" spans="1:25" x14ac:dyDescent="0.25">
      <c r="A25">
        <v>297</v>
      </c>
      <c r="B25" t="s">
        <v>5272</v>
      </c>
      <c r="C25" t="s">
        <v>1174</v>
      </c>
      <c r="D25" t="s">
        <v>4556</v>
      </c>
      <c r="E25" t="s">
        <v>59</v>
      </c>
      <c r="F25">
        <v>-1</v>
      </c>
      <c r="G25" t="s">
        <v>59</v>
      </c>
      <c r="H25" t="s">
        <v>59</v>
      </c>
      <c r="I25" t="s">
        <v>59</v>
      </c>
      <c r="J25" t="s">
        <v>59</v>
      </c>
      <c r="K25" t="s">
        <v>59</v>
      </c>
      <c r="L25" t="s">
        <v>59</v>
      </c>
      <c r="M25" t="s">
        <v>59</v>
      </c>
      <c r="N25" t="s">
        <v>59</v>
      </c>
      <c r="O25" t="s">
        <v>59</v>
      </c>
      <c r="P25" t="s">
        <v>59</v>
      </c>
      <c r="Q25" t="s">
        <v>59</v>
      </c>
      <c r="R25" t="s">
        <v>59</v>
      </c>
      <c r="S25" t="s">
        <v>59</v>
      </c>
      <c r="T25" t="s">
        <v>59</v>
      </c>
      <c r="U25" t="s">
        <v>59</v>
      </c>
      <c r="V25" t="s">
        <v>59</v>
      </c>
      <c r="W25" t="s">
        <v>59</v>
      </c>
      <c r="X25" t="s">
        <v>59</v>
      </c>
      <c r="Y25" t="s">
        <v>59</v>
      </c>
    </row>
    <row r="26" spans="1:25" x14ac:dyDescent="0.25">
      <c r="A26">
        <v>298</v>
      </c>
      <c r="B26" t="s">
        <v>5272</v>
      </c>
      <c r="C26" t="s">
        <v>973</v>
      </c>
      <c r="D26" t="s">
        <v>4557</v>
      </c>
      <c r="E26" t="s">
        <v>59</v>
      </c>
      <c r="F26">
        <v>-1</v>
      </c>
      <c r="G26" t="s">
        <v>59</v>
      </c>
      <c r="H26" t="s">
        <v>59</v>
      </c>
      <c r="I26" t="s">
        <v>59</v>
      </c>
      <c r="J26" t="s">
        <v>59</v>
      </c>
      <c r="K26" t="s">
        <v>59</v>
      </c>
      <c r="L26" t="s">
        <v>59</v>
      </c>
      <c r="M26" t="s">
        <v>59</v>
      </c>
      <c r="N26" t="s">
        <v>59</v>
      </c>
      <c r="O26" t="s">
        <v>59</v>
      </c>
      <c r="P26" t="s">
        <v>59</v>
      </c>
      <c r="Q26" t="s">
        <v>59</v>
      </c>
      <c r="R26" t="s">
        <v>59</v>
      </c>
      <c r="S26" t="s">
        <v>59</v>
      </c>
      <c r="T26" t="s">
        <v>59</v>
      </c>
      <c r="U26" t="s">
        <v>59</v>
      </c>
      <c r="V26" t="s">
        <v>59</v>
      </c>
      <c r="W26" t="s">
        <v>59</v>
      </c>
      <c r="X26" t="s">
        <v>59</v>
      </c>
      <c r="Y26" t="s">
        <v>59</v>
      </c>
    </row>
    <row r="27" spans="1:25" x14ac:dyDescent="0.25">
      <c r="A27">
        <v>97</v>
      </c>
      <c r="B27" t="s">
        <v>5272</v>
      </c>
      <c r="C27" t="s">
        <v>104</v>
      </c>
      <c r="D27" t="s">
        <v>4256</v>
      </c>
      <c r="E27" t="s">
        <v>59</v>
      </c>
      <c r="F27">
        <v>-1</v>
      </c>
      <c r="G27" t="s">
        <v>59</v>
      </c>
      <c r="H27" t="s">
        <v>59</v>
      </c>
      <c r="I27" t="s">
        <v>59</v>
      </c>
      <c r="J27" t="s">
        <v>59</v>
      </c>
      <c r="K27" t="s">
        <v>59</v>
      </c>
      <c r="L27" t="s">
        <v>59</v>
      </c>
      <c r="M27" t="s">
        <v>59</v>
      </c>
      <c r="N27" t="s">
        <v>59</v>
      </c>
      <c r="O27" t="s">
        <v>59</v>
      </c>
      <c r="P27" t="s">
        <v>59</v>
      </c>
      <c r="Q27" t="s">
        <v>59</v>
      </c>
      <c r="R27" t="s">
        <v>59</v>
      </c>
      <c r="S27" t="s">
        <v>59</v>
      </c>
      <c r="T27" t="s">
        <v>59</v>
      </c>
      <c r="U27" t="s">
        <v>59</v>
      </c>
      <c r="V27" t="s">
        <v>59</v>
      </c>
      <c r="W27" t="s">
        <v>59</v>
      </c>
      <c r="X27" t="s">
        <v>59</v>
      </c>
      <c r="Y27" t="s">
        <v>59</v>
      </c>
    </row>
    <row r="28" spans="1:25" x14ac:dyDescent="0.25">
      <c r="A28">
        <v>95</v>
      </c>
      <c r="B28" t="s">
        <v>5272</v>
      </c>
      <c r="C28" t="s">
        <v>122</v>
      </c>
      <c r="D28" t="s">
        <v>4189</v>
      </c>
      <c r="E28" t="s">
        <v>59</v>
      </c>
      <c r="F28">
        <v>-1</v>
      </c>
      <c r="G28" t="s">
        <v>59</v>
      </c>
      <c r="H28" t="s">
        <v>59</v>
      </c>
      <c r="I28" t="s">
        <v>59</v>
      </c>
      <c r="J28" t="s">
        <v>59</v>
      </c>
      <c r="K28" t="s">
        <v>59</v>
      </c>
      <c r="L28" t="s">
        <v>59</v>
      </c>
      <c r="M28" t="s">
        <v>59</v>
      </c>
      <c r="N28" t="s">
        <v>59</v>
      </c>
      <c r="O28" t="s">
        <v>59</v>
      </c>
      <c r="P28" t="s">
        <v>59</v>
      </c>
      <c r="Q28" t="s">
        <v>59</v>
      </c>
      <c r="R28" t="s">
        <v>59</v>
      </c>
      <c r="S28" t="s">
        <v>59</v>
      </c>
      <c r="T28" t="s">
        <v>59</v>
      </c>
      <c r="U28" t="s">
        <v>59</v>
      </c>
      <c r="V28" t="s">
        <v>59</v>
      </c>
      <c r="W28" t="s">
        <v>59</v>
      </c>
      <c r="X28" t="s">
        <v>59</v>
      </c>
      <c r="Y28" t="s">
        <v>59</v>
      </c>
    </row>
    <row r="29" spans="1:25" x14ac:dyDescent="0.25">
      <c r="A29">
        <v>89</v>
      </c>
      <c r="B29" t="s">
        <v>5272</v>
      </c>
      <c r="C29" t="s">
        <v>4249</v>
      </c>
      <c r="D29" t="s">
        <v>4189</v>
      </c>
      <c r="E29" t="s">
        <v>59</v>
      </c>
      <c r="F29">
        <v>-1</v>
      </c>
      <c r="G29" t="s">
        <v>59</v>
      </c>
      <c r="H29" t="s">
        <v>59</v>
      </c>
      <c r="I29" t="s">
        <v>59</v>
      </c>
      <c r="J29" t="s">
        <v>59</v>
      </c>
      <c r="K29" t="s">
        <v>59</v>
      </c>
      <c r="L29" t="s">
        <v>59</v>
      </c>
      <c r="M29" t="s">
        <v>59</v>
      </c>
      <c r="N29" t="s">
        <v>59</v>
      </c>
      <c r="O29" t="s">
        <v>59</v>
      </c>
      <c r="P29" t="s">
        <v>59</v>
      </c>
      <c r="Q29" t="s">
        <v>59</v>
      </c>
      <c r="R29" t="s">
        <v>59</v>
      </c>
      <c r="S29" t="s">
        <v>59</v>
      </c>
      <c r="T29" t="s">
        <v>59</v>
      </c>
      <c r="U29" t="s">
        <v>59</v>
      </c>
      <c r="V29" t="s">
        <v>59</v>
      </c>
      <c r="W29" t="s">
        <v>59</v>
      </c>
      <c r="X29" t="s">
        <v>59</v>
      </c>
      <c r="Y29" t="s">
        <v>59</v>
      </c>
    </row>
    <row r="30" spans="1:25" x14ac:dyDescent="0.25">
      <c r="A30">
        <v>39</v>
      </c>
      <c r="B30" t="s">
        <v>5272</v>
      </c>
      <c r="C30" t="s">
        <v>1052</v>
      </c>
      <c r="D30" t="s">
        <v>4189</v>
      </c>
      <c r="E30" t="s">
        <v>59</v>
      </c>
      <c r="F30">
        <v>-1</v>
      </c>
      <c r="G30" t="s">
        <v>59</v>
      </c>
      <c r="H30" t="s">
        <v>59</v>
      </c>
      <c r="I30" t="s">
        <v>59</v>
      </c>
      <c r="J30" t="s">
        <v>59</v>
      </c>
      <c r="K30" t="s">
        <v>59</v>
      </c>
      <c r="L30" t="s">
        <v>59</v>
      </c>
      <c r="M30" t="s">
        <v>59</v>
      </c>
      <c r="N30" t="s">
        <v>59</v>
      </c>
      <c r="O30" t="s">
        <v>59</v>
      </c>
      <c r="P30" t="s">
        <v>59</v>
      </c>
      <c r="Q30" t="s">
        <v>59</v>
      </c>
      <c r="R30" t="s">
        <v>59</v>
      </c>
      <c r="S30" t="s">
        <v>59</v>
      </c>
      <c r="T30" t="s">
        <v>59</v>
      </c>
      <c r="U30" t="s">
        <v>59</v>
      </c>
      <c r="V30" t="s">
        <v>59</v>
      </c>
      <c r="W30" t="s">
        <v>59</v>
      </c>
      <c r="X30" t="s">
        <v>59</v>
      </c>
      <c r="Y30" t="s">
        <v>59</v>
      </c>
    </row>
    <row r="31" spans="1:25" x14ac:dyDescent="0.25">
      <c r="A31">
        <v>87</v>
      </c>
      <c r="B31" t="s">
        <v>5272</v>
      </c>
      <c r="C31" t="s">
        <v>4246</v>
      </c>
      <c r="D31" t="s">
        <v>4247</v>
      </c>
      <c r="E31" t="s">
        <v>59</v>
      </c>
      <c r="F31">
        <v>-1</v>
      </c>
      <c r="G31" t="s">
        <v>59</v>
      </c>
      <c r="H31" t="s">
        <v>59</v>
      </c>
      <c r="I31" t="s">
        <v>59</v>
      </c>
      <c r="J31" t="s">
        <v>59</v>
      </c>
      <c r="K31" t="s">
        <v>59</v>
      </c>
      <c r="L31" t="s">
        <v>59</v>
      </c>
      <c r="M31" t="s">
        <v>59</v>
      </c>
      <c r="N31" t="s">
        <v>59</v>
      </c>
      <c r="O31" t="s">
        <v>59</v>
      </c>
      <c r="P31" t="s">
        <v>59</v>
      </c>
      <c r="Q31" t="s">
        <v>59</v>
      </c>
      <c r="R31" t="s">
        <v>59</v>
      </c>
      <c r="S31" t="s">
        <v>59</v>
      </c>
      <c r="T31" t="s">
        <v>59</v>
      </c>
      <c r="U31" t="s">
        <v>59</v>
      </c>
      <c r="V31" t="s">
        <v>59</v>
      </c>
      <c r="W31" t="s">
        <v>59</v>
      </c>
      <c r="X31" t="s">
        <v>59</v>
      </c>
      <c r="Y31" t="s">
        <v>59</v>
      </c>
    </row>
    <row r="32" spans="1:25" x14ac:dyDescent="0.25">
      <c r="A32">
        <v>149</v>
      </c>
      <c r="B32" t="s">
        <v>5272</v>
      </c>
      <c r="C32" t="s">
        <v>4287</v>
      </c>
      <c r="D32" t="s">
        <v>4244</v>
      </c>
      <c r="E32" t="s">
        <v>59</v>
      </c>
      <c r="F32">
        <v>-1</v>
      </c>
      <c r="G32" t="s">
        <v>59</v>
      </c>
      <c r="H32" t="s">
        <v>59</v>
      </c>
      <c r="I32" t="s">
        <v>59</v>
      </c>
      <c r="J32" t="s">
        <v>59</v>
      </c>
      <c r="K32" t="s">
        <v>59</v>
      </c>
      <c r="L32" t="s">
        <v>59</v>
      </c>
      <c r="M32" t="s">
        <v>59</v>
      </c>
      <c r="N32" t="s">
        <v>59</v>
      </c>
      <c r="O32" t="s">
        <v>59</v>
      </c>
      <c r="P32" t="s">
        <v>59</v>
      </c>
      <c r="Q32" t="s">
        <v>59</v>
      </c>
      <c r="R32" t="s">
        <v>59</v>
      </c>
      <c r="S32" t="s">
        <v>59</v>
      </c>
      <c r="T32" t="s">
        <v>59</v>
      </c>
      <c r="U32" t="s">
        <v>59</v>
      </c>
      <c r="V32" t="s">
        <v>59</v>
      </c>
      <c r="W32" t="s">
        <v>59</v>
      </c>
      <c r="X32" t="s">
        <v>59</v>
      </c>
      <c r="Y32" t="s">
        <v>59</v>
      </c>
    </row>
    <row r="33" spans="1:25" x14ac:dyDescent="0.25">
      <c r="A33">
        <v>85</v>
      </c>
      <c r="B33" t="s">
        <v>5272</v>
      </c>
      <c r="C33" t="s">
        <v>4243</v>
      </c>
      <c r="D33" t="s">
        <v>4244</v>
      </c>
      <c r="E33" t="s">
        <v>59</v>
      </c>
      <c r="F33">
        <v>-1</v>
      </c>
      <c r="G33" t="s">
        <v>59</v>
      </c>
      <c r="H33" t="s">
        <v>59</v>
      </c>
      <c r="I33" t="s">
        <v>59</v>
      </c>
      <c r="J33" t="s">
        <v>59</v>
      </c>
      <c r="K33" t="s">
        <v>59</v>
      </c>
      <c r="L33" t="s">
        <v>59</v>
      </c>
      <c r="M33" t="s">
        <v>59</v>
      </c>
      <c r="N33" t="s">
        <v>59</v>
      </c>
      <c r="O33" t="s">
        <v>59</v>
      </c>
      <c r="P33" t="s">
        <v>59</v>
      </c>
      <c r="Q33" t="s">
        <v>59</v>
      </c>
      <c r="R33" t="s">
        <v>59</v>
      </c>
      <c r="S33" t="s">
        <v>59</v>
      </c>
      <c r="T33" t="s">
        <v>59</v>
      </c>
      <c r="U33" t="s">
        <v>59</v>
      </c>
      <c r="V33" t="s">
        <v>59</v>
      </c>
      <c r="W33" t="s">
        <v>59</v>
      </c>
      <c r="X33" t="s">
        <v>59</v>
      </c>
      <c r="Y33" t="s">
        <v>59</v>
      </c>
    </row>
    <row r="34" spans="1:25" x14ac:dyDescent="0.25">
      <c r="A34">
        <v>148</v>
      </c>
      <c r="B34" t="s">
        <v>5272</v>
      </c>
      <c r="C34" t="s">
        <v>4286</v>
      </c>
      <c r="D34" t="s">
        <v>4244</v>
      </c>
      <c r="E34" t="s">
        <v>59</v>
      </c>
      <c r="F34">
        <v>-1</v>
      </c>
      <c r="G34" t="s">
        <v>59</v>
      </c>
      <c r="H34" t="s">
        <v>59</v>
      </c>
      <c r="I34" t="s">
        <v>59</v>
      </c>
      <c r="J34" t="s">
        <v>59</v>
      </c>
      <c r="K34" t="s">
        <v>59</v>
      </c>
      <c r="L34" t="s">
        <v>59</v>
      </c>
      <c r="M34" t="s">
        <v>59</v>
      </c>
      <c r="N34" t="s">
        <v>59</v>
      </c>
      <c r="O34" t="s">
        <v>59</v>
      </c>
      <c r="P34" t="s">
        <v>59</v>
      </c>
      <c r="Q34" t="s">
        <v>59</v>
      </c>
      <c r="R34" t="s">
        <v>59</v>
      </c>
      <c r="S34" t="s">
        <v>59</v>
      </c>
      <c r="T34" t="s">
        <v>59</v>
      </c>
      <c r="U34" t="s">
        <v>59</v>
      </c>
      <c r="V34" t="s">
        <v>59</v>
      </c>
      <c r="W34" t="s">
        <v>59</v>
      </c>
      <c r="X34" t="s">
        <v>59</v>
      </c>
      <c r="Y34" t="s">
        <v>59</v>
      </c>
    </row>
    <row r="35" spans="1:25" x14ac:dyDescent="0.25">
      <c r="A35">
        <v>691</v>
      </c>
      <c r="B35" t="s">
        <v>5272</v>
      </c>
      <c r="C35" t="s">
        <v>5251</v>
      </c>
      <c r="D35" t="s">
        <v>5252</v>
      </c>
      <c r="E35" t="s">
        <v>59</v>
      </c>
      <c r="F35">
        <v>-1</v>
      </c>
      <c r="G35" t="s">
        <v>59</v>
      </c>
      <c r="H35" t="s">
        <v>59</v>
      </c>
      <c r="I35" t="s">
        <v>59</v>
      </c>
      <c r="J35" t="s">
        <v>59</v>
      </c>
      <c r="K35" t="s">
        <v>59</v>
      </c>
      <c r="L35" t="s">
        <v>59</v>
      </c>
      <c r="M35" t="s">
        <v>59</v>
      </c>
      <c r="N35" t="s">
        <v>59</v>
      </c>
      <c r="O35" t="s">
        <v>59</v>
      </c>
      <c r="P35" t="s">
        <v>59</v>
      </c>
      <c r="Q35" t="s">
        <v>59</v>
      </c>
      <c r="R35" t="s">
        <v>59</v>
      </c>
      <c r="S35" t="s">
        <v>59</v>
      </c>
      <c r="T35" t="s">
        <v>59</v>
      </c>
      <c r="U35" t="s">
        <v>59</v>
      </c>
      <c r="V35" t="s">
        <v>59</v>
      </c>
      <c r="W35" t="s">
        <v>59</v>
      </c>
      <c r="X35" t="s">
        <v>59</v>
      </c>
      <c r="Y35" t="s">
        <v>59</v>
      </c>
    </row>
    <row r="36" spans="1:25" x14ac:dyDescent="0.25">
      <c r="A36">
        <v>139</v>
      </c>
      <c r="B36" t="s">
        <v>5272</v>
      </c>
      <c r="C36" t="s">
        <v>486</v>
      </c>
      <c r="D36" t="s">
        <v>4276</v>
      </c>
      <c r="E36" t="s">
        <v>59</v>
      </c>
      <c r="F36">
        <v>-1</v>
      </c>
      <c r="G36" t="s">
        <v>59</v>
      </c>
      <c r="H36" t="s">
        <v>59</v>
      </c>
      <c r="I36" t="s">
        <v>59</v>
      </c>
      <c r="J36" t="s">
        <v>59</v>
      </c>
      <c r="K36" t="s">
        <v>59</v>
      </c>
      <c r="L36" t="s">
        <v>59</v>
      </c>
      <c r="M36" t="s">
        <v>59</v>
      </c>
      <c r="N36" t="s">
        <v>59</v>
      </c>
      <c r="O36" t="s">
        <v>59</v>
      </c>
      <c r="P36" t="s">
        <v>59</v>
      </c>
      <c r="Q36" t="s">
        <v>59</v>
      </c>
      <c r="R36" t="s">
        <v>59</v>
      </c>
      <c r="S36" t="s">
        <v>59</v>
      </c>
      <c r="T36" t="s">
        <v>59</v>
      </c>
      <c r="U36" t="s">
        <v>59</v>
      </c>
      <c r="V36" t="s">
        <v>59</v>
      </c>
      <c r="W36" t="s">
        <v>59</v>
      </c>
      <c r="X36" t="s">
        <v>59</v>
      </c>
      <c r="Y36" t="s">
        <v>59</v>
      </c>
    </row>
    <row r="37" spans="1:25" x14ac:dyDescent="0.25">
      <c r="A37">
        <v>136</v>
      </c>
      <c r="B37" t="s">
        <v>5272</v>
      </c>
      <c r="C37" t="s">
        <v>93</v>
      </c>
      <c r="D37" t="s">
        <v>4242</v>
      </c>
      <c r="E37" t="s">
        <v>59</v>
      </c>
      <c r="F37">
        <v>-1</v>
      </c>
      <c r="G37" t="s">
        <v>59</v>
      </c>
      <c r="H37" t="s">
        <v>59</v>
      </c>
      <c r="I37" t="s">
        <v>59</v>
      </c>
      <c r="J37" t="s">
        <v>59</v>
      </c>
      <c r="K37" t="s">
        <v>59</v>
      </c>
      <c r="L37" t="s">
        <v>59</v>
      </c>
      <c r="M37" t="s">
        <v>59</v>
      </c>
      <c r="N37" t="s">
        <v>59</v>
      </c>
      <c r="O37" t="s">
        <v>59</v>
      </c>
      <c r="P37" t="s">
        <v>59</v>
      </c>
      <c r="Q37" t="s">
        <v>59</v>
      </c>
      <c r="R37" t="s">
        <v>59</v>
      </c>
      <c r="S37" t="s">
        <v>59</v>
      </c>
      <c r="T37" t="s">
        <v>59</v>
      </c>
      <c r="U37" t="s">
        <v>59</v>
      </c>
      <c r="V37" t="s">
        <v>59</v>
      </c>
      <c r="W37" t="s">
        <v>59</v>
      </c>
      <c r="X37" t="s">
        <v>59</v>
      </c>
      <c r="Y37" t="s">
        <v>59</v>
      </c>
    </row>
    <row r="38" spans="1:25" x14ac:dyDescent="0.25">
      <c r="A38">
        <v>84</v>
      </c>
      <c r="B38" t="s">
        <v>5272</v>
      </c>
      <c r="C38" t="s">
        <v>4241</v>
      </c>
      <c r="D38" t="s">
        <v>4242</v>
      </c>
      <c r="E38" t="s">
        <v>59</v>
      </c>
      <c r="F38">
        <v>-1</v>
      </c>
      <c r="G38" t="s">
        <v>59</v>
      </c>
      <c r="H38" t="s">
        <v>59</v>
      </c>
      <c r="I38" t="s">
        <v>59</v>
      </c>
      <c r="J38" t="s">
        <v>59</v>
      </c>
      <c r="K38" t="s">
        <v>59</v>
      </c>
      <c r="L38" t="s">
        <v>59</v>
      </c>
      <c r="M38" t="s">
        <v>59</v>
      </c>
      <c r="N38" t="s">
        <v>59</v>
      </c>
      <c r="O38" t="s">
        <v>59</v>
      </c>
      <c r="P38" t="s">
        <v>59</v>
      </c>
      <c r="Q38" t="s">
        <v>59</v>
      </c>
      <c r="R38" t="s">
        <v>59</v>
      </c>
      <c r="S38" t="s">
        <v>59</v>
      </c>
      <c r="T38" t="s">
        <v>59</v>
      </c>
      <c r="U38" t="s">
        <v>59</v>
      </c>
      <c r="V38" t="s">
        <v>59</v>
      </c>
      <c r="W38" t="s">
        <v>59</v>
      </c>
      <c r="X38" t="s">
        <v>59</v>
      </c>
      <c r="Y38" t="s">
        <v>59</v>
      </c>
    </row>
    <row r="39" spans="1:25" x14ac:dyDescent="0.25">
      <c r="A39">
        <v>109</v>
      </c>
      <c r="B39" t="s">
        <v>5272</v>
      </c>
      <c r="C39" t="s">
        <v>168</v>
      </c>
      <c r="D39" t="s">
        <v>4242</v>
      </c>
      <c r="E39" t="s">
        <v>59</v>
      </c>
      <c r="F39">
        <v>-1</v>
      </c>
      <c r="G39" t="s">
        <v>59</v>
      </c>
      <c r="H39" t="s">
        <v>59</v>
      </c>
      <c r="I39" t="s">
        <v>59</v>
      </c>
      <c r="J39" t="s">
        <v>59</v>
      </c>
      <c r="K39" t="s">
        <v>59</v>
      </c>
      <c r="L39" t="s">
        <v>59</v>
      </c>
      <c r="M39" t="s">
        <v>59</v>
      </c>
      <c r="N39" t="s">
        <v>59</v>
      </c>
      <c r="O39" t="s">
        <v>59</v>
      </c>
      <c r="P39" t="s">
        <v>59</v>
      </c>
      <c r="Q39" t="s">
        <v>59</v>
      </c>
      <c r="R39" t="s">
        <v>59</v>
      </c>
      <c r="S39" t="s">
        <v>59</v>
      </c>
      <c r="T39" t="s">
        <v>59</v>
      </c>
      <c r="U39" t="s">
        <v>59</v>
      </c>
      <c r="V39" t="s">
        <v>59</v>
      </c>
      <c r="W39" t="s">
        <v>59</v>
      </c>
      <c r="X39" t="s">
        <v>59</v>
      </c>
      <c r="Y39" t="s">
        <v>59</v>
      </c>
    </row>
    <row r="40" spans="1:25" x14ac:dyDescent="0.25">
      <c r="A40">
        <v>101</v>
      </c>
      <c r="B40" t="s">
        <v>5272</v>
      </c>
      <c r="C40" t="s">
        <v>141</v>
      </c>
      <c r="D40" t="s">
        <v>4242</v>
      </c>
      <c r="E40" t="s">
        <v>59</v>
      </c>
      <c r="F40">
        <v>-1</v>
      </c>
      <c r="G40" t="s">
        <v>59</v>
      </c>
      <c r="H40" t="s">
        <v>59</v>
      </c>
      <c r="I40" t="s">
        <v>59</v>
      </c>
      <c r="J40" t="s">
        <v>59</v>
      </c>
      <c r="K40" t="s">
        <v>59</v>
      </c>
      <c r="L40" t="s">
        <v>59</v>
      </c>
      <c r="M40" t="s">
        <v>59</v>
      </c>
      <c r="N40" t="s">
        <v>59</v>
      </c>
      <c r="O40" t="s">
        <v>59</v>
      </c>
      <c r="P40" t="s">
        <v>59</v>
      </c>
      <c r="Q40" t="s">
        <v>59</v>
      </c>
      <c r="R40" t="s">
        <v>59</v>
      </c>
      <c r="S40" t="s">
        <v>59</v>
      </c>
      <c r="T40" t="s">
        <v>59</v>
      </c>
      <c r="U40" t="s">
        <v>59</v>
      </c>
      <c r="V40" t="s">
        <v>59</v>
      </c>
      <c r="W40" t="s">
        <v>59</v>
      </c>
      <c r="X40" t="s">
        <v>59</v>
      </c>
      <c r="Y40" t="s">
        <v>59</v>
      </c>
    </row>
    <row r="41" spans="1:25" x14ac:dyDescent="0.25">
      <c r="A41">
        <v>102</v>
      </c>
      <c r="B41" t="s">
        <v>5272</v>
      </c>
      <c r="C41" t="s">
        <v>114</v>
      </c>
      <c r="D41" t="s">
        <v>4242</v>
      </c>
      <c r="E41" t="s">
        <v>59</v>
      </c>
      <c r="F41">
        <v>-1</v>
      </c>
      <c r="G41" t="s">
        <v>59</v>
      </c>
      <c r="H41" t="s">
        <v>59</v>
      </c>
      <c r="I41" t="s">
        <v>59</v>
      </c>
      <c r="J41" t="s">
        <v>59</v>
      </c>
      <c r="K41" t="s">
        <v>59</v>
      </c>
      <c r="L41" t="s">
        <v>59</v>
      </c>
      <c r="M41" t="s">
        <v>59</v>
      </c>
      <c r="N41" t="s">
        <v>59</v>
      </c>
      <c r="O41" t="s">
        <v>59</v>
      </c>
      <c r="P41" t="s">
        <v>59</v>
      </c>
      <c r="Q41" t="s">
        <v>59</v>
      </c>
      <c r="R41" t="s">
        <v>59</v>
      </c>
      <c r="S41" t="s">
        <v>59</v>
      </c>
      <c r="T41" t="s">
        <v>59</v>
      </c>
      <c r="U41" t="s">
        <v>59</v>
      </c>
      <c r="V41" t="s">
        <v>59</v>
      </c>
      <c r="W41" t="s">
        <v>59</v>
      </c>
      <c r="X41" t="s">
        <v>59</v>
      </c>
      <c r="Y41" t="s">
        <v>59</v>
      </c>
    </row>
    <row r="42" spans="1:25" x14ac:dyDescent="0.25">
      <c r="A42">
        <v>135</v>
      </c>
      <c r="B42" t="s">
        <v>5272</v>
      </c>
      <c r="C42" t="s">
        <v>538</v>
      </c>
      <c r="D42" t="s">
        <v>4242</v>
      </c>
      <c r="E42" t="s">
        <v>59</v>
      </c>
      <c r="F42">
        <v>-1</v>
      </c>
      <c r="G42" t="s">
        <v>59</v>
      </c>
      <c r="H42" t="s">
        <v>59</v>
      </c>
      <c r="I42" t="s">
        <v>59</v>
      </c>
      <c r="J42" t="s">
        <v>59</v>
      </c>
      <c r="K42" t="s">
        <v>59</v>
      </c>
      <c r="L42" t="s">
        <v>59</v>
      </c>
      <c r="M42" t="s">
        <v>59</v>
      </c>
      <c r="N42" t="s">
        <v>59</v>
      </c>
      <c r="O42" t="s">
        <v>59</v>
      </c>
      <c r="P42" t="s">
        <v>59</v>
      </c>
      <c r="Q42" t="s">
        <v>59</v>
      </c>
      <c r="R42" t="s">
        <v>59</v>
      </c>
      <c r="S42" t="s">
        <v>59</v>
      </c>
      <c r="T42" t="s">
        <v>59</v>
      </c>
      <c r="U42" t="s">
        <v>59</v>
      </c>
      <c r="V42" t="s">
        <v>59</v>
      </c>
      <c r="W42" t="s">
        <v>59</v>
      </c>
      <c r="X42" t="s">
        <v>59</v>
      </c>
      <c r="Y42" t="s">
        <v>59</v>
      </c>
    </row>
    <row r="43" spans="1:25" x14ac:dyDescent="0.25">
      <c r="A43">
        <v>117</v>
      </c>
      <c r="B43" t="s">
        <v>5272</v>
      </c>
      <c r="C43" t="s">
        <v>196</v>
      </c>
      <c r="D43" t="s">
        <v>4242</v>
      </c>
      <c r="E43" t="s">
        <v>59</v>
      </c>
      <c r="F43">
        <v>-1</v>
      </c>
      <c r="G43" t="s">
        <v>59</v>
      </c>
      <c r="H43" t="s">
        <v>59</v>
      </c>
      <c r="I43" t="s">
        <v>59</v>
      </c>
      <c r="J43" t="s">
        <v>59</v>
      </c>
      <c r="K43" t="s">
        <v>59</v>
      </c>
      <c r="L43" t="s">
        <v>59</v>
      </c>
      <c r="M43" t="s">
        <v>59</v>
      </c>
      <c r="N43" t="s">
        <v>59</v>
      </c>
      <c r="O43" t="s">
        <v>59</v>
      </c>
      <c r="P43" t="s">
        <v>59</v>
      </c>
      <c r="Q43" t="s">
        <v>59</v>
      </c>
      <c r="R43" t="s">
        <v>59</v>
      </c>
      <c r="S43" t="s">
        <v>59</v>
      </c>
      <c r="T43" t="s">
        <v>59</v>
      </c>
      <c r="U43" t="s">
        <v>59</v>
      </c>
      <c r="V43" t="s">
        <v>59</v>
      </c>
      <c r="W43" t="s">
        <v>59</v>
      </c>
      <c r="X43" t="s">
        <v>59</v>
      </c>
      <c r="Y43" t="s">
        <v>59</v>
      </c>
    </row>
    <row r="44" spans="1:25" x14ac:dyDescent="0.25">
      <c r="A44">
        <v>113</v>
      </c>
      <c r="B44" t="s">
        <v>5272</v>
      </c>
      <c r="C44" t="s">
        <v>185</v>
      </c>
      <c r="D44" t="s">
        <v>4242</v>
      </c>
      <c r="E44" t="s">
        <v>59</v>
      </c>
      <c r="F44">
        <v>-1</v>
      </c>
      <c r="G44" t="s">
        <v>59</v>
      </c>
      <c r="H44" t="s">
        <v>59</v>
      </c>
      <c r="I44" t="s">
        <v>59</v>
      </c>
      <c r="J44" t="s">
        <v>59</v>
      </c>
      <c r="K44" t="s">
        <v>59</v>
      </c>
      <c r="L44" t="s">
        <v>59</v>
      </c>
      <c r="M44" t="s">
        <v>59</v>
      </c>
      <c r="N44" t="s">
        <v>59</v>
      </c>
      <c r="O44" t="s">
        <v>59</v>
      </c>
      <c r="P44" t="s">
        <v>59</v>
      </c>
      <c r="Q44" t="s">
        <v>59</v>
      </c>
      <c r="R44" t="s">
        <v>59</v>
      </c>
      <c r="S44" t="s">
        <v>59</v>
      </c>
      <c r="T44" t="s">
        <v>59</v>
      </c>
      <c r="U44" t="s">
        <v>59</v>
      </c>
      <c r="V44" t="s">
        <v>59</v>
      </c>
      <c r="W44" t="s">
        <v>59</v>
      </c>
      <c r="X44" t="s">
        <v>59</v>
      </c>
      <c r="Y44" t="s">
        <v>59</v>
      </c>
    </row>
    <row r="45" spans="1:25" x14ac:dyDescent="0.25">
      <c r="A45">
        <v>38</v>
      </c>
      <c r="B45" t="s">
        <v>5272</v>
      </c>
      <c r="C45" t="s">
        <v>4187</v>
      </c>
      <c r="D45" t="s">
        <v>4188</v>
      </c>
      <c r="E45" t="s">
        <v>59</v>
      </c>
      <c r="F45">
        <v>-1</v>
      </c>
      <c r="G45" t="s">
        <v>59</v>
      </c>
      <c r="H45" t="s">
        <v>59</v>
      </c>
      <c r="I45" t="s">
        <v>59</v>
      </c>
      <c r="J45" t="s">
        <v>59</v>
      </c>
      <c r="K45" t="s">
        <v>59</v>
      </c>
      <c r="L45" t="s">
        <v>59</v>
      </c>
      <c r="M45" t="s">
        <v>59</v>
      </c>
      <c r="N45" t="s">
        <v>59</v>
      </c>
      <c r="O45" t="s">
        <v>59</v>
      </c>
      <c r="P45" t="s">
        <v>59</v>
      </c>
      <c r="Q45" t="s">
        <v>59</v>
      </c>
      <c r="R45" t="s">
        <v>59</v>
      </c>
      <c r="S45" t="s">
        <v>59</v>
      </c>
      <c r="T45" t="s">
        <v>59</v>
      </c>
      <c r="U45" t="s">
        <v>59</v>
      </c>
      <c r="V45" t="s">
        <v>59</v>
      </c>
      <c r="W45" t="s">
        <v>59</v>
      </c>
      <c r="X45" t="s">
        <v>59</v>
      </c>
      <c r="Y45" t="s">
        <v>59</v>
      </c>
    </row>
    <row r="46" spans="1:25" x14ac:dyDescent="0.25">
      <c r="A46">
        <v>137</v>
      </c>
      <c r="B46" t="s">
        <v>5272</v>
      </c>
      <c r="C46" t="s">
        <v>624</v>
      </c>
      <c r="D46" t="s">
        <v>4274</v>
      </c>
      <c r="E46" t="s">
        <v>59</v>
      </c>
      <c r="F46">
        <v>-1</v>
      </c>
      <c r="G46" t="s">
        <v>59</v>
      </c>
      <c r="H46" t="s">
        <v>59</v>
      </c>
      <c r="I46" t="s">
        <v>59</v>
      </c>
      <c r="J46" t="s">
        <v>59</v>
      </c>
      <c r="K46" t="s">
        <v>59</v>
      </c>
      <c r="L46" t="s">
        <v>59</v>
      </c>
      <c r="M46" t="s">
        <v>59</v>
      </c>
      <c r="N46" t="s">
        <v>59</v>
      </c>
      <c r="O46" t="s">
        <v>59</v>
      </c>
      <c r="P46" t="s">
        <v>59</v>
      </c>
      <c r="Q46" t="s">
        <v>59</v>
      </c>
      <c r="R46" t="s">
        <v>59</v>
      </c>
      <c r="S46" t="s">
        <v>59</v>
      </c>
      <c r="T46" t="s">
        <v>59</v>
      </c>
      <c r="U46" t="s">
        <v>59</v>
      </c>
      <c r="V46" t="s">
        <v>59</v>
      </c>
      <c r="W46" t="s">
        <v>59</v>
      </c>
      <c r="X46" t="s">
        <v>59</v>
      </c>
      <c r="Y46" t="s">
        <v>59</v>
      </c>
    </row>
    <row r="47" spans="1:25" x14ac:dyDescent="0.25">
      <c r="A47">
        <v>36</v>
      </c>
      <c r="B47" t="s">
        <v>5272</v>
      </c>
      <c r="C47" t="s">
        <v>4183</v>
      </c>
      <c r="D47" t="s">
        <v>4184</v>
      </c>
      <c r="E47" t="s">
        <v>59</v>
      </c>
      <c r="F47">
        <v>-1</v>
      </c>
      <c r="G47" t="s">
        <v>59</v>
      </c>
      <c r="H47" t="s">
        <v>59</v>
      </c>
      <c r="I47" t="s">
        <v>59</v>
      </c>
      <c r="J47" t="s">
        <v>59</v>
      </c>
      <c r="K47" t="s">
        <v>59</v>
      </c>
      <c r="L47" t="s">
        <v>59</v>
      </c>
      <c r="M47" t="s">
        <v>59</v>
      </c>
      <c r="N47" t="s">
        <v>59</v>
      </c>
      <c r="O47" t="s">
        <v>59</v>
      </c>
      <c r="P47" t="s">
        <v>59</v>
      </c>
      <c r="Q47" t="s">
        <v>59</v>
      </c>
      <c r="R47" t="s">
        <v>59</v>
      </c>
      <c r="S47" t="s">
        <v>59</v>
      </c>
      <c r="T47" t="s">
        <v>59</v>
      </c>
      <c r="U47" t="s">
        <v>59</v>
      </c>
      <c r="V47" t="s">
        <v>59</v>
      </c>
      <c r="W47" t="s">
        <v>59</v>
      </c>
      <c r="X47" t="s">
        <v>59</v>
      </c>
      <c r="Y47" t="s">
        <v>59</v>
      </c>
    </row>
    <row r="48" spans="1:25" x14ac:dyDescent="0.25">
      <c r="A48">
        <v>195</v>
      </c>
      <c r="B48" t="s">
        <v>5272</v>
      </c>
      <c r="C48" t="s">
        <v>4365</v>
      </c>
      <c r="D48" t="s">
        <v>4184</v>
      </c>
      <c r="E48" t="s">
        <v>59</v>
      </c>
      <c r="F48">
        <v>-1</v>
      </c>
      <c r="G48" t="s">
        <v>59</v>
      </c>
      <c r="H48" t="s">
        <v>59</v>
      </c>
      <c r="I48" t="s">
        <v>59</v>
      </c>
      <c r="J48" t="s">
        <v>59</v>
      </c>
      <c r="K48" t="s">
        <v>59</v>
      </c>
      <c r="L48" t="s">
        <v>59</v>
      </c>
      <c r="M48" t="s">
        <v>59</v>
      </c>
      <c r="N48" t="s">
        <v>59</v>
      </c>
      <c r="O48" t="s">
        <v>59</v>
      </c>
      <c r="P48" t="s">
        <v>59</v>
      </c>
      <c r="Q48" t="s">
        <v>59</v>
      </c>
      <c r="R48" t="s">
        <v>59</v>
      </c>
      <c r="S48" t="s">
        <v>59</v>
      </c>
      <c r="T48" t="s">
        <v>59</v>
      </c>
      <c r="U48" t="s">
        <v>59</v>
      </c>
      <c r="V48" t="s">
        <v>59</v>
      </c>
      <c r="W48" t="s">
        <v>59</v>
      </c>
      <c r="X48" t="s">
        <v>59</v>
      </c>
      <c r="Y48" t="s">
        <v>59</v>
      </c>
    </row>
    <row r="49" spans="1:25" x14ac:dyDescent="0.25">
      <c r="A49">
        <v>52</v>
      </c>
      <c r="B49" t="s">
        <v>5272</v>
      </c>
      <c r="C49" t="s">
        <v>4209</v>
      </c>
      <c r="D49" t="s">
        <v>4184</v>
      </c>
      <c r="E49" t="s">
        <v>59</v>
      </c>
      <c r="F49">
        <v>-1</v>
      </c>
      <c r="G49" t="s">
        <v>59</v>
      </c>
      <c r="H49" t="s">
        <v>59</v>
      </c>
      <c r="I49" t="s">
        <v>59</v>
      </c>
      <c r="J49" t="s">
        <v>59</v>
      </c>
      <c r="K49" t="s">
        <v>59</v>
      </c>
      <c r="L49" t="s">
        <v>59</v>
      </c>
      <c r="M49" t="s">
        <v>59</v>
      </c>
      <c r="N49" t="s">
        <v>59</v>
      </c>
      <c r="O49" t="s">
        <v>59</v>
      </c>
      <c r="P49" t="s">
        <v>59</v>
      </c>
      <c r="Q49" t="s">
        <v>59</v>
      </c>
      <c r="R49" t="s">
        <v>59</v>
      </c>
      <c r="S49" t="s">
        <v>59</v>
      </c>
      <c r="T49" t="s">
        <v>59</v>
      </c>
      <c r="U49" t="s">
        <v>59</v>
      </c>
      <c r="V49" t="s">
        <v>59</v>
      </c>
      <c r="W49" t="s">
        <v>59</v>
      </c>
      <c r="X49" t="s">
        <v>59</v>
      </c>
      <c r="Y49" t="s">
        <v>59</v>
      </c>
    </row>
    <row r="50" spans="1:25" x14ac:dyDescent="0.25">
      <c r="A50">
        <v>194</v>
      </c>
      <c r="B50" t="s">
        <v>5272</v>
      </c>
      <c r="C50" t="s">
        <v>4364</v>
      </c>
      <c r="D50" t="s">
        <v>4184</v>
      </c>
      <c r="E50" t="s">
        <v>59</v>
      </c>
      <c r="F50">
        <v>-1</v>
      </c>
      <c r="G50" t="s">
        <v>59</v>
      </c>
      <c r="H50" t="s">
        <v>59</v>
      </c>
      <c r="I50" t="s">
        <v>59</v>
      </c>
      <c r="J50" t="s">
        <v>59</v>
      </c>
      <c r="K50" t="s">
        <v>59</v>
      </c>
      <c r="L50" t="s">
        <v>59</v>
      </c>
      <c r="M50" t="s">
        <v>59</v>
      </c>
      <c r="N50" t="s">
        <v>59</v>
      </c>
      <c r="O50" t="s">
        <v>59</v>
      </c>
      <c r="P50" t="s">
        <v>59</v>
      </c>
      <c r="Q50" t="s">
        <v>59</v>
      </c>
      <c r="R50" t="s">
        <v>59</v>
      </c>
      <c r="S50" t="s">
        <v>59</v>
      </c>
      <c r="T50" t="s">
        <v>59</v>
      </c>
      <c r="U50" t="s">
        <v>59</v>
      </c>
      <c r="V50" t="s">
        <v>59</v>
      </c>
      <c r="W50" t="s">
        <v>59</v>
      </c>
      <c r="X50" t="s">
        <v>59</v>
      </c>
      <c r="Y50" t="s">
        <v>59</v>
      </c>
    </row>
    <row r="51" spans="1:25" x14ac:dyDescent="0.25">
      <c r="A51">
        <v>193</v>
      </c>
      <c r="B51" t="s">
        <v>5272</v>
      </c>
      <c r="C51" t="s">
        <v>4363</v>
      </c>
      <c r="D51" t="s">
        <v>4184</v>
      </c>
      <c r="E51" t="s">
        <v>59</v>
      </c>
      <c r="F51">
        <v>-1</v>
      </c>
      <c r="G51" t="s">
        <v>59</v>
      </c>
      <c r="H51" t="s">
        <v>59</v>
      </c>
      <c r="I51" t="s">
        <v>59</v>
      </c>
      <c r="J51" t="s">
        <v>59</v>
      </c>
      <c r="K51" t="s">
        <v>59</v>
      </c>
      <c r="L51" t="s">
        <v>59</v>
      </c>
      <c r="M51" t="s">
        <v>59</v>
      </c>
      <c r="N51" t="s">
        <v>59</v>
      </c>
      <c r="O51" t="s">
        <v>59</v>
      </c>
      <c r="P51" t="s">
        <v>59</v>
      </c>
      <c r="Q51" t="s">
        <v>59</v>
      </c>
      <c r="R51" t="s">
        <v>59</v>
      </c>
      <c r="S51" t="s">
        <v>59</v>
      </c>
      <c r="T51" t="s">
        <v>59</v>
      </c>
      <c r="U51" t="s">
        <v>59</v>
      </c>
      <c r="V51" t="s">
        <v>59</v>
      </c>
      <c r="W51" t="s">
        <v>59</v>
      </c>
      <c r="X51" t="s">
        <v>59</v>
      </c>
      <c r="Y51" t="s">
        <v>59</v>
      </c>
    </row>
    <row r="52" spans="1:25" x14ac:dyDescent="0.25">
      <c r="A52">
        <v>53</v>
      </c>
      <c r="B52" t="s">
        <v>5272</v>
      </c>
      <c r="C52" t="s">
        <v>4210</v>
      </c>
      <c r="D52" t="s">
        <v>4184</v>
      </c>
      <c r="E52" t="s">
        <v>59</v>
      </c>
      <c r="F52">
        <v>-1</v>
      </c>
      <c r="G52" t="s">
        <v>59</v>
      </c>
      <c r="H52" t="s">
        <v>59</v>
      </c>
      <c r="I52" t="s">
        <v>59</v>
      </c>
      <c r="J52" t="s">
        <v>59</v>
      </c>
      <c r="K52" t="s">
        <v>59</v>
      </c>
      <c r="L52" t="s">
        <v>59</v>
      </c>
      <c r="M52" t="s">
        <v>59</v>
      </c>
      <c r="N52" t="s">
        <v>59</v>
      </c>
      <c r="O52" t="s">
        <v>59</v>
      </c>
      <c r="P52" t="s">
        <v>59</v>
      </c>
      <c r="Q52" t="s">
        <v>59</v>
      </c>
      <c r="R52" t="s">
        <v>59</v>
      </c>
      <c r="S52" t="s">
        <v>59</v>
      </c>
      <c r="T52" t="s">
        <v>59</v>
      </c>
      <c r="U52" t="s">
        <v>59</v>
      </c>
      <c r="V52" t="s">
        <v>59</v>
      </c>
      <c r="W52" t="s">
        <v>59</v>
      </c>
      <c r="X52" t="s">
        <v>59</v>
      </c>
      <c r="Y52" t="s">
        <v>59</v>
      </c>
    </row>
    <row r="53" spans="1:25" x14ac:dyDescent="0.25">
      <c r="A53">
        <v>196</v>
      </c>
      <c r="B53" t="s">
        <v>5272</v>
      </c>
      <c r="C53" t="s">
        <v>4366</v>
      </c>
      <c r="D53" t="s">
        <v>4184</v>
      </c>
      <c r="E53" t="s">
        <v>59</v>
      </c>
      <c r="F53">
        <v>-1</v>
      </c>
      <c r="G53" t="s">
        <v>59</v>
      </c>
      <c r="H53" t="s">
        <v>59</v>
      </c>
      <c r="I53" t="s">
        <v>59</v>
      </c>
      <c r="J53" t="s">
        <v>59</v>
      </c>
      <c r="K53" t="s">
        <v>59</v>
      </c>
      <c r="L53" t="s">
        <v>59</v>
      </c>
      <c r="M53" t="s">
        <v>59</v>
      </c>
      <c r="N53" t="s">
        <v>59</v>
      </c>
      <c r="O53" t="s">
        <v>59</v>
      </c>
      <c r="P53" t="s">
        <v>59</v>
      </c>
      <c r="Q53" t="s">
        <v>59</v>
      </c>
      <c r="R53" t="s">
        <v>59</v>
      </c>
      <c r="S53" t="s">
        <v>59</v>
      </c>
      <c r="T53" t="s">
        <v>59</v>
      </c>
      <c r="U53" t="s">
        <v>59</v>
      </c>
      <c r="V53" t="s">
        <v>59</v>
      </c>
      <c r="W53" t="s">
        <v>59</v>
      </c>
      <c r="X53" t="s">
        <v>59</v>
      </c>
      <c r="Y53" t="s">
        <v>59</v>
      </c>
    </row>
    <row r="54" spans="1:25" x14ac:dyDescent="0.25">
      <c r="A54">
        <v>66</v>
      </c>
      <c r="B54" t="s">
        <v>5272</v>
      </c>
      <c r="C54" t="s">
        <v>4223</v>
      </c>
      <c r="D54" t="s">
        <v>4184</v>
      </c>
      <c r="E54" t="s">
        <v>59</v>
      </c>
      <c r="F54">
        <v>-1</v>
      </c>
      <c r="G54" t="s">
        <v>59</v>
      </c>
      <c r="H54" t="s">
        <v>59</v>
      </c>
      <c r="I54" t="s">
        <v>59</v>
      </c>
      <c r="J54" t="s">
        <v>59</v>
      </c>
      <c r="K54" t="s">
        <v>59</v>
      </c>
      <c r="L54" t="s">
        <v>59</v>
      </c>
      <c r="M54" t="s">
        <v>59</v>
      </c>
      <c r="N54" t="s">
        <v>59</v>
      </c>
      <c r="O54" t="s">
        <v>59</v>
      </c>
      <c r="P54" t="s">
        <v>59</v>
      </c>
      <c r="Q54" t="s">
        <v>59</v>
      </c>
      <c r="R54" t="s">
        <v>59</v>
      </c>
      <c r="S54" t="s">
        <v>59</v>
      </c>
      <c r="T54" t="s">
        <v>59</v>
      </c>
      <c r="U54" t="s">
        <v>59</v>
      </c>
      <c r="V54" t="s">
        <v>59</v>
      </c>
      <c r="W54" t="s">
        <v>59</v>
      </c>
      <c r="X54" t="s">
        <v>59</v>
      </c>
      <c r="Y54" t="s">
        <v>59</v>
      </c>
    </row>
    <row r="55" spans="1:25" x14ac:dyDescent="0.25">
      <c r="A55">
        <v>54</v>
      </c>
      <c r="B55" t="s">
        <v>5272</v>
      </c>
      <c r="C55" t="s">
        <v>4211</v>
      </c>
      <c r="D55" t="s">
        <v>4184</v>
      </c>
      <c r="E55" t="s">
        <v>59</v>
      </c>
      <c r="F55">
        <v>-1</v>
      </c>
      <c r="G55" t="s">
        <v>59</v>
      </c>
      <c r="H55" t="s">
        <v>59</v>
      </c>
      <c r="I55" t="s">
        <v>59</v>
      </c>
      <c r="J55" t="s">
        <v>59</v>
      </c>
      <c r="K55" t="s">
        <v>59</v>
      </c>
      <c r="L55" t="s">
        <v>59</v>
      </c>
      <c r="M55" t="s">
        <v>59</v>
      </c>
      <c r="N55" t="s">
        <v>59</v>
      </c>
      <c r="O55" t="s">
        <v>59</v>
      </c>
      <c r="P55" t="s">
        <v>59</v>
      </c>
      <c r="Q55" t="s">
        <v>59</v>
      </c>
      <c r="R55" t="s">
        <v>59</v>
      </c>
      <c r="S55" t="s">
        <v>59</v>
      </c>
      <c r="T55" t="s">
        <v>59</v>
      </c>
      <c r="U55" t="s">
        <v>59</v>
      </c>
      <c r="V55" t="s">
        <v>59</v>
      </c>
      <c r="W55" t="s">
        <v>59</v>
      </c>
      <c r="X55" t="s">
        <v>59</v>
      </c>
      <c r="Y55" t="s">
        <v>59</v>
      </c>
    </row>
    <row r="56" spans="1:25" x14ac:dyDescent="0.25">
      <c r="A56">
        <v>153</v>
      </c>
      <c r="B56" t="s">
        <v>5272</v>
      </c>
      <c r="C56" t="s">
        <v>4292</v>
      </c>
      <c r="D56" t="s">
        <v>4208</v>
      </c>
      <c r="E56" t="s">
        <v>59</v>
      </c>
      <c r="F56">
        <v>-1</v>
      </c>
      <c r="G56" t="s">
        <v>59</v>
      </c>
      <c r="H56" t="s">
        <v>59</v>
      </c>
      <c r="I56" t="s">
        <v>59</v>
      </c>
      <c r="J56" t="s">
        <v>59</v>
      </c>
      <c r="K56" t="s">
        <v>59</v>
      </c>
      <c r="L56" t="s">
        <v>59</v>
      </c>
      <c r="M56" t="s">
        <v>59</v>
      </c>
      <c r="N56" t="s">
        <v>59</v>
      </c>
      <c r="O56" t="s">
        <v>59</v>
      </c>
      <c r="P56" t="s">
        <v>59</v>
      </c>
      <c r="Q56" t="s">
        <v>59</v>
      </c>
      <c r="R56" t="s">
        <v>59</v>
      </c>
      <c r="S56" t="s">
        <v>59</v>
      </c>
      <c r="T56" t="s">
        <v>59</v>
      </c>
      <c r="U56" t="s">
        <v>59</v>
      </c>
      <c r="V56" t="s">
        <v>59</v>
      </c>
      <c r="W56" t="s">
        <v>59</v>
      </c>
      <c r="X56" t="s">
        <v>59</v>
      </c>
      <c r="Y56" t="s">
        <v>59</v>
      </c>
    </row>
    <row r="57" spans="1:25" x14ac:dyDescent="0.25">
      <c r="A57">
        <v>71</v>
      </c>
      <c r="B57" t="s">
        <v>5272</v>
      </c>
      <c r="C57" t="s">
        <v>962</v>
      </c>
      <c r="D57" t="s">
        <v>4208</v>
      </c>
      <c r="E57" t="s">
        <v>59</v>
      </c>
      <c r="F57">
        <v>-1</v>
      </c>
      <c r="G57" t="s">
        <v>59</v>
      </c>
      <c r="H57" t="s">
        <v>59</v>
      </c>
      <c r="I57" t="s">
        <v>59</v>
      </c>
      <c r="J57" t="s">
        <v>59</v>
      </c>
      <c r="K57" t="s">
        <v>59</v>
      </c>
      <c r="L57" t="s">
        <v>59</v>
      </c>
      <c r="M57" t="s">
        <v>59</v>
      </c>
      <c r="N57" t="s">
        <v>59</v>
      </c>
      <c r="O57" t="s">
        <v>59</v>
      </c>
      <c r="P57" t="s">
        <v>59</v>
      </c>
      <c r="Q57" t="s">
        <v>59</v>
      </c>
      <c r="R57" t="s">
        <v>59</v>
      </c>
      <c r="S57" t="s">
        <v>59</v>
      </c>
      <c r="T57" t="s">
        <v>59</v>
      </c>
      <c r="U57" t="s">
        <v>59</v>
      </c>
      <c r="V57" t="s">
        <v>59</v>
      </c>
      <c r="W57" t="s">
        <v>59</v>
      </c>
      <c r="X57" t="s">
        <v>59</v>
      </c>
      <c r="Y57" t="s">
        <v>59</v>
      </c>
    </row>
    <row r="58" spans="1:25" x14ac:dyDescent="0.25">
      <c r="A58">
        <v>51</v>
      </c>
      <c r="B58" t="s">
        <v>5272</v>
      </c>
      <c r="C58" t="s">
        <v>4207</v>
      </c>
      <c r="D58" t="s">
        <v>4208</v>
      </c>
      <c r="E58" t="s">
        <v>59</v>
      </c>
      <c r="F58">
        <v>-1</v>
      </c>
      <c r="G58" t="s">
        <v>59</v>
      </c>
      <c r="H58" t="s">
        <v>59</v>
      </c>
      <c r="I58" t="s">
        <v>59</v>
      </c>
      <c r="J58" t="s">
        <v>59</v>
      </c>
      <c r="K58" t="s">
        <v>59</v>
      </c>
      <c r="L58" t="s">
        <v>59</v>
      </c>
      <c r="M58" t="s">
        <v>59</v>
      </c>
      <c r="N58" t="s">
        <v>59</v>
      </c>
      <c r="O58" t="s">
        <v>59</v>
      </c>
      <c r="P58" t="s">
        <v>59</v>
      </c>
      <c r="Q58" t="s">
        <v>59</v>
      </c>
      <c r="R58" t="s">
        <v>59</v>
      </c>
      <c r="S58" t="s">
        <v>59</v>
      </c>
      <c r="T58" t="s">
        <v>59</v>
      </c>
      <c r="U58" t="s">
        <v>59</v>
      </c>
      <c r="V58" t="s">
        <v>59</v>
      </c>
      <c r="W58" t="s">
        <v>59</v>
      </c>
      <c r="X58" t="s">
        <v>59</v>
      </c>
      <c r="Y58" t="s">
        <v>59</v>
      </c>
    </row>
    <row r="59" spans="1:25" x14ac:dyDescent="0.25">
      <c r="A59">
        <v>94</v>
      </c>
      <c r="B59" t="s">
        <v>5272</v>
      </c>
      <c r="C59" t="s">
        <v>4255</v>
      </c>
      <c r="D59" t="s">
        <v>4251</v>
      </c>
      <c r="E59" t="s">
        <v>59</v>
      </c>
      <c r="F59">
        <v>-1</v>
      </c>
      <c r="G59" t="s">
        <v>59</v>
      </c>
      <c r="H59" t="s">
        <v>59</v>
      </c>
      <c r="I59" t="s">
        <v>59</v>
      </c>
      <c r="J59" t="s">
        <v>59</v>
      </c>
      <c r="K59" t="s">
        <v>59</v>
      </c>
      <c r="L59" t="s">
        <v>59</v>
      </c>
      <c r="M59" t="s">
        <v>59</v>
      </c>
      <c r="N59" t="s">
        <v>59</v>
      </c>
      <c r="O59" t="s">
        <v>59</v>
      </c>
      <c r="P59" t="s">
        <v>59</v>
      </c>
      <c r="Q59" t="s">
        <v>59</v>
      </c>
      <c r="R59" t="s">
        <v>59</v>
      </c>
      <c r="S59" t="s">
        <v>59</v>
      </c>
      <c r="T59" t="s">
        <v>59</v>
      </c>
      <c r="U59" t="s">
        <v>59</v>
      </c>
      <c r="V59" t="s">
        <v>59</v>
      </c>
      <c r="W59" t="s">
        <v>59</v>
      </c>
      <c r="X59" t="s">
        <v>59</v>
      </c>
      <c r="Y59" t="s">
        <v>59</v>
      </c>
    </row>
    <row r="60" spans="1:25" x14ac:dyDescent="0.25">
      <c r="A60">
        <v>171</v>
      </c>
      <c r="B60" t="s">
        <v>5272</v>
      </c>
      <c r="C60" t="s">
        <v>4323</v>
      </c>
      <c r="D60" t="s">
        <v>4251</v>
      </c>
      <c r="E60" t="s">
        <v>59</v>
      </c>
      <c r="F60">
        <v>-1</v>
      </c>
      <c r="G60" t="s">
        <v>59</v>
      </c>
      <c r="H60" t="s">
        <v>59</v>
      </c>
      <c r="I60" t="s">
        <v>59</v>
      </c>
      <c r="J60" t="s">
        <v>59</v>
      </c>
      <c r="K60" t="s">
        <v>59</v>
      </c>
      <c r="L60" t="s">
        <v>59</v>
      </c>
      <c r="M60" t="s">
        <v>59</v>
      </c>
      <c r="N60" t="s">
        <v>59</v>
      </c>
      <c r="O60" t="s">
        <v>59</v>
      </c>
      <c r="P60" t="s">
        <v>59</v>
      </c>
      <c r="Q60" t="s">
        <v>59</v>
      </c>
      <c r="R60" t="s">
        <v>59</v>
      </c>
      <c r="S60" t="s">
        <v>59</v>
      </c>
      <c r="T60" t="s">
        <v>59</v>
      </c>
      <c r="U60" t="s">
        <v>59</v>
      </c>
      <c r="V60" t="s">
        <v>59</v>
      </c>
      <c r="W60" t="s">
        <v>59</v>
      </c>
      <c r="X60" t="s">
        <v>59</v>
      </c>
      <c r="Y60" t="s">
        <v>59</v>
      </c>
    </row>
    <row r="61" spans="1:25" x14ac:dyDescent="0.25">
      <c r="A61">
        <v>160</v>
      </c>
      <c r="B61" t="s">
        <v>5272</v>
      </c>
      <c r="C61" t="s">
        <v>4304</v>
      </c>
      <c r="D61" t="s">
        <v>4251</v>
      </c>
      <c r="E61" t="s">
        <v>59</v>
      </c>
      <c r="F61">
        <v>-1</v>
      </c>
      <c r="G61" t="s">
        <v>59</v>
      </c>
      <c r="H61" t="s">
        <v>59</v>
      </c>
      <c r="I61" t="s">
        <v>59</v>
      </c>
      <c r="J61" t="s">
        <v>59</v>
      </c>
      <c r="K61" t="s">
        <v>59</v>
      </c>
      <c r="L61" t="s">
        <v>59</v>
      </c>
      <c r="M61" t="s">
        <v>59</v>
      </c>
      <c r="N61" t="s">
        <v>59</v>
      </c>
      <c r="O61" t="s">
        <v>59</v>
      </c>
      <c r="P61" t="s">
        <v>59</v>
      </c>
      <c r="Q61" t="s">
        <v>59</v>
      </c>
      <c r="R61" t="s">
        <v>59</v>
      </c>
      <c r="S61" t="s">
        <v>59</v>
      </c>
      <c r="T61" t="s">
        <v>59</v>
      </c>
      <c r="U61" t="s">
        <v>59</v>
      </c>
      <c r="V61" t="s">
        <v>59</v>
      </c>
      <c r="W61" t="s">
        <v>59</v>
      </c>
      <c r="X61" t="s">
        <v>59</v>
      </c>
      <c r="Y61" t="s">
        <v>59</v>
      </c>
    </row>
    <row r="62" spans="1:25" x14ac:dyDescent="0.25">
      <c r="A62">
        <v>96</v>
      </c>
      <c r="B62" t="s">
        <v>5272</v>
      </c>
      <c r="C62" t="s">
        <v>97</v>
      </c>
      <c r="D62" t="s">
        <v>4251</v>
      </c>
      <c r="E62" t="s">
        <v>59</v>
      </c>
      <c r="F62">
        <v>-1</v>
      </c>
      <c r="G62" t="s">
        <v>59</v>
      </c>
      <c r="H62" t="s">
        <v>59</v>
      </c>
      <c r="I62" t="s">
        <v>59</v>
      </c>
      <c r="J62" t="s">
        <v>59</v>
      </c>
      <c r="K62" t="s">
        <v>59</v>
      </c>
      <c r="L62" t="s">
        <v>59</v>
      </c>
      <c r="M62" t="s">
        <v>59</v>
      </c>
      <c r="N62" t="s">
        <v>59</v>
      </c>
      <c r="O62" t="s">
        <v>59</v>
      </c>
      <c r="P62" t="s">
        <v>59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59</v>
      </c>
      <c r="W62" t="s">
        <v>59</v>
      </c>
      <c r="X62" t="s">
        <v>59</v>
      </c>
      <c r="Y62" t="s">
        <v>59</v>
      </c>
    </row>
    <row r="63" spans="1:25" x14ac:dyDescent="0.25">
      <c r="A63">
        <v>92</v>
      </c>
      <c r="B63" t="s">
        <v>5272</v>
      </c>
      <c r="C63" t="s">
        <v>4252</v>
      </c>
      <c r="D63" t="s">
        <v>4251</v>
      </c>
      <c r="E63" t="s">
        <v>59</v>
      </c>
      <c r="F63">
        <v>-1</v>
      </c>
      <c r="G63" t="s">
        <v>59</v>
      </c>
      <c r="H63" t="s">
        <v>59</v>
      </c>
      <c r="I63" t="s">
        <v>59</v>
      </c>
      <c r="J63" t="s">
        <v>59</v>
      </c>
      <c r="K63" t="s">
        <v>59</v>
      </c>
      <c r="L63" t="s">
        <v>59</v>
      </c>
      <c r="M63" t="s">
        <v>59</v>
      </c>
      <c r="N63" t="s">
        <v>59</v>
      </c>
      <c r="O63" t="s">
        <v>59</v>
      </c>
      <c r="P63" t="s">
        <v>59</v>
      </c>
      <c r="Q63" t="s">
        <v>59</v>
      </c>
      <c r="R63" t="s">
        <v>59</v>
      </c>
      <c r="S63" t="s">
        <v>59</v>
      </c>
      <c r="T63" t="s">
        <v>59</v>
      </c>
      <c r="U63" t="s">
        <v>59</v>
      </c>
      <c r="V63" t="s">
        <v>59</v>
      </c>
      <c r="W63" t="s">
        <v>59</v>
      </c>
      <c r="X63" t="s">
        <v>59</v>
      </c>
      <c r="Y63" t="s">
        <v>59</v>
      </c>
    </row>
    <row r="64" spans="1:25" x14ac:dyDescent="0.25">
      <c r="A64">
        <v>91</v>
      </c>
      <c r="B64" t="s">
        <v>5272</v>
      </c>
      <c r="C64" t="s">
        <v>131</v>
      </c>
      <c r="D64" t="s">
        <v>4251</v>
      </c>
      <c r="E64" t="s">
        <v>59</v>
      </c>
      <c r="F64">
        <v>-1</v>
      </c>
      <c r="G64" t="s">
        <v>59</v>
      </c>
      <c r="H64" t="s">
        <v>59</v>
      </c>
      <c r="I64" t="s">
        <v>59</v>
      </c>
      <c r="J64" t="s">
        <v>59</v>
      </c>
      <c r="K64" t="s">
        <v>59</v>
      </c>
      <c r="L64" t="s">
        <v>59</v>
      </c>
      <c r="M64" t="s">
        <v>59</v>
      </c>
      <c r="N64" t="s">
        <v>59</v>
      </c>
      <c r="O64" t="s">
        <v>59</v>
      </c>
      <c r="P64" t="s">
        <v>59</v>
      </c>
      <c r="Q64" t="s">
        <v>59</v>
      </c>
      <c r="R64" t="s">
        <v>59</v>
      </c>
      <c r="S64" t="s">
        <v>59</v>
      </c>
      <c r="T64" t="s">
        <v>59</v>
      </c>
      <c r="U64" t="s">
        <v>59</v>
      </c>
      <c r="V64" t="s">
        <v>59</v>
      </c>
      <c r="W64" t="s">
        <v>59</v>
      </c>
      <c r="X64" t="s">
        <v>59</v>
      </c>
      <c r="Y64" t="s">
        <v>59</v>
      </c>
    </row>
    <row r="65" spans="1:25" x14ac:dyDescent="0.25">
      <c r="A65">
        <v>75</v>
      </c>
      <c r="B65" t="s">
        <v>5272</v>
      </c>
      <c r="C65" t="s">
        <v>4231</v>
      </c>
      <c r="D65" t="s">
        <v>4232</v>
      </c>
      <c r="E65" t="s">
        <v>59</v>
      </c>
      <c r="F65">
        <v>-1</v>
      </c>
      <c r="G65" t="s">
        <v>59</v>
      </c>
      <c r="H65" t="s">
        <v>59</v>
      </c>
      <c r="I65" t="s">
        <v>59</v>
      </c>
      <c r="J65" t="s">
        <v>59</v>
      </c>
      <c r="K65" t="s">
        <v>59</v>
      </c>
      <c r="L65" t="s">
        <v>59</v>
      </c>
      <c r="M65" t="s">
        <v>59</v>
      </c>
      <c r="N65" t="s">
        <v>59</v>
      </c>
      <c r="O65" t="s">
        <v>59</v>
      </c>
      <c r="P65" t="s">
        <v>59</v>
      </c>
      <c r="Q65" t="s">
        <v>59</v>
      </c>
      <c r="R65" t="s">
        <v>59</v>
      </c>
      <c r="S65" t="s">
        <v>59</v>
      </c>
      <c r="T65" t="s">
        <v>59</v>
      </c>
      <c r="U65" t="s">
        <v>59</v>
      </c>
      <c r="V65" t="s">
        <v>59</v>
      </c>
      <c r="W65" t="s">
        <v>59</v>
      </c>
      <c r="X65" t="s">
        <v>59</v>
      </c>
      <c r="Y65" t="s">
        <v>59</v>
      </c>
    </row>
    <row r="66" spans="1:25" x14ac:dyDescent="0.25">
      <c r="A66">
        <v>9</v>
      </c>
      <c r="B66" t="s">
        <v>5272</v>
      </c>
      <c r="C66" t="s">
        <v>4129</v>
      </c>
      <c r="D66" t="s">
        <v>4130</v>
      </c>
      <c r="E66" t="s">
        <v>59</v>
      </c>
      <c r="F66">
        <v>-1</v>
      </c>
      <c r="G66" t="s">
        <v>59</v>
      </c>
      <c r="H66" t="s">
        <v>59</v>
      </c>
      <c r="I66" t="s">
        <v>59</v>
      </c>
      <c r="J66" t="s">
        <v>59</v>
      </c>
      <c r="K66" t="s">
        <v>59</v>
      </c>
      <c r="L66" t="s">
        <v>59</v>
      </c>
      <c r="M66" t="s">
        <v>59</v>
      </c>
      <c r="N66" t="s">
        <v>59</v>
      </c>
      <c r="O66" t="s">
        <v>59</v>
      </c>
      <c r="P66" t="s">
        <v>59</v>
      </c>
      <c r="Q66" t="s">
        <v>59</v>
      </c>
      <c r="R66" t="s">
        <v>59</v>
      </c>
      <c r="S66" t="s">
        <v>59</v>
      </c>
      <c r="T66" t="s">
        <v>59</v>
      </c>
      <c r="U66" t="s">
        <v>59</v>
      </c>
      <c r="V66" t="s">
        <v>59</v>
      </c>
      <c r="W66" t="s">
        <v>59</v>
      </c>
      <c r="X66" t="s">
        <v>59</v>
      </c>
      <c r="Y66" t="s">
        <v>59</v>
      </c>
    </row>
    <row r="67" spans="1:25" x14ac:dyDescent="0.25">
      <c r="A67">
        <v>10</v>
      </c>
      <c r="B67" t="s">
        <v>5272</v>
      </c>
      <c r="C67" t="s">
        <v>4131</v>
      </c>
      <c r="D67" t="s">
        <v>4132</v>
      </c>
      <c r="E67" t="s">
        <v>59</v>
      </c>
      <c r="F67">
        <v>-1</v>
      </c>
      <c r="G67" t="s">
        <v>59</v>
      </c>
      <c r="H67" t="s">
        <v>59</v>
      </c>
      <c r="I67" t="s">
        <v>59</v>
      </c>
      <c r="J67" t="s">
        <v>59</v>
      </c>
      <c r="K67" t="s">
        <v>59</v>
      </c>
      <c r="L67" t="s">
        <v>59</v>
      </c>
      <c r="M67" t="s">
        <v>59</v>
      </c>
      <c r="N67" t="s">
        <v>59</v>
      </c>
      <c r="O67" t="s">
        <v>59</v>
      </c>
      <c r="P67" t="s">
        <v>59</v>
      </c>
      <c r="Q67" t="s">
        <v>59</v>
      </c>
      <c r="R67" t="s">
        <v>59</v>
      </c>
      <c r="S67" t="s">
        <v>59</v>
      </c>
      <c r="T67" t="s">
        <v>59</v>
      </c>
      <c r="U67" t="s">
        <v>59</v>
      </c>
      <c r="V67" t="s">
        <v>59</v>
      </c>
      <c r="W67" t="s">
        <v>59</v>
      </c>
      <c r="X67" t="s">
        <v>59</v>
      </c>
      <c r="Y67" t="s">
        <v>59</v>
      </c>
    </row>
    <row r="68" spans="1:25" x14ac:dyDescent="0.25">
      <c r="A68">
        <v>44</v>
      </c>
      <c r="B68" t="s">
        <v>5272</v>
      </c>
      <c r="C68" t="s">
        <v>4198</v>
      </c>
      <c r="D68" t="s">
        <v>4132</v>
      </c>
      <c r="E68" t="s">
        <v>59</v>
      </c>
      <c r="F68">
        <v>-1</v>
      </c>
      <c r="G68" t="s">
        <v>59</v>
      </c>
      <c r="H68" t="s">
        <v>59</v>
      </c>
      <c r="I68" t="s">
        <v>59</v>
      </c>
      <c r="J68" t="s">
        <v>59</v>
      </c>
      <c r="K68" t="s">
        <v>59</v>
      </c>
      <c r="L68" t="s">
        <v>59</v>
      </c>
      <c r="M68" t="s">
        <v>59</v>
      </c>
      <c r="N68" t="s">
        <v>59</v>
      </c>
      <c r="O68" t="s">
        <v>59</v>
      </c>
      <c r="P68" t="s">
        <v>59</v>
      </c>
      <c r="Q68" t="s">
        <v>59</v>
      </c>
      <c r="R68" t="s">
        <v>59</v>
      </c>
      <c r="S68" t="s">
        <v>59</v>
      </c>
      <c r="T68" t="s">
        <v>59</v>
      </c>
      <c r="U68" t="s">
        <v>59</v>
      </c>
      <c r="V68" t="s">
        <v>59</v>
      </c>
      <c r="W68" t="s">
        <v>59</v>
      </c>
      <c r="X68" t="s">
        <v>59</v>
      </c>
      <c r="Y68" t="s">
        <v>59</v>
      </c>
    </row>
    <row r="69" spans="1:25" x14ac:dyDescent="0.25">
      <c r="A69">
        <v>88</v>
      </c>
      <c r="B69" t="s">
        <v>5272</v>
      </c>
      <c r="C69" t="s">
        <v>4248</v>
      </c>
      <c r="D69" t="s">
        <v>4132</v>
      </c>
      <c r="E69" t="s">
        <v>59</v>
      </c>
      <c r="F69">
        <v>-1</v>
      </c>
      <c r="G69" t="s">
        <v>59</v>
      </c>
      <c r="H69" t="s">
        <v>59</v>
      </c>
      <c r="I69" t="s">
        <v>59</v>
      </c>
      <c r="J69" t="s">
        <v>59</v>
      </c>
      <c r="K69" t="s">
        <v>59</v>
      </c>
      <c r="L69" t="s">
        <v>59</v>
      </c>
      <c r="M69" t="s">
        <v>59</v>
      </c>
      <c r="N69" t="s">
        <v>59</v>
      </c>
      <c r="O69" t="s">
        <v>59</v>
      </c>
      <c r="P69" t="s">
        <v>59</v>
      </c>
      <c r="Q69" t="s">
        <v>59</v>
      </c>
      <c r="R69" t="s">
        <v>59</v>
      </c>
      <c r="S69" t="s">
        <v>59</v>
      </c>
      <c r="T69" t="s">
        <v>59</v>
      </c>
      <c r="U69" t="s">
        <v>59</v>
      </c>
      <c r="V69" t="s">
        <v>59</v>
      </c>
      <c r="W69" t="s">
        <v>59</v>
      </c>
      <c r="X69" t="s">
        <v>59</v>
      </c>
      <c r="Y69" t="s">
        <v>59</v>
      </c>
    </row>
    <row r="70" spans="1:25" x14ac:dyDescent="0.25">
      <c r="A70">
        <v>11</v>
      </c>
      <c r="B70" t="s">
        <v>5272</v>
      </c>
      <c r="C70" t="s">
        <v>4133</v>
      </c>
      <c r="D70" t="s">
        <v>4134</v>
      </c>
      <c r="E70" t="s">
        <v>59</v>
      </c>
      <c r="F70">
        <v>-1</v>
      </c>
      <c r="G70" t="s">
        <v>59</v>
      </c>
      <c r="H70" t="s">
        <v>59</v>
      </c>
      <c r="I70" t="s">
        <v>59</v>
      </c>
      <c r="J70" t="s">
        <v>59</v>
      </c>
      <c r="K70" t="s">
        <v>59</v>
      </c>
      <c r="L70" t="s">
        <v>59</v>
      </c>
      <c r="M70" t="s">
        <v>59</v>
      </c>
      <c r="N70" t="s">
        <v>59</v>
      </c>
      <c r="O70" t="s">
        <v>59</v>
      </c>
      <c r="P70" t="s">
        <v>59</v>
      </c>
      <c r="Q70" t="s">
        <v>59</v>
      </c>
      <c r="R70" t="s">
        <v>59</v>
      </c>
      <c r="S70" t="s">
        <v>59</v>
      </c>
      <c r="T70" t="s">
        <v>59</v>
      </c>
      <c r="U70" t="s">
        <v>59</v>
      </c>
      <c r="V70" t="s">
        <v>59</v>
      </c>
      <c r="W70" t="s">
        <v>59</v>
      </c>
      <c r="X70" t="s">
        <v>59</v>
      </c>
      <c r="Y70" t="s">
        <v>59</v>
      </c>
    </row>
    <row r="71" spans="1:25" x14ac:dyDescent="0.25">
      <c r="A71">
        <v>12</v>
      </c>
      <c r="B71" t="s">
        <v>5272</v>
      </c>
      <c r="C71" t="s">
        <v>4135</v>
      </c>
      <c r="D71" t="s">
        <v>4136</v>
      </c>
      <c r="E71" t="s">
        <v>59</v>
      </c>
      <c r="F71">
        <v>-1</v>
      </c>
      <c r="G71" t="s">
        <v>59</v>
      </c>
      <c r="H71" t="s">
        <v>59</v>
      </c>
      <c r="I71" t="s">
        <v>59</v>
      </c>
      <c r="J71" t="s">
        <v>59</v>
      </c>
      <c r="K71" t="s">
        <v>59</v>
      </c>
      <c r="L71" t="s">
        <v>59</v>
      </c>
      <c r="M71" t="s">
        <v>59</v>
      </c>
      <c r="N71" t="s">
        <v>59</v>
      </c>
      <c r="O71" t="s">
        <v>59</v>
      </c>
      <c r="P71" t="s">
        <v>59</v>
      </c>
      <c r="Q71" t="s">
        <v>59</v>
      </c>
      <c r="R71" t="s">
        <v>59</v>
      </c>
      <c r="S71" t="s">
        <v>59</v>
      </c>
      <c r="T71" t="s">
        <v>59</v>
      </c>
      <c r="U71" t="s">
        <v>59</v>
      </c>
      <c r="V71" t="s">
        <v>59</v>
      </c>
      <c r="W71" t="s">
        <v>59</v>
      </c>
      <c r="X71" t="s">
        <v>59</v>
      </c>
      <c r="Y71" t="s">
        <v>59</v>
      </c>
    </row>
    <row r="72" spans="1:25" x14ac:dyDescent="0.25">
      <c r="A72">
        <v>120</v>
      </c>
      <c r="B72" t="s">
        <v>5272</v>
      </c>
      <c r="C72" t="s">
        <v>92</v>
      </c>
      <c r="D72" t="s">
        <v>4138</v>
      </c>
      <c r="E72" t="s">
        <v>59</v>
      </c>
      <c r="F72">
        <v>-1</v>
      </c>
      <c r="G72" t="s">
        <v>59</v>
      </c>
      <c r="H72" t="s">
        <v>59</v>
      </c>
      <c r="I72" t="s">
        <v>59</v>
      </c>
      <c r="J72" t="s">
        <v>59</v>
      </c>
      <c r="K72" t="s">
        <v>59</v>
      </c>
      <c r="L72" t="s">
        <v>59</v>
      </c>
      <c r="M72" t="s">
        <v>59</v>
      </c>
      <c r="N72" t="s">
        <v>59</v>
      </c>
      <c r="O72" t="s">
        <v>59</v>
      </c>
      <c r="P72" t="s">
        <v>59</v>
      </c>
      <c r="Q72" t="s">
        <v>59</v>
      </c>
      <c r="R72" t="s">
        <v>59</v>
      </c>
      <c r="S72" t="s">
        <v>59</v>
      </c>
      <c r="T72" t="s">
        <v>59</v>
      </c>
      <c r="U72" t="s">
        <v>59</v>
      </c>
      <c r="V72" t="s">
        <v>59</v>
      </c>
      <c r="W72" t="s">
        <v>59</v>
      </c>
      <c r="X72" t="s">
        <v>59</v>
      </c>
      <c r="Y72" t="s">
        <v>59</v>
      </c>
    </row>
    <row r="73" spans="1:25" x14ac:dyDescent="0.25">
      <c r="A73">
        <v>13</v>
      </c>
      <c r="B73" t="s">
        <v>5272</v>
      </c>
      <c r="C73" t="s">
        <v>4137</v>
      </c>
      <c r="D73" t="s">
        <v>4138</v>
      </c>
      <c r="E73" t="s">
        <v>59</v>
      </c>
      <c r="F73">
        <v>-1</v>
      </c>
      <c r="G73" t="s">
        <v>59</v>
      </c>
      <c r="H73" t="s">
        <v>59</v>
      </c>
      <c r="I73" t="s">
        <v>59</v>
      </c>
      <c r="J73" t="s">
        <v>59</v>
      </c>
      <c r="K73" t="s">
        <v>59</v>
      </c>
      <c r="L73" t="s">
        <v>59</v>
      </c>
      <c r="M73" t="s">
        <v>59</v>
      </c>
      <c r="N73" t="s">
        <v>59</v>
      </c>
      <c r="O73" t="s">
        <v>59</v>
      </c>
      <c r="P73" t="s">
        <v>59</v>
      </c>
      <c r="Q73" t="s">
        <v>59</v>
      </c>
      <c r="R73" t="s">
        <v>59</v>
      </c>
      <c r="S73" t="s">
        <v>59</v>
      </c>
      <c r="T73" t="s">
        <v>59</v>
      </c>
      <c r="U73" t="s">
        <v>59</v>
      </c>
      <c r="V73" t="s">
        <v>59</v>
      </c>
      <c r="W73" t="s">
        <v>59</v>
      </c>
      <c r="X73" t="s">
        <v>59</v>
      </c>
      <c r="Y73" t="s">
        <v>59</v>
      </c>
    </row>
    <row r="74" spans="1:25" x14ac:dyDescent="0.25">
      <c r="A74">
        <v>123</v>
      </c>
      <c r="B74" t="s">
        <v>5272</v>
      </c>
      <c r="C74" t="s">
        <v>4260</v>
      </c>
      <c r="D74" t="s">
        <v>4138</v>
      </c>
      <c r="E74" t="s">
        <v>59</v>
      </c>
      <c r="F74">
        <v>-1</v>
      </c>
      <c r="G74" t="s">
        <v>59</v>
      </c>
      <c r="H74" t="s">
        <v>59</v>
      </c>
      <c r="I74" t="s">
        <v>59</v>
      </c>
      <c r="J74" t="s">
        <v>59</v>
      </c>
      <c r="K74" t="s">
        <v>59</v>
      </c>
      <c r="L74" t="s">
        <v>59</v>
      </c>
      <c r="M74" t="s">
        <v>59</v>
      </c>
      <c r="N74" t="s">
        <v>59</v>
      </c>
      <c r="O74" t="s">
        <v>59</v>
      </c>
      <c r="P74" t="s">
        <v>59</v>
      </c>
      <c r="Q74" t="s">
        <v>59</v>
      </c>
      <c r="R74" t="s">
        <v>59</v>
      </c>
      <c r="S74" t="s">
        <v>59</v>
      </c>
      <c r="T74" t="s">
        <v>59</v>
      </c>
      <c r="U74" t="s">
        <v>59</v>
      </c>
      <c r="V74" t="s">
        <v>59</v>
      </c>
      <c r="W74" t="s">
        <v>59</v>
      </c>
      <c r="X74" t="s">
        <v>59</v>
      </c>
      <c r="Y74" t="s">
        <v>59</v>
      </c>
    </row>
    <row r="75" spans="1:25" x14ac:dyDescent="0.25">
      <c r="A75">
        <v>108</v>
      </c>
      <c r="B75" t="s">
        <v>5272</v>
      </c>
      <c r="C75" t="s">
        <v>167</v>
      </c>
      <c r="D75" t="s">
        <v>4138</v>
      </c>
      <c r="E75" t="s">
        <v>59</v>
      </c>
      <c r="F75">
        <v>-1</v>
      </c>
      <c r="G75" t="s">
        <v>59</v>
      </c>
      <c r="H75" t="s">
        <v>59</v>
      </c>
      <c r="I75" t="s">
        <v>59</v>
      </c>
      <c r="J75" t="s">
        <v>59</v>
      </c>
      <c r="K75" t="s">
        <v>59</v>
      </c>
      <c r="L75" t="s">
        <v>59</v>
      </c>
      <c r="M75" t="s">
        <v>59</v>
      </c>
      <c r="N75" t="s">
        <v>59</v>
      </c>
      <c r="O75" t="s">
        <v>59</v>
      </c>
      <c r="P75" t="s">
        <v>59</v>
      </c>
      <c r="Q75" t="s">
        <v>59</v>
      </c>
      <c r="R75" t="s">
        <v>59</v>
      </c>
      <c r="S75" t="s">
        <v>59</v>
      </c>
      <c r="T75" t="s">
        <v>59</v>
      </c>
      <c r="U75" t="s">
        <v>59</v>
      </c>
      <c r="V75" t="s">
        <v>59</v>
      </c>
      <c r="W75" t="s">
        <v>59</v>
      </c>
      <c r="X75" t="s">
        <v>59</v>
      </c>
      <c r="Y75" t="s">
        <v>59</v>
      </c>
    </row>
    <row r="76" spans="1:25" x14ac:dyDescent="0.25">
      <c r="A76">
        <v>107</v>
      </c>
      <c r="B76" t="s">
        <v>5272</v>
      </c>
      <c r="C76" t="s">
        <v>835</v>
      </c>
      <c r="D76" t="s">
        <v>4138</v>
      </c>
      <c r="E76" t="s">
        <v>59</v>
      </c>
      <c r="F76">
        <v>-1</v>
      </c>
      <c r="G76" t="s">
        <v>59</v>
      </c>
      <c r="H76" t="s">
        <v>59</v>
      </c>
      <c r="I76" t="s">
        <v>59</v>
      </c>
      <c r="J76" t="s">
        <v>59</v>
      </c>
      <c r="K76" t="s">
        <v>59</v>
      </c>
      <c r="L76" t="s">
        <v>59</v>
      </c>
      <c r="M76" t="s">
        <v>59</v>
      </c>
      <c r="N76" t="s">
        <v>59</v>
      </c>
      <c r="O76" t="s">
        <v>59</v>
      </c>
      <c r="P76" t="s">
        <v>59</v>
      </c>
      <c r="Q76" t="s">
        <v>59</v>
      </c>
      <c r="R76" t="s">
        <v>59</v>
      </c>
      <c r="S76" t="s">
        <v>59</v>
      </c>
      <c r="T76" t="s">
        <v>59</v>
      </c>
      <c r="U76" t="s">
        <v>59</v>
      </c>
      <c r="V76" t="s">
        <v>59</v>
      </c>
      <c r="W76" t="s">
        <v>59</v>
      </c>
      <c r="X76" t="s">
        <v>59</v>
      </c>
      <c r="Y76" t="s">
        <v>59</v>
      </c>
    </row>
    <row r="77" spans="1:25" x14ac:dyDescent="0.25">
      <c r="A77">
        <v>104</v>
      </c>
      <c r="B77" t="s">
        <v>5272</v>
      </c>
      <c r="C77" t="s">
        <v>113</v>
      </c>
      <c r="D77" t="s">
        <v>4138</v>
      </c>
      <c r="E77" t="s">
        <v>59</v>
      </c>
      <c r="F77">
        <v>-1</v>
      </c>
      <c r="G77" t="s">
        <v>59</v>
      </c>
      <c r="H77" t="s">
        <v>59</v>
      </c>
      <c r="I77" t="s">
        <v>59</v>
      </c>
      <c r="J77" t="s">
        <v>59</v>
      </c>
      <c r="K77" t="s">
        <v>59</v>
      </c>
      <c r="L77" t="s">
        <v>59</v>
      </c>
      <c r="M77" t="s">
        <v>59</v>
      </c>
      <c r="N77" t="s">
        <v>59</v>
      </c>
      <c r="O77" t="s">
        <v>59</v>
      </c>
      <c r="P77" t="s">
        <v>59</v>
      </c>
      <c r="Q77" t="s">
        <v>59</v>
      </c>
      <c r="R77" t="s">
        <v>59</v>
      </c>
      <c r="S77" t="s">
        <v>59</v>
      </c>
      <c r="T77" t="s">
        <v>59</v>
      </c>
      <c r="U77" t="s">
        <v>59</v>
      </c>
      <c r="V77" t="s">
        <v>59</v>
      </c>
      <c r="W77" t="s">
        <v>59</v>
      </c>
      <c r="X77" t="s">
        <v>59</v>
      </c>
      <c r="Y77" t="s">
        <v>59</v>
      </c>
    </row>
    <row r="78" spans="1:25" x14ac:dyDescent="0.25">
      <c r="A78">
        <v>103</v>
      </c>
      <c r="B78" t="s">
        <v>5272</v>
      </c>
      <c r="C78" t="s">
        <v>4259</v>
      </c>
      <c r="D78" t="s">
        <v>4138</v>
      </c>
      <c r="E78" t="s">
        <v>59</v>
      </c>
      <c r="F78">
        <v>-1</v>
      </c>
      <c r="G78" t="s">
        <v>59</v>
      </c>
      <c r="H78" t="s">
        <v>59</v>
      </c>
      <c r="I78" t="s">
        <v>59</v>
      </c>
      <c r="J78" t="s">
        <v>59</v>
      </c>
      <c r="K78" t="s">
        <v>59</v>
      </c>
      <c r="L78" t="s">
        <v>59</v>
      </c>
      <c r="M78" t="s">
        <v>59</v>
      </c>
      <c r="N78" t="s">
        <v>59</v>
      </c>
      <c r="O78" t="s">
        <v>59</v>
      </c>
      <c r="P78" t="s">
        <v>59</v>
      </c>
      <c r="Q78" t="s">
        <v>59</v>
      </c>
      <c r="R78" t="s">
        <v>59</v>
      </c>
      <c r="S78" t="s">
        <v>59</v>
      </c>
      <c r="T78" t="s">
        <v>59</v>
      </c>
      <c r="U78" t="s">
        <v>59</v>
      </c>
      <c r="V78" t="s">
        <v>59</v>
      </c>
      <c r="W78" t="s">
        <v>59</v>
      </c>
      <c r="X78" t="s">
        <v>59</v>
      </c>
      <c r="Y78" t="s">
        <v>59</v>
      </c>
    </row>
    <row r="79" spans="1:25" x14ac:dyDescent="0.25">
      <c r="A79">
        <v>90</v>
      </c>
      <c r="B79" t="s">
        <v>5272</v>
      </c>
      <c r="C79" t="s">
        <v>4250</v>
      </c>
      <c r="D79" t="s">
        <v>4138</v>
      </c>
      <c r="E79" t="s">
        <v>59</v>
      </c>
      <c r="F79">
        <v>-1</v>
      </c>
      <c r="G79" t="s">
        <v>59</v>
      </c>
      <c r="H79" t="s">
        <v>59</v>
      </c>
      <c r="I79" t="s">
        <v>59</v>
      </c>
      <c r="J79" t="s">
        <v>59</v>
      </c>
      <c r="K79" t="s">
        <v>59</v>
      </c>
      <c r="L79" t="s">
        <v>59</v>
      </c>
      <c r="M79" t="s">
        <v>59</v>
      </c>
      <c r="N79" t="s">
        <v>59</v>
      </c>
      <c r="O79" t="s">
        <v>59</v>
      </c>
      <c r="P79" t="s">
        <v>59</v>
      </c>
      <c r="Q79" t="s">
        <v>59</v>
      </c>
      <c r="R79" t="s">
        <v>59</v>
      </c>
      <c r="S79" t="s">
        <v>59</v>
      </c>
      <c r="T79" t="s">
        <v>59</v>
      </c>
      <c r="U79" t="s">
        <v>59</v>
      </c>
      <c r="V79" t="s">
        <v>59</v>
      </c>
      <c r="W79" t="s">
        <v>59</v>
      </c>
      <c r="X79" t="s">
        <v>59</v>
      </c>
      <c r="Y79" t="s">
        <v>59</v>
      </c>
    </row>
    <row r="80" spans="1:25" x14ac:dyDescent="0.25">
      <c r="A80">
        <v>126</v>
      </c>
      <c r="B80" t="s">
        <v>5272</v>
      </c>
      <c r="C80" t="s">
        <v>4261</v>
      </c>
      <c r="D80" t="s">
        <v>4138</v>
      </c>
      <c r="E80" t="s">
        <v>59</v>
      </c>
      <c r="F80">
        <v>-1</v>
      </c>
      <c r="G80" t="s">
        <v>59</v>
      </c>
      <c r="H80" t="s">
        <v>59</v>
      </c>
      <c r="I80" t="s">
        <v>59</v>
      </c>
      <c r="J80" t="s">
        <v>59</v>
      </c>
      <c r="K80" t="s">
        <v>59</v>
      </c>
      <c r="L80" t="s">
        <v>59</v>
      </c>
      <c r="M80" t="s">
        <v>59</v>
      </c>
      <c r="N80" t="s">
        <v>59</v>
      </c>
      <c r="O80" t="s">
        <v>59</v>
      </c>
      <c r="P80" t="s">
        <v>59</v>
      </c>
      <c r="Q80" t="s">
        <v>59</v>
      </c>
      <c r="R80" t="s">
        <v>59</v>
      </c>
      <c r="S80" t="s">
        <v>59</v>
      </c>
      <c r="T80" t="s">
        <v>59</v>
      </c>
      <c r="U80" t="s">
        <v>59</v>
      </c>
      <c r="V80" t="s">
        <v>59</v>
      </c>
      <c r="W80" t="s">
        <v>59</v>
      </c>
      <c r="X80" t="s">
        <v>59</v>
      </c>
      <c r="Y80" t="s">
        <v>59</v>
      </c>
    </row>
    <row r="81" spans="1:25" x14ac:dyDescent="0.25">
      <c r="A81">
        <v>116</v>
      </c>
      <c r="B81" t="s">
        <v>5272</v>
      </c>
      <c r="C81" t="s">
        <v>195</v>
      </c>
      <c r="D81" t="s">
        <v>4138</v>
      </c>
      <c r="E81" t="s">
        <v>59</v>
      </c>
      <c r="F81">
        <v>-1</v>
      </c>
      <c r="G81" t="s">
        <v>59</v>
      </c>
      <c r="H81" t="s">
        <v>59</v>
      </c>
      <c r="I81" t="s">
        <v>59</v>
      </c>
      <c r="J81" t="s">
        <v>59</v>
      </c>
      <c r="K81" t="s">
        <v>59</v>
      </c>
      <c r="L81" t="s">
        <v>59</v>
      </c>
      <c r="M81" t="s">
        <v>59</v>
      </c>
      <c r="N81" t="s">
        <v>59</v>
      </c>
      <c r="O81" t="s">
        <v>59</v>
      </c>
      <c r="P81" t="s">
        <v>59</v>
      </c>
      <c r="Q81" t="s">
        <v>59</v>
      </c>
      <c r="R81" t="s">
        <v>59</v>
      </c>
      <c r="S81" t="s">
        <v>59</v>
      </c>
      <c r="T81" t="s">
        <v>59</v>
      </c>
      <c r="U81" t="s">
        <v>59</v>
      </c>
      <c r="V81" t="s">
        <v>59</v>
      </c>
      <c r="W81" t="s">
        <v>59</v>
      </c>
      <c r="X81" t="s">
        <v>59</v>
      </c>
      <c r="Y81" t="s">
        <v>59</v>
      </c>
    </row>
    <row r="82" spans="1:25" x14ac:dyDescent="0.25">
      <c r="A82">
        <v>115</v>
      </c>
      <c r="B82" t="s">
        <v>5272</v>
      </c>
      <c r="C82" t="s">
        <v>897</v>
      </c>
      <c r="D82" t="s">
        <v>4138</v>
      </c>
      <c r="E82" t="s">
        <v>59</v>
      </c>
      <c r="F82">
        <v>-1</v>
      </c>
      <c r="G82" t="s">
        <v>59</v>
      </c>
      <c r="H82" t="s">
        <v>59</v>
      </c>
      <c r="I82" t="s">
        <v>59</v>
      </c>
      <c r="J82" t="s">
        <v>59</v>
      </c>
      <c r="K82" t="s">
        <v>59</v>
      </c>
      <c r="L82" t="s">
        <v>59</v>
      </c>
      <c r="M82" t="s">
        <v>59</v>
      </c>
      <c r="N82" t="s">
        <v>59</v>
      </c>
      <c r="O82" t="s">
        <v>59</v>
      </c>
      <c r="P82" t="s">
        <v>59</v>
      </c>
      <c r="Q82" t="s">
        <v>59</v>
      </c>
      <c r="R82" t="s">
        <v>59</v>
      </c>
      <c r="S82" t="s">
        <v>59</v>
      </c>
      <c r="T82" t="s">
        <v>59</v>
      </c>
      <c r="U82" t="s">
        <v>59</v>
      </c>
      <c r="V82" t="s">
        <v>59</v>
      </c>
      <c r="W82" t="s">
        <v>59</v>
      </c>
      <c r="X82" t="s">
        <v>59</v>
      </c>
      <c r="Y82" t="s">
        <v>59</v>
      </c>
    </row>
    <row r="83" spans="1:25" x14ac:dyDescent="0.25">
      <c r="A83">
        <v>129</v>
      </c>
      <c r="B83" t="s">
        <v>5272</v>
      </c>
      <c r="C83" t="s">
        <v>4262</v>
      </c>
      <c r="D83" t="s">
        <v>4138</v>
      </c>
      <c r="E83" t="s">
        <v>59</v>
      </c>
      <c r="F83">
        <v>-1</v>
      </c>
      <c r="G83" t="s">
        <v>59</v>
      </c>
      <c r="H83" t="s">
        <v>59</v>
      </c>
      <c r="I83" t="s">
        <v>59</v>
      </c>
      <c r="J83" t="s">
        <v>59</v>
      </c>
      <c r="K83" t="s">
        <v>59</v>
      </c>
      <c r="L83" t="s">
        <v>59</v>
      </c>
      <c r="M83" t="s">
        <v>59</v>
      </c>
      <c r="N83" t="s">
        <v>59</v>
      </c>
      <c r="O83" t="s">
        <v>59</v>
      </c>
      <c r="P83" t="s">
        <v>59</v>
      </c>
      <c r="Q83" t="s">
        <v>59</v>
      </c>
      <c r="R83" t="s">
        <v>59</v>
      </c>
      <c r="S83" t="s">
        <v>59</v>
      </c>
      <c r="T83" t="s">
        <v>59</v>
      </c>
      <c r="U83" t="s">
        <v>59</v>
      </c>
      <c r="V83" t="s">
        <v>59</v>
      </c>
      <c r="W83" t="s">
        <v>59</v>
      </c>
      <c r="X83" t="s">
        <v>59</v>
      </c>
      <c r="Y83" t="s">
        <v>59</v>
      </c>
    </row>
    <row r="84" spans="1:25" x14ac:dyDescent="0.25">
      <c r="A84">
        <v>112</v>
      </c>
      <c r="B84" t="s">
        <v>5272</v>
      </c>
      <c r="C84" t="s">
        <v>184</v>
      </c>
      <c r="D84" t="s">
        <v>4138</v>
      </c>
      <c r="E84" t="s">
        <v>59</v>
      </c>
      <c r="F84">
        <v>-1</v>
      </c>
      <c r="G84" t="s">
        <v>59</v>
      </c>
      <c r="H84" t="s">
        <v>59</v>
      </c>
      <c r="I84" t="s">
        <v>59</v>
      </c>
      <c r="J84" t="s">
        <v>59</v>
      </c>
      <c r="K84" t="s">
        <v>59</v>
      </c>
      <c r="L84" t="s">
        <v>59</v>
      </c>
      <c r="M84" t="s">
        <v>59</v>
      </c>
      <c r="N84" t="s">
        <v>59</v>
      </c>
      <c r="O84" t="s">
        <v>59</v>
      </c>
      <c r="P84" t="s">
        <v>59</v>
      </c>
      <c r="Q84" t="s">
        <v>59</v>
      </c>
      <c r="R84" t="s">
        <v>59</v>
      </c>
      <c r="S84" t="s">
        <v>59</v>
      </c>
      <c r="T84" t="s">
        <v>59</v>
      </c>
      <c r="U84" t="s">
        <v>59</v>
      </c>
      <c r="V84" t="s">
        <v>59</v>
      </c>
      <c r="W84" t="s">
        <v>59</v>
      </c>
      <c r="X84" t="s">
        <v>59</v>
      </c>
      <c r="Y84" t="s">
        <v>59</v>
      </c>
    </row>
    <row r="85" spans="1:25" x14ac:dyDescent="0.25">
      <c r="A85">
        <v>14</v>
      </c>
      <c r="B85" t="s">
        <v>5272</v>
      </c>
      <c r="C85" t="s">
        <v>4139</v>
      </c>
      <c r="D85" t="s">
        <v>4140</v>
      </c>
      <c r="E85" t="s">
        <v>59</v>
      </c>
      <c r="F85">
        <v>-1</v>
      </c>
      <c r="G85" t="s">
        <v>59</v>
      </c>
      <c r="H85" t="s">
        <v>59</v>
      </c>
      <c r="I85" t="s">
        <v>59</v>
      </c>
      <c r="J85" t="s">
        <v>59</v>
      </c>
      <c r="K85" t="s">
        <v>59</v>
      </c>
      <c r="L85" t="s">
        <v>59</v>
      </c>
      <c r="M85" t="s">
        <v>59</v>
      </c>
      <c r="N85" t="s">
        <v>59</v>
      </c>
      <c r="O85" t="s">
        <v>59</v>
      </c>
      <c r="P85" t="s">
        <v>59</v>
      </c>
      <c r="Q85" t="s">
        <v>59</v>
      </c>
      <c r="R85" t="s">
        <v>59</v>
      </c>
      <c r="S85" t="s">
        <v>59</v>
      </c>
      <c r="T85" t="s">
        <v>59</v>
      </c>
      <c r="U85" t="s">
        <v>59</v>
      </c>
      <c r="V85" t="s">
        <v>59</v>
      </c>
      <c r="W85" t="s">
        <v>59</v>
      </c>
      <c r="X85" t="s">
        <v>59</v>
      </c>
      <c r="Y85" t="s">
        <v>59</v>
      </c>
    </row>
    <row r="86" spans="1:25" x14ac:dyDescent="0.25">
      <c r="A86">
        <v>100</v>
      </c>
      <c r="B86" t="s">
        <v>5272</v>
      </c>
      <c r="C86" t="s">
        <v>140</v>
      </c>
      <c r="D86" t="s">
        <v>4140</v>
      </c>
      <c r="E86" t="s">
        <v>59</v>
      </c>
      <c r="F86">
        <v>-1</v>
      </c>
      <c r="G86" t="s">
        <v>59</v>
      </c>
      <c r="H86" t="s">
        <v>59</v>
      </c>
      <c r="I86" t="s">
        <v>59</v>
      </c>
      <c r="J86" t="s">
        <v>59</v>
      </c>
      <c r="K86" t="s">
        <v>59</v>
      </c>
      <c r="L86" t="s">
        <v>59</v>
      </c>
      <c r="M86" t="s">
        <v>59</v>
      </c>
      <c r="N86" t="s">
        <v>59</v>
      </c>
      <c r="O86" t="s">
        <v>59</v>
      </c>
      <c r="P86" t="s">
        <v>59</v>
      </c>
      <c r="Q86" t="s">
        <v>59</v>
      </c>
      <c r="R86" t="s">
        <v>59</v>
      </c>
      <c r="S86" t="s">
        <v>59</v>
      </c>
      <c r="T86" t="s">
        <v>59</v>
      </c>
      <c r="U86" t="s">
        <v>59</v>
      </c>
      <c r="V86" t="s">
        <v>59</v>
      </c>
      <c r="W86" t="s">
        <v>59</v>
      </c>
      <c r="X86" t="s">
        <v>59</v>
      </c>
      <c r="Y86" t="s">
        <v>59</v>
      </c>
    </row>
    <row r="87" spans="1:25" x14ac:dyDescent="0.25">
      <c r="A87">
        <v>99</v>
      </c>
      <c r="B87" t="s">
        <v>5272</v>
      </c>
      <c r="C87" t="s">
        <v>58</v>
      </c>
      <c r="D87" t="s">
        <v>4140</v>
      </c>
      <c r="E87" t="s">
        <v>59</v>
      </c>
      <c r="F87">
        <v>-1</v>
      </c>
      <c r="G87" t="s">
        <v>59</v>
      </c>
      <c r="H87" t="s">
        <v>59</v>
      </c>
      <c r="I87" t="s">
        <v>59</v>
      </c>
      <c r="J87" t="s">
        <v>59</v>
      </c>
      <c r="K87" t="s">
        <v>59</v>
      </c>
      <c r="L87" t="s">
        <v>59</v>
      </c>
      <c r="M87" t="s">
        <v>59</v>
      </c>
      <c r="N87" t="s">
        <v>59</v>
      </c>
      <c r="O87" t="s">
        <v>59</v>
      </c>
      <c r="P87" t="s">
        <v>59</v>
      </c>
      <c r="Q87" t="s">
        <v>59</v>
      </c>
      <c r="R87" t="s">
        <v>59</v>
      </c>
      <c r="S87" t="s">
        <v>59</v>
      </c>
      <c r="T87" t="s">
        <v>59</v>
      </c>
      <c r="U87" t="s">
        <v>59</v>
      </c>
      <c r="V87" t="s">
        <v>59</v>
      </c>
      <c r="W87" t="s">
        <v>59</v>
      </c>
      <c r="X87" t="s">
        <v>59</v>
      </c>
      <c r="Y87" t="s">
        <v>59</v>
      </c>
    </row>
    <row r="88" spans="1:25" x14ac:dyDescent="0.25">
      <c r="A88">
        <v>15</v>
      </c>
      <c r="B88" t="s">
        <v>5272</v>
      </c>
      <c r="C88" t="s">
        <v>4141</v>
      </c>
      <c r="D88" t="s">
        <v>4142</v>
      </c>
      <c r="E88" t="s">
        <v>59</v>
      </c>
      <c r="F88">
        <v>-1</v>
      </c>
      <c r="G88" t="s">
        <v>59</v>
      </c>
      <c r="H88" t="s">
        <v>59</v>
      </c>
      <c r="I88" t="s">
        <v>59</v>
      </c>
      <c r="J88" t="s">
        <v>59</v>
      </c>
      <c r="K88" t="s">
        <v>59</v>
      </c>
      <c r="L88" t="s">
        <v>59</v>
      </c>
      <c r="M88" t="s">
        <v>59</v>
      </c>
      <c r="N88" t="s">
        <v>59</v>
      </c>
      <c r="O88" t="s">
        <v>59</v>
      </c>
      <c r="P88" t="s">
        <v>59</v>
      </c>
      <c r="Q88" t="s">
        <v>59</v>
      </c>
      <c r="R88" t="s">
        <v>59</v>
      </c>
      <c r="S88" t="s">
        <v>59</v>
      </c>
      <c r="T88" t="s">
        <v>59</v>
      </c>
      <c r="U88" t="s">
        <v>59</v>
      </c>
      <c r="V88" t="s">
        <v>59</v>
      </c>
      <c r="W88" t="s">
        <v>59</v>
      </c>
      <c r="X88" t="s">
        <v>59</v>
      </c>
      <c r="Y88" t="s">
        <v>59</v>
      </c>
    </row>
    <row r="89" spans="1:25" x14ac:dyDescent="0.25">
      <c r="A89">
        <v>16</v>
      </c>
      <c r="B89" t="s">
        <v>5272</v>
      </c>
      <c r="C89" t="s">
        <v>4143</v>
      </c>
      <c r="D89" t="s">
        <v>4144</v>
      </c>
      <c r="E89" t="s">
        <v>59</v>
      </c>
      <c r="F89">
        <v>-1</v>
      </c>
      <c r="G89" t="s">
        <v>59</v>
      </c>
      <c r="H89" t="s">
        <v>59</v>
      </c>
      <c r="I89" t="s">
        <v>59</v>
      </c>
      <c r="J89" t="s">
        <v>59</v>
      </c>
      <c r="K89" t="s">
        <v>59</v>
      </c>
      <c r="L89" t="s">
        <v>59</v>
      </c>
      <c r="M89" t="s">
        <v>59</v>
      </c>
      <c r="N89" t="s">
        <v>59</v>
      </c>
      <c r="O89" t="s">
        <v>59</v>
      </c>
      <c r="P89" t="s">
        <v>59</v>
      </c>
      <c r="Q89" t="s">
        <v>59</v>
      </c>
      <c r="R89" t="s">
        <v>59</v>
      </c>
      <c r="S89" t="s">
        <v>59</v>
      </c>
      <c r="T89" t="s">
        <v>59</v>
      </c>
      <c r="U89" t="s">
        <v>59</v>
      </c>
      <c r="V89" t="s">
        <v>59</v>
      </c>
      <c r="W89" t="s">
        <v>59</v>
      </c>
      <c r="X89" t="s">
        <v>59</v>
      </c>
      <c r="Y89" t="s">
        <v>59</v>
      </c>
    </row>
    <row r="90" spans="1:25" x14ac:dyDescent="0.25">
      <c r="A90">
        <v>192</v>
      </c>
      <c r="B90" t="s">
        <v>5272</v>
      </c>
      <c r="C90" t="s">
        <v>4362</v>
      </c>
      <c r="D90" t="s">
        <v>4146</v>
      </c>
      <c r="E90" t="s">
        <v>59</v>
      </c>
      <c r="F90">
        <v>-1</v>
      </c>
      <c r="G90" t="s">
        <v>59</v>
      </c>
      <c r="H90" t="s">
        <v>59</v>
      </c>
      <c r="I90" t="s">
        <v>59</v>
      </c>
      <c r="J90" t="s">
        <v>59</v>
      </c>
      <c r="K90" t="s">
        <v>59</v>
      </c>
      <c r="L90" t="s">
        <v>59</v>
      </c>
      <c r="M90" t="s">
        <v>59</v>
      </c>
      <c r="N90" t="s">
        <v>59</v>
      </c>
      <c r="O90" t="s">
        <v>59</v>
      </c>
      <c r="P90" t="s">
        <v>59</v>
      </c>
      <c r="Q90" t="s">
        <v>59</v>
      </c>
      <c r="R90" t="s">
        <v>59</v>
      </c>
      <c r="S90" t="s">
        <v>59</v>
      </c>
      <c r="T90" t="s">
        <v>59</v>
      </c>
      <c r="U90" t="s">
        <v>59</v>
      </c>
      <c r="V90" t="s">
        <v>59</v>
      </c>
      <c r="W90" t="s">
        <v>59</v>
      </c>
      <c r="X90" t="s">
        <v>59</v>
      </c>
      <c r="Y90" t="s">
        <v>59</v>
      </c>
    </row>
    <row r="91" spans="1:25" x14ac:dyDescent="0.25">
      <c r="A91">
        <v>17</v>
      </c>
      <c r="B91" t="s">
        <v>5272</v>
      </c>
      <c r="C91" t="s">
        <v>4145</v>
      </c>
      <c r="D91" t="s">
        <v>4146</v>
      </c>
      <c r="E91" t="s">
        <v>59</v>
      </c>
      <c r="F91">
        <v>-1</v>
      </c>
      <c r="G91" t="s">
        <v>59</v>
      </c>
      <c r="H91" t="s">
        <v>59</v>
      </c>
      <c r="I91" t="s">
        <v>59</v>
      </c>
      <c r="J91" t="s">
        <v>59</v>
      </c>
      <c r="K91" t="s">
        <v>59</v>
      </c>
      <c r="L91" t="s">
        <v>59</v>
      </c>
      <c r="M91" t="s">
        <v>59</v>
      </c>
      <c r="N91" t="s">
        <v>59</v>
      </c>
      <c r="O91" t="s">
        <v>59</v>
      </c>
      <c r="P91" t="s">
        <v>59</v>
      </c>
      <c r="Q91" t="s">
        <v>59</v>
      </c>
      <c r="R91" t="s">
        <v>59</v>
      </c>
      <c r="S91" t="s">
        <v>59</v>
      </c>
      <c r="T91" t="s">
        <v>59</v>
      </c>
      <c r="U91" t="s">
        <v>59</v>
      </c>
      <c r="V91" t="s">
        <v>59</v>
      </c>
      <c r="W91" t="s">
        <v>59</v>
      </c>
      <c r="X91" t="s">
        <v>59</v>
      </c>
      <c r="Y91" t="s">
        <v>59</v>
      </c>
    </row>
    <row r="92" spans="1:25" x14ac:dyDescent="0.25">
      <c r="A92">
        <v>18</v>
      </c>
      <c r="B92" t="s">
        <v>5272</v>
      </c>
      <c r="C92" t="s">
        <v>4147</v>
      </c>
      <c r="D92" t="s">
        <v>4148</v>
      </c>
      <c r="E92" t="s">
        <v>59</v>
      </c>
      <c r="F92">
        <v>-1</v>
      </c>
      <c r="G92" t="s">
        <v>59</v>
      </c>
      <c r="H92" t="s">
        <v>59</v>
      </c>
      <c r="I92" t="s">
        <v>59</v>
      </c>
      <c r="J92" t="s">
        <v>59</v>
      </c>
      <c r="K92" t="s">
        <v>59</v>
      </c>
      <c r="L92" t="s">
        <v>59</v>
      </c>
      <c r="M92" t="s">
        <v>59</v>
      </c>
      <c r="N92" t="s">
        <v>59</v>
      </c>
      <c r="O92" t="s">
        <v>59</v>
      </c>
      <c r="P92" t="s">
        <v>59</v>
      </c>
      <c r="Q92" t="s">
        <v>59</v>
      </c>
      <c r="R92" t="s">
        <v>59</v>
      </c>
      <c r="S92" t="s">
        <v>59</v>
      </c>
      <c r="T92" t="s">
        <v>59</v>
      </c>
      <c r="U92" t="s">
        <v>59</v>
      </c>
      <c r="V92" t="s">
        <v>59</v>
      </c>
      <c r="W92" t="s">
        <v>59</v>
      </c>
      <c r="X92" t="s">
        <v>59</v>
      </c>
      <c r="Y92" t="s">
        <v>59</v>
      </c>
    </row>
    <row r="93" spans="1:25" x14ac:dyDescent="0.25">
      <c r="A93">
        <v>19</v>
      </c>
      <c r="B93" t="s">
        <v>5272</v>
      </c>
      <c r="C93" t="s">
        <v>4149</v>
      </c>
      <c r="D93" t="s">
        <v>4150</v>
      </c>
      <c r="E93" t="s">
        <v>59</v>
      </c>
      <c r="F93">
        <v>-1</v>
      </c>
      <c r="G93" t="s">
        <v>59</v>
      </c>
      <c r="H93" t="s">
        <v>59</v>
      </c>
      <c r="I93" t="s">
        <v>59</v>
      </c>
      <c r="J93" t="s">
        <v>59</v>
      </c>
      <c r="K93" t="s">
        <v>59</v>
      </c>
      <c r="L93" t="s">
        <v>59</v>
      </c>
      <c r="M93" t="s">
        <v>59</v>
      </c>
      <c r="N93" t="s">
        <v>59</v>
      </c>
      <c r="O93" t="s">
        <v>59</v>
      </c>
      <c r="P93" t="s">
        <v>59</v>
      </c>
      <c r="Q93" t="s">
        <v>59</v>
      </c>
      <c r="R93" t="s">
        <v>59</v>
      </c>
      <c r="S93" t="s">
        <v>59</v>
      </c>
      <c r="T93" t="s">
        <v>59</v>
      </c>
      <c r="U93" t="s">
        <v>59</v>
      </c>
      <c r="V93" t="s">
        <v>59</v>
      </c>
      <c r="W93" t="s">
        <v>59</v>
      </c>
      <c r="X93" t="s">
        <v>59</v>
      </c>
      <c r="Y93" t="s">
        <v>59</v>
      </c>
    </row>
    <row r="94" spans="1:25" x14ac:dyDescent="0.25">
      <c r="A94">
        <v>20</v>
      </c>
      <c r="B94" t="s">
        <v>5272</v>
      </c>
      <c r="C94" t="s">
        <v>4151</v>
      </c>
      <c r="D94" t="s">
        <v>4152</v>
      </c>
      <c r="E94" t="s">
        <v>59</v>
      </c>
      <c r="F94">
        <v>-1</v>
      </c>
      <c r="G94" t="s">
        <v>59</v>
      </c>
      <c r="H94" t="s">
        <v>59</v>
      </c>
      <c r="I94" t="s">
        <v>59</v>
      </c>
      <c r="J94" t="s">
        <v>59</v>
      </c>
      <c r="K94" t="s">
        <v>59</v>
      </c>
      <c r="L94" t="s">
        <v>59</v>
      </c>
      <c r="M94" t="s">
        <v>59</v>
      </c>
      <c r="N94" t="s">
        <v>59</v>
      </c>
      <c r="O94" t="s">
        <v>59</v>
      </c>
      <c r="P94" t="s">
        <v>59</v>
      </c>
      <c r="Q94" t="s">
        <v>59</v>
      </c>
      <c r="R94" t="s">
        <v>59</v>
      </c>
      <c r="S94" t="s">
        <v>59</v>
      </c>
      <c r="T94" t="s">
        <v>59</v>
      </c>
      <c r="U94" t="s">
        <v>59</v>
      </c>
      <c r="V94" t="s">
        <v>59</v>
      </c>
      <c r="W94" t="s">
        <v>59</v>
      </c>
      <c r="X94" t="s">
        <v>59</v>
      </c>
      <c r="Y94" t="s">
        <v>59</v>
      </c>
    </row>
    <row r="95" spans="1:25" x14ac:dyDescent="0.25">
      <c r="A95">
        <v>21</v>
      </c>
      <c r="B95" t="s">
        <v>5272</v>
      </c>
      <c r="C95" t="s">
        <v>4153</v>
      </c>
      <c r="D95" t="s">
        <v>4154</v>
      </c>
      <c r="E95" t="s">
        <v>59</v>
      </c>
      <c r="F95">
        <v>-1</v>
      </c>
      <c r="G95" t="s">
        <v>59</v>
      </c>
      <c r="H95" t="s">
        <v>59</v>
      </c>
      <c r="I95" t="s">
        <v>59</v>
      </c>
      <c r="J95" t="s">
        <v>59</v>
      </c>
      <c r="K95" t="s">
        <v>59</v>
      </c>
      <c r="L95" t="s">
        <v>59</v>
      </c>
      <c r="M95" t="s">
        <v>59</v>
      </c>
      <c r="N95" t="s">
        <v>59</v>
      </c>
      <c r="O95" t="s">
        <v>59</v>
      </c>
      <c r="P95" t="s">
        <v>59</v>
      </c>
      <c r="Q95" t="s">
        <v>59</v>
      </c>
      <c r="R95" t="s">
        <v>59</v>
      </c>
      <c r="S95" t="s">
        <v>59</v>
      </c>
      <c r="T95" t="s">
        <v>59</v>
      </c>
      <c r="U95" t="s">
        <v>59</v>
      </c>
      <c r="V95" t="s">
        <v>59</v>
      </c>
      <c r="W95" t="s">
        <v>59</v>
      </c>
      <c r="X95" t="s">
        <v>59</v>
      </c>
      <c r="Y95" t="s">
        <v>59</v>
      </c>
    </row>
    <row r="96" spans="1:25" x14ac:dyDescent="0.25">
      <c r="A96">
        <v>22</v>
      </c>
      <c r="B96" t="s">
        <v>5272</v>
      </c>
      <c r="C96" t="s">
        <v>4155</v>
      </c>
      <c r="D96" t="s">
        <v>4156</v>
      </c>
      <c r="E96" t="s">
        <v>59</v>
      </c>
      <c r="F96">
        <v>-1</v>
      </c>
      <c r="G96" t="s">
        <v>59</v>
      </c>
      <c r="H96" t="s">
        <v>59</v>
      </c>
      <c r="I96" t="s">
        <v>59</v>
      </c>
      <c r="J96" t="s">
        <v>59</v>
      </c>
      <c r="K96" t="s">
        <v>59</v>
      </c>
      <c r="L96" t="s">
        <v>59</v>
      </c>
      <c r="M96" t="s">
        <v>59</v>
      </c>
      <c r="N96" t="s">
        <v>59</v>
      </c>
      <c r="O96" t="s">
        <v>59</v>
      </c>
      <c r="P96" t="s">
        <v>59</v>
      </c>
      <c r="Q96" t="s">
        <v>59</v>
      </c>
      <c r="R96" t="s">
        <v>59</v>
      </c>
      <c r="S96" t="s">
        <v>59</v>
      </c>
      <c r="T96" t="s">
        <v>59</v>
      </c>
      <c r="U96" t="s">
        <v>59</v>
      </c>
      <c r="V96" t="s">
        <v>59</v>
      </c>
      <c r="W96" t="s">
        <v>59</v>
      </c>
      <c r="X96" t="s">
        <v>59</v>
      </c>
      <c r="Y96" t="s">
        <v>59</v>
      </c>
    </row>
    <row r="97" spans="1:25" x14ac:dyDescent="0.25">
      <c r="A97">
        <v>23</v>
      </c>
      <c r="B97" t="s">
        <v>5272</v>
      </c>
      <c r="C97" t="s">
        <v>4157</v>
      </c>
      <c r="D97" t="s">
        <v>4158</v>
      </c>
      <c r="E97" t="s">
        <v>59</v>
      </c>
      <c r="F97">
        <v>-1</v>
      </c>
      <c r="G97" t="s">
        <v>59</v>
      </c>
      <c r="H97" t="s">
        <v>59</v>
      </c>
      <c r="I97" t="s">
        <v>59</v>
      </c>
      <c r="J97" t="s">
        <v>59</v>
      </c>
      <c r="K97" t="s">
        <v>59</v>
      </c>
      <c r="L97" t="s">
        <v>59</v>
      </c>
      <c r="M97" t="s">
        <v>59</v>
      </c>
      <c r="N97" t="s">
        <v>59</v>
      </c>
      <c r="O97" t="s">
        <v>59</v>
      </c>
      <c r="P97" t="s">
        <v>59</v>
      </c>
      <c r="Q97" t="s">
        <v>59</v>
      </c>
      <c r="R97" t="s">
        <v>59</v>
      </c>
      <c r="S97" t="s">
        <v>59</v>
      </c>
      <c r="T97" t="s">
        <v>59</v>
      </c>
      <c r="U97" t="s">
        <v>59</v>
      </c>
      <c r="V97" t="s">
        <v>59</v>
      </c>
      <c r="W97" t="s">
        <v>59</v>
      </c>
      <c r="X97" t="s">
        <v>59</v>
      </c>
      <c r="Y97" t="s">
        <v>59</v>
      </c>
    </row>
    <row r="98" spans="1:25" x14ac:dyDescent="0.25">
      <c r="A98">
        <v>24</v>
      </c>
      <c r="B98" t="s">
        <v>5272</v>
      </c>
      <c r="C98" t="s">
        <v>4159</v>
      </c>
      <c r="D98" t="s">
        <v>4160</v>
      </c>
      <c r="E98" t="s">
        <v>59</v>
      </c>
      <c r="F98">
        <v>-1</v>
      </c>
      <c r="G98" t="s">
        <v>59</v>
      </c>
      <c r="H98" t="s">
        <v>59</v>
      </c>
      <c r="I98" t="s">
        <v>59</v>
      </c>
      <c r="J98" t="s">
        <v>59</v>
      </c>
      <c r="K98" t="s">
        <v>59</v>
      </c>
      <c r="L98" t="s">
        <v>59</v>
      </c>
      <c r="M98" t="s">
        <v>59</v>
      </c>
      <c r="N98" t="s">
        <v>59</v>
      </c>
      <c r="O98" t="s">
        <v>59</v>
      </c>
      <c r="P98" t="s">
        <v>59</v>
      </c>
      <c r="Q98" t="s">
        <v>59</v>
      </c>
      <c r="R98" t="s">
        <v>59</v>
      </c>
      <c r="S98" t="s">
        <v>59</v>
      </c>
      <c r="T98" t="s">
        <v>59</v>
      </c>
      <c r="U98" t="s">
        <v>59</v>
      </c>
      <c r="V98" t="s">
        <v>59</v>
      </c>
      <c r="W98" t="s">
        <v>59</v>
      </c>
      <c r="X98" t="s">
        <v>59</v>
      </c>
      <c r="Y98" t="s">
        <v>59</v>
      </c>
    </row>
    <row r="99" spans="1:25" x14ac:dyDescent="0.25">
      <c r="A99">
        <v>25</v>
      </c>
      <c r="B99" t="s">
        <v>5272</v>
      </c>
      <c r="C99" t="s">
        <v>4161</v>
      </c>
      <c r="D99" t="s">
        <v>4162</v>
      </c>
      <c r="E99" t="s">
        <v>59</v>
      </c>
      <c r="F99">
        <v>-1</v>
      </c>
      <c r="G99" t="s">
        <v>59</v>
      </c>
      <c r="H99" t="s">
        <v>59</v>
      </c>
      <c r="I99" t="s">
        <v>59</v>
      </c>
      <c r="J99" t="s">
        <v>59</v>
      </c>
      <c r="K99" t="s">
        <v>59</v>
      </c>
      <c r="L99" t="s">
        <v>59</v>
      </c>
      <c r="M99" t="s">
        <v>59</v>
      </c>
      <c r="N99" t="s">
        <v>59</v>
      </c>
      <c r="O99" t="s">
        <v>59</v>
      </c>
      <c r="P99" t="s">
        <v>59</v>
      </c>
      <c r="Q99" t="s">
        <v>59</v>
      </c>
      <c r="R99" t="s">
        <v>59</v>
      </c>
      <c r="S99" t="s">
        <v>59</v>
      </c>
      <c r="T99" t="s">
        <v>59</v>
      </c>
      <c r="U99" t="s">
        <v>59</v>
      </c>
      <c r="V99" t="s">
        <v>59</v>
      </c>
      <c r="W99" t="s">
        <v>59</v>
      </c>
      <c r="X99" t="s">
        <v>59</v>
      </c>
      <c r="Y99" t="s">
        <v>59</v>
      </c>
    </row>
    <row r="100" spans="1:25" x14ac:dyDescent="0.25">
      <c r="A100">
        <v>26</v>
      </c>
      <c r="B100" t="s">
        <v>5272</v>
      </c>
      <c r="C100" t="s">
        <v>4163</v>
      </c>
      <c r="D100" t="s">
        <v>4164</v>
      </c>
      <c r="E100" t="s">
        <v>59</v>
      </c>
      <c r="F100">
        <v>-1</v>
      </c>
      <c r="G100" t="s">
        <v>59</v>
      </c>
      <c r="H100" t="s">
        <v>59</v>
      </c>
      <c r="I100" t="s">
        <v>59</v>
      </c>
      <c r="J100" t="s">
        <v>59</v>
      </c>
      <c r="K100" t="s">
        <v>59</v>
      </c>
      <c r="L100" t="s">
        <v>59</v>
      </c>
      <c r="M100" t="s">
        <v>59</v>
      </c>
      <c r="N100" t="s">
        <v>59</v>
      </c>
      <c r="O100" t="s">
        <v>59</v>
      </c>
      <c r="P100" t="s">
        <v>59</v>
      </c>
      <c r="Q100" t="s">
        <v>59</v>
      </c>
      <c r="R100" t="s">
        <v>59</v>
      </c>
      <c r="S100" t="s">
        <v>59</v>
      </c>
      <c r="T100" t="s">
        <v>59</v>
      </c>
      <c r="U100" t="s">
        <v>59</v>
      </c>
      <c r="V100" t="s">
        <v>59</v>
      </c>
      <c r="W100" t="s">
        <v>59</v>
      </c>
      <c r="X100" t="s">
        <v>59</v>
      </c>
      <c r="Y100" t="s">
        <v>59</v>
      </c>
    </row>
    <row r="101" spans="1:25" x14ac:dyDescent="0.25">
      <c r="A101">
        <v>27</v>
      </c>
      <c r="B101" t="s">
        <v>5272</v>
      </c>
      <c r="C101" t="s">
        <v>4165</v>
      </c>
      <c r="D101" t="s">
        <v>4166</v>
      </c>
      <c r="E101" t="s">
        <v>59</v>
      </c>
      <c r="F101">
        <v>-1</v>
      </c>
      <c r="G101" t="s">
        <v>59</v>
      </c>
      <c r="H101" t="s">
        <v>59</v>
      </c>
      <c r="I101" t="s">
        <v>59</v>
      </c>
      <c r="J101" t="s">
        <v>59</v>
      </c>
      <c r="K101" t="s">
        <v>59</v>
      </c>
      <c r="L101" t="s">
        <v>59</v>
      </c>
      <c r="M101" t="s">
        <v>59</v>
      </c>
      <c r="N101" t="s">
        <v>59</v>
      </c>
      <c r="O101" t="s">
        <v>59</v>
      </c>
      <c r="P101" t="s">
        <v>59</v>
      </c>
      <c r="Q101" t="s">
        <v>59</v>
      </c>
      <c r="R101" t="s">
        <v>59</v>
      </c>
      <c r="S101" t="s">
        <v>59</v>
      </c>
      <c r="T101" t="s">
        <v>59</v>
      </c>
      <c r="U101" t="s">
        <v>59</v>
      </c>
      <c r="V101" t="s">
        <v>59</v>
      </c>
      <c r="W101" t="s">
        <v>59</v>
      </c>
      <c r="X101" t="s">
        <v>59</v>
      </c>
      <c r="Y101" t="s">
        <v>59</v>
      </c>
    </row>
    <row r="102" spans="1:25" x14ac:dyDescent="0.25">
      <c r="A102">
        <v>28</v>
      </c>
      <c r="B102" t="s">
        <v>5272</v>
      </c>
      <c r="C102" t="s">
        <v>4167</v>
      </c>
      <c r="D102" t="s">
        <v>4168</v>
      </c>
      <c r="E102" t="s">
        <v>59</v>
      </c>
      <c r="F102">
        <v>-1</v>
      </c>
      <c r="G102" t="s">
        <v>59</v>
      </c>
      <c r="H102" t="s">
        <v>59</v>
      </c>
      <c r="I102" t="s">
        <v>59</v>
      </c>
      <c r="J102" t="s">
        <v>59</v>
      </c>
      <c r="K102" t="s">
        <v>59</v>
      </c>
      <c r="L102" t="s">
        <v>59</v>
      </c>
      <c r="M102" t="s">
        <v>59</v>
      </c>
      <c r="N102" t="s">
        <v>59</v>
      </c>
      <c r="O102" t="s">
        <v>59</v>
      </c>
      <c r="P102" t="s">
        <v>59</v>
      </c>
      <c r="Q102" t="s">
        <v>59</v>
      </c>
      <c r="R102" t="s">
        <v>59</v>
      </c>
      <c r="S102" t="s">
        <v>59</v>
      </c>
      <c r="T102" t="s">
        <v>59</v>
      </c>
      <c r="U102" t="s">
        <v>59</v>
      </c>
      <c r="V102" t="s">
        <v>59</v>
      </c>
      <c r="W102" t="s">
        <v>59</v>
      </c>
      <c r="X102" t="s">
        <v>59</v>
      </c>
      <c r="Y102" t="s">
        <v>59</v>
      </c>
    </row>
    <row r="103" spans="1:25" x14ac:dyDescent="0.25">
      <c r="A103">
        <v>29</v>
      </c>
      <c r="B103" t="s">
        <v>5272</v>
      </c>
      <c r="C103" t="s">
        <v>4169</v>
      </c>
      <c r="D103" t="s">
        <v>4170</v>
      </c>
      <c r="E103" t="s">
        <v>59</v>
      </c>
      <c r="F103">
        <v>-1</v>
      </c>
      <c r="G103" t="s">
        <v>59</v>
      </c>
      <c r="H103" t="s">
        <v>59</v>
      </c>
      <c r="I103" t="s">
        <v>59</v>
      </c>
      <c r="J103" t="s">
        <v>59</v>
      </c>
      <c r="K103" t="s">
        <v>59</v>
      </c>
      <c r="L103" t="s">
        <v>59</v>
      </c>
      <c r="M103" t="s">
        <v>59</v>
      </c>
      <c r="N103" t="s">
        <v>59</v>
      </c>
      <c r="O103" t="s">
        <v>59</v>
      </c>
      <c r="P103" t="s">
        <v>59</v>
      </c>
      <c r="Q103" t="s">
        <v>59</v>
      </c>
      <c r="R103" t="s">
        <v>59</v>
      </c>
      <c r="S103" t="s">
        <v>59</v>
      </c>
      <c r="T103" t="s">
        <v>59</v>
      </c>
      <c r="U103" t="s">
        <v>59</v>
      </c>
      <c r="V103" t="s">
        <v>59</v>
      </c>
      <c r="W103" t="s">
        <v>59</v>
      </c>
      <c r="X103" t="s">
        <v>59</v>
      </c>
      <c r="Y103" t="s">
        <v>59</v>
      </c>
    </row>
    <row r="104" spans="1:25" x14ac:dyDescent="0.25">
      <c r="A104">
        <v>197</v>
      </c>
      <c r="B104" t="s">
        <v>5272</v>
      </c>
      <c r="C104" t="s">
        <v>4367</v>
      </c>
      <c r="D104" t="s">
        <v>4170</v>
      </c>
      <c r="E104" t="s">
        <v>59</v>
      </c>
      <c r="F104">
        <v>-1</v>
      </c>
      <c r="G104" t="s">
        <v>59</v>
      </c>
      <c r="H104" t="s">
        <v>59</v>
      </c>
      <c r="I104" t="s">
        <v>59</v>
      </c>
      <c r="J104" t="s">
        <v>59</v>
      </c>
      <c r="K104" t="s">
        <v>59</v>
      </c>
      <c r="L104" t="s">
        <v>59</v>
      </c>
      <c r="M104" t="s">
        <v>59</v>
      </c>
      <c r="N104" t="s">
        <v>59</v>
      </c>
      <c r="O104" t="s">
        <v>59</v>
      </c>
      <c r="P104" t="s">
        <v>59</v>
      </c>
      <c r="Q104" t="s">
        <v>59</v>
      </c>
      <c r="R104" t="s">
        <v>59</v>
      </c>
      <c r="S104" t="s">
        <v>59</v>
      </c>
      <c r="T104" t="s">
        <v>59</v>
      </c>
      <c r="U104" t="s">
        <v>59</v>
      </c>
      <c r="V104" t="s">
        <v>59</v>
      </c>
      <c r="W104" t="s">
        <v>59</v>
      </c>
      <c r="X104" t="s">
        <v>59</v>
      </c>
      <c r="Y104" t="s">
        <v>59</v>
      </c>
    </row>
    <row r="105" spans="1:25" x14ac:dyDescent="0.25">
      <c r="A105">
        <v>30</v>
      </c>
      <c r="B105" t="s">
        <v>5272</v>
      </c>
      <c r="C105" t="s">
        <v>4171</v>
      </c>
      <c r="D105" t="s">
        <v>4172</v>
      </c>
      <c r="E105" t="s">
        <v>59</v>
      </c>
      <c r="F105">
        <v>-1</v>
      </c>
      <c r="G105" t="s">
        <v>59</v>
      </c>
      <c r="H105" t="s">
        <v>59</v>
      </c>
      <c r="I105" t="s">
        <v>59</v>
      </c>
      <c r="J105" t="s">
        <v>59</v>
      </c>
      <c r="K105" t="s">
        <v>59</v>
      </c>
      <c r="L105" t="s">
        <v>59</v>
      </c>
      <c r="M105" t="s">
        <v>59</v>
      </c>
      <c r="N105" t="s">
        <v>59</v>
      </c>
      <c r="O105" t="s">
        <v>59</v>
      </c>
      <c r="P105" t="s">
        <v>59</v>
      </c>
      <c r="Q105" t="s">
        <v>59</v>
      </c>
      <c r="R105" t="s">
        <v>59</v>
      </c>
      <c r="S105" t="s">
        <v>59</v>
      </c>
      <c r="T105" t="s">
        <v>59</v>
      </c>
      <c r="U105" t="s">
        <v>59</v>
      </c>
      <c r="V105" t="s">
        <v>59</v>
      </c>
      <c r="W105" t="s">
        <v>59</v>
      </c>
      <c r="X105" t="s">
        <v>59</v>
      </c>
      <c r="Y105" t="s">
        <v>59</v>
      </c>
    </row>
    <row r="106" spans="1:25" x14ac:dyDescent="0.25">
      <c r="A106">
        <v>31</v>
      </c>
      <c r="B106" t="s">
        <v>5272</v>
      </c>
      <c r="C106" t="s">
        <v>4173</v>
      </c>
      <c r="D106" t="s">
        <v>4174</v>
      </c>
      <c r="E106" t="s">
        <v>59</v>
      </c>
      <c r="F106">
        <v>-1</v>
      </c>
      <c r="G106" t="s">
        <v>59</v>
      </c>
      <c r="H106" t="s">
        <v>59</v>
      </c>
      <c r="I106" t="s">
        <v>59</v>
      </c>
      <c r="J106" t="s">
        <v>59</v>
      </c>
      <c r="K106" t="s">
        <v>59</v>
      </c>
      <c r="L106" t="s">
        <v>59</v>
      </c>
      <c r="M106" t="s">
        <v>59</v>
      </c>
      <c r="N106" t="s">
        <v>59</v>
      </c>
      <c r="O106" t="s">
        <v>59</v>
      </c>
      <c r="P106" t="s">
        <v>59</v>
      </c>
      <c r="Q106" t="s">
        <v>59</v>
      </c>
      <c r="R106" t="s">
        <v>59</v>
      </c>
      <c r="S106" t="s">
        <v>59</v>
      </c>
      <c r="T106" t="s">
        <v>59</v>
      </c>
      <c r="U106" t="s">
        <v>59</v>
      </c>
      <c r="V106" t="s">
        <v>59</v>
      </c>
      <c r="W106" t="s">
        <v>59</v>
      </c>
      <c r="X106" t="s">
        <v>59</v>
      </c>
      <c r="Y106" t="s">
        <v>59</v>
      </c>
    </row>
    <row r="107" spans="1:25" x14ac:dyDescent="0.25">
      <c r="A107">
        <v>32</v>
      </c>
      <c r="B107" t="s">
        <v>5272</v>
      </c>
      <c r="C107" t="s">
        <v>4175</v>
      </c>
      <c r="D107" t="s">
        <v>4176</v>
      </c>
      <c r="E107" t="s">
        <v>59</v>
      </c>
      <c r="F107">
        <v>-1</v>
      </c>
      <c r="G107" t="s">
        <v>59</v>
      </c>
      <c r="H107" t="s">
        <v>59</v>
      </c>
      <c r="I107" t="s">
        <v>59</v>
      </c>
      <c r="J107" t="s">
        <v>59</v>
      </c>
      <c r="K107" t="s">
        <v>59</v>
      </c>
      <c r="L107" t="s">
        <v>59</v>
      </c>
      <c r="M107" t="s">
        <v>59</v>
      </c>
      <c r="N107" t="s">
        <v>59</v>
      </c>
      <c r="O107" t="s">
        <v>59</v>
      </c>
      <c r="P107" t="s">
        <v>59</v>
      </c>
      <c r="Q107" t="s">
        <v>59</v>
      </c>
      <c r="R107" t="s">
        <v>59</v>
      </c>
      <c r="S107" t="s">
        <v>59</v>
      </c>
      <c r="T107" t="s">
        <v>59</v>
      </c>
      <c r="U107" t="s">
        <v>59</v>
      </c>
      <c r="V107" t="s">
        <v>59</v>
      </c>
      <c r="W107" t="s">
        <v>59</v>
      </c>
      <c r="X107" t="s">
        <v>59</v>
      </c>
      <c r="Y107" t="s">
        <v>59</v>
      </c>
    </row>
    <row r="108" spans="1:25" x14ac:dyDescent="0.25">
      <c r="A108">
        <v>33</v>
      </c>
      <c r="B108" t="s">
        <v>5272</v>
      </c>
      <c r="C108" t="s">
        <v>4177</v>
      </c>
      <c r="D108" t="s">
        <v>4178</v>
      </c>
      <c r="E108" t="s">
        <v>59</v>
      </c>
      <c r="F108">
        <v>-1</v>
      </c>
      <c r="G108" t="s">
        <v>59</v>
      </c>
      <c r="H108" t="s">
        <v>59</v>
      </c>
      <c r="I108" t="s">
        <v>59</v>
      </c>
      <c r="J108" t="s">
        <v>59</v>
      </c>
      <c r="K108" t="s">
        <v>59</v>
      </c>
      <c r="L108" t="s">
        <v>59</v>
      </c>
      <c r="M108" t="s">
        <v>59</v>
      </c>
      <c r="N108" t="s">
        <v>59</v>
      </c>
      <c r="O108" t="s">
        <v>59</v>
      </c>
      <c r="P108" t="s">
        <v>59</v>
      </c>
      <c r="Q108" t="s">
        <v>59</v>
      </c>
      <c r="R108" t="s">
        <v>59</v>
      </c>
      <c r="S108" t="s">
        <v>59</v>
      </c>
      <c r="T108" t="s">
        <v>59</v>
      </c>
      <c r="U108" t="s">
        <v>59</v>
      </c>
      <c r="V108" t="s">
        <v>59</v>
      </c>
      <c r="W108" t="s">
        <v>59</v>
      </c>
      <c r="X108" t="s">
        <v>59</v>
      </c>
      <c r="Y108" t="s">
        <v>59</v>
      </c>
    </row>
    <row r="109" spans="1:25" x14ac:dyDescent="0.25">
      <c r="A109">
        <v>688</v>
      </c>
      <c r="B109" t="s">
        <v>5272</v>
      </c>
      <c r="C109" t="s">
        <v>5247</v>
      </c>
      <c r="D109" t="s">
        <v>5248</v>
      </c>
      <c r="E109" t="s">
        <v>59</v>
      </c>
      <c r="F109">
        <v>-1</v>
      </c>
      <c r="G109" t="s">
        <v>59</v>
      </c>
      <c r="H109" t="s">
        <v>59</v>
      </c>
      <c r="I109" t="s">
        <v>59</v>
      </c>
      <c r="J109" t="s">
        <v>59</v>
      </c>
      <c r="K109" t="s">
        <v>59</v>
      </c>
      <c r="L109" t="s">
        <v>59</v>
      </c>
      <c r="M109" t="s">
        <v>59</v>
      </c>
      <c r="N109" t="s">
        <v>59</v>
      </c>
      <c r="O109" t="s">
        <v>59</v>
      </c>
      <c r="P109" t="s">
        <v>59</v>
      </c>
      <c r="Q109" t="s">
        <v>59</v>
      </c>
      <c r="R109" t="s">
        <v>59</v>
      </c>
      <c r="S109" t="s">
        <v>59</v>
      </c>
      <c r="T109" t="s">
        <v>59</v>
      </c>
      <c r="U109" t="s">
        <v>59</v>
      </c>
      <c r="V109" t="s">
        <v>59</v>
      </c>
      <c r="W109" t="s">
        <v>59</v>
      </c>
      <c r="X109" t="s">
        <v>59</v>
      </c>
      <c r="Y109" t="s">
        <v>59</v>
      </c>
    </row>
    <row r="110" spans="1:25" x14ac:dyDescent="0.25">
      <c r="A110">
        <v>62</v>
      </c>
      <c r="B110" t="s">
        <v>5272</v>
      </c>
      <c r="C110" t="s">
        <v>4218</v>
      </c>
      <c r="D110" t="s">
        <v>4217</v>
      </c>
      <c r="E110" t="s">
        <v>59</v>
      </c>
      <c r="F110">
        <v>-1</v>
      </c>
      <c r="G110" t="s">
        <v>59</v>
      </c>
      <c r="H110" t="s">
        <v>59</v>
      </c>
      <c r="I110" t="s">
        <v>59</v>
      </c>
      <c r="J110" t="s">
        <v>59</v>
      </c>
      <c r="K110" t="s">
        <v>59</v>
      </c>
      <c r="L110" t="s">
        <v>59</v>
      </c>
      <c r="M110" t="s">
        <v>59</v>
      </c>
      <c r="N110" t="s">
        <v>59</v>
      </c>
      <c r="O110" t="s">
        <v>59</v>
      </c>
      <c r="P110" t="s">
        <v>59</v>
      </c>
      <c r="Q110" t="s">
        <v>59</v>
      </c>
      <c r="R110" t="s">
        <v>59</v>
      </c>
      <c r="S110" t="s">
        <v>59</v>
      </c>
      <c r="T110" t="s">
        <v>59</v>
      </c>
      <c r="U110" t="s">
        <v>59</v>
      </c>
      <c r="V110" t="s">
        <v>59</v>
      </c>
      <c r="W110" t="s">
        <v>59</v>
      </c>
      <c r="X110" t="s">
        <v>59</v>
      </c>
      <c r="Y110" t="s">
        <v>59</v>
      </c>
    </row>
    <row r="111" spans="1:25" x14ac:dyDescent="0.25">
      <c r="A111">
        <v>690</v>
      </c>
      <c r="B111" t="s">
        <v>5272</v>
      </c>
      <c r="C111" t="s">
        <v>5250</v>
      </c>
      <c r="D111" t="s">
        <v>4217</v>
      </c>
      <c r="E111" t="s">
        <v>59</v>
      </c>
      <c r="F111">
        <v>-1</v>
      </c>
      <c r="G111" t="s">
        <v>59</v>
      </c>
      <c r="H111" t="s">
        <v>59</v>
      </c>
      <c r="I111" t="s">
        <v>59</v>
      </c>
      <c r="J111" t="s">
        <v>59</v>
      </c>
      <c r="K111" t="s">
        <v>59</v>
      </c>
      <c r="L111" t="s">
        <v>59</v>
      </c>
      <c r="M111" t="s">
        <v>59</v>
      </c>
      <c r="N111" t="s">
        <v>59</v>
      </c>
      <c r="O111" t="s">
        <v>59</v>
      </c>
      <c r="P111" t="s">
        <v>59</v>
      </c>
      <c r="Q111" t="s">
        <v>59</v>
      </c>
      <c r="R111" t="s">
        <v>59</v>
      </c>
      <c r="S111" t="s">
        <v>59</v>
      </c>
      <c r="T111" t="s">
        <v>59</v>
      </c>
      <c r="U111" t="s">
        <v>59</v>
      </c>
      <c r="V111" t="s">
        <v>59</v>
      </c>
      <c r="W111" t="s">
        <v>59</v>
      </c>
      <c r="X111" t="s">
        <v>59</v>
      </c>
      <c r="Y111" t="s">
        <v>59</v>
      </c>
    </row>
    <row r="112" spans="1:25" x14ac:dyDescent="0.25">
      <c r="A112">
        <v>689</v>
      </c>
      <c r="B112" t="s">
        <v>5272</v>
      </c>
      <c r="C112" t="s">
        <v>5249</v>
      </c>
      <c r="D112" t="s">
        <v>4217</v>
      </c>
      <c r="E112" t="s">
        <v>59</v>
      </c>
      <c r="F112">
        <v>-1</v>
      </c>
      <c r="G112" t="s">
        <v>59</v>
      </c>
      <c r="H112" t="s">
        <v>59</v>
      </c>
      <c r="I112" t="s">
        <v>59</v>
      </c>
      <c r="J112" t="s">
        <v>59</v>
      </c>
      <c r="K112" t="s">
        <v>59</v>
      </c>
      <c r="L112" t="s">
        <v>59</v>
      </c>
      <c r="M112" t="s">
        <v>59</v>
      </c>
      <c r="N112" t="s">
        <v>59</v>
      </c>
      <c r="O112" t="s">
        <v>59</v>
      </c>
      <c r="P112" t="s">
        <v>59</v>
      </c>
      <c r="Q112" t="s">
        <v>59</v>
      </c>
      <c r="R112" t="s">
        <v>59</v>
      </c>
      <c r="S112" t="s">
        <v>59</v>
      </c>
      <c r="T112" t="s">
        <v>59</v>
      </c>
      <c r="U112" t="s">
        <v>59</v>
      </c>
      <c r="V112" t="s">
        <v>59</v>
      </c>
      <c r="W112" t="s">
        <v>59</v>
      </c>
      <c r="X112" t="s">
        <v>59</v>
      </c>
      <c r="Y112" t="s">
        <v>59</v>
      </c>
    </row>
    <row r="113" spans="1:25" x14ac:dyDescent="0.25">
      <c r="A113">
        <v>69</v>
      </c>
      <c r="B113" t="s">
        <v>5272</v>
      </c>
      <c r="C113" t="s">
        <v>4227</v>
      </c>
      <c r="D113" t="s">
        <v>4217</v>
      </c>
      <c r="E113" t="s">
        <v>59</v>
      </c>
      <c r="F113">
        <v>-1</v>
      </c>
      <c r="G113" t="s">
        <v>59</v>
      </c>
      <c r="H113" t="s">
        <v>59</v>
      </c>
      <c r="I113" t="s">
        <v>59</v>
      </c>
      <c r="J113" t="s">
        <v>59</v>
      </c>
      <c r="K113" t="s">
        <v>59</v>
      </c>
      <c r="L113" t="s">
        <v>59</v>
      </c>
      <c r="M113" t="s">
        <v>59</v>
      </c>
      <c r="N113" t="s">
        <v>59</v>
      </c>
      <c r="O113" t="s">
        <v>59</v>
      </c>
      <c r="P113" t="s">
        <v>59</v>
      </c>
      <c r="Q113" t="s">
        <v>59</v>
      </c>
      <c r="R113" t="s">
        <v>59</v>
      </c>
      <c r="S113" t="s">
        <v>59</v>
      </c>
      <c r="T113" t="s">
        <v>59</v>
      </c>
      <c r="U113" t="s">
        <v>59</v>
      </c>
      <c r="V113" t="s">
        <v>59</v>
      </c>
      <c r="W113" t="s">
        <v>59</v>
      </c>
      <c r="X113" t="s">
        <v>59</v>
      </c>
      <c r="Y113" t="s">
        <v>59</v>
      </c>
    </row>
    <row r="114" spans="1:25" x14ac:dyDescent="0.25">
      <c r="A114">
        <v>74</v>
      </c>
      <c r="B114" t="s">
        <v>5272</v>
      </c>
      <c r="C114" t="s">
        <v>4230</v>
      </c>
      <c r="D114" t="s">
        <v>4217</v>
      </c>
      <c r="E114" t="s">
        <v>59</v>
      </c>
      <c r="F114">
        <v>-1</v>
      </c>
      <c r="G114" t="s">
        <v>59</v>
      </c>
      <c r="H114" t="s">
        <v>59</v>
      </c>
      <c r="I114" t="s">
        <v>59</v>
      </c>
      <c r="J114" t="s">
        <v>59</v>
      </c>
      <c r="K114" t="s">
        <v>59</v>
      </c>
      <c r="L114" t="s">
        <v>59</v>
      </c>
      <c r="M114" t="s">
        <v>59</v>
      </c>
      <c r="N114" t="s">
        <v>59</v>
      </c>
      <c r="O114" t="s">
        <v>59</v>
      </c>
      <c r="P114" t="s">
        <v>59</v>
      </c>
      <c r="Q114" t="s">
        <v>59</v>
      </c>
      <c r="R114" t="s">
        <v>59</v>
      </c>
      <c r="S114" t="s">
        <v>59</v>
      </c>
      <c r="T114" t="s">
        <v>59</v>
      </c>
      <c r="U114" t="s">
        <v>59</v>
      </c>
      <c r="V114" t="s">
        <v>59</v>
      </c>
      <c r="W114" t="s">
        <v>59</v>
      </c>
      <c r="X114" t="s">
        <v>59</v>
      </c>
      <c r="Y114" t="s">
        <v>59</v>
      </c>
    </row>
    <row r="115" spans="1:25" x14ac:dyDescent="0.25">
      <c r="A115">
        <v>147</v>
      </c>
      <c r="B115" t="s">
        <v>5272</v>
      </c>
      <c r="C115" t="s">
        <v>4285</v>
      </c>
      <c r="D115" t="s">
        <v>4217</v>
      </c>
      <c r="E115" t="s">
        <v>59</v>
      </c>
      <c r="F115">
        <v>-1</v>
      </c>
      <c r="G115" t="s">
        <v>59</v>
      </c>
      <c r="H115" t="s">
        <v>59</v>
      </c>
      <c r="I115" t="s">
        <v>59</v>
      </c>
      <c r="J115" t="s">
        <v>59</v>
      </c>
      <c r="K115" t="s">
        <v>59</v>
      </c>
      <c r="L115" t="s">
        <v>59</v>
      </c>
      <c r="M115" t="s">
        <v>59</v>
      </c>
      <c r="N115" t="s">
        <v>59</v>
      </c>
      <c r="O115" t="s">
        <v>59</v>
      </c>
      <c r="P115" t="s">
        <v>59</v>
      </c>
      <c r="Q115" t="s">
        <v>59</v>
      </c>
      <c r="R115" t="s">
        <v>59</v>
      </c>
      <c r="S115" t="s">
        <v>59</v>
      </c>
      <c r="T115" t="s">
        <v>59</v>
      </c>
      <c r="U115" t="s">
        <v>59</v>
      </c>
      <c r="V115" t="s">
        <v>59</v>
      </c>
      <c r="W115" t="s">
        <v>59</v>
      </c>
      <c r="X115" t="s">
        <v>59</v>
      </c>
      <c r="Y115" t="s">
        <v>59</v>
      </c>
    </row>
    <row r="116" spans="1:25" x14ac:dyDescent="0.25">
      <c r="A116">
        <v>68</v>
      </c>
      <c r="B116" t="s">
        <v>5272</v>
      </c>
      <c r="C116" t="s">
        <v>4226</v>
      </c>
      <c r="D116" t="s">
        <v>4217</v>
      </c>
      <c r="E116" t="s">
        <v>59</v>
      </c>
      <c r="F116">
        <v>-1</v>
      </c>
      <c r="G116" t="s">
        <v>59</v>
      </c>
      <c r="H116" t="s">
        <v>59</v>
      </c>
      <c r="I116" t="s">
        <v>59</v>
      </c>
      <c r="J116" t="s">
        <v>59</v>
      </c>
      <c r="K116" t="s">
        <v>59</v>
      </c>
      <c r="L116" t="s">
        <v>59</v>
      </c>
      <c r="M116" t="s">
        <v>59</v>
      </c>
      <c r="N116" t="s">
        <v>59</v>
      </c>
      <c r="O116" t="s">
        <v>59</v>
      </c>
      <c r="P116" t="s">
        <v>59</v>
      </c>
      <c r="Q116" t="s">
        <v>59</v>
      </c>
      <c r="R116" t="s">
        <v>59</v>
      </c>
      <c r="S116" t="s">
        <v>59</v>
      </c>
      <c r="T116" t="s">
        <v>59</v>
      </c>
      <c r="U116" t="s">
        <v>59</v>
      </c>
      <c r="V116" t="s">
        <v>59</v>
      </c>
      <c r="W116" t="s">
        <v>59</v>
      </c>
      <c r="X116" t="s">
        <v>59</v>
      </c>
      <c r="Y116" t="s">
        <v>59</v>
      </c>
    </row>
    <row r="117" spans="1:25" x14ac:dyDescent="0.25">
      <c r="A117">
        <v>61</v>
      </c>
      <c r="B117" t="s">
        <v>5272</v>
      </c>
      <c r="C117" t="s">
        <v>4216</v>
      </c>
      <c r="D117" t="s">
        <v>4217</v>
      </c>
      <c r="E117" t="s">
        <v>59</v>
      </c>
      <c r="F117">
        <v>-1</v>
      </c>
      <c r="G117" t="s">
        <v>59</v>
      </c>
      <c r="H117" t="s">
        <v>59</v>
      </c>
      <c r="I117" t="s">
        <v>59</v>
      </c>
      <c r="J117" t="s">
        <v>59</v>
      </c>
      <c r="K117" t="s">
        <v>59</v>
      </c>
      <c r="L117" t="s">
        <v>59</v>
      </c>
      <c r="M117" t="s">
        <v>59</v>
      </c>
      <c r="N117" t="s">
        <v>59</v>
      </c>
      <c r="O117" t="s">
        <v>59</v>
      </c>
      <c r="P117" t="s">
        <v>59</v>
      </c>
      <c r="Q117" t="s">
        <v>59</v>
      </c>
      <c r="R117" t="s">
        <v>59</v>
      </c>
      <c r="S117" t="s">
        <v>59</v>
      </c>
      <c r="T117" t="s">
        <v>59</v>
      </c>
      <c r="U117" t="s">
        <v>59</v>
      </c>
      <c r="V117" t="s">
        <v>59</v>
      </c>
      <c r="W117" t="s">
        <v>59</v>
      </c>
      <c r="X117" t="s">
        <v>59</v>
      </c>
      <c r="Y117" t="s">
        <v>59</v>
      </c>
    </row>
    <row r="118" spans="1:25" x14ac:dyDescent="0.25">
      <c r="A118">
        <v>77</v>
      </c>
      <c r="B118" t="s">
        <v>5272</v>
      </c>
      <c r="C118" t="s">
        <v>4234</v>
      </c>
      <c r="D118" t="s">
        <v>4217</v>
      </c>
      <c r="E118" t="s">
        <v>59</v>
      </c>
      <c r="F118">
        <v>-1</v>
      </c>
      <c r="G118" t="s">
        <v>59</v>
      </c>
      <c r="H118" t="s">
        <v>59</v>
      </c>
      <c r="I118" t="s">
        <v>59</v>
      </c>
      <c r="J118" t="s">
        <v>59</v>
      </c>
      <c r="K118" t="s">
        <v>59</v>
      </c>
      <c r="L118" t="s">
        <v>59</v>
      </c>
      <c r="M118" t="s">
        <v>59</v>
      </c>
      <c r="N118" t="s">
        <v>59</v>
      </c>
      <c r="O118" t="s">
        <v>59</v>
      </c>
      <c r="P118" t="s">
        <v>59</v>
      </c>
      <c r="Q118" t="s">
        <v>59</v>
      </c>
      <c r="R118" t="s">
        <v>59</v>
      </c>
      <c r="S118" t="s">
        <v>59</v>
      </c>
      <c r="T118" t="s">
        <v>59</v>
      </c>
      <c r="U118" t="s">
        <v>59</v>
      </c>
      <c r="V118" t="s">
        <v>59</v>
      </c>
      <c r="W118" t="s">
        <v>59</v>
      </c>
      <c r="X118" t="s">
        <v>59</v>
      </c>
      <c r="Y118" t="s">
        <v>59</v>
      </c>
    </row>
    <row r="119" spans="1:25" x14ac:dyDescent="0.25">
      <c r="A119">
        <v>146</v>
      </c>
      <c r="B119" t="s">
        <v>5272</v>
      </c>
      <c r="C119" t="s">
        <v>4284</v>
      </c>
      <c r="D119" t="s">
        <v>4217</v>
      </c>
      <c r="E119" t="s">
        <v>59</v>
      </c>
      <c r="F119">
        <v>-1</v>
      </c>
      <c r="G119" t="s">
        <v>59</v>
      </c>
      <c r="H119" t="s">
        <v>59</v>
      </c>
      <c r="I119" t="s">
        <v>59</v>
      </c>
      <c r="J119" t="s">
        <v>59</v>
      </c>
      <c r="K119" t="s">
        <v>59</v>
      </c>
      <c r="L119" t="s">
        <v>59</v>
      </c>
      <c r="M119" t="s">
        <v>59</v>
      </c>
      <c r="N119" t="s">
        <v>59</v>
      </c>
      <c r="O119" t="s">
        <v>59</v>
      </c>
      <c r="P119" t="s">
        <v>59</v>
      </c>
      <c r="Q119" t="s">
        <v>59</v>
      </c>
      <c r="R119" t="s">
        <v>59</v>
      </c>
      <c r="S119" t="s">
        <v>59</v>
      </c>
      <c r="T119" t="s">
        <v>59</v>
      </c>
      <c r="U119" t="s">
        <v>59</v>
      </c>
      <c r="V119" t="s">
        <v>59</v>
      </c>
      <c r="W119" t="s">
        <v>59</v>
      </c>
      <c r="X119" t="s">
        <v>59</v>
      </c>
      <c r="Y119" t="s">
        <v>59</v>
      </c>
    </row>
    <row r="120" spans="1:25" x14ac:dyDescent="0.25">
      <c r="A120">
        <v>78</v>
      </c>
      <c r="B120" t="s">
        <v>5272</v>
      </c>
      <c r="C120" t="s">
        <v>4235</v>
      </c>
      <c r="D120" t="s">
        <v>4217</v>
      </c>
      <c r="E120" t="s">
        <v>59</v>
      </c>
      <c r="F120">
        <v>-1</v>
      </c>
      <c r="G120" t="s">
        <v>59</v>
      </c>
      <c r="H120" t="s">
        <v>59</v>
      </c>
      <c r="I120" t="s">
        <v>59</v>
      </c>
      <c r="J120" t="s">
        <v>59</v>
      </c>
      <c r="K120" t="s">
        <v>59</v>
      </c>
      <c r="L120" t="s">
        <v>59</v>
      </c>
      <c r="M120" t="s">
        <v>59</v>
      </c>
      <c r="N120" t="s">
        <v>59</v>
      </c>
      <c r="O120" t="s">
        <v>59</v>
      </c>
      <c r="P120" t="s">
        <v>59</v>
      </c>
      <c r="Q120" t="s">
        <v>59</v>
      </c>
      <c r="R120" t="s">
        <v>59</v>
      </c>
      <c r="S120" t="s">
        <v>59</v>
      </c>
      <c r="T120" t="s">
        <v>59</v>
      </c>
      <c r="U120" t="s">
        <v>59</v>
      </c>
      <c r="V120" t="s">
        <v>59</v>
      </c>
      <c r="W120" t="s">
        <v>59</v>
      </c>
      <c r="X120" t="s">
        <v>59</v>
      </c>
      <c r="Y120" t="s">
        <v>59</v>
      </c>
    </row>
    <row r="121" spans="1:25" x14ac:dyDescent="0.25">
      <c r="A121">
        <v>59</v>
      </c>
      <c r="B121" t="s">
        <v>5272</v>
      </c>
      <c r="C121" t="s">
        <v>1635</v>
      </c>
      <c r="D121" t="s">
        <v>4213</v>
      </c>
      <c r="E121" t="s">
        <v>59</v>
      </c>
      <c r="F121">
        <v>-1</v>
      </c>
      <c r="G121" t="s">
        <v>59</v>
      </c>
      <c r="H121" t="s">
        <v>59</v>
      </c>
      <c r="I121" t="s">
        <v>59</v>
      </c>
      <c r="J121" t="s">
        <v>59</v>
      </c>
      <c r="K121" t="s">
        <v>59</v>
      </c>
      <c r="L121" t="s">
        <v>59</v>
      </c>
      <c r="M121" t="s">
        <v>59</v>
      </c>
      <c r="N121" t="s">
        <v>59</v>
      </c>
      <c r="O121" t="s">
        <v>59</v>
      </c>
      <c r="P121" t="s">
        <v>59</v>
      </c>
      <c r="Q121" t="s">
        <v>59</v>
      </c>
      <c r="R121" t="s">
        <v>59</v>
      </c>
      <c r="S121" t="s">
        <v>59</v>
      </c>
      <c r="T121" t="s">
        <v>59</v>
      </c>
      <c r="U121" t="s">
        <v>59</v>
      </c>
      <c r="V121" t="s">
        <v>59</v>
      </c>
      <c r="W121" t="s">
        <v>59</v>
      </c>
      <c r="X121" t="s">
        <v>59</v>
      </c>
      <c r="Y121" t="s">
        <v>59</v>
      </c>
    </row>
    <row r="122" spans="1:25" x14ac:dyDescent="0.25">
      <c r="A122">
        <v>58</v>
      </c>
      <c r="B122" t="s">
        <v>5272</v>
      </c>
      <c r="C122" t="s">
        <v>1464</v>
      </c>
      <c r="D122" t="s">
        <v>4213</v>
      </c>
      <c r="E122" t="s">
        <v>59</v>
      </c>
      <c r="F122">
        <v>-1</v>
      </c>
      <c r="G122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</row>
    <row r="123" spans="1:25" x14ac:dyDescent="0.25">
      <c r="A123">
        <v>57</v>
      </c>
      <c r="B123" t="s">
        <v>5272</v>
      </c>
      <c r="C123" t="s">
        <v>2037</v>
      </c>
      <c r="D123" t="s">
        <v>4213</v>
      </c>
      <c r="E123" t="s">
        <v>59</v>
      </c>
      <c r="F123">
        <v>-1</v>
      </c>
      <c r="G123" t="s">
        <v>59</v>
      </c>
      <c r="H123" t="s">
        <v>59</v>
      </c>
      <c r="I123" t="s">
        <v>59</v>
      </c>
      <c r="J123" t="s">
        <v>59</v>
      </c>
      <c r="K123" t="s">
        <v>59</v>
      </c>
      <c r="L123" t="s">
        <v>59</v>
      </c>
      <c r="M123" t="s">
        <v>59</v>
      </c>
      <c r="N123" t="s">
        <v>59</v>
      </c>
      <c r="O123" t="s">
        <v>59</v>
      </c>
      <c r="P123" t="s">
        <v>59</v>
      </c>
      <c r="Q123" t="s">
        <v>59</v>
      </c>
      <c r="R123" t="s">
        <v>59</v>
      </c>
      <c r="S123" t="s">
        <v>59</v>
      </c>
      <c r="T123" t="s">
        <v>59</v>
      </c>
      <c r="U123" t="s">
        <v>59</v>
      </c>
      <c r="V123" t="s">
        <v>59</v>
      </c>
      <c r="W123" t="s">
        <v>59</v>
      </c>
      <c r="X123" t="s">
        <v>59</v>
      </c>
      <c r="Y123" t="s">
        <v>59</v>
      </c>
    </row>
    <row r="124" spans="1:25" x14ac:dyDescent="0.25">
      <c r="A124">
        <v>143</v>
      </c>
      <c r="B124" t="s">
        <v>5272</v>
      </c>
      <c r="C124" t="s">
        <v>4281</v>
      </c>
      <c r="D124" t="s">
        <v>4213</v>
      </c>
      <c r="E124" t="s">
        <v>59</v>
      </c>
      <c r="F124">
        <v>-1</v>
      </c>
      <c r="G124" t="s">
        <v>59</v>
      </c>
      <c r="H124" t="s">
        <v>59</v>
      </c>
      <c r="I124" t="s">
        <v>59</v>
      </c>
      <c r="J124" t="s">
        <v>59</v>
      </c>
      <c r="K124" t="s">
        <v>59</v>
      </c>
      <c r="L124" t="s">
        <v>59</v>
      </c>
      <c r="M124" t="s">
        <v>59</v>
      </c>
      <c r="N124" t="s">
        <v>59</v>
      </c>
      <c r="O124" t="s">
        <v>59</v>
      </c>
      <c r="P124" t="s">
        <v>59</v>
      </c>
      <c r="Q124" t="s">
        <v>59</v>
      </c>
      <c r="R124" t="s">
        <v>59</v>
      </c>
      <c r="S124" t="s">
        <v>59</v>
      </c>
      <c r="T124" t="s">
        <v>59</v>
      </c>
      <c r="U124" t="s">
        <v>59</v>
      </c>
      <c r="V124" t="s">
        <v>59</v>
      </c>
      <c r="W124" t="s">
        <v>59</v>
      </c>
      <c r="X124" t="s">
        <v>59</v>
      </c>
      <c r="Y124" t="s">
        <v>59</v>
      </c>
    </row>
    <row r="125" spans="1:25" x14ac:dyDescent="0.25">
      <c r="A125">
        <v>142</v>
      </c>
      <c r="B125" t="s">
        <v>5272</v>
      </c>
      <c r="C125" t="s">
        <v>100</v>
      </c>
      <c r="D125" t="s">
        <v>4213</v>
      </c>
      <c r="E125" t="s">
        <v>59</v>
      </c>
      <c r="F125">
        <v>-1</v>
      </c>
      <c r="G125" t="s">
        <v>59</v>
      </c>
      <c r="H125" t="s">
        <v>59</v>
      </c>
      <c r="I125" t="s">
        <v>59</v>
      </c>
      <c r="J125" t="s">
        <v>59</v>
      </c>
      <c r="K125" t="s">
        <v>59</v>
      </c>
      <c r="L125" t="s">
        <v>59</v>
      </c>
      <c r="M125" t="s">
        <v>59</v>
      </c>
      <c r="N125" t="s">
        <v>59</v>
      </c>
      <c r="O125" t="s">
        <v>59</v>
      </c>
      <c r="P125" t="s">
        <v>59</v>
      </c>
      <c r="Q125" t="s">
        <v>59</v>
      </c>
      <c r="R125" t="s">
        <v>59</v>
      </c>
      <c r="S125" t="s">
        <v>59</v>
      </c>
      <c r="T125" t="s">
        <v>59</v>
      </c>
      <c r="U125" t="s">
        <v>59</v>
      </c>
      <c r="V125" t="s">
        <v>59</v>
      </c>
      <c r="W125" t="s">
        <v>59</v>
      </c>
      <c r="X125" t="s">
        <v>59</v>
      </c>
      <c r="Y125" t="s">
        <v>59</v>
      </c>
    </row>
    <row r="126" spans="1:25" x14ac:dyDescent="0.25">
      <c r="A126">
        <v>144</v>
      </c>
      <c r="B126" t="s">
        <v>5272</v>
      </c>
      <c r="C126" t="s">
        <v>4282</v>
      </c>
      <c r="D126" t="s">
        <v>4213</v>
      </c>
      <c r="E126" t="s">
        <v>59</v>
      </c>
      <c r="F126">
        <v>-1</v>
      </c>
      <c r="G126" t="s">
        <v>59</v>
      </c>
      <c r="H126" t="s">
        <v>59</v>
      </c>
      <c r="I126" t="s">
        <v>59</v>
      </c>
      <c r="J126" t="s">
        <v>59</v>
      </c>
      <c r="K126" t="s">
        <v>59</v>
      </c>
      <c r="L126" t="s">
        <v>59</v>
      </c>
      <c r="M126" t="s">
        <v>59</v>
      </c>
      <c r="N126" t="s">
        <v>59</v>
      </c>
      <c r="O126" t="s">
        <v>59</v>
      </c>
      <c r="P126" t="s">
        <v>59</v>
      </c>
      <c r="Q126" t="s">
        <v>59</v>
      </c>
      <c r="R126" t="s">
        <v>59</v>
      </c>
      <c r="S126" t="s">
        <v>59</v>
      </c>
      <c r="T126" t="s">
        <v>59</v>
      </c>
      <c r="U126" t="s">
        <v>59</v>
      </c>
      <c r="V126" t="s">
        <v>59</v>
      </c>
      <c r="W126" t="s">
        <v>59</v>
      </c>
      <c r="X126" t="s">
        <v>59</v>
      </c>
      <c r="Y126" t="s">
        <v>59</v>
      </c>
    </row>
    <row r="127" spans="1:25" x14ac:dyDescent="0.25">
      <c r="A127">
        <v>145</v>
      </c>
      <c r="B127" t="s">
        <v>5272</v>
      </c>
      <c r="C127" t="s">
        <v>4283</v>
      </c>
      <c r="D127" t="s">
        <v>4213</v>
      </c>
      <c r="E127" t="s">
        <v>59</v>
      </c>
      <c r="F127">
        <v>-1</v>
      </c>
      <c r="G127" t="s">
        <v>59</v>
      </c>
      <c r="H127" t="s">
        <v>59</v>
      </c>
      <c r="I127" t="s">
        <v>59</v>
      </c>
      <c r="J127" t="s">
        <v>59</v>
      </c>
      <c r="K127" t="s">
        <v>59</v>
      </c>
      <c r="L127" t="s">
        <v>59</v>
      </c>
      <c r="M127" t="s">
        <v>59</v>
      </c>
      <c r="N127" t="s">
        <v>59</v>
      </c>
      <c r="O127" t="s">
        <v>59</v>
      </c>
      <c r="P127" t="s">
        <v>59</v>
      </c>
      <c r="Q127" t="s">
        <v>59</v>
      </c>
      <c r="R127" t="s">
        <v>59</v>
      </c>
      <c r="S127" t="s">
        <v>59</v>
      </c>
      <c r="T127" t="s">
        <v>59</v>
      </c>
      <c r="U127" t="s">
        <v>59</v>
      </c>
      <c r="V127" t="s">
        <v>59</v>
      </c>
      <c r="W127" t="s">
        <v>59</v>
      </c>
      <c r="X127" t="s">
        <v>59</v>
      </c>
      <c r="Y127" t="s">
        <v>59</v>
      </c>
    </row>
    <row r="128" spans="1:25" x14ac:dyDescent="0.25">
      <c r="A128">
        <v>63</v>
      </c>
      <c r="B128" t="s">
        <v>5272</v>
      </c>
      <c r="C128" t="s">
        <v>4219</v>
      </c>
      <c r="D128" t="s">
        <v>4220</v>
      </c>
      <c r="E128" t="s">
        <v>59</v>
      </c>
      <c r="F128">
        <v>-1</v>
      </c>
      <c r="G128" t="s">
        <v>59</v>
      </c>
      <c r="H128" t="s">
        <v>59</v>
      </c>
      <c r="I128" t="s">
        <v>59</v>
      </c>
      <c r="J128" t="s">
        <v>59</v>
      </c>
      <c r="K128" t="s">
        <v>59</v>
      </c>
      <c r="L128" t="s">
        <v>59</v>
      </c>
      <c r="M128" t="s">
        <v>59</v>
      </c>
      <c r="N128" t="s">
        <v>59</v>
      </c>
      <c r="O128" t="s">
        <v>59</v>
      </c>
      <c r="P128" t="s">
        <v>59</v>
      </c>
      <c r="Q128" t="s">
        <v>59</v>
      </c>
      <c r="R128" t="s">
        <v>59</v>
      </c>
      <c r="S128" t="s">
        <v>59</v>
      </c>
      <c r="T128" t="s">
        <v>59</v>
      </c>
      <c r="U128" t="s">
        <v>59</v>
      </c>
      <c r="V128" t="s">
        <v>59</v>
      </c>
      <c r="W128" t="s">
        <v>59</v>
      </c>
      <c r="X128" t="s">
        <v>59</v>
      </c>
      <c r="Y128" t="s">
        <v>59</v>
      </c>
    </row>
    <row r="129" spans="1:25" x14ac:dyDescent="0.25">
      <c r="A129">
        <v>65</v>
      </c>
      <c r="B129" t="s">
        <v>5272</v>
      </c>
      <c r="C129" t="s">
        <v>4222</v>
      </c>
      <c r="D129" t="s">
        <v>4220</v>
      </c>
      <c r="E129" t="s">
        <v>59</v>
      </c>
      <c r="F129">
        <v>-1</v>
      </c>
      <c r="G129" t="s">
        <v>59</v>
      </c>
      <c r="H129" t="s">
        <v>59</v>
      </c>
      <c r="I129" t="s">
        <v>59</v>
      </c>
      <c r="J129" t="s">
        <v>59</v>
      </c>
      <c r="K129" t="s">
        <v>59</v>
      </c>
      <c r="L129" t="s">
        <v>59</v>
      </c>
      <c r="M129" t="s">
        <v>59</v>
      </c>
      <c r="N129" t="s">
        <v>59</v>
      </c>
      <c r="O129" t="s">
        <v>59</v>
      </c>
      <c r="P129" t="s">
        <v>59</v>
      </c>
      <c r="Q129" t="s">
        <v>59</v>
      </c>
      <c r="R129" t="s">
        <v>59</v>
      </c>
      <c r="S129" t="s">
        <v>59</v>
      </c>
      <c r="T129" t="s">
        <v>59</v>
      </c>
      <c r="U129" t="s">
        <v>59</v>
      </c>
      <c r="V129" t="s">
        <v>59</v>
      </c>
      <c r="W129" t="s">
        <v>59</v>
      </c>
      <c r="X129" t="s">
        <v>59</v>
      </c>
      <c r="Y129" t="s">
        <v>59</v>
      </c>
    </row>
    <row r="130" spans="1:25" x14ac:dyDescent="0.25">
      <c r="A130">
        <v>64</v>
      </c>
      <c r="B130" t="s">
        <v>5272</v>
      </c>
      <c r="C130" t="s">
        <v>4221</v>
      </c>
      <c r="D130" t="s">
        <v>4220</v>
      </c>
      <c r="E130" t="s">
        <v>59</v>
      </c>
      <c r="F130">
        <v>-1</v>
      </c>
      <c r="G130" t="s">
        <v>59</v>
      </c>
      <c r="H130" t="s">
        <v>59</v>
      </c>
      <c r="I130" t="s">
        <v>59</v>
      </c>
      <c r="J130" t="s">
        <v>59</v>
      </c>
      <c r="K130" t="s">
        <v>59</v>
      </c>
      <c r="L130" t="s">
        <v>59</v>
      </c>
      <c r="M130" t="s">
        <v>59</v>
      </c>
      <c r="N130" t="s">
        <v>59</v>
      </c>
      <c r="O130" t="s">
        <v>59</v>
      </c>
      <c r="P130" t="s">
        <v>59</v>
      </c>
      <c r="Q130" t="s">
        <v>59</v>
      </c>
      <c r="R130" t="s">
        <v>59</v>
      </c>
      <c r="S130" t="s">
        <v>59</v>
      </c>
      <c r="T130" t="s">
        <v>59</v>
      </c>
      <c r="U130" t="s">
        <v>59</v>
      </c>
      <c r="V130" t="s">
        <v>59</v>
      </c>
      <c r="W130" t="s">
        <v>59</v>
      </c>
      <c r="X130" t="s">
        <v>59</v>
      </c>
      <c r="Y130" t="s">
        <v>59</v>
      </c>
    </row>
    <row r="131" spans="1:25" x14ac:dyDescent="0.25">
      <c r="A131">
        <v>98</v>
      </c>
      <c r="B131" t="s">
        <v>5272</v>
      </c>
      <c r="C131" t="s">
        <v>4257</v>
      </c>
      <c r="D131" t="s">
        <v>4258</v>
      </c>
      <c r="E131" t="s">
        <v>59</v>
      </c>
      <c r="F131">
        <v>-1</v>
      </c>
      <c r="G131" t="s">
        <v>59</v>
      </c>
      <c r="H131" t="s">
        <v>59</v>
      </c>
      <c r="I131" t="s">
        <v>59</v>
      </c>
      <c r="J131" t="s">
        <v>59</v>
      </c>
      <c r="K131" t="s">
        <v>59</v>
      </c>
      <c r="L131" t="s">
        <v>59</v>
      </c>
      <c r="M131" t="s">
        <v>59</v>
      </c>
      <c r="N131" t="s">
        <v>59</v>
      </c>
      <c r="O131" t="s">
        <v>59</v>
      </c>
      <c r="P131" t="s">
        <v>59</v>
      </c>
      <c r="Q131" t="s">
        <v>59</v>
      </c>
      <c r="R131" t="s">
        <v>59</v>
      </c>
      <c r="S131" t="s">
        <v>59</v>
      </c>
      <c r="T131" t="s">
        <v>59</v>
      </c>
      <c r="U131" t="s">
        <v>59</v>
      </c>
      <c r="V131" t="s">
        <v>59</v>
      </c>
      <c r="W131" t="s">
        <v>59</v>
      </c>
      <c r="X131" t="s">
        <v>59</v>
      </c>
      <c r="Y131" t="s">
        <v>59</v>
      </c>
    </row>
    <row r="132" spans="1:25" x14ac:dyDescent="0.25">
      <c r="A132">
        <v>325</v>
      </c>
      <c r="B132" t="s">
        <v>5272</v>
      </c>
      <c r="C132" t="s">
        <v>4576</v>
      </c>
      <c r="D132" t="s">
        <v>4577</v>
      </c>
      <c r="E132" t="s">
        <v>59</v>
      </c>
      <c r="F132">
        <v>-1</v>
      </c>
      <c r="G132" t="s">
        <v>59</v>
      </c>
      <c r="H132" t="s">
        <v>59</v>
      </c>
      <c r="I132" t="s">
        <v>59</v>
      </c>
      <c r="J132" t="s">
        <v>59</v>
      </c>
      <c r="K132" t="s">
        <v>59</v>
      </c>
      <c r="L132" t="s">
        <v>59</v>
      </c>
      <c r="M132" t="s">
        <v>59</v>
      </c>
      <c r="N132" t="s">
        <v>59</v>
      </c>
      <c r="O132" t="s">
        <v>59</v>
      </c>
      <c r="P132" t="s">
        <v>59</v>
      </c>
      <c r="Q132" t="s">
        <v>59</v>
      </c>
      <c r="R132" t="s">
        <v>59</v>
      </c>
      <c r="S132" t="s">
        <v>59</v>
      </c>
      <c r="T132" t="s">
        <v>59</v>
      </c>
      <c r="U132" t="s">
        <v>59</v>
      </c>
      <c r="V132" t="s">
        <v>59</v>
      </c>
      <c r="W132" t="s">
        <v>59</v>
      </c>
      <c r="X132" t="s">
        <v>59</v>
      </c>
      <c r="Y132" t="s">
        <v>59</v>
      </c>
    </row>
    <row r="133" spans="1:25" x14ac:dyDescent="0.25">
      <c r="A133">
        <v>60</v>
      </c>
      <c r="B133" t="s">
        <v>5272</v>
      </c>
      <c r="C133" t="s">
        <v>4214</v>
      </c>
      <c r="D133" t="s">
        <v>4215</v>
      </c>
      <c r="E133" t="s">
        <v>59</v>
      </c>
      <c r="F133">
        <v>-1</v>
      </c>
      <c r="G133" t="s">
        <v>59</v>
      </c>
      <c r="H133" t="s">
        <v>59</v>
      </c>
      <c r="I133" t="s">
        <v>59</v>
      </c>
      <c r="J133" t="s">
        <v>59</v>
      </c>
      <c r="K133" t="s">
        <v>59</v>
      </c>
      <c r="L133" t="s">
        <v>59</v>
      </c>
      <c r="M133" t="s">
        <v>59</v>
      </c>
      <c r="N133" t="s">
        <v>59</v>
      </c>
      <c r="O133" t="s">
        <v>59</v>
      </c>
      <c r="P133" t="s">
        <v>59</v>
      </c>
      <c r="Q133" t="s">
        <v>59</v>
      </c>
      <c r="R133" t="s">
        <v>59</v>
      </c>
      <c r="S133" t="s">
        <v>59</v>
      </c>
      <c r="T133" t="s">
        <v>59</v>
      </c>
      <c r="U133" t="s">
        <v>59</v>
      </c>
      <c r="V133" t="s">
        <v>59</v>
      </c>
      <c r="W133" t="s">
        <v>59</v>
      </c>
      <c r="X133" t="s">
        <v>59</v>
      </c>
      <c r="Y133" t="s">
        <v>59</v>
      </c>
    </row>
    <row r="134" spans="1:25" x14ac:dyDescent="0.25">
      <c r="A134">
        <v>289</v>
      </c>
      <c r="B134" t="s">
        <v>5272</v>
      </c>
      <c r="C134" t="s">
        <v>4549</v>
      </c>
      <c r="D134" t="s">
        <v>4215</v>
      </c>
      <c r="E134" t="s">
        <v>59</v>
      </c>
      <c r="F134">
        <v>-1</v>
      </c>
      <c r="G134" t="s">
        <v>59</v>
      </c>
      <c r="H134" t="s">
        <v>59</v>
      </c>
      <c r="I134" t="s">
        <v>59</v>
      </c>
      <c r="J134" t="s">
        <v>59</v>
      </c>
      <c r="K134" t="s">
        <v>59</v>
      </c>
      <c r="L134" t="s">
        <v>59</v>
      </c>
      <c r="M134" t="s">
        <v>59</v>
      </c>
      <c r="N134" t="s">
        <v>59</v>
      </c>
      <c r="O134" t="s">
        <v>59</v>
      </c>
      <c r="P134" t="s">
        <v>59</v>
      </c>
      <c r="Q134" t="s">
        <v>59</v>
      </c>
      <c r="R134" t="s">
        <v>59</v>
      </c>
      <c r="S134" t="s">
        <v>59</v>
      </c>
      <c r="T134" t="s">
        <v>59</v>
      </c>
      <c r="U134" t="s">
        <v>59</v>
      </c>
      <c r="V134" t="s">
        <v>59</v>
      </c>
      <c r="W134" t="s">
        <v>59</v>
      </c>
      <c r="X134" t="s">
        <v>59</v>
      </c>
      <c r="Y134" t="s">
        <v>59</v>
      </c>
    </row>
    <row r="135" spans="1:25" x14ac:dyDescent="0.25">
      <c r="A135">
        <v>292</v>
      </c>
      <c r="B135" t="s">
        <v>5272</v>
      </c>
      <c r="C135" t="s">
        <v>4554</v>
      </c>
      <c r="D135" t="s">
        <v>4555</v>
      </c>
      <c r="E135" t="s">
        <v>59</v>
      </c>
      <c r="F135">
        <v>-1</v>
      </c>
      <c r="G135" t="s">
        <v>59</v>
      </c>
      <c r="H135" t="s">
        <v>59</v>
      </c>
      <c r="I135" t="s">
        <v>59</v>
      </c>
      <c r="J135" t="s">
        <v>59</v>
      </c>
      <c r="K135" t="s">
        <v>59</v>
      </c>
      <c r="L135" t="s">
        <v>59</v>
      </c>
      <c r="M135" t="s">
        <v>59</v>
      </c>
      <c r="N135" t="s">
        <v>59</v>
      </c>
      <c r="O135" t="s">
        <v>59</v>
      </c>
      <c r="P135" t="s">
        <v>59</v>
      </c>
      <c r="Q135" t="s">
        <v>59</v>
      </c>
      <c r="R135" t="s">
        <v>59</v>
      </c>
      <c r="S135" t="s">
        <v>59</v>
      </c>
      <c r="T135" t="s">
        <v>59</v>
      </c>
      <c r="U135" t="s">
        <v>59</v>
      </c>
      <c r="V135" t="s">
        <v>59</v>
      </c>
      <c r="W135" t="s">
        <v>59</v>
      </c>
      <c r="X135" t="s">
        <v>59</v>
      </c>
      <c r="Y135" t="s">
        <v>59</v>
      </c>
    </row>
    <row r="136" spans="1:25" x14ac:dyDescent="0.25">
      <c r="A136">
        <v>321</v>
      </c>
      <c r="B136" t="s">
        <v>5272</v>
      </c>
      <c r="C136" t="s">
        <v>4569</v>
      </c>
      <c r="D136" t="s">
        <v>4570</v>
      </c>
      <c r="E136" t="s">
        <v>59</v>
      </c>
      <c r="F136">
        <v>-1</v>
      </c>
      <c r="G136" t="s">
        <v>59</v>
      </c>
      <c r="H136" t="s">
        <v>59</v>
      </c>
      <c r="I136" t="s">
        <v>59</v>
      </c>
      <c r="J136" t="s">
        <v>59</v>
      </c>
      <c r="K136" t="s">
        <v>59</v>
      </c>
      <c r="L136" t="s">
        <v>59</v>
      </c>
      <c r="M136" t="s">
        <v>59</v>
      </c>
      <c r="N136" t="s">
        <v>59</v>
      </c>
      <c r="O136" t="s">
        <v>59</v>
      </c>
      <c r="P136" t="s">
        <v>59</v>
      </c>
      <c r="Q136" t="s">
        <v>59</v>
      </c>
      <c r="R136" t="s">
        <v>59</v>
      </c>
      <c r="S136" t="s">
        <v>59</v>
      </c>
      <c r="T136" t="s">
        <v>59</v>
      </c>
      <c r="U136" t="s">
        <v>59</v>
      </c>
      <c r="V136" t="s">
        <v>59</v>
      </c>
      <c r="W136" t="s">
        <v>59</v>
      </c>
      <c r="X136" t="s">
        <v>59</v>
      </c>
      <c r="Y136" t="s">
        <v>59</v>
      </c>
    </row>
    <row r="137" spans="1:25" x14ac:dyDescent="0.25">
      <c r="A137">
        <v>328</v>
      </c>
      <c r="B137" t="s">
        <v>5272</v>
      </c>
      <c r="C137" t="s">
        <v>4582</v>
      </c>
      <c r="D137" t="s">
        <v>4583</v>
      </c>
      <c r="E137" t="s">
        <v>59</v>
      </c>
      <c r="F137">
        <v>-1</v>
      </c>
      <c r="G137" t="s">
        <v>59</v>
      </c>
      <c r="H137" t="s">
        <v>59</v>
      </c>
      <c r="I137" t="s">
        <v>59</v>
      </c>
      <c r="J137" t="s">
        <v>59</v>
      </c>
      <c r="K137" t="s">
        <v>59</v>
      </c>
      <c r="L137" t="s">
        <v>59</v>
      </c>
      <c r="M137" t="s">
        <v>59</v>
      </c>
      <c r="N137" t="s">
        <v>59</v>
      </c>
      <c r="O137" t="s">
        <v>59</v>
      </c>
      <c r="P137" t="s">
        <v>59</v>
      </c>
      <c r="Q137" t="s">
        <v>59</v>
      </c>
      <c r="R137" t="s">
        <v>59</v>
      </c>
      <c r="S137" t="s">
        <v>59</v>
      </c>
      <c r="T137" t="s">
        <v>59</v>
      </c>
      <c r="U137" t="s">
        <v>59</v>
      </c>
      <c r="V137" t="s">
        <v>59</v>
      </c>
      <c r="W137" t="s">
        <v>59</v>
      </c>
      <c r="X137" t="s">
        <v>59</v>
      </c>
      <c r="Y137" t="s">
        <v>59</v>
      </c>
    </row>
    <row r="138" spans="1:25" x14ac:dyDescent="0.25">
      <c r="A138">
        <v>317</v>
      </c>
      <c r="B138" t="s">
        <v>5272</v>
      </c>
      <c r="C138" t="s">
        <v>4561</v>
      </c>
      <c r="D138" t="s">
        <v>4562</v>
      </c>
      <c r="E138" t="s">
        <v>59</v>
      </c>
      <c r="F138">
        <v>-1</v>
      </c>
      <c r="G138" t="s">
        <v>59</v>
      </c>
      <c r="H138" t="s">
        <v>59</v>
      </c>
      <c r="I138" t="s">
        <v>59</v>
      </c>
      <c r="J138" t="s">
        <v>59</v>
      </c>
      <c r="K138" t="s">
        <v>59</v>
      </c>
      <c r="L138" t="s">
        <v>59</v>
      </c>
      <c r="M138" t="s">
        <v>59</v>
      </c>
      <c r="N138" t="s">
        <v>59</v>
      </c>
      <c r="O138" t="s">
        <v>59</v>
      </c>
      <c r="P138" t="s">
        <v>59</v>
      </c>
      <c r="Q138" t="s">
        <v>59</v>
      </c>
      <c r="R138" t="s">
        <v>59</v>
      </c>
      <c r="S138" t="s">
        <v>59</v>
      </c>
      <c r="T138" t="s">
        <v>59</v>
      </c>
      <c r="U138" t="s">
        <v>59</v>
      </c>
      <c r="V138" t="s">
        <v>59</v>
      </c>
      <c r="W138" t="s">
        <v>59</v>
      </c>
      <c r="X138" t="s">
        <v>59</v>
      </c>
      <c r="Y138" t="s">
        <v>59</v>
      </c>
    </row>
    <row r="139" spans="1:25" x14ac:dyDescent="0.25">
      <c r="A139">
        <v>141</v>
      </c>
      <c r="B139" t="s">
        <v>5272</v>
      </c>
      <c r="C139" t="s">
        <v>4279</v>
      </c>
      <c r="D139" t="s">
        <v>4280</v>
      </c>
      <c r="E139" t="s">
        <v>59</v>
      </c>
      <c r="F139">
        <v>-1</v>
      </c>
      <c r="G139" t="s">
        <v>59</v>
      </c>
      <c r="H139" t="s">
        <v>59</v>
      </c>
      <c r="I139" t="s">
        <v>59</v>
      </c>
      <c r="J139" t="s">
        <v>59</v>
      </c>
      <c r="K139" t="s">
        <v>59</v>
      </c>
      <c r="L139" t="s">
        <v>59</v>
      </c>
      <c r="M139" t="s">
        <v>59</v>
      </c>
      <c r="N139" t="s">
        <v>59</v>
      </c>
      <c r="O139" t="s">
        <v>59</v>
      </c>
      <c r="P139" t="s">
        <v>59</v>
      </c>
      <c r="Q139" t="s">
        <v>59</v>
      </c>
      <c r="R139" t="s">
        <v>59</v>
      </c>
      <c r="S139" t="s">
        <v>59</v>
      </c>
      <c r="T139" t="s">
        <v>59</v>
      </c>
      <c r="U139" t="s">
        <v>59</v>
      </c>
      <c r="V139" t="s">
        <v>59</v>
      </c>
      <c r="W139" t="s">
        <v>59</v>
      </c>
      <c r="X139" t="s">
        <v>59</v>
      </c>
      <c r="Y139" t="s">
        <v>59</v>
      </c>
    </row>
    <row r="140" spans="1:25" x14ac:dyDescent="0.25">
      <c r="A140">
        <v>323</v>
      </c>
      <c r="B140" t="s">
        <v>5272</v>
      </c>
      <c r="C140" t="s">
        <v>4573</v>
      </c>
      <c r="D140" t="s">
        <v>4280</v>
      </c>
      <c r="E140" t="s">
        <v>59</v>
      </c>
      <c r="F140">
        <v>-1</v>
      </c>
      <c r="G140" t="s">
        <v>59</v>
      </c>
      <c r="H140" t="s">
        <v>59</v>
      </c>
      <c r="I140" t="s">
        <v>59</v>
      </c>
      <c r="J140" t="s">
        <v>59</v>
      </c>
      <c r="K140" t="s">
        <v>59</v>
      </c>
      <c r="L140" t="s">
        <v>59</v>
      </c>
      <c r="M140" t="s">
        <v>59</v>
      </c>
      <c r="N140" t="s">
        <v>59</v>
      </c>
      <c r="O140" t="s">
        <v>59</v>
      </c>
      <c r="P140" t="s">
        <v>59</v>
      </c>
      <c r="Q140" t="s">
        <v>59</v>
      </c>
      <c r="R140" t="s">
        <v>59</v>
      </c>
      <c r="S140" t="s">
        <v>59</v>
      </c>
      <c r="T140" t="s">
        <v>59</v>
      </c>
      <c r="U140" t="s">
        <v>59</v>
      </c>
      <c r="V140" t="s">
        <v>59</v>
      </c>
      <c r="W140" t="s">
        <v>59</v>
      </c>
      <c r="X140" t="s">
        <v>59</v>
      </c>
      <c r="Y140" t="s">
        <v>59</v>
      </c>
    </row>
    <row r="141" spans="1:25" x14ac:dyDescent="0.25">
      <c r="A141">
        <v>318</v>
      </c>
      <c r="B141" t="s">
        <v>5272</v>
      </c>
      <c r="C141" t="s">
        <v>4563</v>
      </c>
      <c r="D141" t="s">
        <v>4564</v>
      </c>
      <c r="E141" t="s">
        <v>59</v>
      </c>
      <c r="F141">
        <v>-1</v>
      </c>
      <c r="G141" t="s">
        <v>59</v>
      </c>
      <c r="H141" t="s">
        <v>59</v>
      </c>
      <c r="I141" t="s">
        <v>59</v>
      </c>
      <c r="J141" t="s">
        <v>59</v>
      </c>
      <c r="K141" t="s">
        <v>59</v>
      </c>
      <c r="L141" t="s">
        <v>59</v>
      </c>
      <c r="M141" t="s">
        <v>59</v>
      </c>
      <c r="N141" t="s">
        <v>59</v>
      </c>
      <c r="O141" t="s">
        <v>59</v>
      </c>
      <c r="P141" t="s">
        <v>59</v>
      </c>
      <c r="Q141" t="s">
        <v>59</v>
      </c>
      <c r="R141" t="s">
        <v>59</v>
      </c>
      <c r="S141" t="s">
        <v>59</v>
      </c>
      <c r="T141" t="s">
        <v>59</v>
      </c>
      <c r="U141" t="s">
        <v>59</v>
      </c>
      <c r="V141" t="s">
        <v>59</v>
      </c>
      <c r="W141" t="s">
        <v>59</v>
      </c>
      <c r="X141" t="s">
        <v>59</v>
      </c>
      <c r="Y141" t="s">
        <v>59</v>
      </c>
    </row>
    <row r="142" spans="1:25" x14ac:dyDescent="0.25">
      <c r="A142">
        <v>290</v>
      </c>
      <c r="B142" t="s">
        <v>5272</v>
      </c>
      <c r="C142" t="s">
        <v>4550</v>
      </c>
      <c r="D142" t="s">
        <v>4551</v>
      </c>
      <c r="E142" t="s">
        <v>59</v>
      </c>
      <c r="F142">
        <v>-1</v>
      </c>
      <c r="G142" t="s">
        <v>59</v>
      </c>
      <c r="H142" t="s">
        <v>59</v>
      </c>
      <c r="I142" t="s">
        <v>59</v>
      </c>
      <c r="J142" t="s">
        <v>59</v>
      </c>
      <c r="K142" t="s">
        <v>59</v>
      </c>
      <c r="L142" t="s">
        <v>59</v>
      </c>
      <c r="M142" t="s">
        <v>59</v>
      </c>
      <c r="N142" t="s">
        <v>59</v>
      </c>
      <c r="O142" t="s">
        <v>59</v>
      </c>
      <c r="P142" t="s">
        <v>59</v>
      </c>
      <c r="Q142" t="s">
        <v>59</v>
      </c>
      <c r="R142" t="s">
        <v>59</v>
      </c>
      <c r="S142" t="s">
        <v>59</v>
      </c>
      <c r="T142" t="s">
        <v>59</v>
      </c>
      <c r="U142" t="s">
        <v>59</v>
      </c>
      <c r="V142" t="s">
        <v>59</v>
      </c>
      <c r="W142" t="s">
        <v>59</v>
      </c>
      <c r="X142" t="s">
        <v>59</v>
      </c>
      <c r="Y142" t="s">
        <v>59</v>
      </c>
    </row>
    <row r="143" spans="1:25" x14ac:dyDescent="0.25">
      <c r="A143">
        <v>288</v>
      </c>
      <c r="B143" t="s">
        <v>5272</v>
      </c>
      <c r="C143" t="s">
        <v>4547</v>
      </c>
      <c r="D143" t="s">
        <v>4548</v>
      </c>
      <c r="E143" t="s">
        <v>59</v>
      </c>
      <c r="F143">
        <v>-1</v>
      </c>
      <c r="G143" t="s">
        <v>59</v>
      </c>
      <c r="H143" t="s">
        <v>59</v>
      </c>
      <c r="I143" t="s">
        <v>59</v>
      </c>
      <c r="J143" t="s">
        <v>59</v>
      </c>
      <c r="K143" t="s">
        <v>59</v>
      </c>
      <c r="L143" t="s">
        <v>59</v>
      </c>
      <c r="M143" t="s">
        <v>59</v>
      </c>
      <c r="N143" t="s">
        <v>59</v>
      </c>
      <c r="O143" t="s">
        <v>59</v>
      </c>
      <c r="P143" t="s">
        <v>59</v>
      </c>
      <c r="Q143" t="s">
        <v>59</v>
      </c>
      <c r="R143" t="s">
        <v>59</v>
      </c>
      <c r="S143" t="s">
        <v>59</v>
      </c>
      <c r="T143" t="s">
        <v>59</v>
      </c>
      <c r="U143" t="s">
        <v>59</v>
      </c>
      <c r="V143" t="s">
        <v>59</v>
      </c>
      <c r="W143" t="s">
        <v>59</v>
      </c>
      <c r="X143" t="s">
        <v>59</v>
      </c>
      <c r="Y143" t="s">
        <v>59</v>
      </c>
    </row>
    <row r="144" spans="1:25" x14ac:dyDescent="0.25">
      <c r="A144">
        <v>327</v>
      </c>
      <c r="B144" t="s">
        <v>5272</v>
      </c>
      <c r="C144" t="s">
        <v>4580</v>
      </c>
      <c r="D144" t="s">
        <v>4581</v>
      </c>
      <c r="E144" t="s">
        <v>59</v>
      </c>
      <c r="F144">
        <v>-1</v>
      </c>
      <c r="G144" t="s">
        <v>59</v>
      </c>
      <c r="H144" t="s">
        <v>59</v>
      </c>
      <c r="I144" t="s">
        <v>59</v>
      </c>
      <c r="J144" t="s">
        <v>59</v>
      </c>
      <c r="K144" t="s">
        <v>59</v>
      </c>
      <c r="L144" t="s">
        <v>59</v>
      </c>
      <c r="M144" t="s">
        <v>59</v>
      </c>
      <c r="N144" t="s">
        <v>59</v>
      </c>
      <c r="O144" t="s">
        <v>59</v>
      </c>
      <c r="P144" t="s">
        <v>59</v>
      </c>
      <c r="Q144" t="s">
        <v>59</v>
      </c>
      <c r="R144" t="s">
        <v>59</v>
      </c>
      <c r="S144" t="s">
        <v>59</v>
      </c>
      <c r="T144" t="s">
        <v>59</v>
      </c>
      <c r="U144" t="s">
        <v>59</v>
      </c>
      <c r="V144" t="s">
        <v>59</v>
      </c>
      <c r="W144" t="s">
        <v>59</v>
      </c>
      <c r="X144" t="s">
        <v>59</v>
      </c>
      <c r="Y144" t="s">
        <v>59</v>
      </c>
    </row>
    <row r="145" spans="1:25" x14ac:dyDescent="0.25">
      <c r="A145">
        <v>322</v>
      </c>
      <c r="B145" t="s">
        <v>5272</v>
      </c>
      <c r="C145" t="s">
        <v>4571</v>
      </c>
      <c r="D145" t="s">
        <v>4572</v>
      </c>
      <c r="E145" t="s">
        <v>59</v>
      </c>
      <c r="F145">
        <v>-1</v>
      </c>
      <c r="G145" t="s">
        <v>59</v>
      </c>
      <c r="H145" t="s">
        <v>59</v>
      </c>
      <c r="I145" t="s">
        <v>59</v>
      </c>
      <c r="J145" t="s">
        <v>59</v>
      </c>
      <c r="K145" t="s">
        <v>59</v>
      </c>
      <c r="L145" t="s">
        <v>59</v>
      </c>
      <c r="M145" t="s">
        <v>59</v>
      </c>
      <c r="N145" t="s">
        <v>59</v>
      </c>
      <c r="O145" t="s">
        <v>59</v>
      </c>
      <c r="P145" t="s">
        <v>59</v>
      </c>
      <c r="Q145" t="s">
        <v>59</v>
      </c>
      <c r="R145" t="s">
        <v>59</v>
      </c>
      <c r="S145" t="s">
        <v>59</v>
      </c>
      <c r="T145" t="s">
        <v>59</v>
      </c>
      <c r="U145" t="s">
        <v>59</v>
      </c>
      <c r="V145" t="s">
        <v>59</v>
      </c>
      <c r="W145" t="s">
        <v>59</v>
      </c>
      <c r="X145" t="s">
        <v>59</v>
      </c>
      <c r="Y145" t="s">
        <v>59</v>
      </c>
    </row>
    <row r="146" spans="1:25" x14ac:dyDescent="0.25">
      <c r="A146">
        <v>319</v>
      </c>
      <c r="B146" t="s">
        <v>5272</v>
      </c>
      <c r="C146" t="s">
        <v>4565</v>
      </c>
      <c r="D146" t="s">
        <v>4566</v>
      </c>
      <c r="E146" t="s">
        <v>59</v>
      </c>
      <c r="F146">
        <v>-1</v>
      </c>
      <c r="G146" t="s">
        <v>59</v>
      </c>
      <c r="H146" t="s">
        <v>59</v>
      </c>
      <c r="I146" t="s">
        <v>59</v>
      </c>
      <c r="J146" t="s">
        <v>59</v>
      </c>
      <c r="K146" t="s">
        <v>59</v>
      </c>
      <c r="L146" t="s">
        <v>59</v>
      </c>
      <c r="M146" t="s">
        <v>59</v>
      </c>
      <c r="N146" t="s">
        <v>59</v>
      </c>
      <c r="O146" t="s">
        <v>59</v>
      </c>
      <c r="P146" t="s">
        <v>59</v>
      </c>
      <c r="Q146" t="s">
        <v>59</v>
      </c>
      <c r="R146" t="s">
        <v>59</v>
      </c>
      <c r="S146" t="s">
        <v>59</v>
      </c>
      <c r="T146" t="s">
        <v>59</v>
      </c>
      <c r="U146" t="s">
        <v>59</v>
      </c>
      <c r="V146" t="s">
        <v>59</v>
      </c>
      <c r="W146" t="s">
        <v>59</v>
      </c>
      <c r="X146" t="s">
        <v>59</v>
      </c>
      <c r="Y146" t="s">
        <v>59</v>
      </c>
    </row>
    <row r="147" spans="1:25" x14ac:dyDescent="0.25">
      <c r="A147">
        <v>287</v>
      </c>
      <c r="B147" t="s">
        <v>5272</v>
      </c>
      <c r="C147" t="s">
        <v>4545</v>
      </c>
      <c r="D147" t="s">
        <v>4546</v>
      </c>
      <c r="E147" t="s">
        <v>59</v>
      </c>
      <c r="F147">
        <v>-1</v>
      </c>
      <c r="G147" t="s">
        <v>59</v>
      </c>
      <c r="H147" t="s">
        <v>59</v>
      </c>
      <c r="I147" t="s">
        <v>59</v>
      </c>
      <c r="J147" t="s">
        <v>59</v>
      </c>
      <c r="K147" t="s">
        <v>59</v>
      </c>
      <c r="L147" t="s">
        <v>59</v>
      </c>
      <c r="M147" t="s">
        <v>59</v>
      </c>
      <c r="N147" t="s">
        <v>59</v>
      </c>
      <c r="O147" t="s">
        <v>59</v>
      </c>
      <c r="P147" t="s">
        <v>59</v>
      </c>
      <c r="Q147" t="s">
        <v>59</v>
      </c>
      <c r="R147" t="s">
        <v>59</v>
      </c>
      <c r="S147" t="s">
        <v>59</v>
      </c>
      <c r="T147" t="s">
        <v>59</v>
      </c>
      <c r="U147" t="s">
        <v>59</v>
      </c>
      <c r="V147" t="s">
        <v>59</v>
      </c>
      <c r="W147" t="s">
        <v>59</v>
      </c>
      <c r="X147" t="s">
        <v>59</v>
      </c>
      <c r="Y147" t="s">
        <v>59</v>
      </c>
    </row>
    <row r="148" spans="1:25" x14ac:dyDescent="0.25">
      <c r="A148">
        <v>324</v>
      </c>
      <c r="B148" t="s">
        <v>5272</v>
      </c>
      <c r="C148" t="s">
        <v>4574</v>
      </c>
      <c r="D148" t="s">
        <v>4575</v>
      </c>
      <c r="E148" t="s">
        <v>59</v>
      </c>
      <c r="F148">
        <v>-1</v>
      </c>
      <c r="G148" t="s">
        <v>59</v>
      </c>
      <c r="H148" t="s">
        <v>59</v>
      </c>
      <c r="I148" t="s">
        <v>59</v>
      </c>
      <c r="J148" t="s">
        <v>59</v>
      </c>
      <c r="K148" t="s">
        <v>59</v>
      </c>
      <c r="L148" t="s">
        <v>59</v>
      </c>
      <c r="M148" t="s">
        <v>59</v>
      </c>
      <c r="N148" t="s">
        <v>59</v>
      </c>
      <c r="O148" t="s">
        <v>59</v>
      </c>
      <c r="P148" t="s">
        <v>59</v>
      </c>
      <c r="Q148" t="s">
        <v>59</v>
      </c>
      <c r="R148" t="s">
        <v>59</v>
      </c>
      <c r="S148" t="s">
        <v>59</v>
      </c>
      <c r="T148" t="s">
        <v>59</v>
      </c>
      <c r="U148" t="s">
        <v>59</v>
      </c>
      <c r="V148" t="s">
        <v>59</v>
      </c>
      <c r="W148" t="s">
        <v>59</v>
      </c>
      <c r="X148" t="s">
        <v>59</v>
      </c>
      <c r="Y148" t="s">
        <v>59</v>
      </c>
    </row>
    <row r="149" spans="1:25" x14ac:dyDescent="0.25">
      <c r="A149">
        <v>291</v>
      </c>
      <c r="B149" t="s">
        <v>5272</v>
      </c>
      <c r="C149" t="s">
        <v>4552</v>
      </c>
      <c r="D149" t="s">
        <v>4553</v>
      </c>
      <c r="E149" t="s">
        <v>59</v>
      </c>
      <c r="F149">
        <v>-1</v>
      </c>
      <c r="G149" t="s">
        <v>59</v>
      </c>
      <c r="H149" t="s">
        <v>59</v>
      </c>
      <c r="I149" t="s">
        <v>59</v>
      </c>
      <c r="J149" t="s">
        <v>59</v>
      </c>
      <c r="K149" t="s">
        <v>59</v>
      </c>
      <c r="L149" t="s">
        <v>59</v>
      </c>
      <c r="M149" t="s">
        <v>59</v>
      </c>
      <c r="N149" t="s">
        <v>59</v>
      </c>
      <c r="O149" t="s">
        <v>59</v>
      </c>
      <c r="P149" t="s">
        <v>59</v>
      </c>
      <c r="Q149" t="s">
        <v>59</v>
      </c>
      <c r="R149" t="s">
        <v>59</v>
      </c>
      <c r="S149" t="s">
        <v>59</v>
      </c>
      <c r="T149" t="s">
        <v>59</v>
      </c>
      <c r="U149" t="s">
        <v>59</v>
      </c>
      <c r="V149" t="s">
        <v>59</v>
      </c>
      <c r="W149" t="s">
        <v>59</v>
      </c>
      <c r="X149" t="s">
        <v>59</v>
      </c>
      <c r="Y149" t="s">
        <v>59</v>
      </c>
    </row>
    <row r="150" spans="1:25" x14ac:dyDescent="0.25">
      <c r="A150">
        <v>326</v>
      </c>
      <c r="B150" t="s">
        <v>5272</v>
      </c>
      <c r="C150" t="s">
        <v>4578</v>
      </c>
      <c r="D150" t="s">
        <v>4579</v>
      </c>
      <c r="E150" t="s">
        <v>59</v>
      </c>
      <c r="F150">
        <v>-1</v>
      </c>
      <c r="G150" t="s">
        <v>59</v>
      </c>
      <c r="H150" t="s">
        <v>59</v>
      </c>
      <c r="I150" t="s">
        <v>59</v>
      </c>
      <c r="J150" t="s">
        <v>59</v>
      </c>
      <c r="K150" t="s">
        <v>59</v>
      </c>
      <c r="L150" t="s">
        <v>59</v>
      </c>
      <c r="M150" t="s">
        <v>59</v>
      </c>
      <c r="N150" t="s">
        <v>59</v>
      </c>
      <c r="O150" t="s">
        <v>59</v>
      </c>
      <c r="P150" t="s">
        <v>59</v>
      </c>
      <c r="Q150" t="s">
        <v>59</v>
      </c>
      <c r="R150" t="s">
        <v>59</v>
      </c>
      <c r="S150" t="s">
        <v>59</v>
      </c>
      <c r="T150" t="s">
        <v>59</v>
      </c>
      <c r="U150" t="s">
        <v>59</v>
      </c>
      <c r="V150" t="s">
        <v>59</v>
      </c>
      <c r="W150" t="s">
        <v>59</v>
      </c>
      <c r="X150" t="s">
        <v>59</v>
      </c>
      <c r="Y150" t="s">
        <v>59</v>
      </c>
    </row>
    <row r="151" spans="1:25" x14ac:dyDescent="0.25">
      <c r="A151">
        <v>286</v>
      </c>
      <c r="B151" t="s">
        <v>5272</v>
      </c>
      <c r="C151" t="s">
        <v>4543</v>
      </c>
      <c r="D151" t="s">
        <v>4544</v>
      </c>
      <c r="E151" t="s">
        <v>59</v>
      </c>
      <c r="F151">
        <v>-1</v>
      </c>
      <c r="G151" t="s">
        <v>59</v>
      </c>
      <c r="H151" t="s">
        <v>59</v>
      </c>
      <c r="I151" t="s">
        <v>59</v>
      </c>
      <c r="J151" t="s">
        <v>59</v>
      </c>
      <c r="K151" t="s">
        <v>59</v>
      </c>
      <c r="L151" t="s">
        <v>59</v>
      </c>
      <c r="M151" t="s">
        <v>59</v>
      </c>
      <c r="N151" t="s">
        <v>59</v>
      </c>
      <c r="O151" t="s">
        <v>59</v>
      </c>
      <c r="P151" t="s">
        <v>59</v>
      </c>
      <c r="Q151" t="s">
        <v>59</v>
      </c>
      <c r="R151" t="s">
        <v>59</v>
      </c>
      <c r="S151" t="s">
        <v>59</v>
      </c>
      <c r="T151" t="s">
        <v>59</v>
      </c>
      <c r="U151" t="s">
        <v>59</v>
      </c>
      <c r="V151" t="s">
        <v>59</v>
      </c>
      <c r="W151" t="s">
        <v>59</v>
      </c>
      <c r="X151" t="s">
        <v>59</v>
      </c>
      <c r="Y151" t="s">
        <v>59</v>
      </c>
    </row>
    <row r="152" spans="1:25" x14ac:dyDescent="0.25">
      <c r="A152">
        <v>152</v>
      </c>
      <c r="B152" t="s">
        <v>5272</v>
      </c>
      <c r="C152" t="s">
        <v>4291</v>
      </c>
      <c r="D152" t="s">
        <v>4212</v>
      </c>
      <c r="E152" t="s">
        <v>59</v>
      </c>
      <c r="F152">
        <v>-1</v>
      </c>
      <c r="G152" t="s">
        <v>59</v>
      </c>
      <c r="H152" t="s">
        <v>59</v>
      </c>
      <c r="I152" t="s">
        <v>59</v>
      </c>
      <c r="J152" t="s">
        <v>59</v>
      </c>
      <c r="K152" t="s">
        <v>59</v>
      </c>
      <c r="L152" t="s">
        <v>59</v>
      </c>
      <c r="M152" t="s">
        <v>59</v>
      </c>
      <c r="N152" t="s">
        <v>59</v>
      </c>
      <c r="O152" t="s">
        <v>59</v>
      </c>
      <c r="P152" t="s">
        <v>59</v>
      </c>
      <c r="Q152" t="s">
        <v>59</v>
      </c>
      <c r="R152" t="s">
        <v>59</v>
      </c>
      <c r="S152" t="s">
        <v>59</v>
      </c>
      <c r="T152" t="s">
        <v>59</v>
      </c>
      <c r="U152" t="s">
        <v>59</v>
      </c>
      <c r="V152" t="s">
        <v>59</v>
      </c>
      <c r="W152" t="s">
        <v>59</v>
      </c>
      <c r="X152" t="s">
        <v>59</v>
      </c>
      <c r="Y152" t="s">
        <v>59</v>
      </c>
    </row>
    <row r="153" spans="1:25" x14ac:dyDescent="0.25">
      <c r="A153">
        <v>174</v>
      </c>
      <c r="B153" t="s">
        <v>5272</v>
      </c>
      <c r="C153" t="s">
        <v>4328</v>
      </c>
      <c r="D153" t="s">
        <v>4212</v>
      </c>
      <c r="E153" t="s">
        <v>59</v>
      </c>
      <c r="F153">
        <v>-1</v>
      </c>
      <c r="G153" t="s">
        <v>59</v>
      </c>
      <c r="H153" t="s">
        <v>59</v>
      </c>
      <c r="I153" t="s">
        <v>59</v>
      </c>
      <c r="J153" t="s">
        <v>59</v>
      </c>
      <c r="K153" t="s">
        <v>59</v>
      </c>
      <c r="L153" t="s">
        <v>59</v>
      </c>
      <c r="M153" t="s">
        <v>59</v>
      </c>
      <c r="N153" t="s">
        <v>59</v>
      </c>
      <c r="O153" t="s">
        <v>59</v>
      </c>
      <c r="P153" t="s">
        <v>59</v>
      </c>
      <c r="Q153" t="s">
        <v>59</v>
      </c>
      <c r="R153" t="s">
        <v>59</v>
      </c>
      <c r="S153" t="s">
        <v>59</v>
      </c>
      <c r="T153" t="s">
        <v>59</v>
      </c>
      <c r="U153" t="s">
        <v>59</v>
      </c>
      <c r="V153" t="s">
        <v>59</v>
      </c>
      <c r="W153" t="s">
        <v>59</v>
      </c>
      <c r="X153" t="s">
        <v>59</v>
      </c>
      <c r="Y153" t="s">
        <v>59</v>
      </c>
    </row>
    <row r="154" spans="1:25" x14ac:dyDescent="0.25">
      <c r="A154">
        <v>81</v>
      </c>
      <c r="B154" t="s">
        <v>5272</v>
      </c>
      <c r="C154" t="s">
        <v>4238</v>
      </c>
      <c r="D154" t="s">
        <v>4212</v>
      </c>
      <c r="E154" t="s">
        <v>59</v>
      </c>
      <c r="F154">
        <v>-1</v>
      </c>
      <c r="G154" t="s">
        <v>59</v>
      </c>
      <c r="H154" t="s">
        <v>59</v>
      </c>
      <c r="I154" t="s">
        <v>59</v>
      </c>
      <c r="J154" t="s">
        <v>59</v>
      </c>
      <c r="K154" t="s">
        <v>59</v>
      </c>
      <c r="L154" t="s">
        <v>59</v>
      </c>
      <c r="M154" t="s">
        <v>59</v>
      </c>
      <c r="N154" t="s">
        <v>59</v>
      </c>
      <c r="O154" t="s">
        <v>59</v>
      </c>
      <c r="P154" t="s">
        <v>59</v>
      </c>
      <c r="Q154" t="s">
        <v>59</v>
      </c>
      <c r="R154" t="s">
        <v>59</v>
      </c>
      <c r="S154" t="s">
        <v>59</v>
      </c>
      <c r="T154" t="s">
        <v>59</v>
      </c>
      <c r="U154" t="s">
        <v>59</v>
      </c>
      <c r="V154" t="s">
        <v>59</v>
      </c>
      <c r="W154" t="s">
        <v>59</v>
      </c>
      <c r="X154" t="s">
        <v>59</v>
      </c>
      <c r="Y154" t="s">
        <v>59</v>
      </c>
    </row>
    <row r="155" spans="1:25" x14ac:dyDescent="0.25">
      <c r="A155">
        <v>80</v>
      </c>
      <c r="B155" t="s">
        <v>5272</v>
      </c>
      <c r="C155" t="s">
        <v>4237</v>
      </c>
      <c r="D155" t="s">
        <v>4212</v>
      </c>
      <c r="E155" t="s">
        <v>59</v>
      </c>
      <c r="F155">
        <v>-1</v>
      </c>
      <c r="G155" t="s">
        <v>59</v>
      </c>
      <c r="H155" t="s">
        <v>59</v>
      </c>
      <c r="I155" t="s">
        <v>59</v>
      </c>
      <c r="J155" t="s">
        <v>59</v>
      </c>
      <c r="K155" t="s">
        <v>59</v>
      </c>
      <c r="L155" t="s">
        <v>59</v>
      </c>
      <c r="M155" t="s">
        <v>59</v>
      </c>
      <c r="N155" t="s">
        <v>59</v>
      </c>
      <c r="O155" t="s">
        <v>59</v>
      </c>
      <c r="P155" t="s">
        <v>59</v>
      </c>
      <c r="Q155" t="s">
        <v>59</v>
      </c>
      <c r="R155" t="s">
        <v>59</v>
      </c>
      <c r="S155" t="s">
        <v>59</v>
      </c>
      <c r="T155" t="s">
        <v>59</v>
      </c>
      <c r="U155" t="s">
        <v>59</v>
      </c>
      <c r="V155" t="s">
        <v>59</v>
      </c>
      <c r="W155" t="s">
        <v>59</v>
      </c>
      <c r="X155" t="s">
        <v>59</v>
      </c>
      <c r="Y155" t="s">
        <v>59</v>
      </c>
    </row>
    <row r="156" spans="1:25" x14ac:dyDescent="0.25">
      <c r="A156">
        <v>86</v>
      </c>
      <c r="B156" t="s">
        <v>5272</v>
      </c>
      <c r="C156" t="s">
        <v>4245</v>
      </c>
      <c r="D156" t="s">
        <v>4212</v>
      </c>
      <c r="E156" t="s">
        <v>59</v>
      </c>
      <c r="F156">
        <v>-1</v>
      </c>
      <c r="G156" t="s">
        <v>59</v>
      </c>
      <c r="H156" t="s">
        <v>59</v>
      </c>
      <c r="I156" t="s">
        <v>59</v>
      </c>
      <c r="J156" t="s">
        <v>59</v>
      </c>
      <c r="K156" t="s">
        <v>59</v>
      </c>
      <c r="L156" t="s">
        <v>59</v>
      </c>
      <c r="M156" t="s">
        <v>59</v>
      </c>
      <c r="N156" t="s">
        <v>59</v>
      </c>
      <c r="O156" t="s">
        <v>59</v>
      </c>
      <c r="P156" t="s">
        <v>59</v>
      </c>
      <c r="Q156" t="s">
        <v>59</v>
      </c>
      <c r="R156" t="s">
        <v>59</v>
      </c>
      <c r="S156" t="s">
        <v>59</v>
      </c>
      <c r="T156" t="s">
        <v>59</v>
      </c>
      <c r="U156" t="s">
        <v>59</v>
      </c>
      <c r="V156" t="s">
        <v>59</v>
      </c>
      <c r="W156" t="s">
        <v>59</v>
      </c>
      <c r="X156" t="s">
        <v>59</v>
      </c>
      <c r="Y156" t="s">
        <v>59</v>
      </c>
    </row>
    <row r="157" spans="1:25" x14ac:dyDescent="0.25">
      <c r="A157">
        <v>82</v>
      </c>
      <c r="B157" t="s">
        <v>5272</v>
      </c>
      <c r="C157" t="s">
        <v>4239</v>
      </c>
      <c r="D157" t="s">
        <v>4212</v>
      </c>
      <c r="E157" t="s">
        <v>59</v>
      </c>
      <c r="F157">
        <v>-1</v>
      </c>
      <c r="G157" t="s">
        <v>59</v>
      </c>
      <c r="H157" t="s">
        <v>59</v>
      </c>
      <c r="I157" t="s">
        <v>59</v>
      </c>
      <c r="J157" t="s">
        <v>59</v>
      </c>
      <c r="K157" t="s">
        <v>59</v>
      </c>
      <c r="L157" t="s">
        <v>59</v>
      </c>
      <c r="M157" t="s">
        <v>59</v>
      </c>
      <c r="N157" t="s">
        <v>59</v>
      </c>
      <c r="O157" t="s">
        <v>59</v>
      </c>
      <c r="P157" t="s">
        <v>59</v>
      </c>
      <c r="Q157" t="s">
        <v>59</v>
      </c>
      <c r="R157" t="s">
        <v>59</v>
      </c>
      <c r="S157" t="s">
        <v>59</v>
      </c>
      <c r="T157" t="s">
        <v>59</v>
      </c>
      <c r="U157" t="s">
        <v>59</v>
      </c>
      <c r="V157" t="s">
        <v>59</v>
      </c>
      <c r="W157" t="s">
        <v>59</v>
      </c>
      <c r="X157" t="s">
        <v>59</v>
      </c>
      <c r="Y157" t="s">
        <v>59</v>
      </c>
    </row>
    <row r="158" spans="1:25" x14ac:dyDescent="0.25">
      <c r="A158">
        <v>283</v>
      </c>
      <c r="B158" t="s">
        <v>5272</v>
      </c>
      <c r="C158" t="s">
        <v>843</v>
      </c>
      <c r="D158" t="s">
        <v>4212</v>
      </c>
      <c r="E158" t="s">
        <v>59</v>
      </c>
      <c r="F158">
        <v>-1</v>
      </c>
      <c r="G158" t="s">
        <v>59</v>
      </c>
      <c r="H158" t="s">
        <v>59</v>
      </c>
      <c r="I158" t="s">
        <v>59</v>
      </c>
      <c r="J158" t="s">
        <v>59</v>
      </c>
      <c r="K158" t="s">
        <v>59</v>
      </c>
      <c r="L158" t="s">
        <v>59</v>
      </c>
      <c r="M158" t="s">
        <v>59</v>
      </c>
      <c r="N158" t="s">
        <v>59</v>
      </c>
      <c r="O158" t="s">
        <v>59</v>
      </c>
      <c r="P158" t="s">
        <v>59</v>
      </c>
      <c r="Q158" t="s">
        <v>59</v>
      </c>
      <c r="R158" t="s">
        <v>59</v>
      </c>
      <c r="S158" t="s">
        <v>59</v>
      </c>
      <c r="T158" t="s">
        <v>59</v>
      </c>
      <c r="U158" t="s">
        <v>59</v>
      </c>
      <c r="V158" t="s">
        <v>59</v>
      </c>
      <c r="W158" t="s">
        <v>59</v>
      </c>
      <c r="X158" t="s">
        <v>59</v>
      </c>
      <c r="Y158" t="s">
        <v>59</v>
      </c>
    </row>
    <row r="159" spans="1:25" x14ac:dyDescent="0.25">
      <c r="A159">
        <v>55</v>
      </c>
      <c r="B159" t="s">
        <v>5272</v>
      </c>
      <c r="C159" t="s">
        <v>1634</v>
      </c>
      <c r="D159" t="s">
        <v>4212</v>
      </c>
      <c r="E159" t="s">
        <v>59</v>
      </c>
      <c r="F159">
        <v>-1</v>
      </c>
      <c r="G159" t="s">
        <v>59</v>
      </c>
      <c r="H159" t="s">
        <v>59</v>
      </c>
      <c r="I159" t="s">
        <v>59</v>
      </c>
      <c r="J159" t="s">
        <v>59</v>
      </c>
      <c r="K159" t="s">
        <v>59</v>
      </c>
      <c r="L159" t="s">
        <v>59</v>
      </c>
      <c r="M159" t="s">
        <v>59</v>
      </c>
      <c r="N159" t="s">
        <v>59</v>
      </c>
      <c r="O159" t="s">
        <v>59</v>
      </c>
      <c r="P159" t="s">
        <v>59</v>
      </c>
      <c r="Q159" t="s">
        <v>59</v>
      </c>
      <c r="R159" t="s">
        <v>59</v>
      </c>
      <c r="S159" t="s">
        <v>59</v>
      </c>
      <c r="T159" t="s">
        <v>59</v>
      </c>
      <c r="U159" t="s">
        <v>59</v>
      </c>
      <c r="V159" t="s">
        <v>59</v>
      </c>
      <c r="W159" t="s">
        <v>59</v>
      </c>
      <c r="X159" t="s">
        <v>59</v>
      </c>
      <c r="Y159" t="s">
        <v>59</v>
      </c>
    </row>
    <row r="160" spans="1:25" x14ac:dyDescent="0.25">
      <c r="A160">
        <v>56</v>
      </c>
      <c r="B160" t="s">
        <v>5272</v>
      </c>
      <c r="C160" t="s">
        <v>2036</v>
      </c>
      <c r="D160" t="s">
        <v>4212</v>
      </c>
      <c r="E160" t="s">
        <v>59</v>
      </c>
      <c r="F160">
        <v>-1</v>
      </c>
      <c r="G160" t="s">
        <v>59</v>
      </c>
      <c r="H160" t="s">
        <v>59</v>
      </c>
      <c r="I160" t="s">
        <v>59</v>
      </c>
      <c r="J160" t="s">
        <v>59</v>
      </c>
      <c r="K160" t="s">
        <v>59</v>
      </c>
      <c r="L160" t="s">
        <v>59</v>
      </c>
      <c r="M160" t="s">
        <v>59</v>
      </c>
      <c r="N160" t="s">
        <v>59</v>
      </c>
      <c r="O160" t="s">
        <v>59</v>
      </c>
      <c r="P160" t="s">
        <v>59</v>
      </c>
      <c r="Q160" t="s">
        <v>59</v>
      </c>
      <c r="R160" t="s">
        <v>59</v>
      </c>
      <c r="S160" t="s">
        <v>59</v>
      </c>
      <c r="T160" t="s">
        <v>59</v>
      </c>
      <c r="U160" t="s">
        <v>59</v>
      </c>
      <c r="V160" t="s">
        <v>59</v>
      </c>
      <c r="W160" t="s">
        <v>59</v>
      </c>
      <c r="X160" t="s">
        <v>59</v>
      </c>
      <c r="Y160" t="s">
        <v>59</v>
      </c>
    </row>
    <row r="161" spans="1:25" x14ac:dyDescent="0.25">
      <c r="A161">
        <v>138</v>
      </c>
      <c r="B161" t="s">
        <v>5272</v>
      </c>
      <c r="C161" t="s">
        <v>640</v>
      </c>
      <c r="D161" t="s">
        <v>4275</v>
      </c>
      <c r="E161" t="s">
        <v>59</v>
      </c>
      <c r="F161">
        <v>-1</v>
      </c>
      <c r="G161" t="s">
        <v>59</v>
      </c>
      <c r="H161" t="s">
        <v>59</v>
      </c>
      <c r="I161" t="s">
        <v>59</v>
      </c>
      <c r="J161" t="s">
        <v>59</v>
      </c>
      <c r="K161" t="s">
        <v>59</v>
      </c>
      <c r="L161" t="s">
        <v>59</v>
      </c>
      <c r="M161" t="s">
        <v>59</v>
      </c>
      <c r="N161" t="s">
        <v>59</v>
      </c>
      <c r="O161" t="s">
        <v>59</v>
      </c>
      <c r="P161" t="s">
        <v>59</v>
      </c>
      <c r="Q161" t="s">
        <v>59</v>
      </c>
      <c r="R161" t="s">
        <v>59</v>
      </c>
      <c r="S161" t="s">
        <v>59</v>
      </c>
      <c r="T161" t="s">
        <v>59</v>
      </c>
      <c r="U161" t="s">
        <v>59</v>
      </c>
      <c r="V161" t="s">
        <v>59</v>
      </c>
      <c r="W161" t="s">
        <v>59</v>
      </c>
      <c r="X161" t="s">
        <v>59</v>
      </c>
      <c r="Y161" t="s">
        <v>59</v>
      </c>
    </row>
    <row r="162" spans="1:25" x14ac:dyDescent="0.25">
      <c r="A162">
        <v>67</v>
      </c>
      <c r="B162" t="s">
        <v>5272</v>
      </c>
      <c r="C162" t="s">
        <v>4224</v>
      </c>
      <c r="D162" t="s">
        <v>4225</v>
      </c>
      <c r="E162" t="s">
        <v>59</v>
      </c>
      <c r="F162">
        <v>-1</v>
      </c>
      <c r="G162" t="s">
        <v>59</v>
      </c>
      <c r="H162" t="s">
        <v>59</v>
      </c>
      <c r="I162" t="s">
        <v>59</v>
      </c>
      <c r="J162" t="s">
        <v>59</v>
      </c>
      <c r="K162" t="s">
        <v>59</v>
      </c>
      <c r="L162" t="s">
        <v>59</v>
      </c>
      <c r="M162" t="s">
        <v>59</v>
      </c>
      <c r="N162" t="s">
        <v>59</v>
      </c>
      <c r="O162" t="s">
        <v>59</v>
      </c>
      <c r="P162" t="s">
        <v>59</v>
      </c>
      <c r="Q162" t="s">
        <v>59</v>
      </c>
      <c r="R162" t="s">
        <v>59</v>
      </c>
      <c r="S162" t="s">
        <v>59</v>
      </c>
      <c r="T162" t="s">
        <v>59</v>
      </c>
      <c r="U162" t="s">
        <v>59</v>
      </c>
      <c r="V162" t="s">
        <v>59</v>
      </c>
      <c r="W162" t="s">
        <v>59</v>
      </c>
      <c r="X162" t="s">
        <v>59</v>
      </c>
      <c r="Y162" t="s">
        <v>59</v>
      </c>
    </row>
    <row r="163" spans="1:25" x14ac:dyDescent="0.25">
      <c r="A163">
        <v>41</v>
      </c>
      <c r="B163" t="s">
        <v>5272</v>
      </c>
      <c r="C163" t="s">
        <v>4192</v>
      </c>
      <c r="D163" t="s">
        <v>4193</v>
      </c>
      <c r="E163" t="s">
        <v>59</v>
      </c>
      <c r="F163">
        <v>-1</v>
      </c>
      <c r="G163" t="s">
        <v>59</v>
      </c>
      <c r="H163" t="s">
        <v>59</v>
      </c>
      <c r="I163" t="s">
        <v>59</v>
      </c>
      <c r="J163" t="s">
        <v>59</v>
      </c>
      <c r="K163" t="s">
        <v>59</v>
      </c>
      <c r="L163" t="s">
        <v>59</v>
      </c>
      <c r="M163" t="s">
        <v>59</v>
      </c>
      <c r="N163" t="s">
        <v>59</v>
      </c>
      <c r="O163" t="s">
        <v>59</v>
      </c>
      <c r="P163" t="s">
        <v>59</v>
      </c>
      <c r="Q163" t="s">
        <v>59</v>
      </c>
      <c r="R163" t="s">
        <v>59</v>
      </c>
      <c r="S163" t="s">
        <v>59</v>
      </c>
      <c r="T163" t="s">
        <v>59</v>
      </c>
      <c r="U163" t="s">
        <v>59</v>
      </c>
      <c r="V163" t="s">
        <v>59</v>
      </c>
      <c r="W163" t="s">
        <v>59</v>
      </c>
      <c r="X163" t="s">
        <v>59</v>
      </c>
      <c r="Y163" t="s">
        <v>59</v>
      </c>
    </row>
    <row r="164" spans="1:25" x14ac:dyDescent="0.25">
      <c r="A164">
        <v>72</v>
      </c>
      <c r="B164" t="s">
        <v>5272</v>
      </c>
      <c r="C164" t="s">
        <v>963</v>
      </c>
      <c r="D164" t="s">
        <v>4200</v>
      </c>
      <c r="E164" t="s">
        <v>59</v>
      </c>
      <c r="F164">
        <v>-1</v>
      </c>
      <c r="G164" t="s">
        <v>59</v>
      </c>
      <c r="H164" t="s">
        <v>59</v>
      </c>
      <c r="I164" t="s">
        <v>59</v>
      </c>
      <c r="J164" t="s">
        <v>59</v>
      </c>
      <c r="K164" t="s">
        <v>59</v>
      </c>
      <c r="L164" t="s">
        <v>59</v>
      </c>
      <c r="M164" t="s">
        <v>59</v>
      </c>
      <c r="N164" t="s">
        <v>59</v>
      </c>
      <c r="O164" t="s">
        <v>59</v>
      </c>
      <c r="P164" t="s">
        <v>59</v>
      </c>
      <c r="Q164" t="s">
        <v>59</v>
      </c>
      <c r="R164" t="s">
        <v>59</v>
      </c>
      <c r="S164" t="s">
        <v>59</v>
      </c>
      <c r="T164" t="s">
        <v>59</v>
      </c>
      <c r="U164" t="s">
        <v>59</v>
      </c>
      <c r="V164" t="s">
        <v>59</v>
      </c>
      <c r="W164" t="s">
        <v>59</v>
      </c>
      <c r="X164" t="s">
        <v>59</v>
      </c>
      <c r="Y164" t="s">
        <v>59</v>
      </c>
    </row>
    <row r="165" spans="1:25" x14ac:dyDescent="0.25">
      <c r="A165">
        <v>46</v>
      </c>
      <c r="B165" t="s">
        <v>5272</v>
      </c>
      <c r="C165" t="s">
        <v>929</v>
      </c>
      <c r="D165" t="s">
        <v>4200</v>
      </c>
      <c r="E165" t="s">
        <v>59</v>
      </c>
      <c r="F165">
        <v>-1</v>
      </c>
      <c r="G165" t="s">
        <v>59</v>
      </c>
      <c r="H165" t="s">
        <v>59</v>
      </c>
      <c r="I165" t="s">
        <v>59</v>
      </c>
      <c r="J165" t="s">
        <v>59</v>
      </c>
      <c r="K165" t="s">
        <v>59</v>
      </c>
      <c r="L165" t="s">
        <v>59</v>
      </c>
      <c r="M165" t="s">
        <v>59</v>
      </c>
      <c r="N165" t="s">
        <v>59</v>
      </c>
      <c r="O165" t="s">
        <v>59</v>
      </c>
      <c r="P165" t="s">
        <v>59</v>
      </c>
      <c r="Q165" t="s">
        <v>59</v>
      </c>
      <c r="R165" t="s">
        <v>59</v>
      </c>
      <c r="S165" t="s">
        <v>59</v>
      </c>
      <c r="T165" t="s">
        <v>59</v>
      </c>
      <c r="U165" t="s">
        <v>59</v>
      </c>
      <c r="V165" t="s">
        <v>59</v>
      </c>
      <c r="W165" t="s">
        <v>59</v>
      </c>
      <c r="X165" t="s">
        <v>59</v>
      </c>
      <c r="Y165" t="s">
        <v>59</v>
      </c>
    </row>
    <row r="166" spans="1:25" x14ac:dyDescent="0.25">
      <c r="A166">
        <v>50</v>
      </c>
      <c r="B166" t="s">
        <v>5272</v>
      </c>
      <c r="C166" t="s">
        <v>4206</v>
      </c>
      <c r="D166" t="s">
        <v>4200</v>
      </c>
      <c r="E166" t="s">
        <v>59</v>
      </c>
      <c r="F166">
        <v>-1</v>
      </c>
      <c r="G166" t="s">
        <v>59</v>
      </c>
      <c r="H166" t="s">
        <v>59</v>
      </c>
      <c r="I166" t="s">
        <v>59</v>
      </c>
      <c r="J166" t="s">
        <v>59</v>
      </c>
      <c r="K166" t="s">
        <v>59</v>
      </c>
      <c r="L166" t="s">
        <v>59</v>
      </c>
      <c r="M166" t="s">
        <v>59</v>
      </c>
      <c r="N166" t="s">
        <v>59</v>
      </c>
      <c r="O166" t="s">
        <v>59</v>
      </c>
      <c r="P166" t="s">
        <v>59</v>
      </c>
      <c r="Q166" t="s">
        <v>59</v>
      </c>
      <c r="R166" t="s">
        <v>59</v>
      </c>
      <c r="S166" t="s">
        <v>59</v>
      </c>
      <c r="T166" t="s">
        <v>59</v>
      </c>
      <c r="U166" t="s">
        <v>59</v>
      </c>
      <c r="V166" t="s">
        <v>59</v>
      </c>
      <c r="W166" t="s">
        <v>59</v>
      </c>
      <c r="X166" t="s">
        <v>59</v>
      </c>
      <c r="Y166" t="s">
        <v>59</v>
      </c>
    </row>
    <row r="167" spans="1:25" x14ac:dyDescent="0.25">
      <c r="A167">
        <v>73</v>
      </c>
      <c r="B167" t="s">
        <v>5272</v>
      </c>
      <c r="C167" t="s">
        <v>941</v>
      </c>
      <c r="D167" t="s">
        <v>4200</v>
      </c>
      <c r="E167" t="s">
        <v>59</v>
      </c>
      <c r="F167">
        <v>-1</v>
      </c>
      <c r="G167" t="s">
        <v>59</v>
      </c>
      <c r="H167" t="s">
        <v>59</v>
      </c>
      <c r="I167" t="s">
        <v>59</v>
      </c>
      <c r="J167" t="s">
        <v>59</v>
      </c>
      <c r="K167" t="s">
        <v>59</v>
      </c>
      <c r="L167" t="s">
        <v>59</v>
      </c>
      <c r="M167" t="s">
        <v>59</v>
      </c>
      <c r="N167" t="s">
        <v>59</v>
      </c>
      <c r="O167" t="s">
        <v>59</v>
      </c>
      <c r="P167" t="s">
        <v>59</v>
      </c>
      <c r="Q167" t="s">
        <v>59</v>
      </c>
      <c r="R167" t="s">
        <v>59</v>
      </c>
      <c r="S167" t="s">
        <v>59</v>
      </c>
      <c r="T167" t="s">
        <v>59</v>
      </c>
      <c r="U167" t="s">
        <v>59</v>
      </c>
      <c r="V167" t="s">
        <v>59</v>
      </c>
      <c r="W167" t="s">
        <v>59</v>
      </c>
      <c r="X167" t="s">
        <v>59</v>
      </c>
      <c r="Y167" t="s">
        <v>59</v>
      </c>
    </row>
    <row r="168" spans="1:25" x14ac:dyDescent="0.25">
      <c r="A168">
        <v>45</v>
      </c>
      <c r="B168" t="s">
        <v>5272</v>
      </c>
      <c r="C168" t="s">
        <v>928</v>
      </c>
      <c r="D168" t="s">
        <v>4199</v>
      </c>
      <c r="E168" t="s">
        <v>59</v>
      </c>
      <c r="F168">
        <v>-1</v>
      </c>
      <c r="G168" t="s">
        <v>59</v>
      </c>
      <c r="H168" t="s">
        <v>59</v>
      </c>
      <c r="I168" t="s">
        <v>59</v>
      </c>
      <c r="J168" t="s">
        <v>59</v>
      </c>
      <c r="K168" t="s">
        <v>59</v>
      </c>
      <c r="L168" t="s">
        <v>59</v>
      </c>
      <c r="M168" t="s">
        <v>59</v>
      </c>
      <c r="N168" t="s">
        <v>59</v>
      </c>
      <c r="O168" t="s">
        <v>59</v>
      </c>
      <c r="P168" t="s">
        <v>59</v>
      </c>
      <c r="Q168" t="s">
        <v>59</v>
      </c>
      <c r="R168" t="s">
        <v>59</v>
      </c>
      <c r="S168" t="s">
        <v>59</v>
      </c>
      <c r="T168" t="s">
        <v>59</v>
      </c>
      <c r="U168" t="s">
        <v>59</v>
      </c>
      <c r="V168" t="s">
        <v>59</v>
      </c>
      <c r="W168" t="s">
        <v>59</v>
      </c>
      <c r="X168" t="s">
        <v>59</v>
      </c>
      <c r="Y168" t="s">
        <v>59</v>
      </c>
    </row>
    <row r="169" spans="1:25" x14ac:dyDescent="0.25">
      <c r="A169">
        <v>49</v>
      </c>
      <c r="B169" t="s">
        <v>5272</v>
      </c>
      <c r="C169" t="s">
        <v>4205</v>
      </c>
      <c r="D169" t="s">
        <v>4199</v>
      </c>
      <c r="E169" t="s">
        <v>59</v>
      </c>
      <c r="F169">
        <v>-1</v>
      </c>
      <c r="G169" t="s">
        <v>59</v>
      </c>
      <c r="H169" t="s">
        <v>59</v>
      </c>
      <c r="I169" t="s">
        <v>59</v>
      </c>
      <c r="J169" t="s">
        <v>59</v>
      </c>
      <c r="K169" t="s">
        <v>59</v>
      </c>
      <c r="L169" t="s">
        <v>59</v>
      </c>
      <c r="M169" t="s">
        <v>59</v>
      </c>
      <c r="N169" t="s">
        <v>59</v>
      </c>
      <c r="O169" t="s">
        <v>59</v>
      </c>
      <c r="P169" t="s">
        <v>59</v>
      </c>
      <c r="Q169" t="s">
        <v>59</v>
      </c>
      <c r="R169" t="s">
        <v>59</v>
      </c>
      <c r="S169" t="s">
        <v>59</v>
      </c>
      <c r="T169" t="s">
        <v>59</v>
      </c>
      <c r="U169" t="s">
        <v>59</v>
      </c>
      <c r="V169" t="s">
        <v>59</v>
      </c>
      <c r="W169" t="s">
        <v>59</v>
      </c>
      <c r="X169" t="s">
        <v>59</v>
      </c>
      <c r="Y169" t="s">
        <v>59</v>
      </c>
    </row>
    <row r="170" spans="1:25" x14ac:dyDescent="0.25">
      <c r="A170">
        <v>76</v>
      </c>
      <c r="B170" t="s">
        <v>5272</v>
      </c>
      <c r="C170" t="s">
        <v>4233</v>
      </c>
      <c r="D170" t="s">
        <v>4229</v>
      </c>
      <c r="E170" t="s">
        <v>59</v>
      </c>
      <c r="F170">
        <v>-1</v>
      </c>
      <c r="G170" t="s">
        <v>59</v>
      </c>
      <c r="H170" t="s">
        <v>59</v>
      </c>
      <c r="I170" t="s">
        <v>59</v>
      </c>
      <c r="J170" t="s">
        <v>59</v>
      </c>
      <c r="K170" t="s">
        <v>59</v>
      </c>
      <c r="L170" t="s">
        <v>59</v>
      </c>
      <c r="M170" t="s">
        <v>59</v>
      </c>
      <c r="N170" t="s">
        <v>59</v>
      </c>
      <c r="O170" t="s">
        <v>59</v>
      </c>
      <c r="P170" t="s">
        <v>59</v>
      </c>
      <c r="Q170" t="s">
        <v>59</v>
      </c>
      <c r="R170" t="s">
        <v>59</v>
      </c>
      <c r="S170" t="s">
        <v>59</v>
      </c>
      <c r="T170" t="s">
        <v>59</v>
      </c>
      <c r="U170" t="s">
        <v>59</v>
      </c>
      <c r="V170" t="s">
        <v>59</v>
      </c>
      <c r="W170" t="s">
        <v>59</v>
      </c>
      <c r="X170" t="s">
        <v>59</v>
      </c>
      <c r="Y170" t="s">
        <v>59</v>
      </c>
    </row>
    <row r="171" spans="1:25" x14ac:dyDescent="0.25">
      <c r="A171">
        <v>70</v>
      </c>
      <c r="B171" t="s">
        <v>5272</v>
      </c>
      <c r="C171" t="s">
        <v>4228</v>
      </c>
      <c r="D171" t="s">
        <v>4229</v>
      </c>
      <c r="E171" t="s">
        <v>59</v>
      </c>
      <c r="F171">
        <v>-1</v>
      </c>
      <c r="G171" t="s">
        <v>59</v>
      </c>
      <c r="H171" t="s">
        <v>59</v>
      </c>
      <c r="I171" t="s">
        <v>59</v>
      </c>
      <c r="J171" t="s">
        <v>59</v>
      </c>
      <c r="K171" t="s">
        <v>59</v>
      </c>
      <c r="L171" t="s">
        <v>59</v>
      </c>
      <c r="M171" t="s">
        <v>59</v>
      </c>
      <c r="N171" t="s">
        <v>59</v>
      </c>
      <c r="O171" t="s">
        <v>59</v>
      </c>
      <c r="P171" t="s">
        <v>59</v>
      </c>
      <c r="Q171" t="s">
        <v>59</v>
      </c>
      <c r="R171" t="s">
        <v>59</v>
      </c>
      <c r="S171" t="s">
        <v>59</v>
      </c>
      <c r="T171" t="s">
        <v>59</v>
      </c>
      <c r="U171" t="s">
        <v>59</v>
      </c>
      <c r="V171" t="s">
        <v>59</v>
      </c>
      <c r="W171" t="s">
        <v>59</v>
      </c>
      <c r="X171" t="s">
        <v>59</v>
      </c>
      <c r="Y171" t="s">
        <v>59</v>
      </c>
    </row>
    <row r="172" spans="1:25" x14ac:dyDescent="0.25">
      <c r="A172">
        <v>430</v>
      </c>
      <c r="B172" t="s">
        <v>5272</v>
      </c>
      <c r="C172" t="s">
        <v>4761</v>
      </c>
      <c r="D172" t="s">
        <v>4762</v>
      </c>
      <c r="E172" t="s">
        <v>59</v>
      </c>
      <c r="F172">
        <v>-1</v>
      </c>
      <c r="G172" t="s">
        <v>59</v>
      </c>
      <c r="H172" t="s">
        <v>59</v>
      </c>
      <c r="I172" t="s">
        <v>59</v>
      </c>
      <c r="J172" t="s">
        <v>59</v>
      </c>
      <c r="K172" t="s">
        <v>59</v>
      </c>
      <c r="L172" t="s">
        <v>59</v>
      </c>
      <c r="M172" t="s">
        <v>59</v>
      </c>
      <c r="N172" t="s">
        <v>59</v>
      </c>
      <c r="O172" t="s">
        <v>59</v>
      </c>
      <c r="P172" t="s">
        <v>59</v>
      </c>
      <c r="Q172" t="s">
        <v>59</v>
      </c>
      <c r="R172" t="s">
        <v>59</v>
      </c>
      <c r="S172" t="s">
        <v>59</v>
      </c>
      <c r="T172" t="s">
        <v>59</v>
      </c>
      <c r="U172" t="s">
        <v>59</v>
      </c>
      <c r="V172" t="s">
        <v>59</v>
      </c>
      <c r="W172" t="s">
        <v>59</v>
      </c>
      <c r="X172" t="s">
        <v>59</v>
      </c>
      <c r="Y172" t="s">
        <v>59</v>
      </c>
    </row>
    <row r="173" spans="1:25" x14ac:dyDescent="0.25">
      <c r="A173">
        <v>431</v>
      </c>
      <c r="B173" t="s">
        <v>5272</v>
      </c>
      <c r="C173" t="s">
        <v>4763</v>
      </c>
      <c r="D173" t="s">
        <v>4764</v>
      </c>
      <c r="E173" t="s">
        <v>59</v>
      </c>
      <c r="F173">
        <v>-1</v>
      </c>
      <c r="G173" t="s">
        <v>59</v>
      </c>
      <c r="H173" t="s">
        <v>59</v>
      </c>
      <c r="I173" t="s">
        <v>59</v>
      </c>
      <c r="J173" t="s">
        <v>59</v>
      </c>
      <c r="K173" t="s">
        <v>59</v>
      </c>
      <c r="L173" t="s">
        <v>59</v>
      </c>
      <c r="M173" t="s">
        <v>59</v>
      </c>
      <c r="N173" t="s">
        <v>59</v>
      </c>
      <c r="O173" t="s">
        <v>59</v>
      </c>
      <c r="P173" t="s">
        <v>59</v>
      </c>
      <c r="Q173" t="s">
        <v>59</v>
      </c>
      <c r="R173" t="s">
        <v>59</v>
      </c>
      <c r="S173" t="s">
        <v>59</v>
      </c>
      <c r="T173" t="s">
        <v>59</v>
      </c>
      <c r="U173" t="s">
        <v>59</v>
      </c>
      <c r="V173" t="s">
        <v>59</v>
      </c>
      <c r="W173" t="s">
        <v>59</v>
      </c>
      <c r="X173" t="s">
        <v>59</v>
      </c>
      <c r="Y173" t="s">
        <v>59</v>
      </c>
    </row>
    <row r="174" spans="1:25" x14ac:dyDescent="0.25">
      <c r="A174">
        <v>432</v>
      </c>
      <c r="B174" t="s">
        <v>5272</v>
      </c>
      <c r="C174" t="s">
        <v>4765</v>
      </c>
      <c r="D174" t="s">
        <v>4766</v>
      </c>
      <c r="E174" t="s">
        <v>59</v>
      </c>
      <c r="F174">
        <v>-1</v>
      </c>
      <c r="G174" t="s">
        <v>59</v>
      </c>
      <c r="H174" t="s">
        <v>59</v>
      </c>
      <c r="I174" t="s">
        <v>59</v>
      </c>
      <c r="J174" t="s">
        <v>59</v>
      </c>
      <c r="K174" t="s">
        <v>59</v>
      </c>
      <c r="L174" t="s">
        <v>59</v>
      </c>
      <c r="M174" t="s">
        <v>59</v>
      </c>
      <c r="N174" t="s">
        <v>59</v>
      </c>
      <c r="O174" t="s">
        <v>59</v>
      </c>
      <c r="P174" t="s">
        <v>59</v>
      </c>
      <c r="Q174" t="s">
        <v>59</v>
      </c>
      <c r="R174" t="s">
        <v>59</v>
      </c>
      <c r="S174" t="s">
        <v>59</v>
      </c>
      <c r="T174" t="s">
        <v>59</v>
      </c>
      <c r="U174" t="s">
        <v>59</v>
      </c>
      <c r="V174" t="s">
        <v>59</v>
      </c>
      <c r="W174" t="s">
        <v>59</v>
      </c>
      <c r="X174" t="s">
        <v>59</v>
      </c>
      <c r="Y174" t="s">
        <v>59</v>
      </c>
    </row>
    <row r="175" spans="1:25" x14ac:dyDescent="0.25">
      <c r="A175">
        <v>433</v>
      </c>
      <c r="B175" t="s">
        <v>5272</v>
      </c>
      <c r="C175" t="s">
        <v>4767</v>
      </c>
      <c r="D175" t="s">
        <v>4768</v>
      </c>
      <c r="E175" t="s">
        <v>59</v>
      </c>
      <c r="F175">
        <v>-1</v>
      </c>
      <c r="G175" t="s">
        <v>59</v>
      </c>
      <c r="H175" t="s">
        <v>59</v>
      </c>
      <c r="I175" t="s">
        <v>59</v>
      </c>
      <c r="J175" t="s">
        <v>59</v>
      </c>
      <c r="K175" t="s">
        <v>59</v>
      </c>
      <c r="L175" t="s">
        <v>59</v>
      </c>
      <c r="M175" t="s">
        <v>59</v>
      </c>
      <c r="N175" t="s">
        <v>59</v>
      </c>
      <c r="O175" t="s">
        <v>59</v>
      </c>
      <c r="P175" t="s">
        <v>59</v>
      </c>
      <c r="Q175" t="s">
        <v>59</v>
      </c>
      <c r="R175" t="s">
        <v>59</v>
      </c>
      <c r="S175" t="s">
        <v>59</v>
      </c>
      <c r="T175" t="s">
        <v>59</v>
      </c>
      <c r="U175" t="s">
        <v>59</v>
      </c>
      <c r="V175" t="s">
        <v>59</v>
      </c>
      <c r="W175" t="s">
        <v>59</v>
      </c>
      <c r="X175" t="s">
        <v>59</v>
      </c>
      <c r="Y175" t="s">
        <v>59</v>
      </c>
    </row>
    <row r="176" spans="1:25" x14ac:dyDescent="0.25">
      <c r="A176">
        <v>434</v>
      </c>
      <c r="B176" t="s">
        <v>5272</v>
      </c>
      <c r="C176" t="s">
        <v>4769</v>
      </c>
      <c r="D176" t="s">
        <v>4770</v>
      </c>
      <c r="E176" t="s">
        <v>59</v>
      </c>
      <c r="F176">
        <v>-1</v>
      </c>
      <c r="G176" t="s">
        <v>59</v>
      </c>
      <c r="H176" t="s">
        <v>59</v>
      </c>
      <c r="I176" t="s">
        <v>59</v>
      </c>
      <c r="J176" t="s">
        <v>59</v>
      </c>
      <c r="K176" t="s">
        <v>59</v>
      </c>
      <c r="L176" t="s">
        <v>59</v>
      </c>
      <c r="M176" t="s">
        <v>59</v>
      </c>
      <c r="N176" t="s">
        <v>59</v>
      </c>
      <c r="O176" t="s">
        <v>59</v>
      </c>
      <c r="P176" t="s">
        <v>59</v>
      </c>
      <c r="Q176" t="s">
        <v>59</v>
      </c>
      <c r="R176" t="s">
        <v>59</v>
      </c>
      <c r="S176" t="s">
        <v>59</v>
      </c>
      <c r="T176" t="s">
        <v>59</v>
      </c>
      <c r="U176" t="s">
        <v>59</v>
      </c>
      <c r="V176" t="s">
        <v>59</v>
      </c>
      <c r="W176" t="s">
        <v>59</v>
      </c>
      <c r="X176" t="s">
        <v>59</v>
      </c>
      <c r="Y176" t="s">
        <v>59</v>
      </c>
    </row>
    <row r="177" spans="1:25" x14ac:dyDescent="0.25">
      <c r="A177">
        <v>548</v>
      </c>
      <c r="B177" t="s">
        <v>5272</v>
      </c>
      <c r="C177" t="s">
        <v>1551</v>
      </c>
      <c r="D177" t="s">
        <v>4978</v>
      </c>
      <c r="E177" t="s">
        <v>59</v>
      </c>
      <c r="F177">
        <v>-1</v>
      </c>
      <c r="G177" t="s">
        <v>59</v>
      </c>
      <c r="H177" t="s">
        <v>59</v>
      </c>
      <c r="I177" t="s">
        <v>59</v>
      </c>
      <c r="J177" t="s">
        <v>59</v>
      </c>
      <c r="K177" t="s">
        <v>59</v>
      </c>
      <c r="L177" t="s">
        <v>59</v>
      </c>
      <c r="M177" t="s">
        <v>59</v>
      </c>
      <c r="N177" t="s">
        <v>59</v>
      </c>
      <c r="O177" t="s">
        <v>59</v>
      </c>
      <c r="P177" t="s">
        <v>59</v>
      </c>
      <c r="Q177" t="s">
        <v>59</v>
      </c>
      <c r="R177" t="s">
        <v>59</v>
      </c>
      <c r="S177" t="s">
        <v>59</v>
      </c>
      <c r="T177" t="s">
        <v>59</v>
      </c>
      <c r="U177" t="s">
        <v>59</v>
      </c>
      <c r="V177" t="s">
        <v>59</v>
      </c>
      <c r="W177" t="s">
        <v>59</v>
      </c>
      <c r="X177" t="s">
        <v>59</v>
      </c>
      <c r="Y177" t="s">
        <v>59</v>
      </c>
    </row>
    <row r="178" spans="1:25" x14ac:dyDescent="0.25">
      <c r="A178">
        <v>562</v>
      </c>
      <c r="B178" t="s">
        <v>5272</v>
      </c>
      <c r="C178" t="s">
        <v>1576</v>
      </c>
      <c r="D178" t="s">
        <v>5006</v>
      </c>
      <c r="E178" t="s">
        <v>59</v>
      </c>
      <c r="F178">
        <v>-1</v>
      </c>
      <c r="G178" t="s">
        <v>59</v>
      </c>
      <c r="H178" t="s">
        <v>59</v>
      </c>
      <c r="I178" t="s">
        <v>59</v>
      </c>
      <c r="J178" t="s">
        <v>59</v>
      </c>
      <c r="K178" t="s">
        <v>59</v>
      </c>
      <c r="L178" t="s">
        <v>59</v>
      </c>
      <c r="M178" t="s">
        <v>59</v>
      </c>
      <c r="N178" t="s">
        <v>59</v>
      </c>
      <c r="O178" t="s">
        <v>59</v>
      </c>
      <c r="P178" t="s">
        <v>59</v>
      </c>
      <c r="Q178" t="s">
        <v>59</v>
      </c>
      <c r="R178" t="s">
        <v>59</v>
      </c>
      <c r="S178" t="s">
        <v>59</v>
      </c>
      <c r="T178" t="s">
        <v>59</v>
      </c>
      <c r="U178" t="s">
        <v>59</v>
      </c>
      <c r="V178" t="s">
        <v>59</v>
      </c>
      <c r="W178" t="s">
        <v>59</v>
      </c>
      <c r="X178" t="s">
        <v>59</v>
      </c>
      <c r="Y178" t="s">
        <v>59</v>
      </c>
    </row>
    <row r="179" spans="1:25" x14ac:dyDescent="0.25">
      <c r="A179">
        <v>692</v>
      </c>
      <c r="B179" t="s">
        <v>5272</v>
      </c>
      <c r="C179" t="s">
        <v>5253</v>
      </c>
      <c r="D179" t="s">
        <v>5254</v>
      </c>
      <c r="E179" t="s">
        <v>59</v>
      </c>
      <c r="F179">
        <v>-1</v>
      </c>
      <c r="G179" t="s">
        <v>59</v>
      </c>
      <c r="H179" t="s">
        <v>59</v>
      </c>
      <c r="I179" t="s">
        <v>59</v>
      </c>
      <c r="J179" t="s">
        <v>59</v>
      </c>
      <c r="K179" t="s">
        <v>59</v>
      </c>
      <c r="L179" t="s">
        <v>59</v>
      </c>
      <c r="M179" t="s">
        <v>59</v>
      </c>
      <c r="N179" t="s">
        <v>59</v>
      </c>
      <c r="O179" t="s">
        <v>59</v>
      </c>
      <c r="P179" t="s">
        <v>59</v>
      </c>
      <c r="Q179" t="s">
        <v>59</v>
      </c>
      <c r="R179" t="s">
        <v>59</v>
      </c>
      <c r="S179" t="s">
        <v>59</v>
      </c>
      <c r="T179" t="s">
        <v>59</v>
      </c>
      <c r="U179" t="s">
        <v>59</v>
      </c>
      <c r="V179" t="s">
        <v>59</v>
      </c>
      <c r="W179" t="s">
        <v>59</v>
      </c>
      <c r="X179" t="s">
        <v>59</v>
      </c>
      <c r="Y179" t="s">
        <v>59</v>
      </c>
    </row>
    <row r="180" spans="1:25" x14ac:dyDescent="0.25">
      <c r="A180">
        <v>693</v>
      </c>
      <c r="B180" t="s">
        <v>5272</v>
      </c>
      <c r="C180" t="s">
        <v>5255</v>
      </c>
      <c r="D180" t="s">
        <v>5256</v>
      </c>
      <c r="E180" t="s">
        <v>59</v>
      </c>
      <c r="F180">
        <v>-1</v>
      </c>
      <c r="G180" t="s">
        <v>59</v>
      </c>
      <c r="H180" t="s">
        <v>59</v>
      </c>
      <c r="I180" t="s">
        <v>59</v>
      </c>
      <c r="J180" t="s">
        <v>59</v>
      </c>
      <c r="K180" t="s">
        <v>59</v>
      </c>
      <c r="L180" t="s">
        <v>59</v>
      </c>
      <c r="M180" t="s">
        <v>59</v>
      </c>
      <c r="N180" t="s">
        <v>59</v>
      </c>
      <c r="O180" t="s">
        <v>59</v>
      </c>
      <c r="P180" t="s">
        <v>59</v>
      </c>
      <c r="Q180" t="s">
        <v>59</v>
      </c>
      <c r="R180" t="s">
        <v>59</v>
      </c>
      <c r="S180" t="s">
        <v>59</v>
      </c>
      <c r="T180" t="s">
        <v>59</v>
      </c>
      <c r="U180" t="s">
        <v>59</v>
      </c>
      <c r="V180" t="s">
        <v>59</v>
      </c>
      <c r="W180" t="s">
        <v>59</v>
      </c>
      <c r="X180" t="s">
        <v>59</v>
      </c>
      <c r="Y180" t="s">
        <v>59</v>
      </c>
    </row>
    <row r="181" spans="1:25" x14ac:dyDescent="0.25">
      <c r="A181">
        <v>694</v>
      </c>
      <c r="B181" t="s">
        <v>5272</v>
      </c>
      <c r="C181" t="s">
        <v>1446</v>
      </c>
      <c r="D181" t="s">
        <v>5257</v>
      </c>
      <c r="E181" t="s">
        <v>59</v>
      </c>
      <c r="F181">
        <v>-1</v>
      </c>
      <c r="G181" t="s">
        <v>59</v>
      </c>
      <c r="H181" t="s">
        <v>59</v>
      </c>
      <c r="I181" t="s">
        <v>59</v>
      </c>
      <c r="J181" t="s">
        <v>59</v>
      </c>
      <c r="K181" t="s">
        <v>59</v>
      </c>
      <c r="L181" t="s">
        <v>59</v>
      </c>
      <c r="M181" t="s">
        <v>59</v>
      </c>
      <c r="N181" t="s">
        <v>59</v>
      </c>
      <c r="O181" t="s">
        <v>59</v>
      </c>
      <c r="P181" t="s">
        <v>59</v>
      </c>
      <c r="Q181" t="s">
        <v>59</v>
      </c>
      <c r="R181" t="s">
        <v>59</v>
      </c>
      <c r="S181" t="s">
        <v>59</v>
      </c>
      <c r="T181" t="s">
        <v>59</v>
      </c>
      <c r="U181" t="s">
        <v>59</v>
      </c>
      <c r="V181" t="s">
        <v>59</v>
      </c>
      <c r="W181" t="s">
        <v>59</v>
      </c>
      <c r="X181" t="s">
        <v>59</v>
      </c>
      <c r="Y181" t="s">
        <v>59</v>
      </c>
    </row>
    <row r="182" spans="1:25" x14ac:dyDescent="0.25">
      <c r="A182">
        <v>695</v>
      </c>
      <c r="B182" t="s">
        <v>5272</v>
      </c>
      <c r="C182" t="s">
        <v>1441</v>
      </c>
      <c r="D182" t="s">
        <v>5258</v>
      </c>
      <c r="E182" t="s">
        <v>59</v>
      </c>
      <c r="F182">
        <v>-1</v>
      </c>
      <c r="G182" t="s">
        <v>59</v>
      </c>
      <c r="H182" t="s">
        <v>59</v>
      </c>
      <c r="I182" t="s">
        <v>59</v>
      </c>
      <c r="J182" t="s">
        <v>59</v>
      </c>
      <c r="K182" t="s">
        <v>59</v>
      </c>
      <c r="L182" t="s">
        <v>59</v>
      </c>
      <c r="M182" t="s">
        <v>59</v>
      </c>
      <c r="N182" t="s">
        <v>59</v>
      </c>
      <c r="O182" t="s">
        <v>59</v>
      </c>
      <c r="P182" t="s">
        <v>59</v>
      </c>
      <c r="Q182" t="s">
        <v>59</v>
      </c>
      <c r="R182" t="s">
        <v>59</v>
      </c>
      <c r="S182" t="s">
        <v>59</v>
      </c>
      <c r="T182" t="s">
        <v>59</v>
      </c>
      <c r="U182" t="s">
        <v>59</v>
      </c>
      <c r="V182" t="s">
        <v>59</v>
      </c>
      <c r="W182" t="s">
        <v>59</v>
      </c>
      <c r="X182" t="s">
        <v>59</v>
      </c>
      <c r="Y182" t="s">
        <v>59</v>
      </c>
    </row>
    <row r="183" spans="1:25" x14ac:dyDescent="0.25">
      <c r="A183">
        <v>696</v>
      </c>
      <c r="B183" t="s">
        <v>5272</v>
      </c>
      <c r="C183" t="s">
        <v>5259</v>
      </c>
      <c r="D183" t="s">
        <v>5260</v>
      </c>
      <c r="E183" t="s">
        <v>59</v>
      </c>
      <c r="F183">
        <v>-1</v>
      </c>
      <c r="G183" t="s">
        <v>59</v>
      </c>
      <c r="H183" t="s">
        <v>59</v>
      </c>
      <c r="I183" t="s">
        <v>59</v>
      </c>
      <c r="J183" t="s">
        <v>59</v>
      </c>
      <c r="K183" t="s">
        <v>59</v>
      </c>
      <c r="L183" t="s">
        <v>59</v>
      </c>
      <c r="M183" t="s">
        <v>59</v>
      </c>
      <c r="N183" t="s">
        <v>59</v>
      </c>
      <c r="O183" t="s">
        <v>59</v>
      </c>
      <c r="P183" t="s">
        <v>59</v>
      </c>
      <c r="Q183" t="s">
        <v>59</v>
      </c>
      <c r="R183" t="s">
        <v>59</v>
      </c>
      <c r="S183" t="s">
        <v>59</v>
      </c>
      <c r="T183" t="s">
        <v>59</v>
      </c>
      <c r="U183" t="s">
        <v>59</v>
      </c>
      <c r="V183" t="s">
        <v>59</v>
      </c>
      <c r="W183" t="s">
        <v>59</v>
      </c>
      <c r="X183" t="s">
        <v>59</v>
      </c>
      <c r="Y183" t="s">
        <v>59</v>
      </c>
    </row>
    <row r="184" spans="1:25" x14ac:dyDescent="0.25">
      <c r="A184">
        <v>697</v>
      </c>
      <c r="B184" t="s">
        <v>5272</v>
      </c>
      <c r="C184" t="s">
        <v>5261</v>
      </c>
      <c r="D184" t="s">
        <v>5262</v>
      </c>
      <c r="E184" t="s">
        <v>59</v>
      </c>
      <c r="F184">
        <v>-1</v>
      </c>
      <c r="G184" t="s">
        <v>59</v>
      </c>
      <c r="H184" t="s">
        <v>59</v>
      </c>
      <c r="I184" t="s">
        <v>59</v>
      </c>
      <c r="J184" t="s">
        <v>59</v>
      </c>
      <c r="K184" t="s">
        <v>59</v>
      </c>
      <c r="L184" t="s">
        <v>59</v>
      </c>
      <c r="M184" t="s">
        <v>59</v>
      </c>
      <c r="N184" t="s">
        <v>59</v>
      </c>
      <c r="O184" t="s">
        <v>59</v>
      </c>
      <c r="P184" t="s">
        <v>59</v>
      </c>
      <c r="Q184" t="s">
        <v>59</v>
      </c>
      <c r="R184" t="s">
        <v>59</v>
      </c>
      <c r="S184" t="s">
        <v>59</v>
      </c>
      <c r="T184" t="s">
        <v>59</v>
      </c>
      <c r="U184" t="s">
        <v>59</v>
      </c>
      <c r="V184" t="s">
        <v>59</v>
      </c>
      <c r="W184" t="s">
        <v>59</v>
      </c>
      <c r="X184" t="s">
        <v>59</v>
      </c>
      <c r="Y184" t="s">
        <v>59</v>
      </c>
    </row>
    <row r="185" spans="1:25" x14ac:dyDescent="0.25">
      <c r="A185">
        <v>698</v>
      </c>
      <c r="B185" t="s">
        <v>5272</v>
      </c>
      <c r="C185" t="s">
        <v>5263</v>
      </c>
      <c r="D185" t="s">
        <v>5264</v>
      </c>
      <c r="E185" t="s">
        <v>59</v>
      </c>
      <c r="F185">
        <v>-1</v>
      </c>
      <c r="G185" t="s">
        <v>59</v>
      </c>
      <c r="H185" t="s">
        <v>59</v>
      </c>
      <c r="I185" t="s">
        <v>59</v>
      </c>
      <c r="J185" t="s">
        <v>59</v>
      </c>
      <c r="K185" t="s">
        <v>59</v>
      </c>
      <c r="L185" t="s">
        <v>59</v>
      </c>
      <c r="M185" t="s">
        <v>59</v>
      </c>
      <c r="N185" t="s">
        <v>59</v>
      </c>
      <c r="O185" t="s">
        <v>59</v>
      </c>
      <c r="P185" t="s">
        <v>59</v>
      </c>
      <c r="Q185" t="s">
        <v>59</v>
      </c>
      <c r="R185" t="s">
        <v>59</v>
      </c>
      <c r="S185" t="s">
        <v>59</v>
      </c>
      <c r="T185" t="s">
        <v>59</v>
      </c>
      <c r="U185" t="s">
        <v>59</v>
      </c>
      <c r="V185" t="s">
        <v>59</v>
      </c>
      <c r="W185" t="s">
        <v>59</v>
      </c>
      <c r="X185" t="s">
        <v>59</v>
      </c>
      <c r="Y185" t="s">
        <v>59</v>
      </c>
    </row>
    <row r="186" spans="1:25" x14ac:dyDescent="0.25">
      <c r="A186">
        <v>699</v>
      </c>
      <c r="B186" t="s">
        <v>5272</v>
      </c>
      <c r="C186" t="s">
        <v>5265</v>
      </c>
      <c r="D186" t="s">
        <v>5266</v>
      </c>
      <c r="E186" t="s">
        <v>59</v>
      </c>
      <c r="F186">
        <v>-1</v>
      </c>
      <c r="G186" t="s">
        <v>59</v>
      </c>
      <c r="H186" t="s">
        <v>59</v>
      </c>
      <c r="I186" t="s">
        <v>59</v>
      </c>
      <c r="J186" t="s">
        <v>59</v>
      </c>
      <c r="K186" t="s">
        <v>59</v>
      </c>
      <c r="L186" t="s">
        <v>59</v>
      </c>
      <c r="M186" t="s">
        <v>59</v>
      </c>
      <c r="N186" t="s">
        <v>59</v>
      </c>
      <c r="O186" t="s">
        <v>59</v>
      </c>
      <c r="P186" t="s">
        <v>59</v>
      </c>
      <c r="Q186" t="s">
        <v>59</v>
      </c>
      <c r="R186" t="s">
        <v>59</v>
      </c>
      <c r="S186" t="s">
        <v>59</v>
      </c>
      <c r="T186" t="s">
        <v>59</v>
      </c>
      <c r="U186" t="s">
        <v>59</v>
      </c>
      <c r="V186" t="s">
        <v>59</v>
      </c>
      <c r="W186" t="s">
        <v>59</v>
      </c>
      <c r="X186" t="s">
        <v>59</v>
      </c>
      <c r="Y186" t="s">
        <v>59</v>
      </c>
    </row>
    <row r="187" spans="1:25" x14ac:dyDescent="0.25">
      <c r="A187">
        <v>700</v>
      </c>
      <c r="B187" t="s">
        <v>5272</v>
      </c>
      <c r="C187" t="s">
        <v>5267</v>
      </c>
      <c r="D187" t="s">
        <v>5268</v>
      </c>
      <c r="E187" t="s">
        <v>59</v>
      </c>
      <c r="F187">
        <v>-1</v>
      </c>
      <c r="G187" t="s">
        <v>59</v>
      </c>
      <c r="H187" t="s">
        <v>59</v>
      </c>
      <c r="I187" t="s">
        <v>59</v>
      </c>
      <c r="J187" t="s">
        <v>59</v>
      </c>
      <c r="K187" t="s">
        <v>59</v>
      </c>
      <c r="L187" t="s">
        <v>59</v>
      </c>
      <c r="M187" t="s">
        <v>59</v>
      </c>
      <c r="N187" t="s">
        <v>59</v>
      </c>
      <c r="O187" t="s">
        <v>59</v>
      </c>
      <c r="P187" t="s">
        <v>59</v>
      </c>
      <c r="Q187" t="s">
        <v>59</v>
      </c>
      <c r="R187" t="s">
        <v>59</v>
      </c>
      <c r="S187" t="s">
        <v>59</v>
      </c>
      <c r="T187" t="s">
        <v>59</v>
      </c>
      <c r="U187" t="s">
        <v>59</v>
      </c>
      <c r="V187" t="s">
        <v>59</v>
      </c>
      <c r="W187" t="s">
        <v>59</v>
      </c>
      <c r="X187" t="s">
        <v>59</v>
      </c>
      <c r="Y187" t="s">
        <v>59</v>
      </c>
    </row>
    <row r="188" spans="1:25" x14ac:dyDescent="0.25">
      <c r="A188">
        <v>701</v>
      </c>
      <c r="B188" t="s">
        <v>5272</v>
      </c>
      <c r="C188" t="s">
        <v>5269</v>
      </c>
      <c r="D188" t="s">
        <v>5270</v>
      </c>
      <c r="E188" t="s">
        <v>59</v>
      </c>
      <c r="F188">
        <v>-1</v>
      </c>
      <c r="G188" t="s">
        <v>59</v>
      </c>
      <c r="H188" t="s">
        <v>59</v>
      </c>
      <c r="I188" t="s">
        <v>59</v>
      </c>
      <c r="J188" t="s">
        <v>59</v>
      </c>
      <c r="K188" t="s">
        <v>59</v>
      </c>
      <c r="L188" t="s">
        <v>59</v>
      </c>
      <c r="M188" t="s">
        <v>59</v>
      </c>
      <c r="N188" t="s">
        <v>59</v>
      </c>
      <c r="O188" t="s">
        <v>59</v>
      </c>
      <c r="P188" t="s">
        <v>59</v>
      </c>
      <c r="Q188" t="s">
        <v>59</v>
      </c>
      <c r="R188" t="s">
        <v>59</v>
      </c>
      <c r="S188" t="s">
        <v>59</v>
      </c>
      <c r="T188" t="s">
        <v>59</v>
      </c>
      <c r="U188" t="s">
        <v>59</v>
      </c>
      <c r="V188" t="s">
        <v>59</v>
      </c>
      <c r="W188" t="s">
        <v>59</v>
      </c>
      <c r="X188" t="s">
        <v>59</v>
      </c>
      <c r="Y188" t="s">
        <v>59</v>
      </c>
    </row>
    <row r="189" spans="1:25" x14ac:dyDescent="0.25">
      <c r="A189">
        <v>8</v>
      </c>
      <c r="B189" t="s">
        <v>5272</v>
      </c>
      <c r="C189" t="s">
        <v>4127</v>
      </c>
      <c r="D189" t="s">
        <v>4128</v>
      </c>
      <c r="E189" t="s">
        <v>59</v>
      </c>
      <c r="F189">
        <v>-1</v>
      </c>
      <c r="G189" t="s">
        <v>59</v>
      </c>
      <c r="H189" t="s">
        <v>59</v>
      </c>
      <c r="I189" t="s">
        <v>59</v>
      </c>
      <c r="J189" t="s">
        <v>59</v>
      </c>
      <c r="K189" t="s">
        <v>59</v>
      </c>
      <c r="L189" t="s">
        <v>59</v>
      </c>
      <c r="M189" t="s">
        <v>59</v>
      </c>
      <c r="N189" t="s">
        <v>59</v>
      </c>
      <c r="O189" t="s">
        <v>59</v>
      </c>
      <c r="P189" t="s">
        <v>59</v>
      </c>
      <c r="Q189" t="s">
        <v>59</v>
      </c>
      <c r="R189" t="s">
        <v>59</v>
      </c>
      <c r="S189" t="s">
        <v>59</v>
      </c>
      <c r="T189" t="s">
        <v>59</v>
      </c>
      <c r="U189" t="s">
        <v>59</v>
      </c>
      <c r="V189" t="s">
        <v>59</v>
      </c>
      <c r="W189" t="s">
        <v>59</v>
      </c>
      <c r="X189" t="s">
        <v>59</v>
      </c>
      <c r="Y189" t="s">
        <v>59</v>
      </c>
    </row>
    <row r="190" spans="1:25" x14ac:dyDescent="0.25">
      <c r="A190">
        <v>175</v>
      </c>
      <c r="B190" t="s">
        <v>5272</v>
      </c>
      <c r="C190" t="s">
        <v>4329</v>
      </c>
      <c r="D190" t="s">
        <v>4330</v>
      </c>
      <c r="E190" t="s">
        <v>59</v>
      </c>
      <c r="F190">
        <v>-1</v>
      </c>
      <c r="G190" t="s">
        <v>59</v>
      </c>
      <c r="H190" t="s">
        <v>59</v>
      </c>
      <c r="I190" t="s">
        <v>59</v>
      </c>
      <c r="J190" t="s">
        <v>59</v>
      </c>
      <c r="K190" t="s">
        <v>59</v>
      </c>
      <c r="L190" t="s">
        <v>59</v>
      </c>
      <c r="M190" t="s">
        <v>59</v>
      </c>
      <c r="N190" t="s">
        <v>59</v>
      </c>
      <c r="O190" t="s">
        <v>59</v>
      </c>
      <c r="P190" t="s">
        <v>59</v>
      </c>
      <c r="Q190" t="s">
        <v>59</v>
      </c>
      <c r="R190" t="s">
        <v>59</v>
      </c>
      <c r="S190" t="s">
        <v>59</v>
      </c>
      <c r="T190" t="s">
        <v>59</v>
      </c>
      <c r="U190" t="s">
        <v>59</v>
      </c>
      <c r="V190" t="s">
        <v>59</v>
      </c>
      <c r="W190" t="s">
        <v>59</v>
      </c>
      <c r="X190" t="s">
        <v>59</v>
      </c>
      <c r="Y190" t="s">
        <v>59</v>
      </c>
    </row>
    <row r="191" spans="1:25" x14ac:dyDescent="0.25">
      <c r="A191">
        <v>43</v>
      </c>
      <c r="B191" t="s">
        <v>5272</v>
      </c>
      <c r="C191" t="s">
        <v>4196</v>
      </c>
      <c r="D191" t="s">
        <v>4197</v>
      </c>
      <c r="E191" t="s">
        <v>59</v>
      </c>
      <c r="F191">
        <v>-1</v>
      </c>
      <c r="G191" t="s">
        <v>59</v>
      </c>
      <c r="H191" t="s">
        <v>59</v>
      </c>
      <c r="I191" t="s">
        <v>59</v>
      </c>
      <c r="J191" t="s">
        <v>59</v>
      </c>
      <c r="K191" t="s">
        <v>59</v>
      </c>
      <c r="L191" t="s">
        <v>59</v>
      </c>
      <c r="M191" t="s">
        <v>59</v>
      </c>
      <c r="N191" t="s">
        <v>59</v>
      </c>
      <c r="O191" t="s">
        <v>59</v>
      </c>
      <c r="P191" t="s">
        <v>59</v>
      </c>
      <c r="Q191" t="s">
        <v>59</v>
      </c>
      <c r="R191" t="s">
        <v>59</v>
      </c>
      <c r="S191" t="s">
        <v>59</v>
      </c>
      <c r="T191" t="s">
        <v>59</v>
      </c>
      <c r="U191" t="s">
        <v>59</v>
      </c>
      <c r="V191" t="s">
        <v>59</v>
      </c>
      <c r="W191" t="s">
        <v>59</v>
      </c>
      <c r="X191" t="s">
        <v>59</v>
      </c>
      <c r="Y191" t="s">
        <v>59</v>
      </c>
    </row>
    <row r="192" spans="1:25" x14ac:dyDescent="0.25">
      <c r="A192">
        <v>154</v>
      </c>
      <c r="B192" t="s">
        <v>5272</v>
      </c>
      <c r="C192" t="s">
        <v>4293</v>
      </c>
      <c r="D192" t="s">
        <v>4294</v>
      </c>
      <c r="E192" t="s">
        <v>59</v>
      </c>
      <c r="F192">
        <v>-1</v>
      </c>
      <c r="G192" t="s">
        <v>59</v>
      </c>
      <c r="H192" t="s">
        <v>59</v>
      </c>
      <c r="I192" t="s">
        <v>59</v>
      </c>
      <c r="J192" t="s">
        <v>59</v>
      </c>
      <c r="K192" t="s">
        <v>59</v>
      </c>
      <c r="L192" t="s">
        <v>59</v>
      </c>
      <c r="M192" t="s">
        <v>59</v>
      </c>
      <c r="N192" t="s">
        <v>59</v>
      </c>
      <c r="O192" t="s">
        <v>59</v>
      </c>
      <c r="P192" t="s">
        <v>59</v>
      </c>
      <c r="Q192" t="s">
        <v>59</v>
      </c>
      <c r="R192" t="s">
        <v>59</v>
      </c>
      <c r="S192" t="s">
        <v>59</v>
      </c>
      <c r="T192" t="s">
        <v>59</v>
      </c>
      <c r="U192" t="s">
        <v>59</v>
      </c>
      <c r="V192" t="s">
        <v>59</v>
      </c>
      <c r="W192" t="s">
        <v>59</v>
      </c>
      <c r="X192" t="s">
        <v>59</v>
      </c>
      <c r="Y192" t="s">
        <v>59</v>
      </c>
    </row>
    <row r="193" spans="1:25" x14ac:dyDescent="0.25">
      <c r="A193">
        <v>150</v>
      </c>
      <c r="B193" t="s">
        <v>5272</v>
      </c>
      <c r="C193" t="s">
        <v>4288</v>
      </c>
      <c r="D193" t="s">
        <v>4289</v>
      </c>
      <c r="E193" t="s">
        <v>59</v>
      </c>
      <c r="F193">
        <v>-1</v>
      </c>
      <c r="G193" t="s">
        <v>59</v>
      </c>
      <c r="H193" t="s">
        <v>59</v>
      </c>
      <c r="I193" t="s">
        <v>59</v>
      </c>
      <c r="J193" t="s">
        <v>59</v>
      </c>
      <c r="K193" t="s">
        <v>59</v>
      </c>
      <c r="L193" t="s">
        <v>59</v>
      </c>
      <c r="M193" t="s">
        <v>59</v>
      </c>
      <c r="N193" t="s">
        <v>59</v>
      </c>
      <c r="O193" t="s">
        <v>59</v>
      </c>
      <c r="P193" t="s">
        <v>59</v>
      </c>
      <c r="Q193" t="s">
        <v>59</v>
      </c>
      <c r="R193" t="s">
        <v>59</v>
      </c>
      <c r="S193" t="s">
        <v>59</v>
      </c>
      <c r="T193" t="s">
        <v>59</v>
      </c>
      <c r="U193" t="s">
        <v>59</v>
      </c>
      <c r="V193" t="s">
        <v>59</v>
      </c>
      <c r="W193" t="s">
        <v>59</v>
      </c>
      <c r="X193" t="s">
        <v>59</v>
      </c>
      <c r="Y193" t="s">
        <v>59</v>
      </c>
    </row>
    <row r="194" spans="1:25" x14ac:dyDescent="0.25">
      <c r="A194">
        <v>34</v>
      </c>
      <c r="B194" t="s">
        <v>5272</v>
      </c>
      <c r="C194" t="s">
        <v>4179</v>
      </c>
      <c r="D194" t="s">
        <v>4180</v>
      </c>
      <c r="E194" t="s">
        <v>59</v>
      </c>
      <c r="F194">
        <v>-1</v>
      </c>
      <c r="G194" t="s">
        <v>59</v>
      </c>
      <c r="H194" t="s">
        <v>59</v>
      </c>
      <c r="I194" t="s">
        <v>59</v>
      </c>
      <c r="J194" t="s">
        <v>59</v>
      </c>
      <c r="K194" t="s">
        <v>59</v>
      </c>
      <c r="L194" t="s">
        <v>59</v>
      </c>
      <c r="M194" t="s">
        <v>59</v>
      </c>
      <c r="N194" t="s">
        <v>59</v>
      </c>
      <c r="O194" t="s">
        <v>59</v>
      </c>
      <c r="P194" t="s">
        <v>59</v>
      </c>
      <c r="Q194" t="s">
        <v>59</v>
      </c>
      <c r="R194" t="s">
        <v>59</v>
      </c>
      <c r="S194" t="s">
        <v>59</v>
      </c>
      <c r="T194" t="s">
        <v>59</v>
      </c>
      <c r="U194" t="s">
        <v>59</v>
      </c>
      <c r="V194" t="s">
        <v>59</v>
      </c>
      <c r="W194" t="s">
        <v>59</v>
      </c>
      <c r="X194" t="s">
        <v>59</v>
      </c>
      <c r="Y194" t="s">
        <v>59</v>
      </c>
    </row>
    <row r="195" spans="1:25" x14ac:dyDescent="0.25">
      <c r="A195">
        <v>482</v>
      </c>
      <c r="B195" t="s">
        <v>5272</v>
      </c>
      <c r="C195" t="s">
        <v>1567</v>
      </c>
      <c r="D195" t="s">
        <v>4858</v>
      </c>
      <c r="E195" t="s">
        <v>59</v>
      </c>
      <c r="F195">
        <v>-1</v>
      </c>
      <c r="G195" t="s">
        <v>59</v>
      </c>
      <c r="H195" t="s">
        <v>59</v>
      </c>
      <c r="I195" t="s">
        <v>59</v>
      </c>
      <c r="J195" t="s">
        <v>59</v>
      </c>
      <c r="K195" t="s">
        <v>59</v>
      </c>
      <c r="L195" t="s">
        <v>59</v>
      </c>
      <c r="M195" t="s">
        <v>59</v>
      </c>
      <c r="N195" t="s">
        <v>59</v>
      </c>
      <c r="O195" t="s">
        <v>59</v>
      </c>
      <c r="P195" t="s">
        <v>59</v>
      </c>
      <c r="Q195" t="s">
        <v>59</v>
      </c>
      <c r="R195" t="s">
        <v>59</v>
      </c>
      <c r="S195" t="s">
        <v>59</v>
      </c>
      <c r="T195" t="s">
        <v>59</v>
      </c>
      <c r="U195" t="s">
        <v>59</v>
      </c>
      <c r="V195" t="s">
        <v>59</v>
      </c>
      <c r="W195" t="s">
        <v>59</v>
      </c>
      <c r="X195" t="s">
        <v>59</v>
      </c>
      <c r="Y195" t="s">
        <v>59</v>
      </c>
    </row>
    <row r="196" spans="1:25" x14ac:dyDescent="0.25">
      <c r="A196">
        <v>563</v>
      </c>
      <c r="B196" t="s">
        <v>5272</v>
      </c>
      <c r="C196" t="s">
        <v>1571</v>
      </c>
      <c r="D196" t="s">
        <v>5007</v>
      </c>
      <c r="E196" t="s">
        <v>59</v>
      </c>
      <c r="F196">
        <v>-1</v>
      </c>
      <c r="G196" t="s">
        <v>59</v>
      </c>
      <c r="H196" t="s">
        <v>59</v>
      </c>
      <c r="I196" t="s">
        <v>59</v>
      </c>
      <c r="J196" t="s">
        <v>59</v>
      </c>
      <c r="K196" t="s">
        <v>59</v>
      </c>
      <c r="L196" t="s">
        <v>59</v>
      </c>
      <c r="M196" t="s">
        <v>59</v>
      </c>
      <c r="N196" t="s">
        <v>59</v>
      </c>
      <c r="O196" t="s">
        <v>59</v>
      </c>
      <c r="P196" t="s">
        <v>59</v>
      </c>
      <c r="Q196" t="s">
        <v>59</v>
      </c>
      <c r="R196" t="s">
        <v>59</v>
      </c>
      <c r="S196" t="s">
        <v>59</v>
      </c>
      <c r="T196" t="s">
        <v>59</v>
      </c>
      <c r="U196" t="s">
        <v>59</v>
      </c>
      <c r="V196" t="s">
        <v>59</v>
      </c>
      <c r="W196" t="s">
        <v>59</v>
      </c>
      <c r="X196" t="s">
        <v>59</v>
      </c>
      <c r="Y196" t="s">
        <v>59</v>
      </c>
    </row>
    <row r="197" spans="1:25" x14ac:dyDescent="0.25">
      <c r="A197">
        <v>320</v>
      </c>
      <c r="B197" t="s">
        <v>5272</v>
      </c>
      <c r="C197" t="s">
        <v>4567</v>
      </c>
      <c r="D197" t="s">
        <v>4568</v>
      </c>
      <c r="E197" t="s">
        <v>59</v>
      </c>
      <c r="F197">
        <v>-1</v>
      </c>
      <c r="G197" t="s">
        <v>59</v>
      </c>
      <c r="H197" t="s">
        <v>59</v>
      </c>
      <c r="I197" t="s">
        <v>59</v>
      </c>
      <c r="J197" t="s">
        <v>59</v>
      </c>
      <c r="K197" t="s">
        <v>59</v>
      </c>
      <c r="L197" t="s">
        <v>59</v>
      </c>
      <c r="M197" t="s">
        <v>59</v>
      </c>
      <c r="N197" t="s">
        <v>59</v>
      </c>
      <c r="O197" t="s">
        <v>59</v>
      </c>
      <c r="P197" t="s">
        <v>59</v>
      </c>
      <c r="Q197" t="s">
        <v>59</v>
      </c>
      <c r="R197" t="s">
        <v>59</v>
      </c>
      <c r="S197" t="s">
        <v>59</v>
      </c>
      <c r="T197" t="s">
        <v>59</v>
      </c>
      <c r="U197" t="s">
        <v>59</v>
      </c>
      <c r="V197" t="s">
        <v>59</v>
      </c>
      <c r="W197" t="s">
        <v>59</v>
      </c>
      <c r="X197" t="s">
        <v>59</v>
      </c>
      <c r="Y197" t="s">
        <v>59</v>
      </c>
    </row>
    <row r="198" spans="1:25" x14ac:dyDescent="0.25">
      <c r="A198">
        <v>35</v>
      </c>
      <c r="B198" t="s">
        <v>5272</v>
      </c>
      <c r="C198" t="s">
        <v>4181</v>
      </c>
      <c r="D198" t="s">
        <v>4182</v>
      </c>
      <c r="E198" t="s">
        <v>59</v>
      </c>
      <c r="F198">
        <v>-1</v>
      </c>
      <c r="G198" t="s">
        <v>59</v>
      </c>
      <c r="H198" t="s">
        <v>59</v>
      </c>
      <c r="I198" t="s">
        <v>59</v>
      </c>
      <c r="J198" t="s">
        <v>59</v>
      </c>
      <c r="K198" t="s">
        <v>59</v>
      </c>
      <c r="L198" t="s">
        <v>59</v>
      </c>
      <c r="M198" t="s">
        <v>59</v>
      </c>
      <c r="N198" t="s">
        <v>59</v>
      </c>
      <c r="O198" t="s">
        <v>59</v>
      </c>
      <c r="P198" t="s">
        <v>59</v>
      </c>
      <c r="Q198" t="s">
        <v>59</v>
      </c>
      <c r="R198" t="s">
        <v>59</v>
      </c>
      <c r="S198" t="s">
        <v>59</v>
      </c>
      <c r="T198" t="s">
        <v>59</v>
      </c>
      <c r="U198" t="s">
        <v>59</v>
      </c>
      <c r="V198" t="s">
        <v>59</v>
      </c>
      <c r="W198" t="s">
        <v>59</v>
      </c>
      <c r="X198" t="s">
        <v>59</v>
      </c>
      <c r="Y198" t="s">
        <v>59</v>
      </c>
    </row>
    <row r="199" spans="1:25" x14ac:dyDescent="0.25">
      <c r="A199">
        <v>339</v>
      </c>
      <c r="B199" t="s">
        <v>5272</v>
      </c>
      <c r="C199" t="s">
        <v>4604</v>
      </c>
      <c r="D199" t="s">
        <v>4605</v>
      </c>
      <c r="E199" t="s">
        <v>4585</v>
      </c>
      <c r="F199">
        <v>-1</v>
      </c>
      <c r="G199" t="s">
        <v>59</v>
      </c>
      <c r="H199" t="s">
        <v>59</v>
      </c>
      <c r="I199" t="s">
        <v>59</v>
      </c>
      <c r="J199" t="s">
        <v>59</v>
      </c>
      <c r="K199" t="s">
        <v>59</v>
      </c>
      <c r="L199" t="s">
        <v>59</v>
      </c>
      <c r="M199" t="s">
        <v>59</v>
      </c>
      <c r="N199" t="s">
        <v>59</v>
      </c>
      <c r="O199" t="s">
        <v>59</v>
      </c>
      <c r="P199" t="s">
        <v>59</v>
      </c>
      <c r="Q199" t="s">
        <v>59</v>
      </c>
      <c r="R199" t="s">
        <v>59</v>
      </c>
      <c r="S199" t="s">
        <v>59</v>
      </c>
      <c r="T199" t="s">
        <v>59</v>
      </c>
      <c r="U199" t="s">
        <v>59</v>
      </c>
      <c r="V199" t="s">
        <v>59</v>
      </c>
      <c r="W199" t="s">
        <v>59</v>
      </c>
      <c r="X199" t="s">
        <v>59</v>
      </c>
      <c r="Y199" t="s">
        <v>59</v>
      </c>
    </row>
    <row r="200" spans="1:25" x14ac:dyDescent="0.25">
      <c r="A200">
        <v>340</v>
      </c>
      <c r="B200" t="s">
        <v>5272</v>
      </c>
      <c r="C200" t="s">
        <v>4606</v>
      </c>
      <c r="D200" t="s">
        <v>4607</v>
      </c>
      <c r="E200" t="s">
        <v>4585</v>
      </c>
      <c r="F200">
        <v>-1</v>
      </c>
      <c r="G200" t="s">
        <v>59</v>
      </c>
      <c r="H200" t="s">
        <v>59</v>
      </c>
      <c r="I200" t="s">
        <v>59</v>
      </c>
      <c r="J200" t="s">
        <v>59</v>
      </c>
      <c r="K200" t="s">
        <v>59</v>
      </c>
      <c r="L200" t="s">
        <v>59</v>
      </c>
      <c r="M200" t="s">
        <v>59</v>
      </c>
      <c r="N200" t="s">
        <v>59</v>
      </c>
      <c r="O200" t="s">
        <v>59</v>
      </c>
      <c r="P200" t="s">
        <v>59</v>
      </c>
      <c r="Q200" t="s">
        <v>59</v>
      </c>
      <c r="R200" t="s">
        <v>59</v>
      </c>
      <c r="S200" t="s">
        <v>59</v>
      </c>
      <c r="T200" t="s">
        <v>59</v>
      </c>
      <c r="U200" t="s">
        <v>59</v>
      </c>
      <c r="V200" t="s">
        <v>59</v>
      </c>
      <c r="W200" t="s">
        <v>59</v>
      </c>
      <c r="X200" t="s">
        <v>59</v>
      </c>
      <c r="Y200" t="s">
        <v>59</v>
      </c>
    </row>
    <row r="201" spans="1:25" x14ac:dyDescent="0.25">
      <c r="A201">
        <v>341</v>
      </c>
      <c r="B201" t="s">
        <v>5272</v>
      </c>
      <c r="C201" t="s">
        <v>4608</v>
      </c>
      <c r="D201" t="s">
        <v>4609</v>
      </c>
      <c r="E201" t="s">
        <v>4585</v>
      </c>
      <c r="F201">
        <v>-1</v>
      </c>
      <c r="G201" t="s">
        <v>59</v>
      </c>
      <c r="H201" t="s">
        <v>59</v>
      </c>
      <c r="I201" t="s">
        <v>59</v>
      </c>
      <c r="J201" t="s">
        <v>59</v>
      </c>
      <c r="K201" t="s">
        <v>59</v>
      </c>
      <c r="L201" t="s">
        <v>59</v>
      </c>
      <c r="M201" t="s">
        <v>59</v>
      </c>
      <c r="N201" t="s">
        <v>59</v>
      </c>
      <c r="O201" t="s">
        <v>59</v>
      </c>
      <c r="P201" t="s">
        <v>59</v>
      </c>
      <c r="Q201" t="s">
        <v>59</v>
      </c>
      <c r="R201" t="s">
        <v>59</v>
      </c>
      <c r="S201" t="s">
        <v>59</v>
      </c>
      <c r="T201" t="s">
        <v>59</v>
      </c>
      <c r="U201" t="s">
        <v>59</v>
      </c>
      <c r="V201" t="s">
        <v>59</v>
      </c>
      <c r="W201" t="s">
        <v>59</v>
      </c>
      <c r="X201" t="s">
        <v>59</v>
      </c>
      <c r="Y201" t="s">
        <v>59</v>
      </c>
    </row>
    <row r="202" spans="1:25" x14ac:dyDescent="0.25">
      <c r="A202">
        <v>342</v>
      </c>
      <c r="B202" t="s">
        <v>5272</v>
      </c>
      <c r="C202" t="s">
        <v>4610</v>
      </c>
      <c r="D202" t="s">
        <v>4611</v>
      </c>
      <c r="E202" t="s">
        <v>4585</v>
      </c>
      <c r="F202">
        <v>-1</v>
      </c>
      <c r="G202" t="s">
        <v>59</v>
      </c>
      <c r="H202" t="s">
        <v>59</v>
      </c>
      <c r="I202" t="s">
        <v>59</v>
      </c>
      <c r="J202" t="s">
        <v>59</v>
      </c>
      <c r="K202" t="s">
        <v>59</v>
      </c>
      <c r="L202" t="s">
        <v>59</v>
      </c>
      <c r="M202" t="s">
        <v>59</v>
      </c>
      <c r="N202" t="s">
        <v>59</v>
      </c>
      <c r="O202" t="s">
        <v>59</v>
      </c>
      <c r="P202" t="s">
        <v>59</v>
      </c>
      <c r="Q202" t="s">
        <v>59</v>
      </c>
      <c r="R202" t="s">
        <v>59</v>
      </c>
      <c r="S202" t="s">
        <v>59</v>
      </c>
      <c r="T202" t="s">
        <v>59</v>
      </c>
      <c r="U202" t="s">
        <v>59</v>
      </c>
      <c r="V202" t="s">
        <v>59</v>
      </c>
      <c r="W202" t="s">
        <v>59</v>
      </c>
      <c r="X202" t="s">
        <v>59</v>
      </c>
      <c r="Y202" t="s">
        <v>59</v>
      </c>
    </row>
    <row r="203" spans="1:25" x14ac:dyDescent="0.25">
      <c r="A203">
        <v>329</v>
      </c>
      <c r="B203" t="s">
        <v>5272</v>
      </c>
      <c r="C203" t="s">
        <v>1562</v>
      </c>
      <c r="D203" t="s">
        <v>4584</v>
      </c>
      <c r="E203" t="s">
        <v>4585</v>
      </c>
      <c r="F203">
        <v>-1</v>
      </c>
      <c r="G203" t="s">
        <v>59</v>
      </c>
      <c r="H203" t="s">
        <v>59</v>
      </c>
      <c r="I203" t="s">
        <v>59</v>
      </c>
      <c r="J203" t="s">
        <v>59</v>
      </c>
      <c r="K203" t="s">
        <v>59</v>
      </c>
      <c r="L203" t="s">
        <v>59</v>
      </c>
      <c r="M203" t="s">
        <v>59</v>
      </c>
      <c r="N203" t="s">
        <v>59</v>
      </c>
      <c r="O203" t="s">
        <v>59</v>
      </c>
      <c r="P203" t="s">
        <v>59</v>
      </c>
      <c r="Q203" t="s">
        <v>59</v>
      </c>
      <c r="R203" t="s">
        <v>59</v>
      </c>
      <c r="S203" t="s">
        <v>59</v>
      </c>
      <c r="T203" t="s">
        <v>59</v>
      </c>
      <c r="U203" t="s">
        <v>59</v>
      </c>
      <c r="V203" t="s">
        <v>59</v>
      </c>
      <c r="W203" t="s">
        <v>59</v>
      </c>
      <c r="X203" t="s">
        <v>59</v>
      </c>
      <c r="Y203" t="s">
        <v>59</v>
      </c>
    </row>
    <row r="204" spans="1:25" x14ac:dyDescent="0.25">
      <c r="A204">
        <v>330</v>
      </c>
      <c r="B204" t="s">
        <v>5272</v>
      </c>
      <c r="C204" t="s">
        <v>4586</v>
      </c>
      <c r="D204" t="s">
        <v>4587</v>
      </c>
      <c r="E204" t="s">
        <v>4585</v>
      </c>
      <c r="F204">
        <v>-1</v>
      </c>
      <c r="G204" t="s">
        <v>59</v>
      </c>
      <c r="H204" t="s">
        <v>59</v>
      </c>
      <c r="I204" t="s">
        <v>59</v>
      </c>
      <c r="J204" t="s">
        <v>59</v>
      </c>
      <c r="K204" t="s">
        <v>59</v>
      </c>
      <c r="L204" t="s">
        <v>59</v>
      </c>
      <c r="M204" t="s">
        <v>59</v>
      </c>
      <c r="N204" t="s">
        <v>59</v>
      </c>
      <c r="O204" t="s">
        <v>59</v>
      </c>
      <c r="P204" t="s">
        <v>59</v>
      </c>
      <c r="Q204" t="s">
        <v>59</v>
      </c>
      <c r="R204" t="s">
        <v>59</v>
      </c>
      <c r="S204" t="s">
        <v>59</v>
      </c>
      <c r="T204" t="s">
        <v>59</v>
      </c>
      <c r="U204" t="s">
        <v>59</v>
      </c>
      <c r="V204" t="s">
        <v>59</v>
      </c>
      <c r="W204" t="s">
        <v>59</v>
      </c>
      <c r="X204" t="s">
        <v>59</v>
      </c>
      <c r="Y204" t="s">
        <v>59</v>
      </c>
    </row>
    <row r="205" spans="1:25" x14ac:dyDescent="0.25">
      <c r="A205">
        <v>331</v>
      </c>
      <c r="B205" t="s">
        <v>5272</v>
      </c>
      <c r="C205" t="s">
        <v>4588</v>
      </c>
      <c r="D205" t="s">
        <v>4589</v>
      </c>
      <c r="E205" t="s">
        <v>4585</v>
      </c>
      <c r="F205">
        <v>-1</v>
      </c>
      <c r="G205" t="s">
        <v>59</v>
      </c>
      <c r="H205" t="s">
        <v>59</v>
      </c>
      <c r="I205" t="s">
        <v>59</v>
      </c>
      <c r="J205" t="s">
        <v>59</v>
      </c>
      <c r="K205" t="s">
        <v>59</v>
      </c>
      <c r="L205" t="s">
        <v>59</v>
      </c>
      <c r="M205" t="s">
        <v>59</v>
      </c>
      <c r="N205" t="s">
        <v>59</v>
      </c>
      <c r="O205" t="s">
        <v>59</v>
      </c>
      <c r="P205" t="s">
        <v>59</v>
      </c>
      <c r="Q205" t="s">
        <v>59</v>
      </c>
      <c r="R205" t="s">
        <v>59</v>
      </c>
      <c r="S205" t="s">
        <v>59</v>
      </c>
      <c r="T205" t="s">
        <v>59</v>
      </c>
      <c r="U205" t="s">
        <v>59</v>
      </c>
      <c r="V205" t="s">
        <v>59</v>
      </c>
      <c r="W205" t="s">
        <v>59</v>
      </c>
      <c r="X205" t="s">
        <v>59</v>
      </c>
      <c r="Y205" t="s">
        <v>59</v>
      </c>
    </row>
    <row r="206" spans="1:25" x14ac:dyDescent="0.25">
      <c r="A206">
        <v>332</v>
      </c>
      <c r="B206" t="s">
        <v>5272</v>
      </c>
      <c r="C206" t="s">
        <v>4590</v>
      </c>
      <c r="D206" t="s">
        <v>4591</v>
      </c>
      <c r="E206" t="s">
        <v>4585</v>
      </c>
      <c r="F206">
        <v>-1</v>
      </c>
      <c r="G206" t="s">
        <v>59</v>
      </c>
      <c r="H206" t="s">
        <v>59</v>
      </c>
      <c r="I206" t="s">
        <v>59</v>
      </c>
      <c r="J206" t="s">
        <v>59</v>
      </c>
      <c r="K206" t="s">
        <v>59</v>
      </c>
      <c r="L206" t="s">
        <v>59</v>
      </c>
      <c r="M206" t="s">
        <v>59</v>
      </c>
      <c r="N206" t="s">
        <v>59</v>
      </c>
      <c r="O206" t="s">
        <v>59</v>
      </c>
      <c r="P206" t="s">
        <v>59</v>
      </c>
      <c r="Q206" t="s">
        <v>59</v>
      </c>
      <c r="R206" t="s">
        <v>59</v>
      </c>
      <c r="S206" t="s">
        <v>59</v>
      </c>
      <c r="T206" t="s">
        <v>59</v>
      </c>
      <c r="U206" t="s">
        <v>59</v>
      </c>
      <c r="V206" t="s">
        <v>59</v>
      </c>
      <c r="W206" t="s">
        <v>59</v>
      </c>
      <c r="X206" t="s">
        <v>59</v>
      </c>
      <c r="Y206" t="s">
        <v>59</v>
      </c>
    </row>
    <row r="207" spans="1:25" x14ac:dyDescent="0.25">
      <c r="A207">
        <v>333</v>
      </c>
      <c r="B207" t="s">
        <v>5272</v>
      </c>
      <c r="C207" t="s">
        <v>4592</v>
      </c>
      <c r="D207" t="s">
        <v>4593</v>
      </c>
      <c r="E207" t="s">
        <v>4585</v>
      </c>
      <c r="F207">
        <v>-1</v>
      </c>
      <c r="G207" t="s">
        <v>59</v>
      </c>
      <c r="H207" t="s">
        <v>59</v>
      </c>
      <c r="I207" t="s">
        <v>59</v>
      </c>
      <c r="J207" t="s">
        <v>59</v>
      </c>
      <c r="K207" t="s">
        <v>59</v>
      </c>
      <c r="L207" t="s">
        <v>59</v>
      </c>
      <c r="M207" t="s">
        <v>59</v>
      </c>
      <c r="N207" t="s">
        <v>59</v>
      </c>
      <c r="O207" t="s">
        <v>59</v>
      </c>
      <c r="P207" t="s">
        <v>59</v>
      </c>
      <c r="Q207" t="s">
        <v>59</v>
      </c>
      <c r="R207" t="s">
        <v>59</v>
      </c>
      <c r="S207" t="s">
        <v>59</v>
      </c>
      <c r="T207" t="s">
        <v>59</v>
      </c>
      <c r="U207" t="s">
        <v>59</v>
      </c>
      <c r="V207" t="s">
        <v>59</v>
      </c>
      <c r="W207" t="s">
        <v>59</v>
      </c>
      <c r="X207" t="s">
        <v>59</v>
      </c>
      <c r="Y207" t="s">
        <v>59</v>
      </c>
    </row>
    <row r="208" spans="1:25" x14ac:dyDescent="0.25">
      <c r="A208">
        <v>343</v>
      </c>
      <c r="B208" t="s">
        <v>5272</v>
      </c>
      <c r="C208" t="s">
        <v>4612</v>
      </c>
      <c r="D208" t="s">
        <v>4613</v>
      </c>
      <c r="E208" t="s">
        <v>4585</v>
      </c>
      <c r="F208">
        <v>-1</v>
      </c>
      <c r="G208" t="s">
        <v>59</v>
      </c>
      <c r="H208" t="s">
        <v>59</v>
      </c>
      <c r="I208" t="s">
        <v>59</v>
      </c>
      <c r="J208" t="s">
        <v>59</v>
      </c>
      <c r="K208" t="s">
        <v>59</v>
      </c>
      <c r="L208" t="s">
        <v>59</v>
      </c>
      <c r="M208" t="s">
        <v>59</v>
      </c>
      <c r="N208" t="s">
        <v>59</v>
      </c>
      <c r="O208" t="s">
        <v>59</v>
      </c>
      <c r="P208" t="s">
        <v>59</v>
      </c>
      <c r="Q208" t="s">
        <v>59</v>
      </c>
      <c r="R208" t="s">
        <v>59</v>
      </c>
      <c r="S208" t="s">
        <v>59</v>
      </c>
      <c r="T208" t="s">
        <v>59</v>
      </c>
      <c r="U208" t="s">
        <v>59</v>
      </c>
      <c r="V208" t="s">
        <v>59</v>
      </c>
      <c r="W208" t="s">
        <v>59</v>
      </c>
      <c r="X208" t="s">
        <v>59</v>
      </c>
      <c r="Y208" t="s">
        <v>59</v>
      </c>
    </row>
    <row r="209" spans="1:25" x14ac:dyDescent="0.25">
      <c r="A209">
        <v>334</v>
      </c>
      <c r="B209" t="s">
        <v>5272</v>
      </c>
      <c r="C209" t="s">
        <v>4594</v>
      </c>
      <c r="D209" t="s">
        <v>4595</v>
      </c>
      <c r="E209" t="s">
        <v>4585</v>
      </c>
      <c r="F209">
        <v>-1</v>
      </c>
      <c r="G209" t="s">
        <v>59</v>
      </c>
      <c r="H209" t="s">
        <v>59</v>
      </c>
      <c r="I209" t="s">
        <v>59</v>
      </c>
      <c r="J209" t="s">
        <v>59</v>
      </c>
      <c r="K209" t="s">
        <v>59</v>
      </c>
      <c r="L209" t="s">
        <v>59</v>
      </c>
      <c r="M209" t="s">
        <v>59</v>
      </c>
      <c r="N209" t="s">
        <v>59</v>
      </c>
      <c r="O209" t="s">
        <v>59</v>
      </c>
      <c r="P209" t="s">
        <v>59</v>
      </c>
      <c r="Q209" t="s">
        <v>59</v>
      </c>
      <c r="R209" t="s">
        <v>59</v>
      </c>
      <c r="S209" t="s">
        <v>59</v>
      </c>
      <c r="T209" t="s">
        <v>59</v>
      </c>
      <c r="U209" t="s">
        <v>59</v>
      </c>
      <c r="V209" t="s">
        <v>59</v>
      </c>
      <c r="W209" t="s">
        <v>59</v>
      </c>
      <c r="X209" t="s">
        <v>59</v>
      </c>
      <c r="Y209" t="s">
        <v>59</v>
      </c>
    </row>
    <row r="210" spans="1:25" x14ac:dyDescent="0.25">
      <c r="A210">
        <v>335</v>
      </c>
      <c r="B210" t="s">
        <v>5272</v>
      </c>
      <c r="C210" t="s">
        <v>4596</v>
      </c>
      <c r="D210" t="s">
        <v>4597</v>
      </c>
      <c r="E210" t="s">
        <v>4585</v>
      </c>
      <c r="F210">
        <v>-1</v>
      </c>
      <c r="G210" t="s">
        <v>59</v>
      </c>
      <c r="H210" t="s">
        <v>59</v>
      </c>
      <c r="I210" t="s">
        <v>59</v>
      </c>
      <c r="J210" t="s">
        <v>59</v>
      </c>
      <c r="K210" t="s">
        <v>59</v>
      </c>
      <c r="L210" t="s">
        <v>59</v>
      </c>
      <c r="M210" t="s">
        <v>59</v>
      </c>
      <c r="N210" t="s">
        <v>59</v>
      </c>
      <c r="O210" t="s">
        <v>59</v>
      </c>
      <c r="P210" t="s">
        <v>59</v>
      </c>
      <c r="Q210" t="s">
        <v>59</v>
      </c>
      <c r="R210" t="s">
        <v>59</v>
      </c>
      <c r="S210" t="s">
        <v>59</v>
      </c>
      <c r="T210" t="s">
        <v>59</v>
      </c>
      <c r="U210" t="s">
        <v>59</v>
      </c>
      <c r="V210" t="s">
        <v>59</v>
      </c>
      <c r="W210" t="s">
        <v>59</v>
      </c>
      <c r="X210" t="s">
        <v>59</v>
      </c>
      <c r="Y210" t="s">
        <v>59</v>
      </c>
    </row>
    <row r="211" spans="1:25" x14ac:dyDescent="0.25">
      <c r="A211">
        <v>336</v>
      </c>
      <c r="B211" t="s">
        <v>5272</v>
      </c>
      <c r="C211" t="s">
        <v>4598</v>
      </c>
      <c r="D211" t="s">
        <v>4599</v>
      </c>
      <c r="E211" t="s">
        <v>4585</v>
      </c>
      <c r="F211">
        <v>-1</v>
      </c>
      <c r="G211" t="s">
        <v>59</v>
      </c>
      <c r="H211" t="s">
        <v>59</v>
      </c>
      <c r="I211" t="s">
        <v>59</v>
      </c>
      <c r="J211" t="s">
        <v>59</v>
      </c>
      <c r="K211" t="s">
        <v>59</v>
      </c>
      <c r="L211" t="s">
        <v>59</v>
      </c>
      <c r="M211" t="s">
        <v>59</v>
      </c>
      <c r="N211" t="s">
        <v>59</v>
      </c>
      <c r="O211" t="s">
        <v>59</v>
      </c>
      <c r="P211" t="s">
        <v>59</v>
      </c>
      <c r="Q211" t="s">
        <v>59</v>
      </c>
      <c r="R211" t="s">
        <v>59</v>
      </c>
      <c r="S211" t="s">
        <v>59</v>
      </c>
      <c r="T211" t="s">
        <v>59</v>
      </c>
      <c r="U211" t="s">
        <v>59</v>
      </c>
      <c r="V211" t="s">
        <v>59</v>
      </c>
      <c r="W211" t="s">
        <v>59</v>
      </c>
      <c r="X211" t="s">
        <v>59</v>
      </c>
      <c r="Y211" t="s">
        <v>59</v>
      </c>
    </row>
    <row r="212" spans="1:25" x14ac:dyDescent="0.25">
      <c r="A212">
        <v>337</v>
      </c>
      <c r="B212" t="s">
        <v>5272</v>
      </c>
      <c r="C212" t="s">
        <v>4600</v>
      </c>
      <c r="D212" t="s">
        <v>4601</v>
      </c>
      <c r="E212" t="s">
        <v>4585</v>
      </c>
      <c r="F212">
        <v>-1</v>
      </c>
      <c r="G212" t="s">
        <v>59</v>
      </c>
      <c r="H212" t="s">
        <v>59</v>
      </c>
      <c r="I212" t="s">
        <v>59</v>
      </c>
      <c r="J212" t="s">
        <v>59</v>
      </c>
      <c r="K212" t="s">
        <v>59</v>
      </c>
      <c r="L212" t="s">
        <v>59</v>
      </c>
      <c r="M212" t="s">
        <v>59</v>
      </c>
      <c r="N212" t="s">
        <v>59</v>
      </c>
      <c r="O212" t="s">
        <v>59</v>
      </c>
      <c r="P212" t="s">
        <v>59</v>
      </c>
      <c r="Q212" t="s">
        <v>59</v>
      </c>
      <c r="R212" t="s">
        <v>59</v>
      </c>
      <c r="S212" t="s">
        <v>59</v>
      </c>
      <c r="T212" t="s">
        <v>59</v>
      </c>
      <c r="U212" t="s">
        <v>59</v>
      </c>
      <c r="V212" t="s">
        <v>59</v>
      </c>
      <c r="W212" t="s">
        <v>59</v>
      </c>
      <c r="X212" t="s">
        <v>59</v>
      </c>
      <c r="Y212" t="s">
        <v>59</v>
      </c>
    </row>
    <row r="213" spans="1:25" x14ac:dyDescent="0.25">
      <c r="A213">
        <v>338</v>
      </c>
      <c r="B213" t="s">
        <v>5272</v>
      </c>
      <c r="C213" t="s">
        <v>4602</v>
      </c>
      <c r="D213" t="s">
        <v>4603</v>
      </c>
      <c r="E213" t="s">
        <v>4585</v>
      </c>
      <c r="F213">
        <v>-1</v>
      </c>
      <c r="G213" t="s">
        <v>59</v>
      </c>
      <c r="H213" t="s">
        <v>59</v>
      </c>
      <c r="I213" t="s">
        <v>59</v>
      </c>
      <c r="J213" t="s">
        <v>59</v>
      </c>
      <c r="K213" t="s">
        <v>59</v>
      </c>
      <c r="L213" t="s">
        <v>59</v>
      </c>
      <c r="M213" t="s">
        <v>59</v>
      </c>
      <c r="N213" t="s">
        <v>59</v>
      </c>
      <c r="O213" t="s">
        <v>59</v>
      </c>
      <c r="P213" t="s">
        <v>59</v>
      </c>
      <c r="Q213" t="s">
        <v>59</v>
      </c>
      <c r="R213" t="s">
        <v>59</v>
      </c>
      <c r="S213" t="s">
        <v>59</v>
      </c>
      <c r="T213" t="s">
        <v>59</v>
      </c>
      <c r="U213" t="s">
        <v>59</v>
      </c>
      <c r="V213" t="s">
        <v>59</v>
      </c>
      <c r="W213" t="s">
        <v>59</v>
      </c>
      <c r="X213" t="s">
        <v>59</v>
      </c>
      <c r="Y213" t="s">
        <v>59</v>
      </c>
    </row>
    <row r="214" spans="1:25" x14ac:dyDescent="0.25">
      <c r="A214">
        <v>636</v>
      </c>
      <c r="B214" t="s">
        <v>5272</v>
      </c>
      <c r="C214" t="s">
        <v>5142</v>
      </c>
      <c r="D214" t="s">
        <v>5143</v>
      </c>
      <c r="E214" t="s">
        <v>5144</v>
      </c>
      <c r="F214">
        <v>-1</v>
      </c>
      <c r="G214" t="s">
        <v>59</v>
      </c>
      <c r="H214" t="s">
        <v>59</v>
      </c>
      <c r="I214" t="s">
        <v>59</v>
      </c>
      <c r="J214" t="s">
        <v>59</v>
      </c>
      <c r="K214" t="s">
        <v>59</v>
      </c>
      <c r="L214" t="s">
        <v>59</v>
      </c>
      <c r="M214" t="s">
        <v>59</v>
      </c>
      <c r="N214" t="s">
        <v>59</v>
      </c>
      <c r="O214" t="s">
        <v>59</v>
      </c>
      <c r="P214" t="s">
        <v>59</v>
      </c>
      <c r="Q214" t="s">
        <v>59</v>
      </c>
      <c r="R214" t="s">
        <v>59</v>
      </c>
      <c r="S214" t="s">
        <v>59</v>
      </c>
      <c r="T214" t="s">
        <v>59</v>
      </c>
      <c r="U214" t="s">
        <v>59</v>
      </c>
      <c r="V214" t="s">
        <v>59</v>
      </c>
      <c r="W214" t="s">
        <v>59</v>
      </c>
      <c r="X214" t="s">
        <v>59</v>
      </c>
      <c r="Y214" t="s">
        <v>59</v>
      </c>
    </row>
    <row r="215" spans="1:25" x14ac:dyDescent="0.25">
      <c r="A215">
        <v>637</v>
      </c>
      <c r="B215" t="s">
        <v>5272</v>
      </c>
      <c r="C215" t="s">
        <v>5145</v>
      </c>
      <c r="D215" t="s">
        <v>5146</v>
      </c>
      <c r="E215" t="s">
        <v>5144</v>
      </c>
      <c r="F215">
        <v>-1</v>
      </c>
      <c r="G215" t="s">
        <v>59</v>
      </c>
      <c r="H215" t="s">
        <v>59</v>
      </c>
      <c r="I215" t="s">
        <v>59</v>
      </c>
      <c r="J215" t="s">
        <v>59</v>
      </c>
      <c r="K215" t="s">
        <v>59</v>
      </c>
      <c r="L215" t="s">
        <v>59</v>
      </c>
      <c r="M215" t="s">
        <v>59</v>
      </c>
      <c r="N215" t="s">
        <v>59</v>
      </c>
      <c r="O215" t="s">
        <v>59</v>
      </c>
      <c r="P215" t="s">
        <v>59</v>
      </c>
      <c r="Q215" t="s">
        <v>59</v>
      </c>
      <c r="R215" t="s">
        <v>59</v>
      </c>
      <c r="S215" t="s">
        <v>59</v>
      </c>
      <c r="T215" t="s">
        <v>59</v>
      </c>
      <c r="U215" t="s">
        <v>59</v>
      </c>
      <c r="V215" t="s">
        <v>59</v>
      </c>
      <c r="W215" t="s">
        <v>59</v>
      </c>
      <c r="X215" t="s">
        <v>59</v>
      </c>
      <c r="Y215" t="s">
        <v>59</v>
      </c>
    </row>
    <row r="216" spans="1:25" x14ac:dyDescent="0.25">
      <c r="A216">
        <v>284</v>
      </c>
      <c r="B216" t="s">
        <v>5272</v>
      </c>
      <c r="C216" t="s">
        <v>4538</v>
      </c>
      <c r="D216" t="s">
        <v>4539</v>
      </c>
      <c r="E216" t="s">
        <v>4540</v>
      </c>
      <c r="F216">
        <v>-1</v>
      </c>
      <c r="G216" t="s">
        <v>59</v>
      </c>
      <c r="H216" t="s">
        <v>59</v>
      </c>
      <c r="I216" t="s">
        <v>59</v>
      </c>
      <c r="J216" t="s">
        <v>59</v>
      </c>
      <c r="K216" t="s">
        <v>59</v>
      </c>
      <c r="L216" t="s">
        <v>59</v>
      </c>
      <c r="M216" t="s">
        <v>59</v>
      </c>
      <c r="N216" t="s">
        <v>59</v>
      </c>
      <c r="O216" t="s">
        <v>59</v>
      </c>
      <c r="P216" t="s">
        <v>59</v>
      </c>
      <c r="Q216" t="s">
        <v>59</v>
      </c>
      <c r="R216" t="s">
        <v>59</v>
      </c>
      <c r="S216" t="s">
        <v>59</v>
      </c>
      <c r="T216" t="s">
        <v>59</v>
      </c>
      <c r="U216" t="s">
        <v>59</v>
      </c>
      <c r="V216" t="s">
        <v>59</v>
      </c>
      <c r="W216" t="s">
        <v>59</v>
      </c>
      <c r="X216" t="s">
        <v>59</v>
      </c>
      <c r="Y216" t="s">
        <v>59</v>
      </c>
    </row>
    <row r="217" spans="1:25" x14ac:dyDescent="0.25">
      <c r="A217">
        <v>402</v>
      </c>
      <c r="B217" t="s">
        <v>5272</v>
      </c>
      <c r="C217" t="s">
        <v>4705</v>
      </c>
      <c r="D217" t="s">
        <v>4706</v>
      </c>
      <c r="E217" t="s">
        <v>4615</v>
      </c>
      <c r="F217">
        <v>-1</v>
      </c>
      <c r="G217" t="s">
        <v>59</v>
      </c>
      <c r="H217" t="s">
        <v>59</v>
      </c>
      <c r="I217" t="s">
        <v>59</v>
      </c>
      <c r="J217" t="s">
        <v>59</v>
      </c>
      <c r="K217" t="s">
        <v>59</v>
      </c>
      <c r="L217" t="s">
        <v>59</v>
      </c>
      <c r="M217" t="s">
        <v>59</v>
      </c>
      <c r="N217" t="s">
        <v>59</v>
      </c>
      <c r="O217" t="s">
        <v>59</v>
      </c>
      <c r="P217" t="s">
        <v>59</v>
      </c>
      <c r="Q217" t="s">
        <v>59</v>
      </c>
      <c r="R217" t="s">
        <v>59</v>
      </c>
      <c r="S217" t="s">
        <v>59</v>
      </c>
      <c r="T217" t="s">
        <v>59</v>
      </c>
      <c r="U217" t="s">
        <v>59</v>
      </c>
      <c r="V217" t="s">
        <v>59</v>
      </c>
      <c r="W217" t="s">
        <v>59</v>
      </c>
      <c r="X217" t="s">
        <v>59</v>
      </c>
      <c r="Y217" t="s">
        <v>59</v>
      </c>
    </row>
    <row r="218" spans="1:25" x14ac:dyDescent="0.25">
      <c r="A218">
        <v>403</v>
      </c>
      <c r="B218" t="s">
        <v>5272</v>
      </c>
      <c r="C218" t="s">
        <v>4707</v>
      </c>
      <c r="D218" t="s">
        <v>4708</v>
      </c>
      <c r="E218" t="s">
        <v>4615</v>
      </c>
      <c r="F218">
        <v>-1</v>
      </c>
      <c r="G218" t="s">
        <v>59</v>
      </c>
      <c r="H218" t="s">
        <v>59</v>
      </c>
      <c r="I218" t="s">
        <v>59</v>
      </c>
      <c r="J218" t="s">
        <v>59</v>
      </c>
      <c r="K218" t="s">
        <v>59</v>
      </c>
      <c r="L218" t="s">
        <v>59</v>
      </c>
      <c r="M218" t="s">
        <v>59</v>
      </c>
      <c r="N218" t="s">
        <v>59</v>
      </c>
      <c r="O218" t="s">
        <v>59</v>
      </c>
      <c r="P218" t="s">
        <v>59</v>
      </c>
      <c r="Q218" t="s">
        <v>59</v>
      </c>
      <c r="R218" t="s">
        <v>59</v>
      </c>
      <c r="S218" t="s">
        <v>59</v>
      </c>
      <c r="T218" t="s">
        <v>59</v>
      </c>
      <c r="U218" t="s">
        <v>59</v>
      </c>
      <c r="V218" t="s">
        <v>59</v>
      </c>
      <c r="W218" t="s">
        <v>59</v>
      </c>
      <c r="X218" t="s">
        <v>59</v>
      </c>
      <c r="Y218" t="s">
        <v>59</v>
      </c>
    </row>
    <row r="219" spans="1:25" x14ac:dyDescent="0.25">
      <c r="A219">
        <v>404</v>
      </c>
      <c r="B219" t="s">
        <v>5272</v>
      </c>
      <c r="C219" t="s">
        <v>4709</v>
      </c>
      <c r="D219" t="s">
        <v>4710</v>
      </c>
      <c r="E219" t="s">
        <v>4615</v>
      </c>
      <c r="F219">
        <v>-1</v>
      </c>
      <c r="G219" t="s">
        <v>59</v>
      </c>
      <c r="H219" t="s">
        <v>59</v>
      </c>
      <c r="I219" t="s">
        <v>59</v>
      </c>
      <c r="J219" t="s">
        <v>59</v>
      </c>
      <c r="K219" t="s">
        <v>59</v>
      </c>
      <c r="L219" t="s">
        <v>59</v>
      </c>
      <c r="M219" t="s">
        <v>59</v>
      </c>
      <c r="N219" t="s">
        <v>59</v>
      </c>
      <c r="O219" t="s">
        <v>59</v>
      </c>
      <c r="P219" t="s">
        <v>59</v>
      </c>
      <c r="Q219" t="s">
        <v>59</v>
      </c>
      <c r="R219" t="s">
        <v>59</v>
      </c>
      <c r="S219" t="s">
        <v>59</v>
      </c>
      <c r="T219" t="s">
        <v>59</v>
      </c>
      <c r="U219" t="s">
        <v>59</v>
      </c>
      <c r="V219" t="s">
        <v>59</v>
      </c>
      <c r="W219" t="s">
        <v>59</v>
      </c>
      <c r="X219" t="s">
        <v>59</v>
      </c>
      <c r="Y219" t="s">
        <v>59</v>
      </c>
    </row>
    <row r="220" spans="1:25" x14ac:dyDescent="0.25">
      <c r="A220">
        <v>401</v>
      </c>
      <c r="B220" t="s">
        <v>5272</v>
      </c>
      <c r="C220" t="s">
        <v>4703</v>
      </c>
      <c r="D220" t="s">
        <v>4704</v>
      </c>
      <c r="E220" t="s">
        <v>4615</v>
      </c>
      <c r="F220">
        <v>-1</v>
      </c>
      <c r="G220" t="s">
        <v>59</v>
      </c>
      <c r="H220" t="s">
        <v>59</v>
      </c>
      <c r="I220" t="s">
        <v>59</v>
      </c>
      <c r="J220" t="s">
        <v>59</v>
      </c>
      <c r="K220" t="s">
        <v>59</v>
      </c>
      <c r="L220" t="s">
        <v>59</v>
      </c>
      <c r="M220" t="s">
        <v>59</v>
      </c>
      <c r="N220" t="s">
        <v>59</v>
      </c>
      <c r="O220" t="s">
        <v>59</v>
      </c>
      <c r="P220" t="s">
        <v>59</v>
      </c>
      <c r="Q220" t="s">
        <v>59</v>
      </c>
      <c r="R220" t="s">
        <v>59</v>
      </c>
      <c r="S220" t="s">
        <v>59</v>
      </c>
      <c r="T220" t="s">
        <v>59</v>
      </c>
      <c r="U220" t="s">
        <v>59</v>
      </c>
      <c r="V220" t="s">
        <v>59</v>
      </c>
      <c r="W220" t="s">
        <v>59</v>
      </c>
      <c r="X220" t="s">
        <v>59</v>
      </c>
      <c r="Y220" t="s">
        <v>59</v>
      </c>
    </row>
    <row r="221" spans="1:25" x14ac:dyDescent="0.25">
      <c r="A221">
        <v>344</v>
      </c>
      <c r="B221" t="s">
        <v>5272</v>
      </c>
      <c r="C221" t="s">
        <v>1546</v>
      </c>
      <c r="D221" t="s">
        <v>4614</v>
      </c>
      <c r="E221" t="s">
        <v>4615</v>
      </c>
      <c r="F221">
        <v>-1</v>
      </c>
      <c r="G221" t="s">
        <v>59</v>
      </c>
      <c r="H221" t="s">
        <v>59</v>
      </c>
      <c r="I221" t="s">
        <v>59</v>
      </c>
      <c r="J221" t="s">
        <v>59</v>
      </c>
      <c r="K221" t="s">
        <v>59</v>
      </c>
      <c r="L221" t="s">
        <v>59</v>
      </c>
      <c r="M221" t="s">
        <v>59</v>
      </c>
      <c r="N221" t="s">
        <v>59</v>
      </c>
      <c r="O221" t="s">
        <v>59</v>
      </c>
      <c r="P221" t="s">
        <v>59</v>
      </c>
      <c r="Q221" t="s">
        <v>59</v>
      </c>
      <c r="R221" t="s">
        <v>59</v>
      </c>
      <c r="S221" t="s">
        <v>59</v>
      </c>
      <c r="T221" t="s">
        <v>59</v>
      </c>
      <c r="U221" t="s">
        <v>59</v>
      </c>
      <c r="V221" t="s">
        <v>59</v>
      </c>
      <c r="W221" t="s">
        <v>59</v>
      </c>
      <c r="X221" t="s">
        <v>59</v>
      </c>
      <c r="Y221" t="s">
        <v>59</v>
      </c>
    </row>
    <row r="222" spans="1:25" x14ac:dyDescent="0.25">
      <c r="A222">
        <v>405</v>
      </c>
      <c r="B222" t="s">
        <v>5272</v>
      </c>
      <c r="C222" t="s">
        <v>4711</v>
      </c>
      <c r="D222" t="s">
        <v>4712</v>
      </c>
      <c r="E222" t="s">
        <v>4615</v>
      </c>
      <c r="F222">
        <v>-1</v>
      </c>
      <c r="G222" t="s">
        <v>59</v>
      </c>
      <c r="H222" t="s">
        <v>59</v>
      </c>
      <c r="I222" t="s">
        <v>59</v>
      </c>
      <c r="J222" t="s">
        <v>59</v>
      </c>
      <c r="K222" t="s">
        <v>59</v>
      </c>
      <c r="L222" t="s">
        <v>59</v>
      </c>
      <c r="M222" t="s">
        <v>59</v>
      </c>
      <c r="N222" t="s">
        <v>59</v>
      </c>
      <c r="O222" t="s">
        <v>59</v>
      </c>
      <c r="P222" t="s">
        <v>59</v>
      </c>
      <c r="Q222" t="s">
        <v>59</v>
      </c>
      <c r="R222" t="s">
        <v>59</v>
      </c>
      <c r="S222" t="s">
        <v>59</v>
      </c>
      <c r="T222" t="s">
        <v>59</v>
      </c>
      <c r="U222" t="s">
        <v>59</v>
      </c>
      <c r="V222" t="s">
        <v>59</v>
      </c>
      <c r="W222" t="s">
        <v>59</v>
      </c>
      <c r="X222" t="s">
        <v>59</v>
      </c>
      <c r="Y222" t="s">
        <v>59</v>
      </c>
    </row>
    <row r="223" spans="1:25" x14ac:dyDescent="0.25">
      <c r="A223">
        <v>406</v>
      </c>
      <c r="B223" t="s">
        <v>5272</v>
      </c>
      <c r="C223" t="s">
        <v>4713</v>
      </c>
      <c r="D223" t="s">
        <v>4714</v>
      </c>
      <c r="E223" t="s">
        <v>4615</v>
      </c>
      <c r="F223">
        <v>-1</v>
      </c>
      <c r="G223" t="s">
        <v>59</v>
      </c>
      <c r="H223" t="s">
        <v>59</v>
      </c>
      <c r="I223" t="s">
        <v>59</v>
      </c>
      <c r="J223" t="s">
        <v>59</v>
      </c>
      <c r="K223" t="s">
        <v>59</v>
      </c>
      <c r="L223" t="s">
        <v>59</v>
      </c>
      <c r="M223" t="s">
        <v>59</v>
      </c>
      <c r="N223" t="s">
        <v>59</v>
      </c>
      <c r="O223" t="s">
        <v>59</v>
      </c>
      <c r="P223" t="s">
        <v>59</v>
      </c>
      <c r="Q223" t="s">
        <v>59</v>
      </c>
      <c r="R223" t="s">
        <v>59</v>
      </c>
      <c r="S223" t="s">
        <v>59</v>
      </c>
      <c r="T223" t="s">
        <v>59</v>
      </c>
      <c r="U223" t="s">
        <v>59</v>
      </c>
      <c r="V223" t="s">
        <v>59</v>
      </c>
      <c r="W223" t="s">
        <v>59</v>
      </c>
      <c r="X223" t="s">
        <v>59</v>
      </c>
      <c r="Y223" t="s">
        <v>59</v>
      </c>
    </row>
    <row r="224" spans="1:25" x14ac:dyDescent="0.25">
      <c r="A224">
        <v>407</v>
      </c>
      <c r="B224" t="s">
        <v>5272</v>
      </c>
      <c r="C224" t="s">
        <v>4715</v>
      </c>
      <c r="D224" t="s">
        <v>4716</v>
      </c>
      <c r="E224" t="s">
        <v>4615</v>
      </c>
      <c r="F224">
        <v>-1</v>
      </c>
      <c r="G224" t="s">
        <v>59</v>
      </c>
      <c r="H224" t="s">
        <v>59</v>
      </c>
      <c r="I224" t="s">
        <v>59</v>
      </c>
      <c r="J224" t="s">
        <v>59</v>
      </c>
      <c r="K224" t="s">
        <v>59</v>
      </c>
      <c r="L224" t="s">
        <v>59</v>
      </c>
      <c r="M224" t="s">
        <v>59</v>
      </c>
      <c r="N224" t="s">
        <v>59</v>
      </c>
      <c r="O224" t="s">
        <v>59</v>
      </c>
      <c r="P224" t="s">
        <v>59</v>
      </c>
      <c r="Q224" t="s">
        <v>59</v>
      </c>
      <c r="R224" t="s">
        <v>59</v>
      </c>
      <c r="S224" t="s">
        <v>59</v>
      </c>
      <c r="T224" t="s">
        <v>59</v>
      </c>
      <c r="U224" t="s">
        <v>59</v>
      </c>
      <c r="V224" t="s">
        <v>59</v>
      </c>
      <c r="W224" t="s">
        <v>59</v>
      </c>
      <c r="X224" t="s">
        <v>59</v>
      </c>
      <c r="Y224" t="s">
        <v>59</v>
      </c>
    </row>
    <row r="225" spans="1:25" x14ac:dyDescent="0.25">
      <c r="A225">
        <v>408</v>
      </c>
      <c r="B225" t="s">
        <v>5272</v>
      </c>
      <c r="C225" t="s">
        <v>4717</v>
      </c>
      <c r="D225" t="s">
        <v>4718</v>
      </c>
      <c r="E225" t="s">
        <v>4615</v>
      </c>
      <c r="F225">
        <v>-1</v>
      </c>
      <c r="G225" t="s">
        <v>59</v>
      </c>
      <c r="H225" t="s">
        <v>59</v>
      </c>
      <c r="I225" t="s">
        <v>59</v>
      </c>
      <c r="J225" t="s">
        <v>59</v>
      </c>
      <c r="K225" t="s">
        <v>59</v>
      </c>
      <c r="L225" t="s">
        <v>59</v>
      </c>
      <c r="M225" t="s">
        <v>59</v>
      </c>
      <c r="N225" t="s">
        <v>59</v>
      </c>
      <c r="O225" t="s">
        <v>59</v>
      </c>
      <c r="P225" t="s">
        <v>59</v>
      </c>
      <c r="Q225" t="s">
        <v>59</v>
      </c>
      <c r="R225" t="s">
        <v>59</v>
      </c>
      <c r="S225" t="s">
        <v>59</v>
      </c>
      <c r="T225" t="s">
        <v>59</v>
      </c>
      <c r="U225" t="s">
        <v>59</v>
      </c>
      <c r="V225" t="s">
        <v>59</v>
      </c>
      <c r="W225" t="s">
        <v>59</v>
      </c>
      <c r="X225" t="s">
        <v>59</v>
      </c>
      <c r="Y225" t="s">
        <v>59</v>
      </c>
    </row>
    <row r="226" spans="1:25" x14ac:dyDescent="0.25">
      <c r="A226">
        <v>409</v>
      </c>
      <c r="B226" t="s">
        <v>5272</v>
      </c>
      <c r="C226" t="s">
        <v>4719</v>
      </c>
      <c r="D226" t="s">
        <v>4720</v>
      </c>
      <c r="E226" t="s">
        <v>4615</v>
      </c>
      <c r="F226">
        <v>-1</v>
      </c>
      <c r="G226" t="s">
        <v>59</v>
      </c>
      <c r="H226" t="s">
        <v>59</v>
      </c>
      <c r="I226" t="s">
        <v>59</v>
      </c>
      <c r="J226" t="s">
        <v>59</v>
      </c>
      <c r="K226" t="s">
        <v>59</v>
      </c>
      <c r="L226" t="s">
        <v>59</v>
      </c>
      <c r="M226" t="s">
        <v>59</v>
      </c>
      <c r="N226" t="s">
        <v>59</v>
      </c>
      <c r="O226" t="s">
        <v>59</v>
      </c>
      <c r="P226" t="s">
        <v>59</v>
      </c>
      <c r="Q226" t="s">
        <v>59</v>
      </c>
      <c r="R226" t="s">
        <v>59</v>
      </c>
      <c r="S226" t="s">
        <v>59</v>
      </c>
      <c r="T226" t="s">
        <v>59</v>
      </c>
      <c r="U226" t="s">
        <v>59</v>
      </c>
      <c r="V226" t="s">
        <v>59</v>
      </c>
      <c r="W226" t="s">
        <v>59</v>
      </c>
      <c r="X226" t="s">
        <v>59</v>
      </c>
      <c r="Y226" t="s">
        <v>59</v>
      </c>
    </row>
    <row r="227" spans="1:25" x14ac:dyDescent="0.25">
      <c r="A227">
        <v>410</v>
      </c>
      <c r="B227" t="s">
        <v>5272</v>
      </c>
      <c r="C227" t="s">
        <v>4721</v>
      </c>
      <c r="D227" t="s">
        <v>4722</v>
      </c>
      <c r="E227" t="s">
        <v>4615</v>
      </c>
      <c r="F227">
        <v>-1</v>
      </c>
      <c r="G227" t="s">
        <v>59</v>
      </c>
      <c r="H227" t="s">
        <v>59</v>
      </c>
      <c r="I227" t="s">
        <v>59</v>
      </c>
      <c r="J227" t="s">
        <v>59</v>
      </c>
      <c r="K227" t="s">
        <v>59</v>
      </c>
      <c r="L227" t="s">
        <v>59</v>
      </c>
      <c r="M227" t="s">
        <v>59</v>
      </c>
      <c r="N227" t="s">
        <v>59</v>
      </c>
      <c r="O227" t="s">
        <v>59</v>
      </c>
      <c r="P227" t="s">
        <v>59</v>
      </c>
      <c r="Q227" t="s">
        <v>59</v>
      </c>
      <c r="R227" t="s">
        <v>59</v>
      </c>
      <c r="S227" t="s">
        <v>59</v>
      </c>
      <c r="T227" t="s">
        <v>59</v>
      </c>
      <c r="U227" t="s">
        <v>59</v>
      </c>
      <c r="V227" t="s">
        <v>59</v>
      </c>
      <c r="W227" t="s">
        <v>59</v>
      </c>
      <c r="X227" t="s">
        <v>59</v>
      </c>
      <c r="Y227" t="s">
        <v>59</v>
      </c>
    </row>
    <row r="228" spans="1:25" x14ac:dyDescent="0.25">
      <c r="A228">
        <v>411</v>
      </c>
      <c r="B228" t="s">
        <v>5272</v>
      </c>
      <c r="C228" t="s">
        <v>4723</v>
      </c>
      <c r="D228" t="s">
        <v>4724</v>
      </c>
      <c r="E228" t="s">
        <v>4617</v>
      </c>
      <c r="F228">
        <v>-1</v>
      </c>
      <c r="G228" t="s">
        <v>59</v>
      </c>
      <c r="H228" t="s">
        <v>59</v>
      </c>
      <c r="I228" t="s">
        <v>59</v>
      </c>
      <c r="J228" t="s">
        <v>59</v>
      </c>
      <c r="K228" t="s">
        <v>59</v>
      </c>
      <c r="L228" t="s">
        <v>59</v>
      </c>
      <c r="M228" t="s">
        <v>59</v>
      </c>
      <c r="N228" t="s">
        <v>59</v>
      </c>
      <c r="O228" t="s">
        <v>59</v>
      </c>
      <c r="P228" t="s">
        <v>59</v>
      </c>
      <c r="Q228" t="s">
        <v>59</v>
      </c>
      <c r="R228" t="s">
        <v>59</v>
      </c>
      <c r="S228" t="s">
        <v>59</v>
      </c>
      <c r="T228" t="s">
        <v>59</v>
      </c>
      <c r="U228" t="s">
        <v>59</v>
      </c>
      <c r="V228" t="s">
        <v>59</v>
      </c>
      <c r="W228" t="s">
        <v>59</v>
      </c>
      <c r="X228" t="s">
        <v>59</v>
      </c>
      <c r="Y228" t="s">
        <v>59</v>
      </c>
    </row>
    <row r="229" spans="1:25" x14ac:dyDescent="0.25">
      <c r="A229">
        <v>412</v>
      </c>
      <c r="B229" t="s">
        <v>5272</v>
      </c>
      <c r="C229" t="s">
        <v>4725</v>
      </c>
      <c r="D229" t="s">
        <v>4726</v>
      </c>
      <c r="E229" t="s">
        <v>4617</v>
      </c>
      <c r="F229">
        <v>-1</v>
      </c>
      <c r="G229" t="s">
        <v>59</v>
      </c>
      <c r="H229" t="s">
        <v>59</v>
      </c>
      <c r="I229" t="s">
        <v>59</v>
      </c>
      <c r="J229" t="s">
        <v>59</v>
      </c>
      <c r="K229" t="s">
        <v>59</v>
      </c>
      <c r="L229" t="s">
        <v>59</v>
      </c>
      <c r="M229" t="s">
        <v>59</v>
      </c>
      <c r="N229" t="s">
        <v>59</v>
      </c>
      <c r="O229" t="s">
        <v>59</v>
      </c>
      <c r="P229" t="s">
        <v>59</v>
      </c>
      <c r="Q229" t="s">
        <v>59</v>
      </c>
      <c r="R229" t="s">
        <v>59</v>
      </c>
      <c r="S229" t="s">
        <v>59</v>
      </c>
      <c r="T229" t="s">
        <v>59</v>
      </c>
      <c r="U229" t="s">
        <v>59</v>
      </c>
      <c r="V229" t="s">
        <v>59</v>
      </c>
      <c r="W229" t="s">
        <v>59</v>
      </c>
      <c r="X229" t="s">
        <v>59</v>
      </c>
      <c r="Y229" t="s">
        <v>59</v>
      </c>
    </row>
    <row r="230" spans="1:25" x14ac:dyDescent="0.25">
      <c r="A230">
        <v>413</v>
      </c>
      <c r="B230" t="s">
        <v>5272</v>
      </c>
      <c r="C230" t="s">
        <v>4727</v>
      </c>
      <c r="D230" t="s">
        <v>4728</v>
      </c>
      <c r="E230" t="s">
        <v>4617</v>
      </c>
      <c r="F230">
        <v>-1</v>
      </c>
      <c r="G230" t="s">
        <v>59</v>
      </c>
      <c r="H230" t="s">
        <v>59</v>
      </c>
      <c r="I230" t="s">
        <v>59</v>
      </c>
      <c r="J230" t="s">
        <v>59</v>
      </c>
      <c r="K230" t="s">
        <v>59</v>
      </c>
      <c r="L230" t="s">
        <v>59</v>
      </c>
      <c r="M230" t="s">
        <v>59</v>
      </c>
      <c r="N230" t="s">
        <v>59</v>
      </c>
      <c r="O230" t="s">
        <v>59</v>
      </c>
      <c r="P230" t="s">
        <v>59</v>
      </c>
      <c r="Q230" t="s">
        <v>59</v>
      </c>
      <c r="R230" t="s">
        <v>59</v>
      </c>
      <c r="S230" t="s">
        <v>59</v>
      </c>
      <c r="T230" t="s">
        <v>59</v>
      </c>
      <c r="U230" t="s">
        <v>59</v>
      </c>
      <c r="V230" t="s">
        <v>59</v>
      </c>
      <c r="W230" t="s">
        <v>59</v>
      </c>
      <c r="X230" t="s">
        <v>59</v>
      </c>
      <c r="Y230" t="s">
        <v>59</v>
      </c>
    </row>
    <row r="231" spans="1:25" x14ac:dyDescent="0.25">
      <c r="A231">
        <v>414</v>
      </c>
      <c r="B231" t="s">
        <v>5272</v>
      </c>
      <c r="C231" t="s">
        <v>4729</v>
      </c>
      <c r="D231" t="s">
        <v>4730</v>
      </c>
      <c r="E231" t="s">
        <v>4617</v>
      </c>
      <c r="F231">
        <v>-1</v>
      </c>
      <c r="G231" t="s">
        <v>59</v>
      </c>
      <c r="H231" t="s">
        <v>59</v>
      </c>
      <c r="I231" t="s">
        <v>59</v>
      </c>
      <c r="J231" t="s">
        <v>59</v>
      </c>
      <c r="K231" t="s">
        <v>59</v>
      </c>
      <c r="L231" t="s">
        <v>59</v>
      </c>
      <c r="M231" t="s">
        <v>59</v>
      </c>
      <c r="N231" t="s">
        <v>59</v>
      </c>
      <c r="O231" t="s">
        <v>59</v>
      </c>
      <c r="P231" t="s">
        <v>59</v>
      </c>
      <c r="Q231" t="s">
        <v>59</v>
      </c>
      <c r="R231" t="s">
        <v>59</v>
      </c>
      <c r="S231" t="s">
        <v>59</v>
      </c>
      <c r="T231" t="s">
        <v>59</v>
      </c>
      <c r="U231" t="s">
        <v>59</v>
      </c>
      <c r="V231" t="s">
        <v>59</v>
      </c>
      <c r="W231" t="s">
        <v>59</v>
      </c>
      <c r="X231" t="s">
        <v>59</v>
      </c>
      <c r="Y231" t="s">
        <v>59</v>
      </c>
    </row>
    <row r="232" spans="1:25" x14ac:dyDescent="0.25">
      <c r="A232">
        <v>415</v>
      </c>
      <c r="B232" t="s">
        <v>5272</v>
      </c>
      <c r="C232" t="s">
        <v>4731</v>
      </c>
      <c r="D232" t="s">
        <v>4732</v>
      </c>
      <c r="E232" t="s">
        <v>4617</v>
      </c>
      <c r="F232">
        <v>-1</v>
      </c>
      <c r="G232" t="s">
        <v>59</v>
      </c>
      <c r="H232" t="s">
        <v>59</v>
      </c>
      <c r="I232" t="s">
        <v>59</v>
      </c>
      <c r="J232" t="s">
        <v>59</v>
      </c>
      <c r="K232" t="s">
        <v>59</v>
      </c>
      <c r="L232" t="s">
        <v>59</v>
      </c>
      <c r="M232" t="s">
        <v>59</v>
      </c>
      <c r="N232" t="s">
        <v>59</v>
      </c>
      <c r="O232" t="s">
        <v>59</v>
      </c>
      <c r="P232" t="s">
        <v>59</v>
      </c>
      <c r="Q232" t="s">
        <v>59</v>
      </c>
      <c r="R232" t="s">
        <v>59</v>
      </c>
      <c r="S232" t="s">
        <v>59</v>
      </c>
      <c r="T232" t="s">
        <v>59</v>
      </c>
      <c r="U232" t="s">
        <v>59</v>
      </c>
      <c r="V232" t="s">
        <v>59</v>
      </c>
      <c r="W232" t="s">
        <v>59</v>
      </c>
      <c r="X232" t="s">
        <v>59</v>
      </c>
      <c r="Y232" t="s">
        <v>59</v>
      </c>
    </row>
    <row r="233" spans="1:25" x14ac:dyDescent="0.25">
      <c r="A233">
        <v>416</v>
      </c>
      <c r="B233" t="s">
        <v>5272</v>
      </c>
      <c r="C233" t="s">
        <v>4733</v>
      </c>
      <c r="D233" t="s">
        <v>4734</v>
      </c>
      <c r="E233" t="s">
        <v>4617</v>
      </c>
      <c r="F233">
        <v>-1</v>
      </c>
      <c r="G233" t="s">
        <v>59</v>
      </c>
      <c r="H233" t="s">
        <v>59</v>
      </c>
      <c r="I233" t="s">
        <v>59</v>
      </c>
      <c r="J233" t="s">
        <v>59</v>
      </c>
      <c r="K233" t="s">
        <v>59</v>
      </c>
      <c r="L233" t="s">
        <v>59</v>
      </c>
      <c r="M233" t="s">
        <v>59</v>
      </c>
      <c r="N233" t="s">
        <v>59</v>
      </c>
      <c r="O233" t="s">
        <v>59</v>
      </c>
      <c r="P233" t="s">
        <v>59</v>
      </c>
      <c r="Q233" t="s">
        <v>59</v>
      </c>
      <c r="R233" t="s">
        <v>59</v>
      </c>
      <c r="S233" t="s">
        <v>59</v>
      </c>
      <c r="T233" t="s">
        <v>59</v>
      </c>
      <c r="U233" t="s">
        <v>59</v>
      </c>
      <c r="V233" t="s">
        <v>59</v>
      </c>
      <c r="W233" t="s">
        <v>59</v>
      </c>
      <c r="X233" t="s">
        <v>59</v>
      </c>
      <c r="Y233" t="s">
        <v>59</v>
      </c>
    </row>
    <row r="234" spans="1:25" x14ac:dyDescent="0.25">
      <c r="A234">
        <v>345</v>
      </c>
      <c r="B234" t="s">
        <v>5272</v>
      </c>
      <c r="C234" t="s">
        <v>1508</v>
      </c>
      <c r="D234" t="s">
        <v>4616</v>
      </c>
      <c r="E234" t="s">
        <v>4617</v>
      </c>
      <c r="F234">
        <v>-1</v>
      </c>
      <c r="G234" t="s">
        <v>59</v>
      </c>
      <c r="H234" t="s">
        <v>59</v>
      </c>
      <c r="I234" t="s">
        <v>59</v>
      </c>
      <c r="J234" t="s">
        <v>59</v>
      </c>
      <c r="K234" t="s">
        <v>59</v>
      </c>
      <c r="L234" t="s">
        <v>59</v>
      </c>
      <c r="M234" t="s">
        <v>59</v>
      </c>
      <c r="N234" t="s">
        <v>59</v>
      </c>
      <c r="O234" t="s">
        <v>59</v>
      </c>
      <c r="P234" t="s">
        <v>59</v>
      </c>
      <c r="Q234" t="s">
        <v>59</v>
      </c>
      <c r="R234" t="s">
        <v>59</v>
      </c>
      <c r="S234" t="s">
        <v>59</v>
      </c>
      <c r="T234" t="s">
        <v>59</v>
      </c>
      <c r="U234" t="s">
        <v>59</v>
      </c>
      <c r="V234" t="s">
        <v>59</v>
      </c>
      <c r="W234" t="s">
        <v>59</v>
      </c>
      <c r="X234" t="s">
        <v>59</v>
      </c>
      <c r="Y234" t="s">
        <v>59</v>
      </c>
    </row>
    <row r="235" spans="1:25" x14ac:dyDescent="0.25">
      <c r="A235">
        <v>417</v>
      </c>
      <c r="B235" t="s">
        <v>5272</v>
      </c>
      <c r="C235" t="s">
        <v>4735</v>
      </c>
      <c r="D235" t="s">
        <v>4736</v>
      </c>
      <c r="E235" t="s">
        <v>4617</v>
      </c>
      <c r="F235">
        <v>-1</v>
      </c>
      <c r="G235" t="s">
        <v>59</v>
      </c>
      <c r="H235" t="s">
        <v>59</v>
      </c>
      <c r="I235" t="s">
        <v>59</v>
      </c>
      <c r="J235" t="s">
        <v>59</v>
      </c>
      <c r="K235" t="s">
        <v>59</v>
      </c>
      <c r="L235" t="s">
        <v>59</v>
      </c>
      <c r="M235" t="s">
        <v>59</v>
      </c>
      <c r="N235" t="s">
        <v>59</v>
      </c>
      <c r="O235" t="s">
        <v>59</v>
      </c>
      <c r="P235" t="s">
        <v>59</v>
      </c>
      <c r="Q235" t="s">
        <v>59</v>
      </c>
      <c r="R235" t="s">
        <v>59</v>
      </c>
      <c r="S235" t="s">
        <v>59</v>
      </c>
      <c r="T235" t="s">
        <v>59</v>
      </c>
      <c r="U235" t="s">
        <v>59</v>
      </c>
      <c r="V235" t="s">
        <v>59</v>
      </c>
      <c r="W235" t="s">
        <v>59</v>
      </c>
      <c r="X235" t="s">
        <v>59</v>
      </c>
      <c r="Y235" t="s">
        <v>59</v>
      </c>
    </row>
    <row r="236" spans="1:25" x14ac:dyDescent="0.25">
      <c r="A236">
        <v>418</v>
      </c>
      <c r="B236" t="s">
        <v>5272</v>
      </c>
      <c r="C236" t="s">
        <v>4737</v>
      </c>
      <c r="D236" t="s">
        <v>4738</v>
      </c>
      <c r="E236" t="s">
        <v>4617</v>
      </c>
      <c r="F236">
        <v>-1</v>
      </c>
      <c r="G236" t="s">
        <v>59</v>
      </c>
      <c r="H236" t="s">
        <v>59</v>
      </c>
      <c r="I236" t="s">
        <v>59</v>
      </c>
      <c r="J236" t="s">
        <v>59</v>
      </c>
      <c r="K236" t="s">
        <v>59</v>
      </c>
      <c r="L236" t="s">
        <v>59</v>
      </c>
      <c r="M236" t="s">
        <v>59</v>
      </c>
      <c r="N236" t="s">
        <v>59</v>
      </c>
      <c r="O236" t="s">
        <v>59</v>
      </c>
      <c r="P236" t="s">
        <v>59</v>
      </c>
      <c r="Q236" t="s">
        <v>59</v>
      </c>
      <c r="R236" t="s">
        <v>59</v>
      </c>
      <c r="S236" t="s">
        <v>59</v>
      </c>
      <c r="T236" t="s">
        <v>59</v>
      </c>
      <c r="U236" t="s">
        <v>59</v>
      </c>
      <c r="V236" t="s">
        <v>59</v>
      </c>
      <c r="W236" t="s">
        <v>59</v>
      </c>
      <c r="X236" t="s">
        <v>59</v>
      </c>
      <c r="Y236" t="s">
        <v>59</v>
      </c>
    </row>
    <row r="237" spans="1:25" x14ac:dyDescent="0.25">
      <c r="A237">
        <v>419</v>
      </c>
      <c r="B237" t="s">
        <v>5272</v>
      </c>
      <c r="C237" t="s">
        <v>4739</v>
      </c>
      <c r="D237" t="s">
        <v>4740</v>
      </c>
      <c r="E237" t="s">
        <v>4617</v>
      </c>
      <c r="F237">
        <v>-1</v>
      </c>
      <c r="G237" t="s">
        <v>59</v>
      </c>
      <c r="H237" t="s">
        <v>59</v>
      </c>
      <c r="I237" t="s">
        <v>59</v>
      </c>
      <c r="J237" t="s">
        <v>59</v>
      </c>
      <c r="K237" t="s">
        <v>59</v>
      </c>
      <c r="L237" t="s">
        <v>59</v>
      </c>
      <c r="M237" t="s">
        <v>59</v>
      </c>
      <c r="N237" t="s">
        <v>59</v>
      </c>
      <c r="O237" t="s">
        <v>59</v>
      </c>
      <c r="P237" t="s">
        <v>59</v>
      </c>
      <c r="Q237" t="s">
        <v>59</v>
      </c>
      <c r="R237" t="s">
        <v>59</v>
      </c>
      <c r="S237" t="s">
        <v>59</v>
      </c>
      <c r="T237" t="s">
        <v>59</v>
      </c>
      <c r="U237" t="s">
        <v>59</v>
      </c>
      <c r="V237" t="s">
        <v>59</v>
      </c>
      <c r="W237" t="s">
        <v>59</v>
      </c>
      <c r="X237" t="s">
        <v>59</v>
      </c>
      <c r="Y237" t="s">
        <v>59</v>
      </c>
    </row>
    <row r="238" spans="1:25" x14ac:dyDescent="0.25">
      <c r="A238">
        <v>420</v>
      </c>
      <c r="B238" t="s">
        <v>5272</v>
      </c>
      <c r="C238" t="s">
        <v>4741</v>
      </c>
      <c r="D238" t="s">
        <v>4742</v>
      </c>
      <c r="E238" t="s">
        <v>4617</v>
      </c>
      <c r="F238">
        <v>-1</v>
      </c>
      <c r="G238" t="s">
        <v>59</v>
      </c>
      <c r="H238" t="s">
        <v>59</v>
      </c>
      <c r="I238" t="s">
        <v>59</v>
      </c>
      <c r="J238" t="s">
        <v>59</v>
      </c>
      <c r="K238" t="s">
        <v>59</v>
      </c>
      <c r="L238" t="s">
        <v>59</v>
      </c>
      <c r="M238" t="s">
        <v>59</v>
      </c>
      <c r="N238" t="s">
        <v>59</v>
      </c>
      <c r="O238" t="s">
        <v>59</v>
      </c>
      <c r="P238" t="s">
        <v>59</v>
      </c>
      <c r="Q238" t="s">
        <v>59</v>
      </c>
      <c r="R238" t="s">
        <v>59</v>
      </c>
      <c r="S238" t="s">
        <v>59</v>
      </c>
      <c r="T238" t="s">
        <v>59</v>
      </c>
      <c r="U238" t="s">
        <v>59</v>
      </c>
      <c r="V238" t="s">
        <v>59</v>
      </c>
      <c r="W238" t="s">
        <v>59</v>
      </c>
      <c r="X238" t="s">
        <v>59</v>
      </c>
      <c r="Y238" t="s">
        <v>59</v>
      </c>
    </row>
    <row r="239" spans="1:25" x14ac:dyDescent="0.25">
      <c r="A239">
        <v>421</v>
      </c>
      <c r="B239" t="s">
        <v>5272</v>
      </c>
      <c r="C239" t="s">
        <v>4743</v>
      </c>
      <c r="D239" t="s">
        <v>4744</v>
      </c>
      <c r="E239" t="s">
        <v>4617</v>
      </c>
      <c r="F239">
        <v>-1</v>
      </c>
      <c r="G239" t="s">
        <v>59</v>
      </c>
      <c r="H239" t="s">
        <v>59</v>
      </c>
      <c r="I239" t="s">
        <v>59</v>
      </c>
      <c r="J239" t="s">
        <v>59</v>
      </c>
      <c r="K239" t="s">
        <v>59</v>
      </c>
      <c r="L239" t="s">
        <v>59</v>
      </c>
      <c r="M239" t="s">
        <v>59</v>
      </c>
      <c r="N239" t="s">
        <v>59</v>
      </c>
      <c r="O239" t="s">
        <v>59</v>
      </c>
      <c r="P239" t="s">
        <v>59</v>
      </c>
      <c r="Q239" t="s">
        <v>59</v>
      </c>
      <c r="R239" t="s">
        <v>59</v>
      </c>
      <c r="S239" t="s">
        <v>59</v>
      </c>
      <c r="T239" t="s">
        <v>59</v>
      </c>
      <c r="U239" t="s">
        <v>59</v>
      </c>
      <c r="V239" t="s">
        <v>59</v>
      </c>
      <c r="W239" t="s">
        <v>59</v>
      </c>
      <c r="X239" t="s">
        <v>59</v>
      </c>
      <c r="Y239" t="s">
        <v>59</v>
      </c>
    </row>
    <row r="240" spans="1:25" x14ac:dyDescent="0.25">
      <c r="A240">
        <v>422</v>
      </c>
      <c r="B240" t="s">
        <v>5272</v>
      </c>
      <c r="C240" t="s">
        <v>4745</v>
      </c>
      <c r="D240" t="s">
        <v>4746</v>
      </c>
      <c r="E240" t="s">
        <v>4617</v>
      </c>
      <c r="F240">
        <v>-1</v>
      </c>
      <c r="G240" t="s">
        <v>59</v>
      </c>
      <c r="H240" t="s">
        <v>59</v>
      </c>
      <c r="I240" t="s">
        <v>59</v>
      </c>
      <c r="J240" t="s">
        <v>59</v>
      </c>
      <c r="K240" t="s">
        <v>59</v>
      </c>
      <c r="L240" t="s">
        <v>59</v>
      </c>
      <c r="M240" t="s">
        <v>59</v>
      </c>
      <c r="N240" t="s">
        <v>59</v>
      </c>
      <c r="O240" t="s">
        <v>59</v>
      </c>
      <c r="P240" t="s">
        <v>59</v>
      </c>
      <c r="Q240" t="s">
        <v>59</v>
      </c>
      <c r="R240" t="s">
        <v>59</v>
      </c>
      <c r="S240" t="s">
        <v>59</v>
      </c>
      <c r="T240" t="s">
        <v>59</v>
      </c>
      <c r="U240" t="s">
        <v>59</v>
      </c>
      <c r="V240" t="s">
        <v>59</v>
      </c>
      <c r="W240" t="s">
        <v>59</v>
      </c>
      <c r="X240" t="s">
        <v>59</v>
      </c>
      <c r="Y240" t="s">
        <v>59</v>
      </c>
    </row>
    <row r="241" spans="1:25" x14ac:dyDescent="0.25">
      <c r="A241">
        <v>437</v>
      </c>
      <c r="B241" t="s">
        <v>5272</v>
      </c>
      <c r="C241" t="s">
        <v>4771</v>
      </c>
      <c r="D241" t="s">
        <v>4772</v>
      </c>
      <c r="E241" t="s">
        <v>4383</v>
      </c>
      <c r="F241">
        <v>-1</v>
      </c>
      <c r="G241" t="s">
        <v>59</v>
      </c>
      <c r="H241" t="s">
        <v>59</v>
      </c>
      <c r="I241" t="s">
        <v>59</v>
      </c>
      <c r="J241" t="s">
        <v>59</v>
      </c>
      <c r="K241" t="s">
        <v>59</v>
      </c>
      <c r="L241" t="s">
        <v>59</v>
      </c>
      <c r="M241" t="s">
        <v>59</v>
      </c>
      <c r="N241" t="s">
        <v>59</v>
      </c>
      <c r="O241" t="s">
        <v>59</v>
      </c>
      <c r="P241" t="s">
        <v>59</v>
      </c>
      <c r="Q241" t="s">
        <v>59</v>
      </c>
      <c r="R241" t="s">
        <v>59</v>
      </c>
      <c r="S241" t="s">
        <v>59</v>
      </c>
      <c r="T241" t="s">
        <v>59</v>
      </c>
      <c r="U241" t="s">
        <v>59</v>
      </c>
      <c r="V241" t="s">
        <v>59</v>
      </c>
      <c r="W241" t="s">
        <v>59</v>
      </c>
      <c r="X241" t="s">
        <v>59</v>
      </c>
      <c r="Y241" t="s">
        <v>59</v>
      </c>
    </row>
    <row r="242" spans="1:25" x14ac:dyDescent="0.25">
      <c r="A242">
        <v>648</v>
      </c>
      <c r="B242" t="s">
        <v>5272</v>
      </c>
      <c r="C242" t="s">
        <v>5167</v>
      </c>
      <c r="D242" t="s">
        <v>5168</v>
      </c>
      <c r="E242" t="s">
        <v>4383</v>
      </c>
      <c r="F242">
        <v>-1</v>
      </c>
      <c r="G242" t="s">
        <v>59</v>
      </c>
      <c r="H242" t="s">
        <v>59</v>
      </c>
      <c r="I242" t="s">
        <v>59</v>
      </c>
      <c r="J242" t="s">
        <v>59</v>
      </c>
      <c r="K242" t="s">
        <v>59</v>
      </c>
      <c r="L242" t="s">
        <v>59</v>
      </c>
      <c r="M242" t="s">
        <v>59</v>
      </c>
      <c r="N242" t="s">
        <v>59</v>
      </c>
      <c r="O242" t="s">
        <v>59</v>
      </c>
      <c r="P242" t="s">
        <v>59</v>
      </c>
      <c r="Q242" t="s">
        <v>59</v>
      </c>
      <c r="R242" t="s">
        <v>59</v>
      </c>
      <c r="S242" t="s">
        <v>59</v>
      </c>
      <c r="T242" t="s">
        <v>59</v>
      </c>
      <c r="U242" t="s">
        <v>59</v>
      </c>
      <c r="V242" t="s">
        <v>59</v>
      </c>
      <c r="W242" t="s">
        <v>59</v>
      </c>
      <c r="X242" t="s">
        <v>59</v>
      </c>
      <c r="Y242" t="s">
        <v>59</v>
      </c>
    </row>
    <row r="243" spans="1:25" x14ac:dyDescent="0.25">
      <c r="A243">
        <v>672</v>
      </c>
      <c r="B243" t="s">
        <v>5272</v>
      </c>
      <c r="C243" t="s">
        <v>5215</v>
      </c>
      <c r="D243" t="s">
        <v>5216</v>
      </c>
      <c r="E243" t="s">
        <v>4383</v>
      </c>
      <c r="F243">
        <v>-1</v>
      </c>
      <c r="G243" t="s">
        <v>59</v>
      </c>
      <c r="H243" t="s">
        <v>59</v>
      </c>
      <c r="I243" t="s">
        <v>59</v>
      </c>
      <c r="J243" t="s">
        <v>59</v>
      </c>
      <c r="K243" t="s">
        <v>59</v>
      </c>
      <c r="L243" t="s">
        <v>59</v>
      </c>
      <c r="M243" t="s">
        <v>59</v>
      </c>
      <c r="N243" t="s">
        <v>59</v>
      </c>
      <c r="O243" t="s">
        <v>59</v>
      </c>
      <c r="P243" t="s">
        <v>59</v>
      </c>
      <c r="Q243" t="s">
        <v>59</v>
      </c>
      <c r="R243" t="s">
        <v>59</v>
      </c>
      <c r="S243" t="s">
        <v>59</v>
      </c>
      <c r="T243" t="s">
        <v>59</v>
      </c>
      <c r="U243" t="s">
        <v>59</v>
      </c>
      <c r="V243" t="s">
        <v>59</v>
      </c>
      <c r="W243" t="s">
        <v>59</v>
      </c>
      <c r="X243" t="s">
        <v>59</v>
      </c>
      <c r="Y243" t="s">
        <v>59</v>
      </c>
    </row>
    <row r="244" spans="1:25" x14ac:dyDescent="0.25">
      <c r="A244">
        <v>649</v>
      </c>
      <c r="B244" t="s">
        <v>5272</v>
      </c>
      <c r="C244" t="s">
        <v>5169</v>
      </c>
      <c r="D244" t="s">
        <v>5170</v>
      </c>
      <c r="E244" t="s">
        <v>4383</v>
      </c>
      <c r="F244">
        <v>-1</v>
      </c>
      <c r="G244" t="s">
        <v>59</v>
      </c>
      <c r="H244" t="s">
        <v>59</v>
      </c>
      <c r="I244" t="s">
        <v>59</v>
      </c>
      <c r="J244" t="s">
        <v>59</v>
      </c>
      <c r="K244" t="s">
        <v>59</v>
      </c>
      <c r="L244" t="s">
        <v>59</v>
      </c>
      <c r="M244" t="s">
        <v>59</v>
      </c>
      <c r="N244" t="s">
        <v>59</v>
      </c>
      <c r="O244" t="s">
        <v>59</v>
      </c>
      <c r="P244" t="s">
        <v>59</v>
      </c>
      <c r="Q244" t="s">
        <v>59</v>
      </c>
      <c r="R244" t="s">
        <v>59</v>
      </c>
      <c r="S244" t="s">
        <v>59</v>
      </c>
      <c r="T244" t="s">
        <v>59</v>
      </c>
      <c r="U244" t="s">
        <v>59</v>
      </c>
      <c r="V244" t="s">
        <v>59</v>
      </c>
      <c r="W244" t="s">
        <v>59</v>
      </c>
      <c r="X244" t="s">
        <v>59</v>
      </c>
      <c r="Y244" t="s">
        <v>59</v>
      </c>
    </row>
    <row r="245" spans="1:25" x14ac:dyDescent="0.25">
      <c r="A245">
        <v>451</v>
      </c>
      <c r="B245" t="s">
        <v>5272</v>
      </c>
      <c r="C245" t="s">
        <v>4799</v>
      </c>
      <c r="D245" t="s">
        <v>4800</v>
      </c>
      <c r="E245" t="s">
        <v>4383</v>
      </c>
      <c r="F245">
        <v>-1</v>
      </c>
      <c r="G245" t="s">
        <v>59</v>
      </c>
      <c r="H245" t="s">
        <v>59</v>
      </c>
      <c r="I245" t="s">
        <v>59</v>
      </c>
      <c r="J245" t="s">
        <v>59</v>
      </c>
      <c r="K245" t="s">
        <v>59</v>
      </c>
      <c r="L245" t="s">
        <v>59</v>
      </c>
      <c r="M245" t="s">
        <v>59</v>
      </c>
      <c r="N245" t="s">
        <v>59</v>
      </c>
      <c r="O245" t="s">
        <v>59</v>
      </c>
      <c r="P245" t="s">
        <v>59</v>
      </c>
      <c r="Q245" t="s">
        <v>59</v>
      </c>
      <c r="R245" t="s">
        <v>59</v>
      </c>
      <c r="S245" t="s">
        <v>59</v>
      </c>
      <c r="T245" t="s">
        <v>59</v>
      </c>
      <c r="U245" t="s">
        <v>59</v>
      </c>
      <c r="V245" t="s">
        <v>59</v>
      </c>
      <c r="W245" t="s">
        <v>59</v>
      </c>
      <c r="X245" t="s">
        <v>59</v>
      </c>
      <c r="Y245" t="s">
        <v>59</v>
      </c>
    </row>
    <row r="246" spans="1:25" x14ac:dyDescent="0.25">
      <c r="A246">
        <v>654</v>
      </c>
      <c r="B246" t="s">
        <v>5272</v>
      </c>
      <c r="C246" t="s">
        <v>5179</v>
      </c>
      <c r="D246" t="s">
        <v>5180</v>
      </c>
      <c r="E246" t="s">
        <v>4383</v>
      </c>
      <c r="F246">
        <v>-1</v>
      </c>
      <c r="G246" t="s">
        <v>59</v>
      </c>
      <c r="H246" t="s">
        <v>59</v>
      </c>
      <c r="I246" t="s">
        <v>59</v>
      </c>
      <c r="J246" t="s">
        <v>59</v>
      </c>
      <c r="K246" t="s">
        <v>59</v>
      </c>
      <c r="L246" t="s">
        <v>59</v>
      </c>
      <c r="M246" t="s">
        <v>59</v>
      </c>
      <c r="N246" t="s">
        <v>59</v>
      </c>
      <c r="O246" t="s">
        <v>59</v>
      </c>
      <c r="P246" t="s">
        <v>59</v>
      </c>
      <c r="Q246" t="s">
        <v>59</v>
      </c>
      <c r="R246" t="s">
        <v>59</v>
      </c>
      <c r="S246" t="s">
        <v>59</v>
      </c>
      <c r="T246" t="s">
        <v>59</v>
      </c>
      <c r="U246" t="s">
        <v>59</v>
      </c>
      <c r="V246" t="s">
        <v>59</v>
      </c>
      <c r="W246" t="s">
        <v>59</v>
      </c>
      <c r="X246" t="s">
        <v>59</v>
      </c>
      <c r="Y246" t="s">
        <v>59</v>
      </c>
    </row>
    <row r="247" spans="1:25" x14ac:dyDescent="0.25">
      <c r="A247">
        <v>449</v>
      </c>
      <c r="B247" t="s">
        <v>5272</v>
      </c>
      <c r="C247" t="s">
        <v>4795</v>
      </c>
      <c r="D247" t="s">
        <v>4796</v>
      </c>
      <c r="E247" t="s">
        <v>4383</v>
      </c>
      <c r="F247">
        <v>-1</v>
      </c>
      <c r="G247" t="s">
        <v>59</v>
      </c>
      <c r="H247" t="s">
        <v>59</v>
      </c>
      <c r="I247" t="s">
        <v>59</v>
      </c>
      <c r="J247" t="s">
        <v>59</v>
      </c>
      <c r="K247" t="s">
        <v>59</v>
      </c>
      <c r="L247" t="s">
        <v>59</v>
      </c>
      <c r="M247" t="s">
        <v>59</v>
      </c>
      <c r="N247" t="s">
        <v>59</v>
      </c>
      <c r="O247" t="s">
        <v>59</v>
      </c>
      <c r="P247" t="s">
        <v>59</v>
      </c>
      <c r="Q247" t="s">
        <v>59</v>
      </c>
      <c r="R247" t="s">
        <v>59</v>
      </c>
      <c r="S247" t="s">
        <v>59</v>
      </c>
      <c r="T247" t="s">
        <v>59</v>
      </c>
      <c r="U247" t="s">
        <v>59</v>
      </c>
      <c r="V247" t="s">
        <v>59</v>
      </c>
      <c r="W247" t="s">
        <v>59</v>
      </c>
      <c r="X247" t="s">
        <v>59</v>
      </c>
      <c r="Y247" t="s">
        <v>59</v>
      </c>
    </row>
    <row r="248" spans="1:25" x14ac:dyDescent="0.25">
      <c r="A248">
        <v>454</v>
      </c>
      <c r="B248" t="s">
        <v>5272</v>
      </c>
      <c r="C248" t="s">
        <v>4805</v>
      </c>
      <c r="D248" t="s">
        <v>4806</v>
      </c>
      <c r="E248" t="s">
        <v>4383</v>
      </c>
      <c r="F248">
        <v>-1</v>
      </c>
      <c r="G248" t="s">
        <v>59</v>
      </c>
      <c r="H248" t="s">
        <v>59</v>
      </c>
      <c r="I248" t="s">
        <v>59</v>
      </c>
      <c r="J248" t="s">
        <v>59</v>
      </c>
      <c r="K248" t="s">
        <v>59</v>
      </c>
      <c r="L248" t="s">
        <v>59</v>
      </c>
      <c r="M248" t="s">
        <v>59</v>
      </c>
      <c r="N248" t="s">
        <v>59</v>
      </c>
      <c r="O248" t="s">
        <v>59</v>
      </c>
      <c r="P248" t="s">
        <v>59</v>
      </c>
      <c r="Q248" t="s">
        <v>59</v>
      </c>
      <c r="R248" t="s">
        <v>59</v>
      </c>
      <c r="S248" t="s">
        <v>59</v>
      </c>
      <c r="T248" t="s">
        <v>59</v>
      </c>
      <c r="U248" t="s">
        <v>59</v>
      </c>
      <c r="V248" t="s">
        <v>59</v>
      </c>
      <c r="W248" t="s">
        <v>59</v>
      </c>
      <c r="X248" t="s">
        <v>59</v>
      </c>
      <c r="Y248" t="s">
        <v>59</v>
      </c>
    </row>
    <row r="249" spans="1:25" x14ac:dyDescent="0.25">
      <c r="A249">
        <v>668</v>
      </c>
      <c r="B249" t="s">
        <v>5272</v>
      </c>
      <c r="C249" t="s">
        <v>5207</v>
      </c>
      <c r="D249" t="s">
        <v>5208</v>
      </c>
      <c r="E249" t="s">
        <v>4383</v>
      </c>
      <c r="F249">
        <v>-1</v>
      </c>
      <c r="G249" t="s">
        <v>59</v>
      </c>
      <c r="H249" t="s">
        <v>59</v>
      </c>
      <c r="I249" t="s">
        <v>59</v>
      </c>
      <c r="J249" t="s">
        <v>59</v>
      </c>
      <c r="K249" t="s">
        <v>59</v>
      </c>
      <c r="L249" t="s">
        <v>59</v>
      </c>
      <c r="M249" t="s">
        <v>59</v>
      </c>
      <c r="N249" t="s">
        <v>59</v>
      </c>
      <c r="O249" t="s">
        <v>59</v>
      </c>
      <c r="P249" t="s">
        <v>59</v>
      </c>
      <c r="Q249" t="s">
        <v>59</v>
      </c>
      <c r="R249" t="s">
        <v>59</v>
      </c>
      <c r="S249" t="s">
        <v>59</v>
      </c>
      <c r="T249" t="s">
        <v>59</v>
      </c>
      <c r="U249" t="s">
        <v>59</v>
      </c>
      <c r="V249" t="s">
        <v>59</v>
      </c>
      <c r="W249" t="s">
        <v>59</v>
      </c>
      <c r="X249" t="s">
        <v>59</v>
      </c>
      <c r="Y249" t="s">
        <v>59</v>
      </c>
    </row>
    <row r="250" spans="1:25" x14ac:dyDescent="0.25">
      <c r="A250">
        <v>641</v>
      </c>
      <c r="B250" t="s">
        <v>5272</v>
      </c>
      <c r="C250" t="s">
        <v>5153</v>
      </c>
      <c r="D250" t="s">
        <v>5154</v>
      </c>
      <c r="E250" t="s">
        <v>4383</v>
      </c>
      <c r="F250">
        <v>-1</v>
      </c>
      <c r="G250" t="s">
        <v>59</v>
      </c>
      <c r="H250" t="s">
        <v>59</v>
      </c>
      <c r="I250" t="s">
        <v>59</v>
      </c>
      <c r="J250" t="s">
        <v>59</v>
      </c>
      <c r="K250" t="s">
        <v>59</v>
      </c>
      <c r="L250" t="s">
        <v>59</v>
      </c>
      <c r="M250" t="s">
        <v>59</v>
      </c>
      <c r="N250" t="s">
        <v>59</v>
      </c>
      <c r="O250" t="s">
        <v>59</v>
      </c>
      <c r="P250" t="s">
        <v>59</v>
      </c>
      <c r="Q250" t="s">
        <v>59</v>
      </c>
      <c r="R250" t="s">
        <v>59</v>
      </c>
      <c r="S250" t="s">
        <v>59</v>
      </c>
      <c r="T250" t="s">
        <v>59</v>
      </c>
      <c r="U250" t="s">
        <v>59</v>
      </c>
      <c r="V250" t="s">
        <v>59</v>
      </c>
      <c r="W250" t="s">
        <v>59</v>
      </c>
      <c r="X250" t="s">
        <v>59</v>
      </c>
      <c r="Y250" t="s">
        <v>59</v>
      </c>
    </row>
    <row r="251" spans="1:25" x14ac:dyDescent="0.25">
      <c r="A251">
        <v>640</v>
      </c>
      <c r="B251" t="s">
        <v>5272</v>
      </c>
      <c r="C251" t="s">
        <v>5151</v>
      </c>
      <c r="D251" t="s">
        <v>5152</v>
      </c>
      <c r="E251" t="s">
        <v>4383</v>
      </c>
      <c r="F251">
        <v>-1</v>
      </c>
      <c r="G251" t="s">
        <v>59</v>
      </c>
      <c r="H251" t="s">
        <v>59</v>
      </c>
      <c r="I251" t="s">
        <v>59</v>
      </c>
      <c r="J251" t="s">
        <v>59</v>
      </c>
      <c r="K251" t="s">
        <v>59</v>
      </c>
      <c r="L251" t="s">
        <v>59</v>
      </c>
      <c r="M251" t="s">
        <v>59</v>
      </c>
      <c r="N251" t="s">
        <v>59</v>
      </c>
      <c r="O251" t="s">
        <v>59</v>
      </c>
      <c r="P251" t="s">
        <v>59</v>
      </c>
      <c r="Q251" t="s">
        <v>59</v>
      </c>
      <c r="R251" t="s">
        <v>59</v>
      </c>
      <c r="S251" t="s">
        <v>59</v>
      </c>
      <c r="T251" t="s">
        <v>59</v>
      </c>
      <c r="U251" t="s">
        <v>59</v>
      </c>
      <c r="V251" t="s">
        <v>59</v>
      </c>
      <c r="W251" t="s">
        <v>59</v>
      </c>
      <c r="X251" t="s">
        <v>59</v>
      </c>
      <c r="Y251" t="s">
        <v>59</v>
      </c>
    </row>
    <row r="252" spans="1:25" x14ac:dyDescent="0.25">
      <c r="A252">
        <v>673</v>
      </c>
      <c r="B252" t="s">
        <v>5272</v>
      </c>
      <c r="C252" t="s">
        <v>5217</v>
      </c>
      <c r="D252" t="s">
        <v>5218</v>
      </c>
      <c r="E252" t="s">
        <v>4383</v>
      </c>
      <c r="F252">
        <v>-1</v>
      </c>
      <c r="G252" t="s">
        <v>59</v>
      </c>
      <c r="H252" t="s">
        <v>59</v>
      </c>
      <c r="I252" t="s">
        <v>59</v>
      </c>
      <c r="J252" t="s">
        <v>59</v>
      </c>
      <c r="K252" t="s">
        <v>59</v>
      </c>
      <c r="L252" t="s">
        <v>59</v>
      </c>
      <c r="M252" t="s">
        <v>59</v>
      </c>
      <c r="N252" t="s">
        <v>59</v>
      </c>
      <c r="O252" t="s">
        <v>59</v>
      </c>
      <c r="P252" t="s">
        <v>59</v>
      </c>
      <c r="Q252" t="s">
        <v>59</v>
      </c>
      <c r="R252" t="s">
        <v>59</v>
      </c>
      <c r="S252" t="s">
        <v>59</v>
      </c>
      <c r="T252" t="s">
        <v>59</v>
      </c>
      <c r="U252" t="s">
        <v>59</v>
      </c>
      <c r="V252" t="s">
        <v>59</v>
      </c>
      <c r="W252" t="s">
        <v>59</v>
      </c>
      <c r="X252" t="s">
        <v>59</v>
      </c>
      <c r="Y252" t="s">
        <v>59</v>
      </c>
    </row>
    <row r="253" spans="1:25" x14ac:dyDescent="0.25">
      <c r="A253">
        <v>655</v>
      </c>
      <c r="B253" t="s">
        <v>5272</v>
      </c>
      <c r="C253" t="s">
        <v>5181</v>
      </c>
      <c r="D253" t="s">
        <v>5182</v>
      </c>
      <c r="E253" t="s">
        <v>4383</v>
      </c>
      <c r="F253">
        <v>-1</v>
      </c>
      <c r="G253" t="s">
        <v>59</v>
      </c>
      <c r="H253" t="s">
        <v>59</v>
      </c>
      <c r="I253" t="s">
        <v>59</v>
      </c>
      <c r="J253" t="s">
        <v>59</v>
      </c>
      <c r="K253" t="s">
        <v>59</v>
      </c>
      <c r="L253" t="s">
        <v>59</v>
      </c>
      <c r="M253" t="s">
        <v>59</v>
      </c>
      <c r="N253" t="s">
        <v>59</v>
      </c>
      <c r="O253" t="s">
        <v>59</v>
      </c>
      <c r="P253" t="s">
        <v>59</v>
      </c>
      <c r="Q253" t="s">
        <v>59</v>
      </c>
      <c r="R253" t="s">
        <v>59</v>
      </c>
      <c r="S253" t="s">
        <v>59</v>
      </c>
      <c r="T253" t="s">
        <v>59</v>
      </c>
      <c r="U253" t="s">
        <v>59</v>
      </c>
      <c r="V253" t="s">
        <v>59</v>
      </c>
      <c r="W253" t="s">
        <v>59</v>
      </c>
      <c r="X253" t="s">
        <v>59</v>
      </c>
      <c r="Y253" t="s">
        <v>59</v>
      </c>
    </row>
    <row r="254" spans="1:25" x14ac:dyDescent="0.25">
      <c r="A254">
        <v>670</v>
      </c>
      <c r="B254" t="s">
        <v>5272</v>
      </c>
      <c r="C254" t="s">
        <v>5211</v>
      </c>
      <c r="D254" t="s">
        <v>5212</v>
      </c>
      <c r="E254" t="s">
        <v>4383</v>
      </c>
      <c r="F254">
        <v>-1</v>
      </c>
      <c r="G254" t="s">
        <v>59</v>
      </c>
      <c r="H254" t="s">
        <v>59</v>
      </c>
      <c r="I254" t="s">
        <v>59</v>
      </c>
      <c r="J254" t="s">
        <v>59</v>
      </c>
      <c r="K254" t="s">
        <v>59</v>
      </c>
      <c r="L254" t="s">
        <v>59</v>
      </c>
      <c r="M254" t="s">
        <v>59</v>
      </c>
      <c r="N254" t="s">
        <v>59</v>
      </c>
      <c r="O254" t="s">
        <v>59</v>
      </c>
      <c r="P254" t="s">
        <v>59</v>
      </c>
      <c r="Q254" t="s">
        <v>59</v>
      </c>
      <c r="R254" t="s">
        <v>59</v>
      </c>
      <c r="S254" t="s">
        <v>59</v>
      </c>
      <c r="T254" t="s">
        <v>59</v>
      </c>
      <c r="U254" t="s">
        <v>59</v>
      </c>
      <c r="V254" t="s">
        <v>59</v>
      </c>
      <c r="W254" t="s">
        <v>59</v>
      </c>
      <c r="X254" t="s">
        <v>59</v>
      </c>
      <c r="Y254" t="s">
        <v>59</v>
      </c>
    </row>
    <row r="255" spans="1:25" x14ac:dyDescent="0.25">
      <c r="A255">
        <v>658</v>
      </c>
      <c r="B255" t="s">
        <v>5272</v>
      </c>
      <c r="C255" t="s">
        <v>5187</v>
      </c>
      <c r="D255" t="s">
        <v>5188</v>
      </c>
      <c r="E255" t="s">
        <v>4383</v>
      </c>
      <c r="F255">
        <v>-1</v>
      </c>
      <c r="G255" t="s">
        <v>59</v>
      </c>
      <c r="H255" t="s">
        <v>59</v>
      </c>
      <c r="I255" t="s">
        <v>59</v>
      </c>
      <c r="J255" t="s">
        <v>59</v>
      </c>
      <c r="K255" t="s">
        <v>59</v>
      </c>
      <c r="L255" t="s">
        <v>59</v>
      </c>
      <c r="M255" t="s">
        <v>59</v>
      </c>
      <c r="N255" t="s">
        <v>59</v>
      </c>
      <c r="O255" t="s">
        <v>59</v>
      </c>
      <c r="P255" t="s">
        <v>59</v>
      </c>
      <c r="Q255" t="s">
        <v>59</v>
      </c>
      <c r="R255" t="s">
        <v>59</v>
      </c>
      <c r="S255" t="s">
        <v>59</v>
      </c>
      <c r="T255" t="s">
        <v>59</v>
      </c>
      <c r="U255" t="s">
        <v>59</v>
      </c>
      <c r="V255" t="s">
        <v>59</v>
      </c>
      <c r="W255" t="s">
        <v>59</v>
      </c>
      <c r="X255" t="s">
        <v>59</v>
      </c>
      <c r="Y255" t="s">
        <v>59</v>
      </c>
    </row>
    <row r="256" spans="1:25" x14ac:dyDescent="0.25">
      <c r="A256">
        <v>647</v>
      </c>
      <c r="B256" t="s">
        <v>5272</v>
      </c>
      <c r="C256" t="s">
        <v>5165</v>
      </c>
      <c r="D256" t="s">
        <v>5166</v>
      </c>
      <c r="E256" t="s">
        <v>4383</v>
      </c>
      <c r="F256">
        <v>-1</v>
      </c>
      <c r="G256" t="s">
        <v>59</v>
      </c>
      <c r="H256" t="s">
        <v>59</v>
      </c>
      <c r="I256" t="s">
        <v>59</v>
      </c>
      <c r="J256" t="s">
        <v>59</v>
      </c>
      <c r="K256" t="s">
        <v>59</v>
      </c>
      <c r="L256" t="s">
        <v>59</v>
      </c>
      <c r="M256" t="s">
        <v>59</v>
      </c>
      <c r="N256" t="s">
        <v>59</v>
      </c>
      <c r="O256" t="s">
        <v>59</v>
      </c>
      <c r="P256" t="s">
        <v>59</v>
      </c>
      <c r="Q256" t="s">
        <v>59</v>
      </c>
      <c r="R256" t="s">
        <v>59</v>
      </c>
      <c r="S256" t="s">
        <v>59</v>
      </c>
      <c r="T256" t="s">
        <v>59</v>
      </c>
      <c r="U256" t="s">
        <v>59</v>
      </c>
      <c r="V256" t="s">
        <v>59</v>
      </c>
      <c r="W256" t="s">
        <v>59</v>
      </c>
      <c r="X256" t="s">
        <v>59</v>
      </c>
      <c r="Y256" t="s">
        <v>59</v>
      </c>
    </row>
    <row r="257" spans="1:25" x14ac:dyDescent="0.25">
      <c r="A257">
        <v>652</v>
      </c>
      <c r="B257" t="s">
        <v>5272</v>
      </c>
      <c r="C257" t="s">
        <v>5175</v>
      </c>
      <c r="D257" t="s">
        <v>5176</v>
      </c>
      <c r="E257" t="s">
        <v>4383</v>
      </c>
      <c r="F257">
        <v>-1</v>
      </c>
      <c r="G257" t="s">
        <v>59</v>
      </c>
      <c r="H257" t="s">
        <v>59</v>
      </c>
      <c r="I257" t="s">
        <v>59</v>
      </c>
      <c r="J257" t="s">
        <v>59</v>
      </c>
      <c r="K257" t="s">
        <v>59</v>
      </c>
      <c r="L257" t="s">
        <v>59</v>
      </c>
      <c r="M257" t="s">
        <v>59</v>
      </c>
      <c r="N257" t="s">
        <v>59</v>
      </c>
      <c r="O257" t="s">
        <v>59</v>
      </c>
      <c r="P257" t="s">
        <v>59</v>
      </c>
      <c r="Q257" t="s">
        <v>59</v>
      </c>
      <c r="R257" t="s">
        <v>59</v>
      </c>
      <c r="S257" t="s">
        <v>59</v>
      </c>
      <c r="T257" t="s">
        <v>59</v>
      </c>
      <c r="U257" t="s">
        <v>59</v>
      </c>
      <c r="V257" t="s">
        <v>59</v>
      </c>
      <c r="W257" t="s">
        <v>59</v>
      </c>
      <c r="X257" t="s">
        <v>59</v>
      </c>
      <c r="Y257" t="s">
        <v>59</v>
      </c>
    </row>
    <row r="258" spans="1:25" x14ac:dyDescent="0.25">
      <c r="A258">
        <v>651</v>
      </c>
      <c r="B258" t="s">
        <v>5272</v>
      </c>
      <c r="C258" t="s">
        <v>5173</v>
      </c>
      <c r="D258" t="s">
        <v>5174</v>
      </c>
      <c r="E258" t="s">
        <v>4383</v>
      </c>
      <c r="F258">
        <v>-1</v>
      </c>
      <c r="G258" t="s">
        <v>59</v>
      </c>
      <c r="H258" t="s">
        <v>59</v>
      </c>
      <c r="I258" t="s">
        <v>59</v>
      </c>
      <c r="J258" t="s">
        <v>59</v>
      </c>
      <c r="K258" t="s">
        <v>59</v>
      </c>
      <c r="L258" t="s">
        <v>59</v>
      </c>
      <c r="M258" t="s">
        <v>59</v>
      </c>
      <c r="N258" t="s">
        <v>59</v>
      </c>
      <c r="O258" t="s">
        <v>59</v>
      </c>
      <c r="P258" t="s">
        <v>59</v>
      </c>
      <c r="Q258" t="s">
        <v>59</v>
      </c>
      <c r="R258" t="s">
        <v>59</v>
      </c>
      <c r="S258" t="s">
        <v>59</v>
      </c>
      <c r="T258" t="s">
        <v>59</v>
      </c>
      <c r="U258" t="s">
        <v>59</v>
      </c>
      <c r="V258" t="s">
        <v>59</v>
      </c>
      <c r="W258" t="s">
        <v>59</v>
      </c>
      <c r="X258" t="s">
        <v>59</v>
      </c>
      <c r="Y258" t="s">
        <v>59</v>
      </c>
    </row>
    <row r="259" spans="1:25" x14ac:dyDescent="0.25">
      <c r="A259">
        <v>674</v>
      </c>
      <c r="B259" t="s">
        <v>5272</v>
      </c>
      <c r="C259" t="s">
        <v>5219</v>
      </c>
      <c r="D259" t="s">
        <v>5220</v>
      </c>
      <c r="E259" t="s">
        <v>4383</v>
      </c>
      <c r="F259">
        <v>-1</v>
      </c>
      <c r="G259" t="s">
        <v>59</v>
      </c>
      <c r="H259" t="s">
        <v>59</v>
      </c>
      <c r="I259" t="s">
        <v>59</v>
      </c>
      <c r="J259" t="s">
        <v>59</v>
      </c>
      <c r="K259" t="s">
        <v>59</v>
      </c>
      <c r="L259" t="s">
        <v>59</v>
      </c>
      <c r="M259" t="s">
        <v>59</v>
      </c>
      <c r="N259" t="s">
        <v>59</v>
      </c>
      <c r="O259" t="s">
        <v>59</v>
      </c>
      <c r="P259" t="s">
        <v>59</v>
      </c>
      <c r="Q259" t="s">
        <v>59</v>
      </c>
      <c r="R259" t="s">
        <v>59</v>
      </c>
      <c r="S259" t="s">
        <v>59</v>
      </c>
      <c r="T259" t="s">
        <v>59</v>
      </c>
      <c r="U259" t="s">
        <v>59</v>
      </c>
      <c r="V259" t="s">
        <v>59</v>
      </c>
      <c r="W259" t="s">
        <v>59</v>
      </c>
      <c r="X259" t="s">
        <v>59</v>
      </c>
      <c r="Y259" t="s">
        <v>59</v>
      </c>
    </row>
    <row r="260" spans="1:25" x14ac:dyDescent="0.25">
      <c r="A260">
        <v>646</v>
      </c>
      <c r="B260" t="s">
        <v>5272</v>
      </c>
      <c r="C260" t="s">
        <v>5163</v>
      </c>
      <c r="D260" t="s">
        <v>5164</v>
      </c>
      <c r="E260" t="s">
        <v>4383</v>
      </c>
      <c r="F260">
        <v>-1</v>
      </c>
      <c r="G260" t="s">
        <v>59</v>
      </c>
      <c r="H260" t="s">
        <v>59</v>
      </c>
      <c r="I260" t="s">
        <v>59</v>
      </c>
      <c r="J260" t="s">
        <v>59</v>
      </c>
      <c r="K260" t="s">
        <v>59</v>
      </c>
      <c r="L260" t="s">
        <v>59</v>
      </c>
      <c r="M260" t="s">
        <v>59</v>
      </c>
      <c r="N260" t="s">
        <v>59</v>
      </c>
      <c r="O260" t="s">
        <v>59</v>
      </c>
      <c r="P260" t="s">
        <v>59</v>
      </c>
      <c r="Q260" t="s">
        <v>59</v>
      </c>
      <c r="R260" t="s">
        <v>59</v>
      </c>
      <c r="S260" t="s">
        <v>59</v>
      </c>
      <c r="T260" t="s">
        <v>59</v>
      </c>
      <c r="U260" t="s">
        <v>59</v>
      </c>
      <c r="V260" t="s">
        <v>59</v>
      </c>
      <c r="W260" t="s">
        <v>59</v>
      </c>
      <c r="X260" t="s">
        <v>59</v>
      </c>
      <c r="Y260" t="s">
        <v>59</v>
      </c>
    </row>
    <row r="261" spans="1:25" x14ac:dyDescent="0.25">
      <c r="A261">
        <v>448</v>
      </c>
      <c r="B261" t="s">
        <v>5272</v>
      </c>
      <c r="C261" t="s">
        <v>4793</v>
      </c>
      <c r="D261" t="s">
        <v>4794</v>
      </c>
      <c r="E261" t="s">
        <v>4383</v>
      </c>
      <c r="F261">
        <v>-1</v>
      </c>
      <c r="G261" t="s">
        <v>59</v>
      </c>
      <c r="H261" t="s">
        <v>59</v>
      </c>
      <c r="I261" t="s">
        <v>59</v>
      </c>
      <c r="J261" t="s">
        <v>59</v>
      </c>
      <c r="K261" t="s">
        <v>59</v>
      </c>
      <c r="L261" t="s">
        <v>59</v>
      </c>
      <c r="M261" t="s">
        <v>59</v>
      </c>
      <c r="N261" t="s">
        <v>59</v>
      </c>
      <c r="O261" t="s">
        <v>59</v>
      </c>
      <c r="P261" t="s">
        <v>59</v>
      </c>
      <c r="Q261" t="s">
        <v>59</v>
      </c>
      <c r="R261" t="s">
        <v>59</v>
      </c>
      <c r="S261" t="s">
        <v>59</v>
      </c>
      <c r="T261" t="s">
        <v>59</v>
      </c>
      <c r="U261" t="s">
        <v>59</v>
      </c>
      <c r="V261" t="s">
        <v>59</v>
      </c>
      <c r="W261" t="s">
        <v>59</v>
      </c>
      <c r="X261" t="s">
        <v>59</v>
      </c>
      <c r="Y261" t="s">
        <v>59</v>
      </c>
    </row>
    <row r="262" spans="1:25" x14ac:dyDescent="0.25">
      <c r="A262">
        <v>653</v>
      </c>
      <c r="B262" t="s">
        <v>5272</v>
      </c>
      <c r="C262" t="s">
        <v>5177</v>
      </c>
      <c r="D262" t="s">
        <v>5178</v>
      </c>
      <c r="E262" t="s">
        <v>4383</v>
      </c>
      <c r="F262">
        <v>-1</v>
      </c>
      <c r="G262" t="s">
        <v>59</v>
      </c>
      <c r="H262" t="s">
        <v>59</v>
      </c>
      <c r="I262" t="s">
        <v>59</v>
      </c>
      <c r="J262" t="s">
        <v>59</v>
      </c>
      <c r="K262" t="s">
        <v>59</v>
      </c>
      <c r="L262" t="s">
        <v>59</v>
      </c>
      <c r="M262" t="s">
        <v>59</v>
      </c>
      <c r="N262" t="s">
        <v>59</v>
      </c>
      <c r="O262" t="s">
        <v>59</v>
      </c>
      <c r="P262" t="s">
        <v>59</v>
      </c>
      <c r="Q262" t="s">
        <v>59</v>
      </c>
      <c r="R262" t="s">
        <v>59</v>
      </c>
      <c r="S262" t="s">
        <v>59</v>
      </c>
      <c r="T262" t="s">
        <v>59</v>
      </c>
      <c r="U262" t="s">
        <v>59</v>
      </c>
      <c r="V262" t="s">
        <v>59</v>
      </c>
      <c r="W262" t="s">
        <v>59</v>
      </c>
      <c r="X262" t="s">
        <v>59</v>
      </c>
      <c r="Y262" t="s">
        <v>59</v>
      </c>
    </row>
    <row r="263" spans="1:25" x14ac:dyDescent="0.25">
      <c r="A263">
        <v>452</v>
      </c>
      <c r="B263" t="s">
        <v>5272</v>
      </c>
      <c r="C263" t="s">
        <v>4801</v>
      </c>
      <c r="D263" t="s">
        <v>4802</v>
      </c>
      <c r="E263" t="s">
        <v>4383</v>
      </c>
      <c r="F263">
        <v>-1</v>
      </c>
      <c r="G263" t="s">
        <v>59</v>
      </c>
      <c r="H263" t="s">
        <v>59</v>
      </c>
      <c r="I263" t="s">
        <v>59</v>
      </c>
      <c r="J263" t="s">
        <v>59</v>
      </c>
      <c r="K263" t="s">
        <v>59</v>
      </c>
      <c r="L263" t="s">
        <v>59</v>
      </c>
      <c r="M263" t="s">
        <v>59</v>
      </c>
      <c r="N263" t="s">
        <v>59</v>
      </c>
      <c r="O263" t="s">
        <v>59</v>
      </c>
      <c r="P263" t="s">
        <v>59</v>
      </c>
      <c r="Q263" t="s">
        <v>59</v>
      </c>
      <c r="R263" t="s">
        <v>59</v>
      </c>
      <c r="S263" t="s">
        <v>59</v>
      </c>
      <c r="T263" t="s">
        <v>59</v>
      </c>
      <c r="U263" t="s">
        <v>59</v>
      </c>
      <c r="V263" t="s">
        <v>59</v>
      </c>
      <c r="W263" t="s">
        <v>59</v>
      </c>
      <c r="X263" t="s">
        <v>59</v>
      </c>
      <c r="Y263" t="s">
        <v>59</v>
      </c>
    </row>
    <row r="264" spans="1:25" x14ac:dyDescent="0.25">
      <c r="A264">
        <v>664</v>
      </c>
      <c r="B264" t="s">
        <v>5272</v>
      </c>
      <c r="C264" t="s">
        <v>5199</v>
      </c>
      <c r="D264" t="s">
        <v>5200</v>
      </c>
      <c r="E264" t="s">
        <v>4383</v>
      </c>
      <c r="F264">
        <v>-1</v>
      </c>
      <c r="G264" t="s">
        <v>59</v>
      </c>
      <c r="H264" t="s">
        <v>59</v>
      </c>
      <c r="I264" t="s">
        <v>59</v>
      </c>
      <c r="J264" t="s">
        <v>59</v>
      </c>
      <c r="K264" t="s">
        <v>59</v>
      </c>
      <c r="L264" t="s">
        <v>59</v>
      </c>
      <c r="M264" t="s">
        <v>59</v>
      </c>
      <c r="N264" t="s">
        <v>59</v>
      </c>
      <c r="O264" t="s">
        <v>59</v>
      </c>
      <c r="P264" t="s">
        <v>59</v>
      </c>
      <c r="Q264" t="s">
        <v>59</v>
      </c>
      <c r="R264" t="s">
        <v>59</v>
      </c>
      <c r="S264" t="s">
        <v>59</v>
      </c>
      <c r="T264" t="s">
        <v>59</v>
      </c>
      <c r="U264" t="s">
        <v>59</v>
      </c>
      <c r="V264" t="s">
        <v>59</v>
      </c>
      <c r="W264" t="s">
        <v>59</v>
      </c>
      <c r="X264" t="s">
        <v>59</v>
      </c>
      <c r="Y264" t="s">
        <v>59</v>
      </c>
    </row>
    <row r="265" spans="1:25" x14ac:dyDescent="0.25">
      <c r="A265">
        <v>656</v>
      </c>
      <c r="B265" t="s">
        <v>5272</v>
      </c>
      <c r="C265" t="s">
        <v>5183</v>
      </c>
      <c r="D265" t="s">
        <v>5184</v>
      </c>
      <c r="E265" t="s">
        <v>4383</v>
      </c>
      <c r="F265">
        <v>-1</v>
      </c>
      <c r="G265" t="s">
        <v>59</v>
      </c>
      <c r="H265" t="s">
        <v>59</v>
      </c>
      <c r="I265" t="s">
        <v>59</v>
      </c>
      <c r="J265" t="s">
        <v>59</v>
      </c>
      <c r="K265" t="s">
        <v>59</v>
      </c>
      <c r="L265" t="s">
        <v>59</v>
      </c>
      <c r="M265" t="s">
        <v>59</v>
      </c>
      <c r="N265" t="s">
        <v>59</v>
      </c>
      <c r="O265" t="s">
        <v>59</v>
      </c>
      <c r="P265" t="s">
        <v>59</v>
      </c>
      <c r="Q265" t="s">
        <v>59</v>
      </c>
      <c r="R265" t="s">
        <v>59</v>
      </c>
      <c r="S265" t="s">
        <v>59</v>
      </c>
      <c r="T265" t="s">
        <v>59</v>
      </c>
      <c r="U265" t="s">
        <v>59</v>
      </c>
      <c r="V265" t="s">
        <v>59</v>
      </c>
      <c r="W265" t="s">
        <v>59</v>
      </c>
      <c r="X265" t="s">
        <v>59</v>
      </c>
      <c r="Y265" t="s">
        <v>59</v>
      </c>
    </row>
    <row r="266" spans="1:25" x14ac:dyDescent="0.25">
      <c r="A266">
        <v>662</v>
      </c>
      <c r="B266" t="s">
        <v>5272</v>
      </c>
      <c r="C266" t="s">
        <v>5195</v>
      </c>
      <c r="D266" t="s">
        <v>5196</v>
      </c>
      <c r="E266" t="s">
        <v>4383</v>
      </c>
      <c r="F266">
        <v>-1</v>
      </c>
      <c r="G266" t="s">
        <v>59</v>
      </c>
      <c r="H266" t="s">
        <v>59</v>
      </c>
      <c r="I266" t="s">
        <v>59</v>
      </c>
      <c r="J266" t="s">
        <v>59</v>
      </c>
      <c r="K266" t="s">
        <v>59</v>
      </c>
      <c r="L266" t="s">
        <v>59</v>
      </c>
      <c r="M266" t="s">
        <v>59</v>
      </c>
      <c r="N266" t="s">
        <v>59</v>
      </c>
      <c r="O266" t="s">
        <v>59</v>
      </c>
      <c r="P266" t="s">
        <v>59</v>
      </c>
      <c r="Q266" t="s">
        <v>59</v>
      </c>
      <c r="R266" t="s">
        <v>59</v>
      </c>
      <c r="S266" t="s">
        <v>59</v>
      </c>
      <c r="T266" t="s">
        <v>59</v>
      </c>
      <c r="U266" t="s">
        <v>59</v>
      </c>
      <c r="V266" t="s">
        <v>59</v>
      </c>
      <c r="W266" t="s">
        <v>59</v>
      </c>
      <c r="X266" t="s">
        <v>59</v>
      </c>
      <c r="Y266" t="s">
        <v>59</v>
      </c>
    </row>
    <row r="267" spans="1:25" x14ac:dyDescent="0.25">
      <c r="A267">
        <v>660</v>
      </c>
      <c r="B267" t="s">
        <v>5272</v>
      </c>
      <c r="C267" t="s">
        <v>5191</v>
      </c>
      <c r="D267" t="s">
        <v>5192</v>
      </c>
      <c r="E267" t="s">
        <v>4383</v>
      </c>
      <c r="F267">
        <v>-1</v>
      </c>
      <c r="G267" t="s">
        <v>59</v>
      </c>
      <c r="H267" t="s">
        <v>59</v>
      </c>
      <c r="I267" t="s">
        <v>59</v>
      </c>
      <c r="J267" t="s">
        <v>59</v>
      </c>
      <c r="K267" t="s">
        <v>59</v>
      </c>
      <c r="L267" t="s">
        <v>59</v>
      </c>
      <c r="M267" t="s">
        <v>59</v>
      </c>
      <c r="N267" t="s">
        <v>59</v>
      </c>
      <c r="O267" t="s">
        <v>59</v>
      </c>
      <c r="P267" t="s">
        <v>59</v>
      </c>
      <c r="Q267" t="s">
        <v>59</v>
      </c>
      <c r="R267" t="s">
        <v>59</v>
      </c>
      <c r="S267" t="s">
        <v>59</v>
      </c>
      <c r="T267" t="s">
        <v>59</v>
      </c>
      <c r="U267" t="s">
        <v>59</v>
      </c>
      <c r="V267" t="s">
        <v>59</v>
      </c>
      <c r="W267" t="s">
        <v>59</v>
      </c>
      <c r="X267" t="s">
        <v>59</v>
      </c>
      <c r="Y267" t="s">
        <v>59</v>
      </c>
    </row>
    <row r="268" spans="1:25" x14ac:dyDescent="0.25">
      <c r="A268">
        <v>638</v>
      </c>
      <c r="B268" t="s">
        <v>5272</v>
      </c>
      <c r="C268" t="s">
        <v>5147</v>
      </c>
      <c r="D268" t="s">
        <v>5148</v>
      </c>
      <c r="E268" t="s">
        <v>4383</v>
      </c>
      <c r="F268">
        <v>-1</v>
      </c>
      <c r="G268" t="s">
        <v>59</v>
      </c>
      <c r="H268" t="s">
        <v>59</v>
      </c>
      <c r="I268" t="s">
        <v>59</v>
      </c>
      <c r="J268" t="s">
        <v>59</v>
      </c>
      <c r="K268" t="s">
        <v>59</v>
      </c>
      <c r="L268" t="s">
        <v>59</v>
      </c>
      <c r="M268" t="s">
        <v>59</v>
      </c>
      <c r="N268" t="s">
        <v>59</v>
      </c>
      <c r="O268" t="s">
        <v>59</v>
      </c>
      <c r="P268" t="s">
        <v>59</v>
      </c>
      <c r="Q268" t="s">
        <v>59</v>
      </c>
      <c r="R268" t="s">
        <v>59</v>
      </c>
      <c r="S268" t="s">
        <v>59</v>
      </c>
      <c r="T268" t="s">
        <v>59</v>
      </c>
      <c r="U268" t="s">
        <v>59</v>
      </c>
      <c r="V268" t="s">
        <v>59</v>
      </c>
      <c r="W268" t="s">
        <v>59</v>
      </c>
      <c r="X268" t="s">
        <v>59</v>
      </c>
      <c r="Y268" t="s">
        <v>59</v>
      </c>
    </row>
    <row r="269" spans="1:25" x14ac:dyDescent="0.25">
      <c r="A269">
        <v>666</v>
      </c>
      <c r="B269" t="s">
        <v>5272</v>
      </c>
      <c r="C269" t="s">
        <v>5203</v>
      </c>
      <c r="D269" t="s">
        <v>5204</v>
      </c>
      <c r="E269" t="s">
        <v>4383</v>
      </c>
      <c r="F269">
        <v>-1</v>
      </c>
      <c r="G269" t="s">
        <v>59</v>
      </c>
      <c r="H269" t="s">
        <v>59</v>
      </c>
      <c r="I269" t="s">
        <v>59</v>
      </c>
      <c r="J269" t="s">
        <v>59</v>
      </c>
      <c r="K269" t="s">
        <v>59</v>
      </c>
      <c r="L269" t="s">
        <v>59</v>
      </c>
      <c r="M269" t="s">
        <v>59</v>
      </c>
      <c r="N269" t="s">
        <v>59</v>
      </c>
      <c r="O269" t="s">
        <v>59</v>
      </c>
      <c r="P269" t="s">
        <v>59</v>
      </c>
      <c r="Q269" t="s">
        <v>59</v>
      </c>
      <c r="R269" t="s">
        <v>59</v>
      </c>
      <c r="S269" t="s">
        <v>59</v>
      </c>
      <c r="T269" t="s">
        <v>59</v>
      </c>
      <c r="U269" t="s">
        <v>59</v>
      </c>
      <c r="V269" t="s">
        <v>59</v>
      </c>
      <c r="W269" t="s">
        <v>59</v>
      </c>
      <c r="X269" t="s">
        <v>59</v>
      </c>
      <c r="Y269" t="s">
        <v>59</v>
      </c>
    </row>
    <row r="270" spans="1:25" x14ac:dyDescent="0.25">
      <c r="A270">
        <v>438</v>
      </c>
      <c r="B270" t="s">
        <v>5272</v>
      </c>
      <c r="C270" t="s">
        <v>4773</v>
      </c>
      <c r="D270" t="s">
        <v>4774</v>
      </c>
      <c r="E270" t="s">
        <v>4383</v>
      </c>
      <c r="F270">
        <v>-1</v>
      </c>
      <c r="G270" t="s">
        <v>59</v>
      </c>
      <c r="H270" t="s">
        <v>59</v>
      </c>
      <c r="I270" t="s">
        <v>59</v>
      </c>
      <c r="J270" t="s">
        <v>59</v>
      </c>
      <c r="K270" t="s">
        <v>59</v>
      </c>
      <c r="L270" t="s">
        <v>59</v>
      </c>
      <c r="M270" t="s">
        <v>59</v>
      </c>
      <c r="N270" t="s">
        <v>59</v>
      </c>
      <c r="O270" t="s">
        <v>59</v>
      </c>
      <c r="P270" t="s">
        <v>59</v>
      </c>
      <c r="Q270" t="s">
        <v>59</v>
      </c>
      <c r="R270" t="s">
        <v>59</v>
      </c>
      <c r="S270" t="s">
        <v>59</v>
      </c>
      <c r="T270" t="s">
        <v>59</v>
      </c>
      <c r="U270" t="s">
        <v>59</v>
      </c>
      <c r="V270" t="s">
        <v>59</v>
      </c>
      <c r="W270" t="s">
        <v>59</v>
      </c>
      <c r="X270" t="s">
        <v>59</v>
      </c>
      <c r="Y270" t="s">
        <v>59</v>
      </c>
    </row>
    <row r="271" spans="1:25" x14ac:dyDescent="0.25">
      <c r="A271">
        <v>439</v>
      </c>
      <c r="B271" t="s">
        <v>5272</v>
      </c>
      <c r="C271" t="s">
        <v>4775</v>
      </c>
      <c r="D271" t="s">
        <v>4776</v>
      </c>
      <c r="E271" t="s">
        <v>4383</v>
      </c>
      <c r="F271">
        <v>-1</v>
      </c>
      <c r="G271" t="s">
        <v>59</v>
      </c>
      <c r="H271" t="s">
        <v>59</v>
      </c>
      <c r="I271" t="s">
        <v>59</v>
      </c>
      <c r="J271" t="s">
        <v>59</v>
      </c>
      <c r="K271" t="s">
        <v>59</v>
      </c>
      <c r="L271" t="s">
        <v>59</v>
      </c>
      <c r="M271" t="s">
        <v>59</v>
      </c>
      <c r="N271" t="s">
        <v>59</v>
      </c>
      <c r="O271" t="s">
        <v>59</v>
      </c>
      <c r="P271" t="s">
        <v>59</v>
      </c>
      <c r="Q271" t="s">
        <v>59</v>
      </c>
      <c r="R271" t="s">
        <v>59</v>
      </c>
      <c r="S271" t="s">
        <v>59</v>
      </c>
      <c r="T271" t="s">
        <v>59</v>
      </c>
      <c r="U271" t="s">
        <v>59</v>
      </c>
      <c r="V271" t="s">
        <v>59</v>
      </c>
      <c r="W271" t="s">
        <v>59</v>
      </c>
      <c r="X271" t="s">
        <v>59</v>
      </c>
      <c r="Y271" t="s">
        <v>59</v>
      </c>
    </row>
    <row r="272" spans="1:25" x14ac:dyDescent="0.25">
      <c r="A272">
        <v>443</v>
      </c>
      <c r="B272" t="s">
        <v>5272</v>
      </c>
      <c r="C272" t="s">
        <v>4783</v>
      </c>
      <c r="D272" t="s">
        <v>4784</v>
      </c>
      <c r="E272" t="s">
        <v>4383</v>
      </c>
      <c r="F272">
        <v>-1</v>
      </c>
      <c r="G272" t="s">
        <v>59</v>
      </c>
      <c r="H272" t="s">
        <v>59</v>
      </c>
      <c r="I272" t="s">
        <v>59</v>
      </c>
      <c r="J272" t="s">
        <v>59</v>
      </c>
      <c r="K272" t="s">
        <v>59</v>
      </c>
      <c r="L272" t="s">
        <v>59</v>
      </c>
      <c r="M272" t="s">
        <v>59</v>
      </c>
      <c r="N272" t="s">
        <v>59</v>
      </c>
      <c r="O272" t="s">
        <v>59</v>
      </c>
      <c r="P272" t="s">
        <v>59</v>
      </c>
      <c r="Q272" t="s">
        <v>59</v>
      </c>
      <c r="R272" t="s">
        <v>59</v>
      </c>
      <c r="S272" t="s">
        <v>59</v>
      </c>
      <c r="T272" t="s">
        <v>59</v>
      </c>
      <c r="U272" t="s">
        <v>59</v>
      </c>
      <c r="V272" t="s">
        <v>59</v>
      </c>
      <c r="W272" t="s">
        <v>59</v>
      </c>
      <c r="X272" t="s">
        <v>59</v>
      </c>
      <c r="Y272" t="s">
        <v>59</v>
      </c>
    </row>
    <row r="273" spans="1:25" x14ac:dyDescent="0.25">
      <c r="A273">
        <v>450</v>
      </c>
      <c r="B273" t="s">
        <v>5272</v>
      </c>
      <c r="C273" t="s">
        <v>4797</v>
      </c>
      <c r="D273" t="s">
        <v>4798</v>
      </c>
      <c r="E273" t="s">
        <v>4383</v>
      </c>
      <c r="F273">
        <v>-1</v>
      </c>
      <c r="G273" t="s">
        <v>59</v>
      </c>
      <c r="H273" t="s">
        <v>59</v>
      </c>
      <c r="I273" t="s">
        <v>59</v>
      </c>
      <c r="J273" t="s">
        <v>59</v>
      </c>
      <c r="K273" t="s">
        <v>59</v>
      </c>
      <c r="L273" t="s">
        <v>59</v>
      </c>
      <c r="M273" t="s">
        <v>59</v>
      </c>
      <c r="N273" t="s">
        <v>59</v>
      </c>
      <c r="O273" t="s">
        <v>59</v>
      </c>
      <c r="P273" t="s">
        <v>59</v>
      </c>
      <c r="Q273" t="s">
        <v>59</v>
      </c>
      <c r="R273" t="s">
        <v>59</v>
      </c>
      <c r="S273" t="s">
        <v>59</v>
      </c>
      <c r="T273" t="s">
        <v>59</v>
      </c>
      <c r="U273" t="s">
        <v>59</v>
      </c>
      <c r="V273" t="s">
        <v>59</v>
      </c>
      <c r="W273" t="s">
        <v>59</v>
      </c>
      <c r="X273" t="s">
        <v>59</v>
      </c>
      <c r="Y273" t="s">
        <v>59</v>
      </c>
    </row>
    <row r="274" spans="1:25" x14ac:dyDescent="0.25">
      <c r="A274">
        <v>441</v>
      </c>
      <c r="B274" t="s">
        <v>5272</v>
      </c>
      <c r="C274" t="s">
        <v>4779</v>
      </c>
      <c r="D274" t="s">
        <v>4780</v>
      </c>
      <c r="E274" t="s">
        <v>4383</v>
      </c>
      <c r="F274">
        <v>-1</v>
      </c>
      <c r="G274" t="s">
        <v>59</v>
      </c>
      <c r="H274" t="s">
        <v>59</v>
      </c>
      <c r="I274" t="s">
        <v>59</v>
      </c>
      <c r="J274" t="s">
        <v>59</v>
      </c>
      <c r="K274" t="s">
        <v>59</v>
      </c>
      <c r="L274" t="s">
        <v>59</v>
      </c>
      <c r="M274" t="s">
        <v>59</v>
      </c>
      <c r="N274" t="s">
        <v>59</v>
      </c>
      <c r="O274" t="s">
        <v>59</v>
      </c>
      <c r="P274" t="s">
        <v>59</v>
      </c>
      <c r="Q274" t="s">
        <v>59</v>
      </c>
      <c r="R274" t="s">
        <v>59</v>
      </c>
      <c r="S274" t="s">
        <v>59</v>
      </c>
      <c r="T274" t="s">
        <v>59</v>
      </c>
      <c r="U274" t="s">
        <v>59</v>
      </c>
      <c r="V274" t="s">
        <v>59</v>
      </c>
      <c r="W274" t="s">
        <v>59</v>
      </c>
      <c r="X274" t="s">
        <v>59</v>
      </c>
      <c r="Y274" t="s">
        <v>59</v>
      </c>
    </row>
    <row r="275" spans="1:25" x14ac:dyDescent="0.25">
      <c r="A275">
        <v>453</v>
      </c>
      <c r="B275" t="s">
        <v>5272</v>
      </c>
      <c r="C275" t="s">
        <v>4803</v>
      </c>
      <c r="D275" t="s">
        <v>4804</v>
      </c>
      <c r="E275" t="s">
        <v>4383</v>
      </c>
      <c r="F275">
        <v>-1</v>
      </c>
      <c r="G275" t="s">
        <v>59</v>
      </c>
      <c r="H275" t="s">
        <v>59</v>
      </c>
      <c r="I275" t="s">
        <v>59</v>
      </c>
      <c r="J275" t="s">
        <v>59</v>
      </c>
      <c r="K275" t="s">
        <v>59</v>
      </c>
      <c r="L275" t="s">
        <v>59</v>
      </c>
      <c r="M275" t="s">
        <v>59</v>
      </c>
      <c r="N275" t="s">
        <v>59</v>
      </c>
      <c r="O275" t="s">
        <v>59</v>
      </c>
      <c r="P275" t="s">
        <v>59</v>
      </c>
      <c r="Q275" t="s">
        <v>59</v>
      </c>
      <c r="R275" t="s">
        <v>59</v>
      </c>
      <c r="S275" t="s">
        <v>59</v>
      </c>
      <c r="T275" t="s">
        <v>59</v>
      </c>
      <c r="U275" t="s">
        <v>59</v>
      </c>
      <c r="V275" t="s">
        <v>59</v>
      </c>
      <c r="W275" t="s">
        <v>59</v>
      </c>
      <c r="X275" t="s">
        <v>59</v>
      </c>
      <c r="Y275" t="s">
        <v>59</v>
      </c>
    </row>
    <row r="276" spans="1:25" x14ac:dyDescent="0.25">
      <c r="A276">
        <v>444</v>
      </c>
      <c r="B276" t="s">
        <v>5272</v>
      </c>
      <c r="C276" t="s">
        <v>4785</v>
      </c>
      <c r="D276" t="s">
        <v>4786</v>
      </c>
      <c r="E276" t="s">
        <v>4383</v>
      </c>
      <c r="F276">
        <v>-1</v>
      </c>
      <c r="G276" t="s">
        <v>59</v>
      </c>
      <c r="H276" t="s">
        <v>59</v>
      </c>
      <c r="I276" t="s">
        <v>59</v>
      </c>
      <c r="J276" t="s">
        <v>59</v>
      </c>
      <c r="K276" t="s">
        <v>59</v>
      </c>
      <c r="L276" t="s">
        <v>59</v>
      </c>
      <c r="M276" t="s">
        <v>59</v>
      </c>
      <c r="N276" t="s">
        <v>59</v>
      </c>
      <c r="O276" t="s">
        <v>59</v>
      </c>
      <c r="P276" t="s">
        <v>59</v>
      </c>
      <c r="Q276" t="s">
        <v>59</v>
      </c>
      <c r="R276" t="s">
        <v>59</v>
      </c>
      <c r="S276" t="s">
        <v>59</v>
      </c>
      <c r="T276" t="s">
        <v>59</v>
      </c>
      <c r="U276" t="s">
        <v>59</v>
      </c>
      <c r="V276" t="s">
        <v>59</v>
      </c>
      <c r="W276" t="s">
        <v>59</v>
      </c>
      <c r="X276" t="s">
        <v>59</v>
      </c>
      <c r="Y276" t="s">
        <v>59</v>
      </c>
    </row>
    <row r="277" spans="1:25" x14ac:dyDescent="0.25">
      <c r="A277">
        <v>445</v>
      </c>
      <c r="B277" t="s">
        <v>5272</v>
      </c>
      <c r="C277" t="s">
        <v>4787</v>
      </c>
      <c r="D277" t="s">
        <v>4788</v>
      </c>
      <c r="E277" t="s">
        <v>4383</v>
      </c>
      <c r="F277">
        <v>-1</v>
      </c>
      <c r="G277" t="s">
        <v>59</v>
      </c>
      <c r="H277" t="s">
        <v>59</v>
      </c>
      <c r="I277" t="s">
        <v>59</v>
      </c>
      <c r="J277" t="s">
        <v>59</v>
      </c>
      <c r="K277" t="s">
        <v>59</v>
      </c>
      <c r="L277" t="s">
        <v>59</v>
      </c>
      <c r="M277" t="s">
        <v>59</v>
      </c>
      <c r="N277" t="s">
        <v>59</v>
      </c>
      <c r="O277" t="s">
        <v>59</v>
      </c>
      <c r="P277" t="s">
        <v>59</v>
      </c>
      <c r="Q277" t="s">
        <v>59</v>
      </c>
      <c r="R277" t="s">
        <v>59</v>
      </c>
      <c r="S277" t="s">
        <v>59</v>
      </c>
      <c r="T277" t="s">
        <v>59</v>
      </c>
      <c r="U277" t="s">
        <v>59</v>
      </c>
      <c r="V277" t="s">
        <v>59</v>
      </c>
      <c r="W277" t="s">
        <v>59</v>
      </c>
      <c r="X277" t="s">
        <v>59</v>
      </c>
      <c r="Y277" t="s">
        <v>59</v>
      </c>
    </row>
    <row r="278" spans="1:25" x14ac:dyDescent="0.25">
      <c r="A278">
        <v>440</v>
      </c>
      <c r="B278" t="s">
        <v>5272</v>
      </c>
      <c r="C278" t="s">
        <v>4777</v>
      </c>
      <c r="D278" t="s">
        <v>4778</v>
      </c>
      <c r="E278" t="s">
        <v>4383</v>
      </c>
      <c r="F278">
        <v>-1</v>
      </c>
      <c r="G278" t="s">
        <v>59</v>
      </c>
      <c r="H278" t="s">
        <v>59</v>
      </c>
      <c r="I278" t="s">
        <v>59</v>
      </c>
      <c r="J278" t="s">
        <v>59</v>
      </c>
      <c r="K278" t="s">
        <v>59</v>
      </c>
      <c r="L278" t="s">
        <v>59</v>
      </c>
      <c r="M278" t="s">
        <v>59</v>
      </c>
      <c r="N278" t="s">
        <v>59</v>
      </c>
      <c r="O278" t="s">
        <v>59</v>
      </c>
      <c r="P278" t="s">
        <v>59</v>
      </c>
      <c r="Q278" t="s">
        <v>59</v>
      </c>
      <c r="R278" t="s">
        <v>59</v>
      </c>
      <c r="S278" t="s">
        <v>59</v>
      </c>
      <c r="T278" t="s">
        <v>59</v>
      </c>
      <c r="U278" t="s">
        <v>59</v>
      </c>
      <c r="V278" t="s">
        <v>59</v>
      </c>
      <c r="W278" t="s">
        <v>59</v>
      </c>
      <c r="X278" t="s">
        <v>59</v>
      </c>
      <c r="Y278" t="s">
        <v>59</v>
      </c>
    </row>
    <row r="279" spans="1:25" x14ac:dyDescent="0.25">
      <c r="A279">
        <v>447</v>
      </c>
      <c r="B279" t="s">
        <v>5272</v>
      </c>
      <c r="C279" t="s">
        <v>4791</v>
      </c>
      <c r="D279" t="s">
        <v>4792</v>
      </c>
      <c r="E279" t="s">
        <v>4383</v>
      </c>
      <c r="F279">
        <v>-1</v>
      </c>
      <c r="G279" t="s">
        <v>59</v>
      </c>
      <c r="H279" t="s">
        <v>59</v>
      </c>
      <c r="I279" t="s">
        <v>59</v>
      </c>
      <c r="J279" t="s">
        <v>59</v>
      </c>
      <c r="K279" t="s">
        <v>59</v>
      </c>
      <c r="L279" t="s">
        <v>59</v>
      </c>
      <c r="M279" t="s">
        <v>59</v>
      </c>
      <c r="N279" t="s">
        <v>59</v>
      </c>
      <c r="O279" t="s">
        <v>59</v>
      </c>
      <c r="P279" t="s">
        <v>59</v>
      </c>
      <c r="Q279" t="s">
        <v>59</v>
      </c>
      <c r="R279" t="s">
        <v>59</v>
      </c>
      <c r="S279" t="s">
        <v>59</v>
      </c>
      <c r="T279" t="s">
        <v>59</v>
      </c>
      <c r="U279" t="s">
        <v>59</v>
      </c>
      <c r="V279" t="s">
        <v>59</v>
      </c>
      <c r="W279" t="s">
        <v>59</v>
      </c>
      <c r="X279" t="s">
        <v>59</v>
      </c>
      <c r="Y279" t="s">
        <v>59</v>
      </c>
    </row>
    <row r="280" spans="1:25" x14ac:dyDescent="0.25">
      <c r="A280">
        <v>446</v>
      </c>
      <c r="B280" t="s">
        <v>5272</v>
      </c>
      <c r="C280" t="s">
        <v>4789</v>
      </c>
      <c r="D280" t="s">
        <v>4790</v>
      </c>
      <c r="E280" t="s">
        <v>4383</v>
      </c>
      <c r="F280">
        <v>-1</v>
      </c>
      <c r="G280" t="s">
        <v>59</v>
      </c>
      <c r="H280" t="s">
        <v>59</v>
      </c>
      <c r="I280" t="s">
        <v>59</v>
      </c>
      <c r="J280" t="s">
        <v>59</v>
      </c>
      <c r="K280" t="s">
        <v>59</v>
      </c>
      <c r="L280" t="s">
        <v>59</v>
      </c>
      <c r="M280" t="s">
        <v>59</v>
      </c>
      <c r="N280" t="s">
        <v>59</v>
      </c>
      <c r="O280" t="s">
        <v>59</v>
      </c>
      <c r="P280" t="s">
        <v>59</v>
      </c>
      <c r="Q280" t="s">
        <v>59</v>
      </c>
      <c r="R280" t="s">
        <v>59</v>
      </c>
      <c r="S280" t="s">
        <v>59</v>
      </c>
      <c r="T280" t="s">
        <v>59</v>
      </c>
      <c r="U280" t="s">
        <v>59</v>
      </c>
      <c r="V280" t="s">
        <v>59</v>
      </c>
      <c r="W280" t="s">
        <v>59</v>
      </c>
      <c r="X280" t="s">
        <v>59</v>
      </c>
      <c r="Y280" t="s">
        <v>59</v>
      </c>
    </row>
    <row r="281" spans="1:25" x14ac:dyDescent="0.25">
      <c r="A281">
        <v>442</v>
      </c>
      <c r="B281" t="s">
        <v>5272</v>
      </c>
      <c r="C281" t="s">
        <v>4781</v>
      </c>
      <c r="D281" t="s">
        <v>4782</v>
      </c>
      <c r="E281" t="s">
        <v>4383</v>
      </c>
      <c r="F281">
        <v>-1</v>
      </c>
      <c r="G281" t="s">
        <v>59</v>
      </c>
      <c r="H281" t="s">
        <v>59</v>
      </c>
      <c r="I281" t="s">
        <v>59</v>
      </c>
      <c r="J281" t="s">
        <v>59</v>
      </c>
      <c r="K281" t="s">
        <v>59</v>
      </c>
      <c r="L281" t="s">
        <v>59</v>
      </c>
      <c r="M281" t="s">
        <v>59</v>
      </c>
      <c r="N281" t="s">
        <v>59</v>
      </c>
      <c r="O281" t="s">
        <v>59</v>
      </c>
      <c r="P281" t="s">
        <v>59</v>
      </c>
      <c r="Q281" t="s">
        <v>59</v>
      </c>
      <c r="R281" t="s">
        <v>59</v>
      </c>
      <c r="S281" t="s">
        <v>59</v>
      </c>
      <c r="T281" t="s">
        <v>59</v>
      </c>
      <c r="U281" t="s">
        <v>59</v>
      </c>
      <c r="V281" t="s">
        <v>59</v>
      </c>
      <c r="W281" t="s">
        <v>59</v>
      </c>
      <c r="X281" t="s">
        <v>59</v>
      </c>
      <c r="Y281" t="s">
        <v>59</v>
      </c>
    </row>
    <row r="282" spans="1:25" x14ac:dyDescent="0.25">
      <c r="A282">
        <v>205</v>
      </c>
      <c r="B282" t="s">
        <v>5272</v>
      </c>
      <c r="C282" t="s">
        <v>4381</v>
      </c>
      <c r="D282" t="s">
        <v>4382</v>
      </c>
      <c r="E282" t="s">
        <v>4383</v>
      </c>
      <c r="F282">
        <v>-1</v>
      </c>
      <c r="G282" t="s">
        <v>59</v>
      </c>
      <c r="H282" t="s">
        <v>59</v>
      </c>
      <c r="I282" t="s">
        <v>59</v>
      </c>
      <c r="J282" t="s">
        <v>59</v>
      </c>
      <c r="K282" t="s">
        <v>59</v>
      </c>
      <c r="L282" t="s">
        <v>59</v>
      </c>
      <c r="M282" t="s">
        <v>59</v>
      </c>
      <c r="N282" t="s">
        <v>59</v>
      </c>
      <c r="O282" t="s">
        <v>59</v>
      </c>
      <c r="P282" t="s">
        <v>59</v>
      </c>
      <c r="Q282" t="s">
        <v>59</v>
      </c>
      <c r="R282" t="s">
        <v>59</v>
      </c>
      <c r="S282" t="s">
        <v>59</v>
      </c>
      <c r="T282" t="s">
        <v>59</v>
      </c>
      <c r="U282" t="s">
        <v>59</v>
      </c>
      <c r="V282" t="s">
        <v>59</v>
      </c>
      <c r="W282" t="s">
        <v>59</v>
      </c>
      <c r="X282" t="s">
        <v>59</v>
      </c>
      <c r="Y282" t="s">
        <v>59</v>
      </c>
    </row>
    <row r="283" spans="1:25" x14ac:dyDescent="0.25">
      <c r="A283">
        <v>208</v>
      </c>
      <c r="B283" t="s">
        <v>5272</v>
      </c>
      <c r="C283" t="s">
        <v>4388</v>
      </c>
      <c r="D283" t="s">
        <v>4389</v>
      </c>
      <c r="E283" t="s">
        <v>4383</v>
      </c>
      <c r="F283">
        <v>-1</v>
      </c>
      <c r="G283" t="s">
        <v>59</v>
      </c>
      <c r="H283" t="s">
        <v>59</v>
      </c>
      <c r="I283" t="s">
        <v>59</v>
      </c>
      <c r="J283" t="s">
        <v>59</v>
      </c>
      <c r="K283" t="s">
        <v>59</v>
      </c>
      <c r="L283" t="s">
        <v>59</v>
      </c>
      <c r="M283" t="s">
        <v>59</v>
      </c>
      <c r="N283" t="s">
        <v>59</v>
      </c>
      <c r="O283" t="s">
        <v>59</v>
      </c>
      <c r="P283" t="s">
        <v>59</v>
      </c>
      <c r="Q283" t="s">
        <v>59</v>
      </c>
      <c r="R283" t="s">
        <v>59</v>
      </c>
      <c r="S283" t="s">
        <v>59</v>
      </c>
      <c r="T283" t="s">
        <v>59</v>
      </c>
      <c r="U283" t="s">
        <v>59</v>
      </c>
      <c r="V283" t="s">
        <v>59</v>
      </c>
      <c r="W283" t="s">
        <v>59</v>
      </c>
      <c r="X283" t="s">
        <v>59</v>
      </c>
      <c r="Y283" t="s">
        <v>59</v>
      </c>
    </row>
    <row r="284" spans="1:25" x14ac:dyDescent="0.25">
      <c r="A284">
        <v>209</v>
      </c>
      <c r="B284" t="s">
        <v>5272</v>
      </c>
      <c r="C284" t="s">
        <v>4390</v>
      </c>
      <c r="D284" t="s">
        <v>4391</v>
      </c>
      <c r="E284" t="s">
        <v>4383</v>
      </c>
      <c r="F284">
        <v>-1</v>
      </c>
      <c r="G284" t="s">
        <v>59</v>
      </c>
      <c r="H284" t="s">
        <v>59</v>
      </c>
      <c r="I284" t="s">
        <v>59</v>
      </c>
      <c r="J284" t="s">
        <v>59</v>
      </c>
      <c r="K284" t="s">
        <v>59</v>
      </c>
      <c r="L284" t="s">
        <v>59</v>
      </c>
      <c r="M284" t="s">
        <v>59</v>
      </c>
      <c r="N284" t="s">
        <v>59</v>
      </c>
      <c r="O284" t="s">
        <v>59</v>
      </c>
      <c r="P284" t="s">
        <v>59</v>
      </c>
      <c r="Q284" t="s">
        <v>59</v>
      </c>
      <c r="R284" t="s">
        <v>59</v>
      </c>
      <c r="S284" t="s">
        <v>59</v>
      </c>
      <c r="T284" t="s">
        <v>59</v>
      </c>
      <c r="U284" t="s">
        <v>59</v>
      </c>
      <c r="V284" t="s">
        <v>59</v>
      </c>
      <c r="W284" t="s">
        <v>59</v>
      </c>
      <c r="X284" t="s">
        <v>59</v>
      </c>
      <c r="Y284" t="s">
        <v>59</v>
      </c>
    </row>
    <row r="285" spans="1:25" x14ac:dyDescent="0.25">
      <c r="A285">
        <v>206</v>
      </c>
      <c r="B285" t="s">
        <v>5272</v>
      </c>
      <c r="C285" t="s">
        <v>4384</v>
      </c>
      <c r="D285" t="s">
        <v>4385</v>
      </c>
      <c r="E285" t="s">
        <v>4383</v>
      </c>
      <c r="F285">
        <v>-1</v>
      </c>
      <c r="G285" t="s">
        <v>59</v>
      </c>
      <c r="H285" t="s">
        <v>59</v>
      </c>
      <c r="I285" t="s">
        <v>59</v>
      </c>
      <c r="J285" t="s">
        <v>59</v>
      </c>
      <c r="K285" t="s">
        <v>59</v>
      </c>
      <c r="L285" t="s">
        <v>59</v>
      </c>
      <c r="M285" t="s">
        <v>59</v>
      </c>
      <c r="N285" t="s">
        <v>59</v>
      </c>
      <c r="O285" t="s">
        <v>59</v>
      </c>
      <c r="P285" t="s">
        <v>59</v>
      </c>
      <c r="Q285" t="s">
        <v>59</v>
      </c>
      <c r="R285" t="s">
        <v>59</v>
      </c>
      <c r="S285" t="s">
        <v>59</v>
      </c>
      <c r="T285" t="s">
        <v>59</v>
      </c>
      <c r="U285" t="s">
        <v>59</v>
      </c>
      <c r="V285" t="s">
        <v>59</v>
      </c>
      <c r="W285" t="s">
        <v>59</v>
      </c>
      <c r="X285" t="s">
        <v>59</v>
      </c>
      <c r="Y285" t="s">
        <v>59</v>
      </c>
    </row>
    <row r="286" spans="1:25" x14ac:dyDescent="0.25">
      <c r="A286">
        <v>207</v>
      </c>
      <c r="B286" t="s">
        <v>5272</v>
      </c>
      <c r="C286" t="s">
        <v>4386</v>
      </c>
      <c r="D286" t="s">
        <v>4387</v>
      </c>
      <c r="E286" t="s">
        <v>4383</v>
      </c>
      <c r="F286">
        <v>-1</v>
      </c>
      <c r="G286" t="s">
        <v>59</v>
      </c>
      <c r="H286" t="s">
        <v>59</v>
      </c>
      <c r="I286" t="s">
        <v>59</v>
      </c>
      <c r="J286" t="s">
        <v>59</v>
      </c>
      <c r="K286" t="s">
        <v>59</v>
      </c>
      <c r="L286" t="s">
        <v>59</v>
      </c>
      <c r="M286" t="s">
        <v>59</v>
      </c>
      <c r="N286" t="s">
        <v>59</v>
      </c>
      <c r="O286" t="s">
        <v>59</v>
      </c>
      <c r="P286" t="s">
        <v>59</v>
      </c>
      <c r="Q286" t="s">
        <v>59</v>
      </c>
      <c r="R286" t="s">
        <v>59</v>
      </c>
      <c r="S286" t="s">
        <v>59</v>
      </c>
      <c r="T286" t="s">
        <v>59</v>
      </c>
      <c r="U286" t="s">
        <v>59</v>
      </c>
      <c r="V286" t="s">
        <v>59</v>
      </c>
      <c r="W286" t="s">
        <v>59</v>
      </c>
      <c r="X286" t="s">
        <v>59</v>
      </c>
      <c r="Y286" t="s">
        <v>59</v>
      </c>
    </row>
    <row r="287" spans="1:25" x14ac:dyDescent="0.25">
      <c r="A287">
        <v>360</v>
      </c>
      <c r="B287" t="s">
        <v>5272</v>
      </c>
      <c r="C287" t="s">
        <v>4646</v>
      </c>
      <c r="D287" t="s">
        <v>4647</v>
      </c>
      <c r="E287" t="s">
        <v>4621</v>
      </c>
      <c r="F287">
        <v>-1</v>
      </c>
      <c r="G287" t="s">
        <v>59</v>
      </c>
      <c r="H287" t="s">
        <v>59</v>
      </c>
      <c r="I287" t="s">
        <v>59</v>
      </c>
      <c r="J287" t="s">
        <v>59</v>
      </c>
      <c r="K287" t="s">
        <v>59</v>
      </c>
      <c r="L287" t="s">
        <v>59</v>
      </c>
      <c r="M287" t="s">
        <v>59</v>
      </c>
      <c r="N287" t="s">
        <v>59</v>
      </c>
      <c r="O287" t="s">
        <v>59</v>
      </c>
      <c r="P287" t="s">
        <v>59</v>
      </c>
      <c r="Q287" t="s">
        <v>59</v>
      </c>
      <c r="R287" t="s">
        <v>59</v>
      </c>
      <c r="S287" t="s">
        <v>59</v>
      </c>
      <c r="T287" t="s">
        <v>59</v>
      </c>
      <c r="U287" t="s">
        <v>59</v>
      </c>
      <c r="V287" t="s">
        <v>59</v>
      </c>
      <c r="W287" t="s">
        <v>59</v>
      </c>
      <c r="X287" t="s">
        <v>59</v>
      </c>
      <c r="Y287" t="s">
        <v>59</v>
      </c>
    </row>
    <row r="288" spans="1:25" x14ac:dyDescent="0.25">
      <c r="A288">
        <v>347</v>
      </c>
      <c r="B288" t="s">
        <v>5272</v>
      </c>
      <c r="C288" t="s">
        <v>1470</v>
      </c>
      <c r="D288" t="s">
        <v>4620</v>
      </c>
      <c r="E288" t="s">
        <v>4621</v>
      </c>
      <c r="F288">
        <v>-1</v>
      </c>
      <c r="G288" t="s">
        <v>59</v>
      </c>
      <c r="H288" t="s">
        <v>59</v>
      </c>
      <c r="I288" t="s">
        <v>59</v>
      </c>
      <c r="J288" t="s">
        <v>59</v>
      </c>
      <c r="K288" t="s">
        <v>59</v>
      </c>
      <c r="L288" t="s">
        <v>59</v>
      </c>
      <c r="M288" t="s">
        <v>59</v>
      </c>
      <c r="N288" t="s">
        <v>59</v>
      </c>
      <c r="O288" t="s">
        <v>59</v>
      </c>
      <c r="P288" t="s">
        <v>59</v>
      </c>
      <c r="Q288" t="s">
        <v>59</v>
      </c>
      <c r="R288" t="s">
        <v>59</v>
      </c>
      <c r="S288" t="s">
        <v>59</v>
      </c>
      <c r="T288" t="s">
        <v>59</v>
      </c>
      <c r="U288" t="s">
        <v>59</v>
      </c>
      <c r="V288" t="s">
        <v>59</v>
      </c>
      <c r="W288" t="s">
        <v>59</v>
      </c>
      <c r="X288" t="s">
        <v>59</v>
      </c>
      <c r="Y288" t="s">
        <v>59</v>
      </c>
    </row>
    <row r="289" spans="1:25" x14ac:dyDescent="0.25">
      <c r="A289">
        <v>348</v>
      </c>
      <c r="B289" t="s">
        <v>5272</v>
      </c>
      <c r="C289" t="s">
        <v>4622</v>
      </c>
      <c r="D289" t="s">
        <v>4623</v>
      </c>
      <c r="E289" t="s">
        <v>4621</v>
      </c>
      <c r="F289">
        <v>-1</v>
      </c>
      <c r="G289" t="s">
        <v>59</v>
      </c>
      <c r="H289" t="s">
        <v>59</v>
      </c>
      <c r="I289" t="s">
        <v>59</v>
      </c>
      <c r="J289" t="s">
        <v>59</v>
      </c>
      <c r="K289" t="s">
        <v>59</v>
      </c>
      <c r="L289" t="s">
        <v>59</v>
      </c>
      <c r="M289" t="s">
        <v>59</v>
      </c>
      <c r="N289" t="s">
        <v>59</v>
      </c>
      <c r="O289" t="s">
        <v>59</v>
      </c>
      <c r="P289" t="s">
        <v>59</v>
      </c>
      <c r="Q289" t="s">
        <v>59</v>
      </c>
      <c r="R289" t="s">
        <v>59</v>
      </c>
      <c r="S289" t="s">
        <v>59</v>
      </c>
      <c r="T289" t="s">
        <v>59</v>
      </c>
      <c r="U289" t="s">
        <v>59</v>
      </c>
      <c r="V289" t="s">
        <v>59</v>
      </c>
      <c r="W289" t="s">
        <v>59</v>
      </c>
      <c r="X289" t="s">
        <v>59</v>
      </c>
      <c r="Y289" t="s">
        <v>59</v>
      </c>
    </row>
    <row r="290" spans="1:25" x14ac:dyDescent="0.25">
      <c r="A290">
        <v>349</v>
      </c>
      <c r="B290" t="s">
        <v>5272</v>
      </c>
      <c r="C290" t="s">
        <v>4624</v>
      </c>
      <c r="D290" t="s">
        <v>4625</v>
      </c>
      <c r="E290" t="s">
        <v>4621</v>
      </c>
      <c r="F290">
        <v>-1</v>
      </c>
      <c r="G290" t="s">
        <v>59</v>
      </c>
      <c r="H290" t="s">
        <v>59</v>
      </c>
      <c r="I290" t="s">
        <v>59</v>
      </c>
      <c r="J290" t="s">
        <v>59</v>
      </c>
      <c r="K290" t="s">
        <v>59</v>
      </c>
      <c r="L290" t="s">
        <v>59</v>
      </c>
      <c r="M290" t="s">
        <v>59</v>
      </c>
      <c r="N290" t="s">
        <v>59</v>
      </c>
      <c r="O290" t="s">
        <v>59</v>
      </c>
      <c r="P290" t="s">
        <v>59</v>
      </c>
      <c r="Q290" t="s">
        <v>59</v>
      </c>
      <c r="R290" t="s">
        <v>59</v>
      </c>
      <c r="S290" t="s">
        <v>59</v>
      </c>
      <c r="T290" t="s">
        <v>59</v>
      </c>
      <c r="U290" t="s">
        <v>59</v>
      </c>
      <c r="V290" t="s">
        <v>59</v>
      </c>
      <c r="W290" t="s">
        <v>59</v>
      </c>
      <c r="X290" t="s">
        <v>59</v>
      </c>
      <c r="Y290" t="s">
        <v>59</v>
      </c>
    </row>
    <row r="291" spans="1:25" x14ac:dyDescent="0.25">
      <c r="A291">
        <v>350</v>
      </c>
      <c r="B291" t="s">
        <v>5272</v>
      </c>
      <c r="C291" t="s">
        <v>4626</v>
      </c>
      <c r="D291" t="s">
        <v>4627</v>
      </c>
      <c r="E291" t="s">
        <v>4621</v>
      </c>
      <c r="F291">
        <v>-1</v>
      </c>
      <c r="G291" t="s">
        <v>59</v>
      </c>
      <c r="H291" t="s">
        <v>59</v>
      </c>
      <c r="I291" t="s">
        <v>59</v>
      </c>
      <c r="J291" t="s">
        <v>59</v>
      </c>
      <c r="K291" t="s">
        <v>59</v>
      </c>
      <c r="L291" t="s">
        <v>59</v>
      </c>
      <c r="M291" t="s">
        <v>59</v>
      </c>
      <c r="N291" t="s">
        <v>59</v>
      </c>
      <c r="O291" t="s">
        <v>59</v>
      </c>
      <c r="P291" t="s">
        <v>59</v>
      </c>
      <c r="Q291" t="s">
        <v>59</v>
      </c>
      <c r="R291" t="s">
        <v>59</v>
      </c>
      <c r="S291" t="s">
        <v>59</v>
      </c>
      <c r="T291" t="s">
        <v>59</v>
      </c>
      <c r="U291" t="s">
        <v>59</v>
      </c>
      <c r="V291" t="s">
        <v>59</v>
      </c>
      <c r="W291" t="s">
        <v>59</v>
      </c>
      <c r="X291" t="s">
        <v>59</v>
      </c>
      <c r="Y291" t="s">
        <v>59</v>
      </c>
    </row>
    <row r="292" spans="1:25" x14ac:dyDescent="0.25">
      <c r="A292">
        <v>351</v>
      </c>
      <c r="B292" t="s">
        <v>5272</v>
      </c>
      <c r="C292" t="s">
        <v>4628</v>
      </c>
      <c r="D292" t="s">
        <v>4629</v>
      </c>
      <c r="E292" t="s">
        <v>4621</v>
      </c>
      <c r="F292">
        <v>-1</v>
      </c>
      <c r="G292" t="s">
        <v>59</v>
      </c>
      <c r="H292" t="s">
        <v>59</v>
      </c>
      <c r="I292" t="s">
        <v>59</v>
      </c>
      <c r="J292" t="s">
        <v>59</v>
      </c>
      <c r="K292" t="s">
        <v>59</v>
      </c>
      <c r="L292" t="s">
        <v>59</v>
      </c>
      <c r="M292" t="s">
        <v>59</v>
      </c>
      <c r="N292" t="s">
        <v>59</v>
      </c>
      <c r="O292" t="s">
        <v>59</v>
      </c>
      <c r="P292" t="s">
        <v>59</v>
      </c>
      <c r="Q292" t="s">
        <v>59</v>
      </c>
      <c r="R292" t="s">
        <v>59</v>
      </c>
      <c r="S292" t="s">
        <v>59</v>
      </c>
      <c r="T292" t="s">
        <v>59</v>
      </c>
      <c r="U292" t="s">
        <v>59</v>
      </c>
      <c r="V292" t="s">
        <v>59</v>
      </c>
      <c r="W292" t="s">
        <v>59</v>
      </c>
      <c r="X292" t="s">
        <v>59</v>
      </c>
      <c r="Y292" t="s">
        <v>59</v>
      </c>
    </row>
    <row r="293" spans="1:25" x14ac:dyDescent="0.25">
      <c r="A293">
        <v>352</v>
      </c>
      <c r="B293" t="s">
        <v>5272</v>
      </c>
      <c r="C293" t="s">
        <v>4630</v>
      </c>
      <c r="D293" t="s">
        <v>4631</v>
      </c>
      <c r="E293" t="s">
        <v>4621</v>
      </c>
      <c r="F293">
        <v>-1</v>
      </c>
      <c r="G293" t="s">
        <v>59</v>
      </c>
      <c r="H293" t="s">
        <v>59</v>
      </c>
      <c r="I293" t="s">
        <v>59</v>
      </c>
      <c r="J293" t="s">
        <v>59</v>
      </c>
      <c r="K293" t="s">
        <v>59</v>
      </c>
      <c r="L293" t="s">
        <v>59</v>
      </c>
      <c r="M293" t="s">
        <v>59</v>
      </c>
      <c r="N293" t="s">
        <v>59</v>
      </c>
      <c r="O293" t="s">
        <v>59</v>
      </c>
      <c r="P293" t="s">
        <v>59</v>
      </c>
      <c r="Q293" t="s">
        <v>59</v>
      </c>
      <c r="R293" t="s">
        <v>59</v>
      </c>
      <c r="S293" t="s">
        <v>59</v>
      </c>
      <c r="T293" t="s">
        <v>59</v>
      </c>
      <c r="U293" t="s">
        <v>59</v>
      </c>
      <c r="V293" t="s">
        <v>59</v>
      </c>
      <c r="W293" t="s">
        <v>59</v>
      </c>
      <c r="X293" t="s">
        <v>59</v>
      </c>
      <c r="Y293" t="s">
        <v>59</v>
      </c>
    </row>
    <row r="294" spans="1:25" x14ac:dyDescent="0.25">
      <c r="A294">
        <v>353</v>
      </c>
      <c r="B294" t="s">
        <v>5272</v>
      </c>
      <c r="C294" t="s">
        <v>4632</v>
      </c>
      <c r="D294" t="s">
        <v>4633</v>
      </c>
      <c r="E294" t="s">
        <v>4621</v>
      </c>
      <c r="F294">
        <v>-1</v>
      </c>
      <c r="G294" t="s">
        <v>59</v>
      </c>
      <c r="H294" t="s">
        <v>59</v>
      </c>
      <c r="I294" t="s">
        <v>59</v>
      </c>
      <c r="J294" t="s">
        <v>59</v>
      </c>
      <c r="K294" t="s">
        <v>59</v>
      </c>
      <c r="L294" t="s">
        <v>59</v>
      </c>
      <c r="M294" t="s">
        <v>59</v>
      </c>
      <c r="N294" t="s">
        <v>59</v>
      </c>
      <c r="O294" t="s">
        <v>59</v>
      </c>
      <c r="P294" t="s">
        <v>59</v>
      </c>
      <c r="Q294" t="s">
        <v>59</v>
      </c>
      <c r="R294" t="s">
        <v>59</v>
      </c>
      <c r="S294" t="s">
        <v>59</v>
      </c>
      <c r="T294" t="s">
        <v>59</v>
      </c>
      <c r="U294" t="s">
        <v>59</v>
      </c>
      <c r="V294" t="s">
        <v>59</v>
      </c>
      <c r="W294" t="s">
        <v>59</v>
      </c>
      <c r="X294" t="s">
        <v>59</v>
      </c>
      <c r="Y294" t="s">
        <v>59</v>
      </c>
    </row>
    <row r="295" spans="1:25" x14ac:dyDescent="0.25">
      <c r="A295">
        <v>354</v>
      </c>
      <c r="B295" t="s">
        <v>5272</v>
      </c>
      <c r="C295" t="s">
        <v>4634</v>
      </c>
      <c r="D295" t="s">
        <v>4635</v>
      </c>
      <c r="E295" t="s">
        <v>4621</v>
      </c>
      <c r="F295">
        <v>-1</v>
      </c>
      <c r="G295" t="s">
        <v>59</v>
      </c>
      <c r="H295" t="s">
        <v>59</v>
      </c>
      <c r="I295" t="s">
        <v>59</v>
      </c>
      <c r="J295" t="s">
        <v>59</v>
      </c>
      <c r="K295" t="s">
        <v>59</v>
      </c>
      <c r="L295" t="s">
        <v>59</v>
      </c>
      <c r="M295" t="s">
        <v>59</v>
      </c>
      <c r="N295" t="s">
        <v>59</v>
      </c>
      <c r="O295" t="s">
        <v>59</v>
      </c>
      <c r="P295" t="s">
        <v>59</v>
      </c>
      <c r="Q295" t="s">
        <v>59</v>
      </c>
      <c r="R295" t="s">
        <v>59</v>
      </c>
      <c r="S295" t="s">
        <v>59</v>
      </c>
      <c r="T295" t="s">
        <v>59</v>
      </c>
      <c r="U295" t="s">
        <v>59</v>
      </c>
      <c r="V295" t="s">
        <v>59</v>
      </c>
      <c r="W295" t="s">
        <v>59</v>
      </c>
      <c r="X295" t="s">
        <v>59</v>
      </c>
      <c r="Y295" t="s">
        <v>59</v>
      </c>
    </row>
    <row r="296" spans="1:25" x14ac:dyDescent="0.25">
      <c r="A296">
        <v>355</v>
      </c>
      <c r="B296" t="s">
        <v>5272</v>
      </c>
      <c r="C296" t="s">
        <v>4636</v>
      </c>
      <c r="D296" t="s">
        <v>4637</v>
      </c>
      <c r="E296" t="s">
        <v>4621</v>
      </c>
      <c r="F296">
        <v>-1</v>
      </c>
      <c r="G296" t="s">
        <v>59</v>
      </c>
      <c r="H296" t="s">
        <v>59</v>
      </c>
      <c r="I296" t="s">
        <v>59</v>
      </c>
      <c r="J296" t="s">
        <v>59</v>
      </c>
      <c r="K296" t="s">
        <v>59</v>
      </c>
      <c r="L296" t="s">
        <v>59</v>
      </c>
      <c r="M296" t="s">
        <v>59</v>
      </c>
      <c r="N296" t="s">
        <v>59</v>
      </c>
      <c r="O296" t="s">
        <v>59</v>
      </c>
      <c r="P296" t="s">
        <v>59</v>
      </c>
      <c r="Q296" t="s">
        <v>59</v>
      </c>
      <c r="R296" t="s">
        <v>59</v>
      </c>
      <c r="S296" t="s">
        <v>59</v>
      </c>
      <c r="T296" t="s">
        <v>59</v>
      </c>
      <c r="U296" t="s">
        <v>59</v>
      </c>
      <c r="V296" t="s">
        <v>59</v>
      </c>
      <c r="W296" t="s">
        <v>59</v>
      </c>
      <c r="X296" t="s">
        <v>59</v>
      </c>
      <c r="Y296" t="s">
        <v>59</v>
      </c>
    </row>
    <row r="297" spans="1:25" x14ac:dyDescent="0.25">
      <c r="A297">
        <v>356</v>
      </c>
      <c r="B297" t="s">
        <v>5272</v>
      </c>
      <c r="C297" t="s">
        <v>4638</v>
      </c>
      <c r="D297" t="s">
        <v>4639</v>
      </c>
      <c r="E297" t="s">
        <v>4621</v>
      </c>
      <c r="F297">
        <v>-1</v>
      </c>
      <c r="G297" t="s">
        <v>59</v>
      </c>
      <c r="H297" t="s">
        <v>59</v>
      </c>
      <c r="I297" t="s">
        <v>59</v>
      </c>
      <c r="J297" t="s">
        <v>59</v>
      </c>
      <c r="K297" t="s">
        <v>59</v>
      </c>
      <c r="L297" t="s">
        <v>59</v>
      </c>
      <c r="M297" t="s">
        <v>59</v>
      </c>
      <c r="N297" t="s">
        <v>59</v>
      </c>
      <c r="O297" t="s">
        <v>59</v>
      </c>
      <c r="P297" t="s">
        <v>59</v>
      </c>
      <c r="Q297" t="s">
        <v>59</v>
      </c>
      <c r="R297" t="s">
        <v>59</v>
      </c>
      <c r="S297" t="s">
        <v>59</v>
      </c>
      <c r="T297" t="s">
        <v>59</v>
      </c>
      <c r="U297" t="s">
        <v>59</v>
      </c>
      <c r="V297" t="s">
        <v>59</v>
      </c>
      <c r="W297" t="s">
        <v>59</v>
      </c>
      <c r="X297" t="s">
        <v>59</v>
      </c>
      <c r="Y297" t="s">
        <v>59</v>
      </c>
    </row>
    <row r="298" spans="1:25" x14ac:dyDescent="0.25">
      <c r="A298">
        <v>357</v>
      </c>
      <c r="B298" t="s">
        <v>5272</v>
      </c>
      <c r="C298" t="s">
        <v>4640</v>
      </c>
      <c r="D298" t="s">
        <v>4641</v>
      </c>
      <c r="E298" t="s">
        <v>4621</v>
      </c>
      <c r="F298">
        <v>-1</v>
      </c>
      <c r="G298" t="s">
        <v>59</v>
      </c>
      <c r="H298" t="s">
        <v>59</v>
      </c>
      <c r="I298" t="s">
        <v>59</v>
      </c>
      <c r="J298" t="s">
        <v>59</v>
      </c>
      <c r="K298" t="s">
        <v>59</v>
      </c>
      <c r="L298" t="s">
        <v>59</v>
      </c>
      <c r="M298" t="s">
        <v>59</v>
      </c>
      <c r="N298" t="s">
        <v>59</v>
      </c>
      <c r="O298" t="s">
        <v>59</v>
      </c>
      <c r="P298" t="s">
        <v>59</v>
      </c>
      <c r="Q298" t="s">
        <v>59</v>
      </c>
      <c r="R298" t="s">
        <v>59</v>
      </c>
      <c r="S298" t="s">
        <v>59</v>
      </c>
      <c r="T298" t="s">
        <v>59</v>
      </c>
      <c r="U298" t="s">
        <v>59</v>
      </c>
      <c r="V298" t="s">
        <v>59</v>
      </c>
      <c r="W298" t="s">
        <v>59</v>
      </c>
      <c r="X298" t="s">
        <v>59</v>
      </c>
      <c r="Y298" t="s">
        <v>59</v>
      </c>
    </row>
    <row r="299" spans="1:25" x14ac:dyDescent="0.25">
      <c r="A299">
        <v>358</v>
      </c>
      <c r="B299" t="s">
        <v>5272</v>
      </c>
      <c r="C299" t="s">
        <v>4642</v>
      </c>
      <c r="D299" t="s">
        <v>4643</v>
      </c>
      <c r="E299" t="s">
        <v>4621</v>
      </c>
      <c r="F299">
        <v>-1</v>
      </c>
      <c r="G299" t="s">
        <v>59</v>
      </c>
      <c r="H299" t="s">
        <v>59</v>
      </c>
      <c r="I299" t="s">
        <v>59</v>
      </c>
      <c r="J299" t="s">
        <v>59</v>
      </c>
      <c r="K299" t="s">
        <v>59</v>
      </c>
      <c r="L299" t="s">
        <v>59</v>
      </c>
      <c r="M299" t="s">
        <v>59</v>
      </c>
      <c r="N299" t="s">
        <v>59</v>
      </c>
      <c r="O299" t="s">
        <v>59</v>
      </c>
      <c r="P299" t="s">
        <v>59</v>
      </c>
      <c r="Q299" t="s">
        <v>59</v>
      </c>
      <c r="R299" t="s">
        <v>59</v>
      </c>
      <c r="S299" t="s">
        <v>59</v>
      </c>
      <c r="T299" t="s">
        <v>59</v>
      </c>
      <c r="U299" t="s">
        <v>59</v>
      </c>
      <c r="V299" t="s">
        <v>59</v>
      </c>
      <c r="W299" t="s">
        <v>59</v>
      </c>
      <c r="X299" t="s">
        <v>59</v>
      </c>
      <c r="Y299" t="s">
        <v>59</v>
      </c>
    </row>
    <row r="300" spans="1:25" x14ac:dyDescent="0.25">
      <c r="A300">
        <v>359</v>
      </c>
      <c r="B300" t="s">
        <v>5272</v>
      </c>
      <c r="C300" t="s">
        <v>4644</v>
      </c>
      <c r="D300" t="s">
        <v>4645</v>
      </c>
      <c r="E300" t="s">
        <v>4621</v>
      </c>
      <c r="F300">
        <v>-1</v>
      </c>
      <c r="G300" t="s">
        <v>59</v>
      </c>
      <c r="H300" t="s">
        <v>59</v>
      </c>
      <c r="I300" t="s">
        <v>59</v>
      </c>
      <c r="J300" t="s">
        <v>59</v>
      </c>
      <c r="K300" t="s">
        <v>59</v>
      </c>
      <c r="L300" t="s">
        <v>59</v>
      </c>
      <c r="M300" t="s">
        <v>59</v>
      </c>
      <c r="N300" t="s">
        <v>59</v>
      </c>
      <c r="O300" t="s">
        <v>59</v>
      </c>
      <c r="P300" t="s">
        <v>59</v>
      </c>
      <c r="Q300" t="s">
        <v>59</v>
      </c>
      <c r="R300" t="s">
        <v>59</v>
      </c>
      <c r="S300" t="s">
        <v>59</v>
      </c>
      <c r="T300" t="s">
        <v>59</v>
      </c>
      <c r="U300" t="s">
        <v>59</v>
      </c>
      <c r="V300" t="s">
        <v>59</v>
      </c>
      <c r="W300" t="s">
        <v>59</v>
      </c>
      <c r="X300" t="s">
        <v>59</v>
      </c>
      <c r="Y300" t="s">
        <v>59</v>
      </c>
    </row>
    <row r="301" spans="1:25" x14ac:dyDescent="0.25">
      <c r="A301">
        <v>372</v>
      </c>
      <c r="B301" t="s">
        <v>5272</v>
      </c>
      <c r="C301" t="s">
        <v>1503</v>
      </c>
      <c r="D301" t="s">
        <v>4670</v>
      </c>
      <c r="E301" t="s">
        <v>4671</v>
      </c>
      <c r="F301">
        <v>-1</v>
      </c>
      <c r="G301" t="s">
        <v>59</v>
      </c>
      <c r="H301" t="s">
        <v>59</v>
      </c>
      <c r="I301" t="s">
        <v>59</v>
      </c>
      <c r="J301" t="s">
        <v>59</v>
      </c>
      <c r="K301" t="s">
        <v>59</v>
      </c>
      <c r="L301" t="s">
        <v>59</v>
      </c>
      <c r="M301" t="s">
        <v>59</v>
      </c>
      <c r="N301" t="s">
        <v>59</v>
      </c>
      <c r="O301" t="s">
        <v>59</v>
      </c>
      <c r="P301" t="s">
        <v>59</v>
      </c>
      <c r="Q301" t="s">
        <v>59</v>
      </c>
      <c r="R301" t="s">
        <v>59</v>
      </c>
      <c r="S301" t="s">
        <v>59</v>
      </c>
      <c r="T301" t="s">
        <v>59</v>
      </c>
      <c r="U301" t="s">
        <v>59</v>
      </c>
      <c r="V301" t="s">
        <v>59</v>
      </c>
      <c r="W301" t="s">
        <v>59</v>
      </c>
      <c r="X301" t="s">
        <v>59</v>
      </c>
      <c r="Y301" t="s">
        <v>59</v>
      </c>
    </row>
    <row r="302" spans="1:25" x14ac:dyDescent="0.25">
      <c r="A302">
        <v>373</v>
      </c>
      <c r="B302" t="s">
        <v>5272</v>
      </c>
      <c r="C302" t="s">
        <v>4672</v>
      </c>
      <c r="D302" t="s">
        <v>4673</v>
      </c>
      <c r="E302" t="s">
        <v>4671</v>
      </c>
      <c r="F302">
        <v>-1</v>
      </c>
      <c r="G302" t="s">
        <v>59</v>
      </c>
      <c r="H302" t="s">
        <v>59</v>
      </c>
      <c r="I302" t="s">
        <v>59</v>
      </c>
      <c r="J302" t="s">
        <v>59</v>
      </c>
      <c r="K302" t="s">
        <v>59</v>
      </c>
      <c r="L302" t="s">
        <v>59</v>
      </c>
      <c r="M302" t="s">
        <v>59</v>
      </c>
      <c r="N302" t="s">
        <v>59</v>
      </c>
      <c r="O302" t="s">
        <v>59</v>
      </c>
      <c r="P302" t="s">
        <v>59</v>
      </c>
      <c r="Q302" t="s">
        <v>59</v>
      </c>
      <c r="R302" t="s">
        <v>59</v>
      </c>
      <c r="S302" t="s">
        <v>59</v>
      </c>
      <c r="T302" t="s">
        <v>59</v>
      </c>
      <c r="U302" t="s">
        <v>59</v>
      </c>
      <c r="V302" t="s">
        <v>59</v>
      </c>
      <c r="W302" t="s">
        <v>59</v>
      </c>
      <c r="X302" t="s">
        <v>59</v>
      </c>
      <c r="Y302" t="s">
        <v>59</v>
      </c>
    </row>
    <row r="303" spans="1:25" x14ac:dyDescent="0.25">
      <c r="A303">
        <v>374</v>
      </c>
      <c r="B303" t="s">
        <v>5272</v>
      </c>
      <c r="C303" t="s">
        <v>4674</v>
      </c>
      <c r="D303" t="s">
        <v>4675</v>
      </c>
      <c r="E303" t="s">
        <v>4671</v>
      </c>
      <c r="F303">
        <v>-1</v>
      </c>
      <c r="G303" t="s">
        <v>59</v>
      </c>
      <c r="H303" t="s">
        <v>59</v>
      </c>
      <c r="I303" t="s">
        <v>59</v>
      </c>
      <c r="J303" t="s">
        <v>59</v>
      </c>
      <c r="K303" t="s">
        <v>59</v>
      </c>
      <c r="L303" t="s">
        <v>59</v>
      </c>
      <c r="M303" t="s">
        <v>59</v>
      </c>
      <c r="N303" t="s">
        <v>59</v>
      </c>
      <c r="O303" t="s">
        <v>59</v>
      </c>
      <c r="P303" t="s">
        <v>59</v>
      </c>
      <c r="Q303" t="s">
        <v>59</v>
      </c>
      <c r="R303" t="s">
        <v>59</v>
      </c>
      <c r="S303" t="s">
        <v>59</v>
      </c>
      <c r="T303" t="s">
        <v>59</v>
      </c>
      <c r="U303" t="s">
        <v>59</v>
      </c>
      <c r="V303" t="s">
        <v>59</v>
      </c>
      <c r="W303" t="s">
        <v>59</v>
      </c>
      <c r="X303" t="s">
        <v>59</v>
      </c>
      <c r="Y303" t="s">
        <v>59</v>
      </c>
    </row>
    <row r="304" spans="1:25" x14ac:dyDescent="0.25">
      <c r="A304">
        <v>375</v>
      </c>
      <c r="B304" t="s">
        <v>5272</v>
      </c>
      <c r="C304" t="s">
        <v>4676</v>
      </c>
      <c r="D304" t="s">
        <v>4677</v>
      </c>
      <c r="E304" t="s">
        <v>4671</v>
      </c>
      <c r="F304">
        <v>-1</v>
      </c>
      <c r="G304" t="s">
        <v>59</v>
      </c>
      <c r="H304" t="s">
        <v>59</v>
      </c>
      <c r="I304" t="s">
        <v>59</v>
      </c>
      <c r="J304" t="s">
        <v>59</v>
      </c>
      <c r="K304" t="s">
        <v>59</v>
      </c>
      <c r="L304" t="s">
        <v>59</v>
      </c>
      <c r="M304" t="s">
        <v>59</v>
      </c>
      <c r="N304" t="s">
        <v>59</v>
      </c>
      <c r="O304" t="s">
        <v>59</v>
      </c>
      <c r="P304" t="s">
        <v>59</v>
      </c>
      <c r="Q304" t="s">
        <v>59</v>
      </c>
      <c r="R304" t="s">
        <v>59</v>
      </c>
      <c r="S304" t="s">
        <v>59</v>
      </c>
      <c r="T304" t="s">
        <v>59</v>
      </c>
      <c r="U304" t="s">
        <v>59</v>
      </c>
      <c r="V304" t="s">
        <v>59</v>
      </c>
      <c r="W304" t="s">
        <v>59</v>
      </c>
      <c r="X304" t="s">
        <v>59</v>
      </c>
      <c r="Y304" t="s">
        <v>59</v>
      </c>
    </row>
    <row r="305" spans="1:25" x14ac:dyDescent="0.25">
      <c r="A305">
        <v>376</v>
      </c>
      <c r="B305" t="s">
        <v>5272</v>
      </c>
      <c r="C305" t="s">
        <v>4678</v>
      </c>
      <c r="D305" t="s">
        <v>4679</v>
      </c>
      <c r="E305" t="s">
        <v>4671</v>
      </c>
      <c r="F305">
        <v>-1</v>
      </c>
      <c r="G305" t="s">
        <v>59</v>
      </c>
      <c r="H305" t="s">
        <v>59</v>
      </c>
      <c r="I305" t="s">
        <v>59</v>
      </c>
      <c r="J305" t="s">
        <v>59</v>
      </c>
      <c r="K305" t="s">
        <v>59</v>
      </c>
      <c r="L305" t="s">
        <v>59</v>
      </c>
      <c r="M305" t="s">
        <v>59</v>
      </c>
      <c r="N305" t="s">
        <v>59</v>
      </c>
      <c r="O305" t="s">
        <v>59</v>
      </c>
      <c r="P305" t="s">
        <v>59</v>
      </c>
      <c r="Q305" t="s">
        <v>59</v>
      </c>
      <c r="R305" t="s">
        <v>59</v>
      </c>
      <c r="S305" t="s">
        <v>59</v>
      </c>
      <c r="T305" t="s">
        <v>59</v>
      </c>
      <c r="U305" t="s">
        <v>59</v>
      </c>
      <c r="V305" t="s">
        <v>59</v>
      </c>
      <c r="W305" t="s">
        <v>59</v>
      </c>
      <c r="X305" t="s">
        <v>59</v>
      </c>
      <c r="Y305" t="s">
        <v>59</v>
      </c>
    </row>
    <row r="306" spans="1:25" x14ac:dyDescent="0.25">
      <c r="A306">
        <v>377</v>
      </c>
      <c r="B306" t="s">
        <v>5272</v>
      </c>
      <c r="C306" t="s">
        <v>4680</v>
      </c>
      <c r="D306" t="s">
        <v>4681</v>
      </c>
      <c r="E306" t="s">
        <v>4671</v>
      </c>
      <c r="F306">
        <v>-1</v>
      </c>
      <c r="G306" t="s">
        <v>59</v>
      </c>
      <c r="H306" t="s">
        <v>59</v>
      </c>
      <c r="I306" t="s">
        <v>59</v>
      </c>
      <c r="J306" t="s">
        <v>59</v>
      </c>
      <c r="K306" t="s">
        <v>59</v>
      </c>
      <c r="L306" t="s">
        <v>59</v>
      </c>
      <c r="M306" t="s">
        <v>59</v>
      </c>
      <c r="N306" t="s">
        <v>59</v>
      </c>
      <c r="O306" t="s">
        <v>59</v>
      </c>
      <c r="P306" t="s">
        <v>59</v>
      </c>
      <c r="Q306" t="s">
        <v>59</v>
      </c>
      <c r="R306" t="s">
        <v>59</v>
      </c>
      <c r="S306" t="s">
        <v>59</v>
      </c>
      <c r="T306" t="s">
        <v>59</v>
      </c>
      <c r="U306" t="s">
        <v>59</v>
      </c>
      <c r="V306" t="s">
        <v>59</v>
      </c>
      <c r="W306" t="s">
        <v>59</v>
      </c>
      <c r="X306" t="s">
        <v>59</v>
      </c>
      <c r="Y306" t="s">
        <v>59</v>
      </c>
    </row>
    <row r="307" spans="1:25" x14ac:dyDescent="0.25">
      <c r="A307">
        <v>378</v>
      </c>
      <c r="B307" t="s">
        <v>5272</v>
      </c>
      <c r="C307" t="s">
        <v>4682</v>
      </c>
      <c r="D307" t="s">
        <v>4683</v>
      </c>
      <c r="E307" t="s">
        <v>4671</v>
      </c>
      <c r="F307">
        <v>-1</v>
      </c>
      <c r="G307" t="s">
        <v>59</v>
      </c>
      <c r="H307" t="s">
        <v>59</v>
      </c>
      <c r="I307" t="s">
        <v>59</v>
      </c>
      <c r="J307" t="s">
        <v>59</v>
      </c>
      <c r="K307" t="s">
        <v>59</v>
      </c>
      <c r="L307" t="s">
        <v>59</v>
      </c>
      <c r="M307" t="s">
        <v>59</v>
      </c>
      <c r="N307" t="s">
        <v>59</v>
      </c>
      <c r="O307" t="s">
        <v>59</v>
      </c>
      <c r="P307" t="s">
        <v>59</v>
      </c>
      <c r="Q307" t="s">
        <v>59</v>
      </c>
      <c r="R307" t="s">
        <v>59</v>
      </c>
      <c r="S307" t="s">
        <v>59</v>
      </c>
      <c r="T307" t="s">
        <v>59</v>
      </c>
      <c r="U307" t="s">
        <v>59</v>
      </c>
      <c r="V307" t="s">
        <v>59</v>
      </c>
      <c r="W307" t="s">
        <v>59</v>
      </c>
      <c r="X307" t="s">
        <v>59</v>
      </c>
      <c r="Y307" t="s">
        <v>59</v>
      </c>
    </row>
    <row r="308" spans="1:25" x14ac:dyDescent="0.25">
      <c r="A308">
        <v>379</v>
      </c>
      <c r="B308" t="s">
        <v>5272</v>
      </c>
      <c r="C308" t="s">
        <v>4684</v>
      </c>
      <c r="D308" t="s">
        <v>4685</v>
      </c>
      <c r="E308" t="s">
        <v>4671</v>
      </c>
      <c r="F308">
        <v>-1</v>
      </c>
      <c r="G308" t="s">
        <v>59</v>
      </c>
      <c r="H308" t="s">
        <v>59</v>
      </c>
      <c r="I308" t="s">
        <v>59</v>
      </c>
      <c r="J308" t="s">
        <v>59</v>
      </c>
      <c r="K308" t="s">
        <v>59</v>
      </c>
      <c r="L308" t="s">
        <v>59</v>
      </c>
      <c r="M308" t="s">
        <v>59</v>
      </c>
      <c r="N308" t="s">
        <v>59</v>
      </c>
      <c r="O308" t="s">
        <v>59</v>
      </c>
      <c r="P308" t="s">
        <v>59</v>
      </c>
      <c r="Q308" t="s">
        <v>59</v>
      </c>
      <c r="R308" t="s">
        <v>59</v>
      </c>
      <c r="S308" t="s">
        <v>59</v>
      </c>
      <c r="T308" t="s">
        <v>59</v>
      </c>
      <c r="U308" t="s">
        <v>59</v>
      </c>
      <c r="V308" t="s">
        <v>59</v>
      </c>
      <c r="W308" t="s">
        <v>59</v>
      </c>
      <c r="X308" t="s">
        <v>59</v>
      </c>
      <c r="Y308" t="s">
        <v>59</v>
      </c>
    </row>
    <row r="309" spans="1:25" x14ac:dyDescent="0.25">
      <c r="A309">
        <v>380</v>
      </c>
      <c r="B309" t="s">
        <v>5272</v>
      </c>
      <c r="C309" t="s">
        <v>4686</v>
      </c>
      <c r="D309" t="s">
        <v>4687</v>
      </c>
      <c r="E309" t="s">
        <v>4671</v>
      </c>
      <c r="F309">
        <v>-1</v>
      </c>
      <c r="G309" t="s">
        <v>59</v>
      </c>
      <c r="H309" t="s">
        <v>59</v>
      </c>
      <c r="I309" t="s">
        <v>59</v>
      </c>
      <c r="J309" t="s">
        <v>59</v>
      </c>
      <c r="K309" t="s">
        <v>59</v>
      </c>
      <c r="L309" t="s">
        <v>59</v>
      </c>
      <c r="M309" t="s">
        <v>59</v>
      </c>
      <c r="N309" t="s">
        <v>59</v>
      </c>
      <c r="O309" t="s">
        <v>59</v>
      </c>
      <c r="P309" t="s">
        <v>59</v>
      </c>
      <c r="Q309" t="s">
        <v>59</v>
      </c>
      <c r="R309" t="s">
        <v>59</v>
      </c>
      <c r="S309" t="s">
        <v>59</v>
      </c>
      <c r="T309" t="s">
        <v>59</v>
      </c>
      <c r="U309" t="s">
        <v>59</v>
      </c>
      <c r="V309" t="s">
        <v>59</v>
      </c>
      <c r="W309" t="s">
        <v>59</v>
      </c>
      <c r="X309" t="s">
        <v>59</v>
      </c>
      <c r="Y309" t="s">
        <v>59</v>
      </c>
    </row>
    <row r="310" spans="1:25" x14ac:dyDescent="0.25">
      <c r="A310">
        <v>381</v>
      </c>
      <c r="B310" t="s">
        <v>5272</v>
      </c>
      <c r="C310" t="s">
        <v>4688</v>
      </c>
      <c r="D310" t="s">
        <v>4689</v>
      </c>
      <c r="E310" t="s">
        <v>4671</v>
      </c>
      <c r="F310">
        <v>-1</v>
      </c>
      <c r="G310" t="s">
        <v>59</v>
      </c>
      <c r="H310" t="s">
        <v>59</v>
      </c>
      <c r="I310" t="s">
        <v>59</v>
      </c>
      <c r="J310" t="s">
        <v>59</v>
      </c>
      <c r="K310" t="s">
        <v>59</v>
      </c>
      <c r="L310" t="s">
        <v>59</v>
      </c>
      <c r="M310" t="s">
        <v>59</v>
      </c>
      <c r="N310" t="s">
        <v>59</v>
      </c>
      <c r="O310" t="s">
        <v>59</v>
      </c>
      <c r="P310" t="s">
        <v>59</v>
      </c>
      <c r="Q310" t="s">
        <v>59</v>
      </c>
      <c r="R310" t="s">
        <v>59</v>
      </c>
      <c r="S310" t="s">
        <v>59</v>
      </c>
      <c r="T310" t="s">
        <v>59</v>
      </c>
      <c r="U310" t="s">
        <v>59</v>
      </c>
      <c r="V310" t="s">
        <v>59</v>
      </c>
      <c r="W310" t="s">
        <v>59</v>
      </c>
      <c r="X310" t="s">
        <v>59</v>
      </c>
      <c r="Y310" t="s">
        <v>59</v>
      </c>
    </row>
    <row r="311" spans="1:25" x14ac:dyDescent="0.25">
      <c r="A311">
        <v>382</v>
      </c>
      <c r="B311" t="s">
        <v>5272</v>
      </c>
      <c r="C311" t="s">
        <v>4690</v>
      </c>
      <c r="D311" t="s">
        <v>4691</v>
      </c>
      <c r="E311" t="s">
        <v>4671</v>
      </c>
      <c r="F311">
        <v>-1</v>
      </c>
      <c r="G311" t="s">
        <v>59</v>
      </c>
      <c r="H311" t="s">
        <v>59</v>
      </c>
      <c r="I311" t="s">
        <v>59</v>
      </c>
      <c r="J311" t="s">
        <v>59</v>
      </c>
      <c r="K311" t="s">
        <v>59</v>
      </c>
      <c r="L311" t="s">
        <v>59</v>
      </c>
      <c r="M311" t="s">
        <v>59</v>
      </c>
      <c r="N311" t="s">
        <v>59</v>
      </c>
      <c r="O311" t="s">
        <v>59</v>
      </c>
      <c r="P311" t="s">
        <v>59</v>
      </c>
      <c r="Q311" t="s">
        <v>59</v>
      </c>
      <c r="R311" t="s">
        <v>59</v>
      </c>
      <c r="S311" t="s">
        <v>59</v>
      </c>
      <c r="T311" t="s">
        <v>59</v>
      </c>
      <c r="U311" t="s">
        <v>59</v>
      </c>
      <c r="V311" t="s">
        <v>59</v>
      </c>
      <c r="W311" t="s">
        <v>59</v>
      </c>
      <c r="X311" t="s">
        <v>59</v>
      </c>
      <c r="Y311" t="s">
        <v>59</v>
      </c>
    </row>
    <row r="312" spans="1:25" x14ac:dyDescent="0.25">
      <c r="A312">
        <v>383</v>
      </c>
      <c r="B312" t="s">
        <v>5272</v>
      </c>
      <c r="C312" t="s">
        <v>4692</v>
      </c>
      <c r="D312" t="s">
        <v>4693</v>
      </c>
      <c r="E312" t="s">
        <v>4671</v>
      </c>
      <c r="F312">
        <v>-1</v>
      </c>
      <c r="G312" t="s">
        <v>59</v>
      </c>
      <c r="H312" t="s">
        <v>59</v>
      </c>
      <c r="I312" t="s">
        <v>59</v>
      </c>
      <c r="J312" t="s">
        <v>59</v>
      </c>
      <c r="K312" t="s">
        <v>59</v>
      </c>
      <c r="L312" t="s">
        <v>59</v>
      </c>
      <c r="M312" t="s">
        <v>59</v>
      </c>
      <c r="N312" t="s">
        <v>59</v>
      </c>
      <c r="O312" t="s">
        <v>59</v>
      </c>
      <c r="P312" t="s">
        <v>59</v>
      </c>
      <c r="Q312" t="s">
        <v>59</v>
      </c>
      <c r="R312" t="s">
        <v>59</v>
      </c>
      <c r="S312" t="s">
        <v>59</v>
      </c>
      <c r="T312" t="s">
        <v>59</v>
      </c>
      <c r="U312" t="s">
        <v>59</v>
      </c>
      <c r="V312" t="s">
        <v>59</v>
      </c>
      <c r="W312" t="s">
        <v>59</v>
      </c>
      <c r="X312" t="s">
        <v>59</v>
      </c>
      <c r="Y312" t="s">
        <v>59</v>
      </c>
    </row>
    <row r="313" spans="1:25" x14ac:dyDescent="0.25">
      <c r="A313">
        <v>384</v>
      </c>
      <c r="B313" t="s">
        <v>5272</v>
      </c>
      <c r="C313" t="s">
        <v>4694</v>
      </c>
      <c r="D313" t="s">
        <v>4695</v>
      </c>
      <c r="E313" t="s">
        <v>4671</v>
      </c>
      <c r="F313">
        <v>-1</v>
      </c>
      <c r="G313" t="s">
        <v>59</v>
      </c>
      <c r="H313" t="s">
        <v>59</v>
      </c>
      <c r="I313" t="s">
        <v>59</v>
      </c>
      <c r="J313" t="s">
        <v>59</v>
      </c>
      <c r="K313" t="s">
        <v>59</v>
      </c>
      <c r="L313" t="s">
        <v>59</v>
      </c>
      <c r="M313" t="s">
        <v>59</v>
      </c>
      <c r="N313" t="s">
        <v>59</v>
      </c>
      <c r="O313" t="s">
        <v>59</v>
      </c>
      <c r="P313" t="s">
        <v>59</v>
      </c>
      <c r="Q313" t="s">
        <v>59</v>
      </c>
      <c r="R313" t="s">
        <v>59</v>
      </c>
      <c r="S313" t="s">
        <v>59</v>
      </c>
      <c r="T313" t="s">
        <v>59</v>
      </c>
      <c r="U313" t="s">
        <v>59</v>
      </c>
      <c r="V313" t="s">
        <v>59</v>
      </c>
      <c r="W313" t="s">
        <v>59</v>
      </c>
      <c r="X313" t="s">
        <v>59</v>
      </c>
      <c r="Y313" t="s">
        <v>59</v>
      </c>
    </row>
    <row r="314" spans="1:25" x14ac:dyDescent="0.25">
      <c r="A314">
        <v>361</v>
      </c>
      <c r="B314" t="s">
        <v>5272</v>
      </c>
      <c r="C314" t="s">
        <v>1495</v>
      </c>
      <c r="D314" t="s">
        <v>4648</v>
      </c>
      <c r="E314" t="s">
        <v>4649</v>
      </c>
      <c r="F314">
        <v>-1</v>
      </c>
      <c r="G314" t="s">
        <v>59</v>
      </c>
      <c r="H314" t="s">
        <v>59</v>
      </c>
      <c r="I314" t="s">
        <v>59</v>
      </c>
      <c r="J314" t="s">
        <v>59</v>
      </c>
      <c r="K314" t="s">
        <v>59</v>
      </c>
      <c r="L314" t="s">
        <v>59</v>
      </c>
      <c r="M314" t="s">
        <v>59</v>
      </c>
      <c r="N314" t="s">
        <v>59</v>
      </c>
      <c r="O314" t="s">
        <v>59</v>
      </c>
      <c r="P314" t="s">
        <v>59</v>
      </c>
      <c r="Q314" t="s">
        <v>59</v>
      </c>
      <c r="R314" t="s">
        <v>59</v>
      </c>
      <c r="S314" t="s">
        <v>59</v>
      </c>
      <c r="T314" t="s">
        <v>59</v>
      </c>
      <c r="U314" t="s">
        <v>59</v>
      </c>
      <c r="V314" t="s">
        <v>59</v>
      </c>
      <c r="W314" t="s">
        <v>59</v>
      </c>
      <c r="X314" t="s">
        <v>59</v>
      </c>
      <c r="Y314" t="s">
        <v>59</v>
      </c>
    </row>
    <row r="315" spans="1:25" x14ac:dyDescent="0.25">
      <c r="A315">
        <v>362</v>
      </c>
      <c r="B315" t="s">
        <v>5272</v>
      </c>
      <c r="C315" t="s">
        <v>4650</v>
      </c>
      <c r="D315" t="s">
        <v>4651</v>
      </c>
      <c r="E315" t="s">
        <v>4649</v>
      </c>
      <c r="F315">
        <v>-1</v>
      </c>
      <c r="G315" t="s">
        <v>59</v>
      </c>
      <c r="H315" t="s">
        <v>59</v>
      </c>
      <c r="I315" t="s">
        <v>59</v>
      </c>
      <c r="J315" t="s">
        <v>59</v>
      </c>
      <c r="K315" t="s">
        <v>59</v>
      </c>
      <c r="L315" t="s">
        <v>59</v>
      </c>
      <c r="M315" t="s">
        <v>59</v>
      </c>
      <c r="N315" t="s">
        <v>59</v>
      </c>
      <c r="O315" t="s">
        <v>59</v>
      </c>
      <c r="P315" t="s">
        <v>59</v>
      </c>
      <c r="Q315" t="s">
        <v>59</v>
      </c>
      <c r="R315" t="s">
        <v>59</v>
      </c>
      <c r="S315" t="s">
        <v>59</v>
      </c>
      <c r="T315" t="s">
        <v>59</v>
      </c>
      <c r="U315" t="s">
        <v>59</v>
      </c>
      <c r="V315" t="s">
        <v>59</v>
      </c>
      <c r="W315" t="s">
        <v>59</v>
      </c>
      <c r="X315" t="s">
        <v>59</v>
      </c>
      <c r="Y315" t="s">
        <v>59</v>
      </c>
    </row>
    <row r="316" spans="1:25" x14ac:dyDescent="0.25">
      <c r="A316">
        <v>363</v>
      </c>
      <c r="B316" t="s">
        <v>5272</v>
      </c>
      <c r="C316" t="s">
        <v>4652</v>
      </c>
      <c r="D316" t="s">
        <v>4653</v>
      </c>
      <c r="E316" t="s">
        <v>4649</v>
      </c>
      <c r="F316">
        <v>-1</v>
      </c>
      <c r="G316" t="s">
        <v>59</v>
      </c>
      <c r="H316" t="s">
        <v>59</v>
      </c>
      <c r="I316" t="s">
        <v>59</v>
      </c>
      <c r="J316" t="s">
        <v>59</v>
      </c>
      <c r="K316" t="s">
        <v>59</v>
      </c>
      <c r="L316" t="s">
        <v>59</v>
      </c>
      <c r="M316" t="s">
        <v>59</v>
      </c>
      <c r="N316" t="s">
        <v>59</v>
      </c>
      <c r="O316" t="s">
        <v>59</v>
      </c>
      <c r="P316" t="s">
        <v>59</v>
      </c>
      <c r="Q316" t="s">
        <v>59</v>
      </c>
      <c r="R316" t="s">
        <v>59</v>
      </c>
      <c r="S316" t="s">
        <v>59</v>
      </c>
      <c r="T316" t="s">
        <v>59</v>
      </c>
      <c r="U316" t="s">
        <v>59</v>
      </c>
      <c r="V316" t="s">
        <v>59</v>
      </c>
      <c r="W316" t="s">
        <v>59</v>
      </c>
      <c r="X316" t="s">
        <v>59</v>
      </c>
      <c r="Y316" t="s">
        <v>59</v>
      </c>
    </row>
    <row r="317" spans="1:25" x14ac:dyDescent="0.25">
      <c r="A317">
        <v>364</v>
      </c>
      <c r="B317" t="s">
        <v>5272</v>
      </c>
      <c r="C317" t="s">
        <v>4654</v>
      </c>
      <c r="D317" t="s">
        <v>4655</v>
      </c>
      <c r="E317" t="s">
        <v>4649</v>
      </c>
      <c r="F317">
        <v>-1</v>
      </c>
      <c r="G317" t="s">
        <v>59</v>
      </c>
      <c r="H317" t="s">
        <v>59</v>
      </c>
      <c r="I317" t="s">
        <v>59</v>
      </c>
      <c r="J317" t="s">
        <v>59</v>
      </c>
      <c r="K317" t="s">
        <v>59</v>
      </c>
      <c r="L317" t="s">
        <v>59</v>
      </c>
      <c r="M317" t="s">
        <v>59</v>
      </c>
      <c r="N317" t="s">
        <v>59</v>
      </c>
      <c r="O317" t="s">
        <v>59</v>
      </c>
      <c r="P317" t="s">
        <v>59</v>
      </c>
      <c r="Q317" t="s">
        <v>59</v>
      </c>
      <c r="R317" t="s">
        <v>59</v>
      </c>
      <c r="S317" t="s">
        <v>59</v>
      </c>
      <c r="T317" t="s">
        <v>59</v>
      </c>
      <c r="U317" t="s">
        <v>59</v>
      </c>
      <c r="V317" t="s">
        <v>59</v>
      </c>
      <c r="W317" t="s">
        <v>59</v>
      </c>
      <c r="X317" t="s">
        <v>59</v>
      </c>
      <c r="Y317" t="s">
        <v>59</v>
      </c>
    </row>
    <row r="318" spans="1:25" x14ac:dyDescent="0.25">
      <c r="A318">
        <v>365</v>
      </c>
      <c r="B318" t="s">
        <v>5272</v>
      </c>
      <c r="C318" t="s">
        <v>4656</v>
      </c>
      <c r="D318" t="s">
        <v>4657</v>
      </c>
      <c r="E318" t="s">
        <v>4649</v>
      </c>
      <c r="F318">
        <v>-1</v>
      </c>
      <c r="G318" t="s">
        <v>59</v>
      </c>
      <c r="H318" t="s">
        <v>59</v>
      </c>
      <c r="I318" t="s">
        <v>59</v>
      </c>
      <c r="J318" t="s">
        <v>59</v>
      </c>
      <c r="K318" t="s">
        <v>59</v>
      </c>
      <c r="L318" t="s">
        <v>59</v>
      </c>
      <c r="M318" t="s">
        <v>59</v>
      </c>
      <c r="N318" t="s">
        <v>59</v>
      </c>
      <c r="O318" t="s">
        <v>59</v>
      </c>
      <c r="P318" t="s">
        <v>59</v>
      </c>
      <c r="Q318" t="s">
        <v>59</v>
      </c>
      <c r="R318" t="s">
        <v>59</v>
      </c>
      <c r="S318" t="s">
        <v>59</v>
      </c>
      <c r="T318" t="s">
        <v>59</v>
      </c>
      <c r="U318" t="s">
        <v>59</v>
      </c>
      <c r="V318" t="s">
        <v>59</v>
      </c>
      <c r="W318" t="s">
        <v>59</v>
      </c>
      <c r="X318" t="s">
        <v>59</v>
      </c>
      <c r="Y318" t="s">
        <v>59</v>
      </c>
    </row>
    <row r="319" spans="1:25" x14ac:dyDescent="0.25">
      <c r="A319">
        <v>366</v>
      </c>
      <c r="B319" t="s">
        <v>5272</v>
      </c>
      <c r="C319" t="s">
        <v>4658</v>
      </c>
      <c r="D319" t="s">
        <v>4659</v>
      </c>
      <c r="E319" t="s">
        <v>4649</v>
      </c>
      <c r="F319">
        <v>-1</v>
      </c>
      <c r="G319" t="s">
        <v>59</v>
      </c>
      <c r="H319" t="s">
        <v>59</v>
      </c>
      <c r="I319" t="s">
        <v>59</v>
      </c>
      <c r="J319" t="s">
        <v>59</v>
      </c>
      <c r="K319" t="s">
        <v>59</v>
      </c>
      <c r="L319" t="s">
        <v>59</v>
      </c>
      <c r="M319" t="s">
        <v>59</v>
      </c>
      <c r="N319" t="s">
        <v>59</v>
      </c>
      <c r="O319" t="s">
        <v>59</v>
      </c>
      <c r="P319" t="s">
        <v>59</v>
      </c>
      <c r="Q319" t="s">
        <v>59</v>
      </c>
      <c r="R319" t="s">
        <v>59</v>
      </c>
      <c r="S319" t="s">
        <v>59</v>
      </c>
      <c r="T319" t="s">
        <v>59</v>
      </c>
      <c r="U319" t="s">
        <v>59</v>
      </c>
      <c r="V319" t="s">
        <v>59</v>
      </c>
      <c r="W319" t="s">
        <v>59</v>
      </c>
      <c r="X319" t="s">
        <v>59</v>
      </c>
      <c r="Y319" t="s">
        <v>59</v>
      </c>
    </row>
    <row r="320" spans="1:25" x14ac:dyDescent="0.25">
      <c r="A320">
        <v>367</v>
      </c>
      <c r="B320" t="s">
        <v>5272</v>
      </c>
      <c r="C320" t="s">
        <v>4660</v>
      </c>
      <c r="D320" t="s">
        <v>4661</v>
      </c>
      <c r="E320" t="s">
        <v>4649</v>
      </c>
      <c r="F320">
        <v>-1</v>
      </c>
      <c r="G320" t="s">
        <v>59</v>
      </c>
      <c r="H320" t="s">
        <v>59</v>
      </c>
      <c r="I320" t="s">
        <v>59</v>
      </c>
      <c r="J320" t="s">
        <v>59</v>
      </c>
      <c r="K320" t="s">
        <v>59</v>
      </c>
      <c r="L320" t="s">
        <v>59</v>
      </c>
      <c r="M320" t="s">
        <v>59</v>
      </c>
      <c r="N320" t="s">
        <v>59</v>
      </c>
      <c r="O320" t="s">
        <v>59</v>
      </c>
      <c r="P320" t="s">
        <v>59</v>
      </c>
      <c r="Q320" t="s">
        <v>59</v>
      </c>
      <c r="R320" t="s">
        <v>59</v>
      </c>
      <c r="S320" t="s">
        <v>59</v>
      </c>
      <c r="T320" t="s">
        <v>59</v>
      </c>
      <c r="U320" t="s">
        <v>59</v>
      </c>
      <c r="V320" t="s">
        <v>59</v>
      </c>
      <c r="W320" t="s">
        <v>59</v>
      </c>
      <c r="X320" t="s">
        <v>59</v>
      </c>
      <c r="Y320" t="s">
        <v>59</v>
      </c>
    </row>
    <row r="321" spans="1:25" x14ac:dyDescent="0.25">
      <c r="A321">
        <v>368</v>
      </c>
      <c r="B321" t="s">
        <v>5272</v>
      </c>
      <c r="C321" t="s">
        <v>4662</v>
      </c>
      <c r="D321" t="s">
        <v>4663</v>
      </c>
      <c r="E321" t="s">
        <v>4649</v>
      </c>
      <c r="F321">
        <v>-1</v>
      </c>
      <c r="G321" t="s">
        <v>59</v>
      </c>
      <c r="H321" t="s">
        <v>59</v>
      </c>
      <c r="I321" t="s">
        <v>59</v>
      </c>
      <c r="J321" t="s">
        <v>59</v>
      </c>
      <c r="K321" t="s">
        <v>59</v>
      </c>
      <c r="L321" t="s">
        <v>59</v>
      </c>
      <c r="M321" t="s">
        <v>59</v>
      </c>
      <c r="N321" t="s">
        <v>59</v>
      </c>
      <c r="O321" t="s">
        <v>59</v>
      </c>
      <c r="P321" t="s">
        <v>59</v>
      </c>
      <c r="Q321" t="s">
        <v>59</v>
      </c>
      <c r="R321" t="s">
        <v>59</v>
      </c>
      <c r="S321" t="s">
        <v>59</v>
      </c>
      <c r="T321" t="s">
        <v>59</v>
      </c>
      <c r="U321" t="s">
        <v>59</v>
      </c>
      <c r="V321" t="s">
        <v>59</v>
      </c>
      <c r="W321" t="s">
        <v>59</v>
      </c>
      <c r="X321" t="s">
        <v>59</v>
      </c>
      <c r="Y321" t="s">
        <v>59</v>
      </c>
    </row>
    <row r="322" spans="1:25" x14ac:dyDescent="0.25">
      <c r="A322">
        <v>369</v>
      </c>
      <c r="B322" t="s">
        <v>5272</v>
      </c>
      <c r="C322" t="s">
        <v>4664</v>
      </c>
      <c r="D322" t="s">
        <v>4665</v>
      </c>
      <c r="E322" t="s">
        <v>4649</v>
      </c>
      <c r="F322">
        <v>-1</v>
      </c>
      <c r="G322" t="s">
        <v>59</v>
      </c>
      <c r="H322" t="s">
        <v>59</v>
      </c>
      <c r="I322" t="s">
        <v>59</v>
      </c>
      <c r="J322" t="s">
        <v>59</v>
      </c>
      <c r="K322" t="s">
        <v>59</v>
      </c>
      <c r="L322" t="s">
        <v>59</v>
      </c>
      <c r="M322" t="s">
        <v>59</v>
      </c>
      <c r="N322" t="s">
        <v>59</v>
      </c>
      <c r="O322" t="s">
        <v>59</v>
      </c>
      <c r="P322" t="s">
        <v>59</v>
      </c>
      <c r="Q322" t="s">
        <v>59</v>
      </c>
      <c r="R322" t="s">
        <v>59</v>
      </c>
      <c r="S322" t="s">
        <v>59</v>
      </c>
      <c r="T322" t="s">
        <v>59</v>
      </c>
      <c r="U322" t="s">
        <v>59</v>
      </c>
      <c r="V322" t="s">
        <v>59</v>
      </c>
      <c r="W322" t="s">
        <v>59</v>
      </c>
      <c r="X322" t="s">
        <v>59</v>
      </c>
      <c r="Y322" t="s">
        <v>59</v>
      </c>
    </row>
    <row r="323" spans="1:25" x14ac:dyDescent="0.25">
      <c r="A323">
        <v>370</v>
      </c>
      <c r="B323" t="s">
        <v>5272</v>
      </c>
      <c r="C323" t="s">
        <v>4666</v>
      </c>
      <c r="D323" t="s">
        <v>4667</v>
      </c>
      <c r="E323" t="s">
        <v>4649</v>
      </c>
      <c r="F323">
        <v>-1</v>
      </c>
      <c r="G323" t="s">
        <v>59</v>
      </c>
      <c r="H323" t="s">
        <v>59</v>
      </c>
      <c r="I323" t="s">
        <v>59</v>
      </c>
      <c r="J323" t="s">
        <v>59</v>
      </c>
      <c r="K323" t="s">
        <v>59</v>
      </c>
      <c r="L323" t="s">
        <v>59</v>
      </c>
      <c r="M323" t="s">
        <v>59</v>
      </c>
      <c r="N323" t="s">
        <v>59</v>
      </c>
      <c r="O323" t="s">
        <v>59</v>
      </c>
      <c r="P323" t="s">
        <v>59</v>
      </c>
      <c r="Q323" t="s">
        <v>59</v>
      </c>
      <c r="R323" t="s">
        <v>59</v>
      </c>
      <c r="S323" t="s">
        <v>59</v>
      </c>
      <c r="T323" t="s">
        <v>59</v>
      </c>
      <c r="U323" t="s">
        <v>59</v>
      </c>
      <c r="V323" t="s">
        <v>59</v>
      </c>
      <c r="W323" t="s">
        <v>59</v>
      </c>
      <c r="X323" t="s">
        <v>59</v>
      </c>
      <c r="Y323" t="s">
        <v>59</v>
      </c>
    </row>
    <row r="324" spans="1:25" x14ac:dyDescent="0.25">
      <c r="A324">
        <v>371</v>
      </c>
      <c r="B324" t="s">
        <v>5272</v>
      </c>
      <c r="C324" t="s">
        <v>4668</v>
      </c>
      <c r="D324" t="s">
        <v>4669</v>
      </c>
      <c r="E324" t="s">
        <v>4649</v>
      </c>
      <c r="F324">
        <v>-1</v>
      </c>
      <c r="G324" t="s">
        <v>59</v>
      </c>
      <c r="H324" t="s">
        <v>59</v>
      </c>
      <c r="I324" t="s">
        <v>59</v>
      </c>
      <c r="J324" t="s">
        <v>59</v>
      </c>
      <c r="K324" t="s">
        <v>59</v>
      </c>
      <c r="L324" t="s">
        <v>59</v>
      </c>
      <c r="M324" t="s">
        <v>59</v>
      </c>
      <c r="N324" t="s">
        <v>59</v>
      </c>
      <c r="O324" t="s">
        <v>59</v>
      </c>
      <c r="P324" t="s">
        <v>59</v>
      </c>
      <c r="Q324" t="s">
        <v>59</v>
      </c>
      <c r="R324" t="s">
        <v>59</v>
      </c>
      <c r="S324" t="s">
        <v>59</v>
      </c>
      <c r="T324" t="s">
        <v>59</v>
      </c>
      <c r="U324" t="s">
        <v>59</v>
      </c>
      <c r="V324" t="s">
        <v>59</v>
      </c>
      <c r="W324" t="s">
        <v>59</v>
      </c>
      <c r="X324" t="s">
        <v>59</v>
      </c>
      <c r="Y324" t="s">
        <v>59</v>
      </c>
    </row>
    <row r="325" spans="1:25" x14ac:dyDescent="0.25">
      <c r="A325">
        <v>346</v>
      </c>
      <c r="B325" t="s">
        <v>5272</v>
      </c>
      <c r="C325" t="s">
        <v>1460</v>
      </c>
      <c r="D325" t="s">
        <v>4618</v>
      </c>
      <c r="E325" t="s">
        <v>4619</v>
      </c>
      <c r="F325">
        <v>-1</v>
      </c>
      <c r="G325" t="s">
        <v>59</v>
      </c>
      <c r="H325" t="s">
        <v>59</v>
      </c>
      <c r="I325" t="s">
        <v>59</v>
      </c>
      <c r="J325" t="s">
        <v>59</v>
      </c>
      <c r="K325" t="s">
        <v>59</v>
      </c>
      <c r="L325" t="s">
        <v>59</v>
      </c>
      <c r="M325" t="s">
        <v>59</v>
      </c>
      <c r="N325" t="s">
        <v>59</v>
      </c>
      <c r="O325" t="s">
        <v>59</v>
      </c>
      <c r="P325" t="s">
        <v>59</v>
      </c>
      <c r="Q325" t="s">
        <v>59</v>
      </c>
      <c r="R325" t="s">
        <v>59</v>
      </c>
      <c r="S325" t="s">
        <v>59</v>
      </c>
      <c r="T325" t="s">
        <v>59</v>
      </c>
      <c r="U325" t="s">
        <v>59</v>
      </c>
      <c r="V325" t="s">
        <v>59</v>
      </c>
      <c r="W325" t="s">
        <v>59</v>
      </c>
      <c r="X325" t="s">
        <v>59</v>
      </c>
      <c r="Y325" t="s">
        <v>59</v>
      </c>
    </row>
    <row r="326" spans="1:25" x14ac:dyDescent="0.25">
      <c r="A326">
        <v>423</v>
      </c>
      <c r="B326" t="s">
        <v>5272</v>
      </c>
      <c r="C326" t="s">
        <v>4747</v>
      </c>
      <c r="D326" t="s">
        <v>4748</v>
      </c>
      <c r="E326" t="s">
        <v>4619</v>
      </c>
      <c r="F326">
        <v>-1</v>
      </c>
      <c r="G326" t="s">
        <v>59</v>
      </c>
      <c r="H326" t="s">
        <v>59</v>
      </c>
      <c r="I326" t="s">
        <v>59</v>
      </c>
      <c r="J326" t="s">
        <v>59</v>
      </c>
      <c r="K326" t="s">
        <v>59</v>
      </c>
      <c r="L326" t="s">
        <v>59</v>
      </c>
      <c r="M326" t="s">
        <v>59</v>
      </c>
      <c r="N326" t="s">
        <v>59</v>
      </c>
      <c r="O326" t="s">
        <v>59</v>
      </c>
      <c r="P326" t="s">
        <v>59</v>
      </c>
      <c r="Q326" t="s">
        <v>59</v>
      </c>
      <c r="R326" t="s">
        <v>59</v>
      </c>
      <c r="S326" t="s">
        <v>59</v>
      </c>
      <c r="T326" t="s">
        <v>59</v>
      </c>
      <c r="U326" t="s">
        <v>59</v>
      </c>
      <c r="V326" t="s">
        <v>59</v>
      </c>
      <c r="W326" t="s">
        <v>59</v>
      </c>
      <c r="X326" t="s">
        <v>59</v>
      </c>
      <c r="Y326" t="s">
        <v>59</v>
      </c>
    </row>
    <row r="327" spans="1:25" x14ac:dyDescent="0.25">
      <c r="A327">
        <v>424</v>
      </c>
      <c r="B327" t="s">
        <v>5272</v>
      </c>
      <c r="C327" t="s">
        <v>4749</v>
      </c>
      <c r="D327" t="s">
        <v>4750</v>
      </c>
      <c r="E327" t="s">
        <v>4619</v>
      </c>
      <c r="F327">
        <v>-1</v>
      </c>
      <c r="G327" t="s">
        <v>59</v>
      </c>
      <c r="H327" t="s">
        <v>59</v>
      </c>
      <c r="I327" t="s">
        <v>59</v>
      </c>
      <c r="J327" t="s">
        <v>59</v>
      </c>
      <c r="K327" t="s">
        <v>59</v>
      </c>
      <c r="L327" t="s">
        <v>59</v>
      </c>
      <c r="M327" t="s">
        <v>59</v>
      </c>
      <c r="N327" t="s">
        <v>59</v>
      </c>
      <c r="O327" t="s">
        <v>59</v>
      </c>
      <c r="P327" t="s">
        <v>59</v>
      </c>
      <c r="Q327" t="s">
        <v>59</v>
      </c>
      <c r="R327" t="s">
        <v>59</v>
      </c>
      <c r="S327" t="s">
        <v>59</v>
      </c>
      <c r="T327" t="s">
        <v>59</v>
      </c>
      <c r="U327" t="s">
        <v>59</v>
      </c>
      <c r="V327" t="s">
        <v>59</v>
      </c>
      <c r="W327" t="s">
        <v>59</v>
      </c>
      <c r="X327" t="s">
        <v>59</v>
      </c>
      <c r="Y327" t="s">
        <v>59</v>
      </c>
    </row>
    <row r="328" spans="1:25" x14ac:dyDescent="0.25">
      <c r="A328">
        <v>425</v>
      </c>
      <c r="B328" t="s">
        <v>5272</v>
      </c>
      <c r="C328" t="s">
        <v>4751</v>
      </c>
      <c r="D328" t="s">
        <v>4752</v>
      </c>
      <c r="E328" t="s">
        <v>4619</v>
      </c>
      <c r="F328">
        <v>-1</v>
      </c>
      <c r="G328" t="s">
        <v>59</v>
      </c>
      <c r="H328" t="s">
        <v>59</v>
      </c>
      <c r="I328" t="s">
        <v>59</v>
      </c>
      <c r="J328" t="s">
        <v>59</v>
      </c>
      <c r="K328" t="s">
        <v>59</v>
      </c>
      <c r="L328" t="s">
        <v>59</v>
      </c>
      <c r="M328" t="s">
        <v>59</v>
      </c>
      <c r="N328" t="s">
        <v>59</v>
      </c>
      <c r="O328" t="s">
        <v>59</v>
      </c>
      <c r="P328" t="s">
        <v>59</v>
      </c>
      <c r="Q328" t="s">
        <v>59</v>
      </c>
      <c r="R328" t="s">
        <v>59</v>
      </c>
      <c r="S328" t="s">
        <v>59</v>
      </c>
      <c r="T328" t="s">
        <v>59</v>
      </c>
      <c r="U328" t="s">
        <v>59</v>
      </c>
      <c r="V328" t="s">
        <v>59</v>
      </c>
      <c r="W328" t="s">
        <v>59</v>
      </c>
      <c r="X328" t="s">
        <v>59</v>
      </c>
      <c r="Y328" t="s">
        <v>59</v>
      </c>
    </row>
    <row r="329" spans="1:25" x14ac:dyDescent="0.25">
      <c r="A329">
        <v>426</v>
      </c>
      <c r="B329" t="s">
        <v>5272</v>
      </c>
      <c r="C329" t="s">
        <v>4753</v>
      </c>
      <c r="D329" t="s">
        <v>4754</v>
      </c>
      <c r="E329" t="s">
        <v>4619</v>
      </c>
      <c r="F329">
        <v>-1</v>
      </c>
      <c r="G329" t="s">
        <v>59</v>
      </c>
      <c r="H329" t="s">
        <v>59</v>
      </c>
      <c r="I329" t="s">
        <v>59</v>
      </c>
      <c r="J329" t="s">
        <v>59</v>
      </c>
      <c r="K329" t="s">
        <v>59</v>
      </c>
      <c r="L329" t="s">
        <v>59</v>
      </c>
      <c r="M329" t="s">
        <v>59</v>
      </c>
      <c r="N329" t="s">
        <v>59</v>
      </c>
      <c r="O329" t="s">
        <v>59</v>
      </c>
      <c r="P329" t="s">
        <v>59</v>
      </c>
      <c r="Q329" t="s">
        <v>59</v>
      </c>
      <c r="R329" t="s">
        <v>59</v>
      </c>
      <c r="S329" t="s">
        <v>59</v>
      </c>
      <c r="T329" t="s">
        <v>59</v>
      </c>
      <c r="U329" t="s">
        <v>59</v>
      </c>
      <c r="V329" t="s">
        <v>59</v>
      </c>
      <c r="W329" t="s">
        <v>59</v>
      </c>
      <c r="X329" t="s">
        <v>59</v>
      </c>
      <c r="Y329" t="s">
        <v>59</v>
      </c>
    </row>
    <row r="330" spans="1:25" x14ac:dyDescent="0.25">
      <c r="A330">
        <v>427</v>
      </c>
      <c r="B330" t="s">
        <v>5272</v>
      </c>
      <c r="C330" t="s">
        <v>4755</v>
      </c>
      <c r="D330" t="s">
        <v>4756</v>
      </c>
      <c r="E330" t="s">
        <v>4619</v>
      </c>
      <c r="F330">
        <v>-1</v>
      </c>
      <c r="G330" t="s">
        <v>59</v>
      </c>
      <c r="H330" t="s">
        <v>59</v>
      </c>
      <c r="I330" t="s">
        <v>59</v>
      </c>
      <c r="J330" t="s">
        <v>59</v>
      </c>
      <c r="K330" t="s">
        <v>59</v>
      </c>
      <c r="L330" t="s">
        <v>59</v>
      </c>
      <c r="M330" t="s">
        <v>59</v>
      </c>
      <c r="N330" t="s">
        <v>59</v>
      </c>
      <c r="O330" t="s">
        <v>59</v>
      </c>
      <c r="P330" t="s">
        <v>59</v>
      </c>
      <c r="Q330" t="s">
        <v>59</v>
      </c>
      <c r="R330" t="s">
        <v>59</v>
      </c>
      <c r="S330" t="s">
        <v>59</v>
      </c>
      <c r="T330" t="s">
        <v>59</v>
      </c>
      <c r="U330" t="s">
        <v>59</v>
      </c>
      <c r="V330" t="s">
        <v>59</v>
      </c>
      <c r="W330" t="s">
        <v>59</v>
      </c>
      <c r="X330" t="s">
        <v>59</v>
      </c>
      <c r="Y330" t="s">
        <v>59</v>
      </c>
    </row>
    <row r="331" spans="1:25" x14ac:dyDescent="0.25">
      <c r="A331">
        <v>428</v>
      </c>
      <c r="B331" t="s">
        <v>5272</v>
      </c>
      <c r="C331" t="s">
        <v>4757</v>
      </c>
      <c r="D331" t="s">
        <v>4758</v>
      </c>
      <c r="E331" t="s">
        <v>4619</v>
      </c>
      <c r="F331">
        <v>-1</v>
      </c>
      <c r="G331" t="s">
        <v>59</v>
      </c>
      <c r="H331" t="s">
        <v>59</v>
      </c>
      <c r="I331" t="s">
        <v>59</v>
      </c>
      <c r="J331" t="s">
        <v>59</v>
      </c>
      <c r="K331" t="s">
        <v>59</v>
      </c>
      <c r="L331" t="s">
        <v>59</v>
      </c>
      <c r="M331" t="s">
        <v>59</v>
      </c>
      <c r="N331" t="s">
        <v>59</v>
      </c>
      <c r="O331" t="s">
        <v>59</v>
      </c>
      <c r="P331" t="s">
        <v>59</v>
      </c>
      <c r="Q331" t="s">
        <v>59</v>
      </c>
      <c r="R331" t="s">
        <v>59</v>
      </c>
      <c r="S331" t="s">
        <v>59</v>
      </c>
      <c r="T331" t="s">
        <v>59</v>
      </c>
      <c r="U331" t="s">
        <v>59</v>
      </c>
      <c r="V331" t="s">
        <v>59</v>
      </c>
      <c r="W331" t="s">
        <v>59</v>
      </c>
      <c r="X331" t="s">
        <v>59</v>
      </c>
      <c r="Y331" t="s">
        <v>59</v>
      </c>
    </row>
    <row r="332" spans="1:25" x14ac:dyDescent="0.25">
      <c r="A332">
        <v>429</v>
      </c>
      <c r="B332" t="s">
        <v>5272</v>
      </c>
      <c r="C332" t="s">
        <v>4759</v>
      </c>
      <c r="D332" t="s">
        <v>4760</v>
      </c>
      <c r="E332" t="s">
        <v>4619</v>
      </c>
      <c r="F332">
        <v>-1</v>
      </c>
      <c r="G332" t="s">
        <v>59</v>
      </c>
      <c r="H332" t="s">
        <v>59</v>
      </c>
      <c r="I332" t="s">
        <v>59</v>
      </c>
      <c r="J332" t="s">
        <v>59</v>
      </c>
      <c r="K332" t="s">
        <v>59</v>
      </c>
      <c r="L332" t="s">
        <v>59</v>
      </c>
      <c r="M332" t="s">
        <v>59</v>
      </c>
      <c r="N332" t="s">
        <v>59</v>
      </c>
      <c r="O332" t="s">
        <v>59</v>
      </c>
      <c r="P332" t="s">
        <v>59</v>
      </c>
      <c r="Q332" t="s">
        <v>59</v>
      </c>
      <c r="R332" t="s">
        <v>59</v>
      </c>
      <c r="S332" t="s">
        <v>59</v>
      </c>
      <c r="T332" t="s">
        <v>59</v>
      </c>
      <c r="U332" t="s">
        <v>59</v>
      </c>
      <c r="V332" t="s">
        <v>59</v>
      </c>
      <c r="W332" t="s">
        <v>59</v>
      </c>
      <c r="X332" t="s">
        <v>59</v>
      </c>
      <c r="Y332" t="s">
        <v>59</v>
      </c>
    </row>
    <row r="333" spans="1:25" x14ac:dyDescent="0.25">
      <c r="A333">
        <v>385</v>
      </c>
      <c r="B333" t="s">
        <v>5272</v>
      </c>
      <c r="C333" t="s">
        <v>4696</v>
      </c>
      <c r="D333" t="s">
        <v>4697</v>
      </c>
      <c r="E333" t="s">
        <v>4698</v>
      </c>
      <c r="F333">
        <v>-1</v>
      </c>
      <c r="G333" t="s">
        <v>59</v>
      </c>
      <c r="H333" t="s">
        <v>59</v>
      </c>
      <c r="I333" t="s">
        <v>59</v>
      </c>
      <c r="J333" t="s">
        <v>59</v>
      </c>
      <c r="K333" t="s">
        <v>59</v>
      </c>
      <c r="L333" t="s">
        <v>59</v>
      </c>
      <c r="M333" t="s">
        <v>59</v>
      </c>
      <c r="N333" t="s">
        <v>59</v>
      </c>
      <c r="O333" t="s">
        <v>59</v>
      </c>
      <c r="P333" t="s">
        <v>59</v>
      </c>
      <c r="Q333" t="s">
        <v>59</v>
      </c>
      <c r="R333" t="s">
        <v>59</v>
      </c>
      <c r="S333" t="s">
        <v>59</v>
      </c>
      <c r="T333" t="s">
        <v>59</v>
      </c>
      <c r="U333" t="s">
        <v>59</v>
      </c>
      <c r="V333" t="s">
        <v>59</v>
      </c>
      <c r="W333" t="s">
        <v>59</v>
      </c>
      <c r="X333" t="s">
        <v>59</v>
      </c>
      <c r="Y333" t="s">
        <v>59</v>
      </c>
    </row>
    <row r="334" spans="1:25" x14ac:dyDescent="0.25">
      <c r="A334">
        <v>386</v>
      </c>
      <c r="B334" t="s">
        <v>5272</v>
      </c>
      <c r="C334" t="s">
        <v>4699</v>
      </c>
      <c r="D334" t="s">
        <v>4700</v>
      </c>
      <c r="E334" t="s">
        <v>4698</v>
      </c>
      <c r="F334">
        <v>-1</v>
      </c>
      <c r="G334" t="s">
        <v>59</v>
      </c>
      <c r="H334" t="s">
        <v>59</v>
      </c>
      <c r="I334" t="s">
        <v>59</v>
      </c>
      <c r="J334" t="s">
        <v>59</v>
      </c>
      <c r="K334" t="s">
        <v>59</v>
      </c>
      <c r="L334" t="s">
        <v>59</v>
      </c>
      <c r="M334" t="s">
        <v>59</v>
      </c>
      <c r="N334" t="s">
        <v>59</v>
      </c>
      <c r="O334" t="s">
        <v>59</v>
      </c>
      <c r="P334" t="s">
        <v>59</v>
      </c>
      <c r="Q334" t="s">
        <v>59</v>
      </c>
      <c r="R334" t="s">
        <v>59</v>
      </c>
      <c r="S334" t="s">
        <v>59</v>
      </c>
      <c r="T334" t="s">
        <v>59</v>
      </c>
      <c r="U334" t="s">
        <v>59</v>
      </c>
      <c r="V334" t="s">
        <v>59</v>
      </c>
      <c r="W334" t="s">
        <v>59</v>
      </c>
      <c r="X334" t="s">
        <v>59</v>
      </c>
      <c r="Y334" t="s">
        <v>59</v>
      </c>
    </row>
    <row r="335" spans="1:25" x14ac:dyDescent="0.25">
      <c r="A335">
        <v>387</v>
      </c>
      <c r="B335" t="s">
        <v>5272</v>
      </c>
      <c r="C335" t="s">
        <v>4701</v>
      </c>
      <c r="D335" t="s">
        <v>4702</v>
      </c>
      <c r="E335" t="s">
        <v>4698</v>
      </c>
      <c r="F335">
        <v>-1</v>
      </c>
      <c r="G335" t="s">
        <v>59</v>
      </c>
      <c r="H335" t="s">
        <v>59</v>
      </c>
      <c r="I335" t="s">
        <v>59</v>
      </c>
      <c r="J335" t="s">
        <v>59</v>
      </c>
      <c r="K335" t="s">
        <v>59</v>
      </c>
      <c r="L335" t="s">
        <v>59</v>
      </c>
      <c r="M335" t="s">
        <v>59</v>
      </c>
      <c r="N335" t="s">
        <v>59</v>
      </c>
      <c r="O335" t="s">
        <v>59</v>
      </c>
      <c r="P335" t="s">
        <v>59</v>
      </c>
      <c r="Q335" t="s">
        <v>59</v>
      </c>
      <c r="R335" t="s">
        <v>59</v>
      </c>
      <c r="S335" t="s">
        <v>59</v>
      </c>
      <c r="T335" t="s">
        <v>59</v>
      </c>
      <c r="U335" t="s">
        <v>59</v>
      </c>
      <c r="V335" t="s">
        <v>59</v>
      </c>
      <c r="W335" t="s">
        <v>59</v>
      </c>
      <c r="X335" t="s">
        <v>59</v>
      </c>
      <c r="Y335" t="s">
        <v>59</v>
      </c>
    </row>
    <row r="336" spans="1:25" x14ac:dyDescent="0.25">
      <c r="A336">
        <v>526</v>
      </c>
      <c r="B336" t="s">
        <v>5272</v>
      </c>
      <c r="C336" t="s">
        <v>4936</v>
      </c>
      <c r="D336" t="s">
        <v>4937</v>
      </c>
      <c r="E336" t="s">
        <v>4394</v>
      </c>
      <c r="F336">
        <v>-1</v>
      </c>
      <c r="G336" t="s">
        <v>59</v>
      </c>
      <c r="H336" t="s">
        <v>59</v>
      </c>
      <c r="I336" t="s">
        <v>59</v>
      </c>
      <c r="J336" t="s">
        <v>59</v>
      </c>
      <c r="K336" t="s">
        <v>59</v>
      </c>
      <c r="L336" t="s">
        <v>59</v>
      </c>
      <c r="M336" t="s">
        <v>59</v>
      </c>
      <c r="N336" t="s">
        <v>59</v>
      </c>
      <c r="O336" t="s">
        <v>59</v>
      </c>
      <c r="P336" t="s">
        <v>59</v>
      </c>
      <c r="Q336" t="s">
        <v>59</v>
      </c>
      <c r="R336" t="s">
        <v>59</v>
      </c>
      <c r="S336" t="s">
        <v>59</v>
      </c>
      <c r="T336" t="s">
        <v>59</v>
      </c>
      <c r="U336" t="s">
        <v>59</v>
      </c>
      <c r="V336" t="s">
        <v>59</v>
      </c>
      <c r="W336" t="s">
        <v>59</v>
      </c>
      <c r="X336" t="s">
        <v>59</v>
      </c>
      <c r="Y336" t="s">
        <v>59</v>
      </c>
    </row>
    <row r="337" spans="1:25" x14ac:dyDescent="0.25">
      <c r="A337">
        <v>527</v>
      </c>
      <c r="B337" t="s">
        <v>5272</v>
      </c>
      <c r="C337" t="s">
        <v>4938</v>
      </c>
      <c r="D337" t="s">
        <v>4939</v>
      </c>
      <c r="E337" t="s">
        <v>4394</v>
      </c>
      <c r="F337">
        <v>-1</v>
      </c>
      <c r="G337" t="s">
        <v>59</v>
      </c>
      <c r="H337" t="s">
        <v>59</v>
      </c>
      <c r="I337" t="s">
        <v>59</v>
      </c>
      <c r="J337" t="s">
        <v>59</v>
      </c>
      <c r="K337" t="s">
        <v>59</v>
      </c>
      <c r="L337" t="s">
        <v>59</v>
      </c>
      <c r="M337" t="s">
        <v>59</v>
      </c>
      <c r="N337" t="s">
        <v>59</v>
      </c>
      <c r="O337" t="s">
        <v>59</v>
      </c>
      <c r="P337" t="s">
        <v>59</v>
      </c>
      <c r="Q337" t="s">
        <v>59</v>
      </c>
      <c r="R337" t="s">
        <v>59</v>
      </c>
      <c r="S337" t="s">
        <v>59</v>
      </c>
      <c r="T337" t="s">
        <v>59</v>
      </c>
      <c r="U337" t="s">
        <v>59</v>
      </c>
      <c r="V337" t="s">
        <v>59</v>
      </c>
      <c r="W337" t="s">
        <v>59</v>
      </c>
      <c r="X337" t="s">
        <v>59</v>
      </c>
      <c r="Y337" t="s">
        <v>59</v>
      </c>
    </row>
    <row r="338" spans="1:25" x14ac:dyDescent="0.25">
      <c r="A338">
        <v>528</v>
      </c>
      <c r="B338" t="s">
        <v>5272</v>
      </c>
      <c r="C338" t="s">
        <v>4940</v>
      </c>
      <c r="D338" t="s">
        <v>4941</v>
      </c>
      <c r="E338" t="s">
        <v>4394</v>
      </c>
      <c r="F338">
        <v>-1</v>
      </c>
      <c r="G338" t="s">
        <v>59</v>
      </c>
      <c r="H338" t="s">
        <v>59</v>
      </c>
      <c r="I338" t="s">
        <v>59</v>
      </c>
      <c r="J338" t="s">
        <v>59</v>
      </c>
      <c r="K338" t="s">
        <v>59</v>
      </c>
      <c r="L338" t="s">
        <v>59</v>
      </c>
      <c r="M338" t="s">
        <v>59</v>
      </c>
      <c r="N338" t="s">
        <v>59</v>
      </c>
      <c r="O338" t="s">
        <v>59</v>
      </c>
      <c r="P338" t="s">
        <v>59</v>
      </c>
      <c r="Q338" t="s">
        <v>59</v>
      </c>
      <c r="R338" t="s">
        <v>59</v>
      </c>
      <c r="S338" t="s">
        <v>59</v>
      </c>
      <c r="T338" t="s">
        <v>59</v>
      </c>
      <c r="U338" t="s">
        <v>59</v>
      </c>
      <c r="V338" t="s">
        <v>59</v>
      </c>
      <c r="W338" t="s">
        <v>59</v>
      </c>
      <c r="X338" t="s">
        <v>59</v>
      </c>
      <c r="Y338" t="s">
        <v>59</v>
      </c>
    </row>
    <row r="339" spans="1:25" x14ac:dyDescent="0.25">
      <c r="A339">
        <v>529</v>
      </c>
      <c r="B339" t="s">
        <v>5272</v>
      </c>
      <c r="C339" t="s">
        <v>4942</v>
      </c>
      <c r="D339" t="s">
        <v>4943</v>
      </c>
      <c r="E339" t="s">
        <v>4394</v>
      </c>
      <c r="F339">
        <v>-1</v>
      </c>
      <c r="G339" t="s">
        <v>59</v>
      </c>
      <c r="H339" t="s">
        <v>59</v>
      </c>
      <c r="I339" t="s">
        <v>59</v>
      </c>
      <c r="J339" t="s">
        <v>59</v>
      </c>
      <c r="K339" t="s">
        <v>59</v>
      </c>
      <c r="L339" t="s">
        <v>59</v>
      </c>
      <c r="M339" t="s">
        <v>59</v>
      </c>
      <c r="N339" t="s">
        <v>59</v>
      </c>
      <c r="O339" t="s">
        <v>59</v>
      </c>
      <c r="P339" t="s">
        <v>59</v>
      </c>
      <c r="Q339" t="s">
        <v>59</v>
      </c>
      <c r="R339" t="s">
        <v>59</v>
      </c>
      <c r="S339" t="s">
        <v>59</v>
      </c>
      <c r="T339" t="s">
        <v>59</v>
      </c>
      <c r="U339" t="s">
        <v>59</v>
      </c>
      <c r="V339" t="s">
        <v>59</v>
      </c>
      <c r="W339" t="s">
        <v>59</v>
      </c>
      <c r="X339" t="s">
        <v>59</v>
      </c>
      <c r="Y339" t="s">
        <v>59</v>
      </c>
    </row>
    <row r="340" spans="1:25" x14ac:dyDescent="0.25">
      <c r="A340">
        <v>530</v>
      </c>
      <c r="B340" t="s">
        <v>5272</v>
      </c>
      <c r="C340" t="s">
        <v>4944</v>
      </c>
      <c r="D340" t="s">
        <v>4945</v>
      </c>
      <c r="E340" t="s">
        <v>4394</v>
      </c>
      <c r="F340">
        <v>-1</v>
      </c>
      <c r="G340" t="s">
        <v>59</v>
      </c>
      <c r="H340" t="s">
        <v>59</v>
      </c>
      <c r="I340" t="s">
        <v>59</v>
      </c>
      <c r="J340" t="s">
        <v>59</v>
      </c>
      <c r="K340" t="s">
        <v>59</v>
      </c>
      <c r="L340" t="s">
        <v>59</v>
      </c>
      <c r="M340" t="s">
        <v>59</v>
      </c>
      <c r="N340" t="s">
        <v>59</v>
      </c>
      <c r="O340" t="s">
        <v>59</v>
      </c>
      <c r="P340" t="s">
        <v>59</v>
      </c>
      <c r="Q340" t="s">
        <v>59</v>
      </c>
      <c r="R340" t="s">
        <v>59</v>
      </c>
      <c r="S340" t="s">
        <v>59</v>
      </c>
      <c r="T340" t="s">
        <v>59</v>
      </c>
      <c r="U340" t="s">
        <v>59</v>
      </c>
      <c r="V340" t="s">
        <v>59</v>
      </c>
      <c r="W340" t="s">
        <v>59</v>
      </c>
      <c r="X340" t="s">
        <v>59</v>
      </c>
      <c r="Y340" t="s">
        <v>59</v>
      </c>
    </row>
    <row r="341" spans="1:25" x14ac:dyDescent="0.25">
      <c r="A341">
        <v>531</v>
      </c>
      <c r="B341" t="s">
        <v>5272</v>
      </c>
      <c r="C341" t="s">
        <v>4946</v>
      </c>
      <c r="D341" t="s">
        <v>4947</v>
      </c>
      <c r="E341" t="s">
        <v>4394</v>
      </c>
      <c r="F341">
        <v>-1</v>
      </c>
      <c r="G341" t="s">
        <v>59</v>
      </c>
      <c r="H341" t="s">
        <v>59</v>
      </c>
      <c r="I341" t="s">
        <v>59</v>
      </c>
      <c r="J341" t="s">
        <v>59</v>
      </c>
      <c r="K341" t="s">
        <v>59</v>
      </c>
      <c r="L341" t="s">
        <v>59</v>
      </c>
      <c r="M341" t="s">
        <v>59</v>
      </c>
      <c r="N341" t="s">
        <v>59</v>
      </c>
      <c r="O341" t="s">
        <v>59</v>
      </c>
      <c r="P341" t="s">
        <v>59</v>
      </c>
      <c r="Q341" t="s">
        <v>59</v>
      </c>
      <c r="R341" t="s">
        <v>59</v>
      </c>
      <c r="S341" t="s">
        <v>59</v>
      </c>
      <c r="T341" t="s">
        <v>59</v>
      </c>
      <c r="U341" t="s">
        <v>59</v>
      </c>
      <c r="V341" t="s">
        <v>59</v>
      </c>
      <c r="W341" t="s">
        <v>59</v>
      </c>
      <c r="X341" t="s">
        <v>59</v>
      </c>
      <c r="Y341" t="s">
        <v>59</v>
      </c>
    </row>
    <row r="342" spans="1:25" x14ac:dyDescent="0.25">
      <c r="A342">
        <v>532</v>
      </c>
      <c r="B342" t="s">
        <v>5272</v>
      </c>
      <c r="C342" t="s">
        <v>4948</v>
      </c>
      <c r="D342" t="s">
        <v>4949</v>
      </c>
      <c r="E342" t="s">
        <v>4394</v>
      </c>
      <c r="F342">
        <v>-1</v>
      </c>
      <c r="G342" t="s">
        <v>59</v>
      </c>
      <c r="H342" t="s">
        <v>59</v>
      </c>
      <c r="I342" t="s">
        <v>59</v>
      </c>
      <c r="J342" t="s">
        <v>59</v>
      </c>
      <c r="K342" t="s">
        <v>59</v>
      </c>
      <c r="L342" t="s">
        <v>59</v>
      </c>
      <c r="M342" t="s">
        <v>59</v>
      </c>
      <c r="N342" t="s">
        <v>59</v>
      </c>
      <c r="O342" t="s">
        <v>59</v>
      </c>
      <c r="P342" t="s">
        <v>59</v>
      </c>
      <c r="Q342" t="s">
        <v>59</v>
      </c>
      <c r="R342" t="s">
        <v>59</v>
      </c>
      <c r="S342" t="s">
        <v>59</v>
      </c>
      <c r="T342" t="s">
        <v>59</v>
      </c>
      <c r="U342" t="s">
        <v>59</v>
      </c>
      <c r="V342" t="s">
        <v>59</v>
      </c>
      <c r="W342" t="s">
        <v>59</v>
      </c>
      <c r="X342" t="s">
        <v>59</v>
      </c>
      <c r="Y342" t="s">
        <v>59</v>
      </c>
    </row>
    <row r="343" spans="1:25" x14ac:dyDescent="0.25">
      <c r="A343">
        <v>533</v>
      </c>
      <c r="B343" t="s">
        <v>5272</v>
      </c>
      <c r="C343" t="s">
        <v>4950</v>
      </c>
      <c r="D343" t="s">
        <v>4951</v>
      </c>
      <c r="E343" t="s">
        <v>4394</v>
      </c>
      <c r="F343">
        <v>-1</v>
      </c>
      <c r="G343" t="s">
        <v>59</v>
      </c>
      <c r="H343" t="s">
        <v>59</v>
      </c>
      <c r="I343" t="s">
        <v>59</v>
      </c>
      <c r="J343" t="s">
        <v>59</v>
      </c>
      <c r="K343" t="s">
        <v>59</v>
      </c>
      <c r="L343" t="s">
        <v>59</v>
      </c>
      <c r="M343" t="s">
        <v>59</v>
      </c>
      <c r="N343" t="s">
        <v>59</v>
      </c>
      <c r="O343" t="s">
        <v>59</v>
      </c>
      <c r="P343" t="s">
        <v>59</v>
      </c>
      <c r="Q343" t="s">
        <v>59</v>
      </c>
      <c r="R343" t="s">
        <v>59</v>
      </c>
      <c r="S343" t="s">
        <v>59</v>
      </c>
      <c r="T343" t="s">
        <v>59</v>
      </c>
      <c r="U343" t="s">
        <v>59</v>
      </c>
      <c r="V343" t="s">
        <v>59</v>
      </c>
      <c r="W343" t="s">
        <v>59</v>
      </c>
      <c r="X343" t="s">
        <v>59</v>
      </c>
      <c r="Y343" t="s">
        <v>59</v>
      </c>
    </row>
    <row r="344" spans="1:25" x14ac:dyDescent="0.25">
      <c r="A344">
        <v>534</v>
      </c>
      <c r="B344" t="s">
        <v>5272</v>
      </c>
      <c r="C344" t="s">
        <v>4952</v>
      </c>
      <c r="D344" t="s">
        <v>4953</v>
      </c>
      <c r="E344" t="s">
        <v>4394</v>
      </c>
      <c r="F344">
        <v>-1</v>
      </c>
      <c r="G344" t="s">
        <v>59</v>
      </c>
      <c r="H344" t="s">
        <v>59</v>
      </c>
      <c r="I344" t="s">
        <v>59</v>
      </c>
      <c r="J344" t="s">
        <v>59</v>
      </c>
      <c r="K344" t="s">
        <v>59</v>
      </c>
      <c r="L344" t="s">
        <v>59</v>
      </c>
      <c r="M344" t="s">
        <v>59</v>
      </c>
      <c r="N344" t="s">
        <v>59</v>
      </c>
      <c r="O344" t="s">
        <v>59</v>
      </c>
      <c r="P344" t="s">
        <v>59</v>
      </c>
      <c r="Q344" t="s">
        <v>59</v>
      </c>
      <c r="R344" t="s">
        <v>59</v>
      </c>
      <c r="S344" t="s">
        <v>59</v>
      </c>
      <c r="T344" t="s">
        <v>59</v>
      </c>
      <c r="U344" t="s">
        <v>59</v>
      </c>
      <c r="V344" t="s">
        <v>59</v>
      </c>
      <c r="W344" t="s">
        <v>59</v>
      </c>
      <c r="X344" t="s">
        <v>59</v>
      </c>
      <c r="Y344" t="s">
        <v>59</v>
      </c>
    </row>
    <row r="345" spans="1:25" x14ac:dyDescent="0.25">
      <c r="A345">
        <v>521</v>
      </c>
      <c r="B345" t="s">
        <v>5272</v>
      </c>
      <c r="C345" t="s">
        <v>4926</v>
      </c>
      <c r="D345" t="s">
        <v>4927</v>
      </c>
      <c r="E345" t="s">
        <v>4394</v>
      </c>
      <c r="F345">
        <v>-1</v>
      </c>
      <c r="G345" t="s">
        <v>59</v>
      </c>
      <c r="H345" t="s">
        <v>59</v>
      </c>
      <c r="I345" t="s">
        <v>59</v>
      </c>
      <c r="J345" t="s">
        <v>59</v>
      </c>
      <c r="K345" t="s">
        <v>59</v>
      </c>
      <c r="L345" t="s">
        <v>59</v>
      </c>
      <c r="M345" t="s">
        <v>59</v>
      </c>
      <c r="N345" t="s">
        <v>59</v>
      </c>
      <c r="O345" t="s">
        <v>59</v>
      </c>
      <c r="P345" t="s">
        <v>59</v>
      </c>
      <c r="Q345" t="s">
        <v>59</v>
      </c>
      <c r="R345" t="s">
        <v>59</v>
      </c>
      <c r="S345" t="s">
        <v>59</v>
      </c>
      <c r="T345" t="s">
        <v>59</v>
      </c>
      <c r="U345" t="s">
        <v>59</v>
      </c>
      <c r="V345" t="s">
        <v>59</v>
      </c>
      <c r="W345" t="s">
        <v>59</v>
      </c>
      <c r="X345" t="s">
        <v>59</v>
      </c>
      <c r="Y345" t="s">
        <v>59</v>
      </c>
    </row>
    <row r="346" spans="1:25" x14ac:dyDescent="0.25">
      <c r="A346">
        <v>522</v>
      </c>
      <c r="B346" t="s">
        <v>5272</v>
      </c>
      <c r="C346" t="s">
        <v>4928</v>
      </c>
      <c r="D346" t="s">
        <v>4929</v>
      </c>
      <c r="E346" t="s">
        <v>4394</v>
      </c>
      <c r="F346">
        <v>-1</v>
      </c>
      <c r="G346" t="s">
        <v>59</v>
      </c>
      <c r="H346" t="s">
        <v>59</v>
      </c>
      <c r="I346" t="s">
        <v>59</v>
      </c>
      <c r="J346" t="s">
        <v>59</v>
      </c>
      <c r="K346" t="s">
        <v>59</v>
      </c>
      <c r="L346" t="s">
        <v>59</v>
      </c>
      <c r="M346" t="s">
        <v>59</v>
      </c>
      <c r="N346" t="s">
        <v>59</v>
      </c>
      <c r="O346" t="s">
        <v>59</v>
      </c>
      <c r="P346" t="s">
        <v>59</v>
      </c>
      <c r="Q346" t="s">
        <v>59</v>
      </c>
      <c r="R346" t="s">
        <v>59</v>
      </c>
      <c r="S346" t="s">
        <v>59</v>
      </c>
      <c r="T346" t="s">
        <v>59</v>
      </c>
      <c r="U346" t="s">
        <v>59</v>
      </c>
      <c r="V346" t="s">
        <v>59</v>
      </c>
      <c r="W346" t="s">
        <v>59</v>
      </c>
      <c r="X346" t="s">
        <v>59</v>
      </c>
      <c r="Y346" t="s">
        <v>59</v>
      </c>
    </row>
    <row r="347" spans="1:25" x14ac:dyDescent="0.25">
      <c r="A347">
        <v>523</v>
      </c>
      <c r="B347" t="s">
        <v>5272</v>
      </c>
      <c r="C347" t="s">
        <v>4930</v>
      </c>
      <c r="D347" t="s">
        <v>4931</v>
      </c>
      <c r="E347" t="s">
        <v>4394</v>
      </c>
      <c r="F347">
        <v>-1</v>
      </c>
      <c r="G347" t="s">
        <v>59</v>
      </c>
      <c r="H347" t="s">
        <v>59</v>
      </c>
      <c r="I347" t="s">
        <v>59</v>
      </c>
      <c r="J347" t="s">
        <v>59</v>
      </c>
      <c r="K347" t="s">
        <v>59</v>
      </c>
      <c r="L347" t="s">
        <v>59</v>
      </c>
      <c r="M347" t="s">
        <v>59</v>
      </c>
      <c r="N347" t="s">
        <v>59</v>
      </c>
      <c r="O347" t="s">
        <v>59</v>
      </c>
      <c r="P347" t="s">
        <v>59</v>
      </c>
      <c r="Q347" t="s">
        <v>59</v>
      </c>
      <c r="R347" t="s">
        <v>59</v>
      </c>
      <c r="S347" t="s">
        <v>59</v>
      </c>
      <c r="T347" t="s">
        <v>59</v>
      </c>
      <c r="U347" t="s">
        <v>59</v>
      </c>
      <c r="V347" t="s">
        <v>59</v>
      </c>
      <c r="W347" t="s">
        <v>59</v>
      </c>
      <c r="X347" t="s">
        <v>59</v>
      </c>
      <c r="Y347" t="s">
        <v>59</v>
      </c>
    </row>
    <row r="348" spans="1:25" x14ac:dyDescent="0.25">
      <c r="A348">
        <v>524</v>
      </c>
      <c r="B348" t="s">
        <v>5272</v>
      </c>
      <c r="C348" t="s">
        <v>4932</v>
      </c>
      <c r="D348" t="s">
        <v>4933</v>
      </c>
      <c r="E348" t="s">
        <v>4394</v>
      </c>
      <c r="F348">
        <v>-1</v>
      </c>
      <c r="G348" t="s">
        <v>59</v>
      </c>
      <c r="H348" t="s">
        <v>59</v>
      </c>
      <c r="I348" t="s">
        <v>59</v>
      </c>
      <c r="J348" t="s">
        <v>59</v>
      </c>
      <c r="K348" t="s">
        <v>59</v>
      </c>
      <c r="L348" t="s">
        <v>59</v>
      </c>
      <c r="M348" t="s">
        <v>59</v>
      </c>
      <c r="N348" t="s">
        <v>59</v>
      </c>
      <c r="O348" t="s">
        <v>59</v>
      </c>
      <c r="P348" t="s">
        <v>59</v>
      </c>
      <c r="Q348" t="s">
        <v>59</v>
      </c>
      <c r="R348" t="s">
        <v>59</v>
      </c>
      <c r="S348" t="s">
        <v>59</v>
      </c>
      <c r="T348" t="s">
        <v>59</v>
      </c>
      <c r="U348" t="s">
        <v>59</v>
      </c>
      <c r="V348" t="s">
        <v>59</v>
      </c>
      <c r="W348" t="s">
        <v>59</v>
      </c>
      <c r="X348" t="s">
        <v>59</v>
      </c>
      <c r="Y348" t="s">
        <v>59</v>
      </c>
    </row>
    <row r="349" spans="1:25" x14ac:dyDescent="0.25">
      <c r="A349">
        <v>525</v>
      </c>
      <c r="B349" t="s">
        <v>5272</v>
      </c>
      <c r="C349" t="s">
        <v>4934</v>
      </c>
      <c r="D349" t="s">
        <v>4935</v>
      </c>
      <c r="E349" t="s">
        <v>4394</v>
      </c>
      <c r="F349">
        <v>-1</v>
      </c>
      <c r="G349" t="s">
        <v>59</v>
      </c>
      <c r="H349" t="s">
        <v>59</v>
      </c>
      <c r="I349" t="s">
        <v>59</v>
      </c>
      <c r="J349" t="s">
        <v>59</v>
      </c>
      <c r="K349" t="s">
        <v>59</v>
      </c>
      <c r="L349" t="s">
        <v>59</v>
      </c>
      <c r="M349" t="s">
        <v>59</v>
      </c>
      <c r="N349" t="s">
        <v>59</v>
      </c>
      <c r="O349" t="s">
        <v>59</v>
      </c>
      <c r="P349" t="s">
        <v>59</v>
      </c>
      <c r="Q349" t="s">
        <v>59</v>
      </c>
      <c r="R349" t="s">
        <v>59</v>
      </c>
      <c r="S349" t="s">
        <v>59</v>
      </c>
      <c r="T349" t="s">
        <v>59</v>
      </c>
      <c r="U349" t="s">
        <v>59</v>
      </c>
      <c r="V349" t="s">
        <v>59</v>
      </c>
      <c r="W349" t="s">
        <v>59</v>
      </c>
      <c r="X349" t="s">
        <v>59</v>
      </c>
      <c r="Y349" t="s">
        <v>59</v>
      </c>
    </row>
    <row r="350" spans="1:25" x14ac:dyDescent="0.25">
      <c r="A350">
        <v>520</v>
      </c>
      <c r="B350" t="s">
        <v>5272</v>
      </c>
      <c r="C350" t="s">
        <v>1531</v>
      </c>
      <c r="D350" t="s">
        <v>4925</v>
      </c>
      <c r="E350" t="s">
        <v>4394</v>
      </c>
      <c r="F350">
        <v>-1</v>
      </c>
      <c r="G350" t="s">
        <v>59</v>
      </c>
      <c r="H350" t="s">
        <v>59</v>
      </c>
      <c r="I350" t="s">
        <v>59</v>
      </c>
      <c r="J350" t="s">
        <v>59</v>
      </c>
      <c r="K350" t="s">
        <v>59</v>
      </c>
      <c r="L350" t="s">
        <v>59</v>
      </c>
      <c r="M350" t="s">
        <v>59</v>
      </c>
      <c r="N350" t="s">
        <v>59</v>
      </c>
      <c r="O350" t="s">
        <v>59</v>
      </c>
      <c r="P350" t="s">
        <v>59</v>
      </c>
      <c r="Q350" t="s">
        <v>59</v>
      </c>
      <c r="R350" t="s">
        <v>59</v>
      </c>
      <c r="S350" t="s">
        <v>59</v>
      </c>
      <c r="T350" t="s">
        <v>59</v>
      </c>
      <c r="U350" t="s">
        <v>59</v>
      </c>
      <c r="V350" t="s">
        <v>59</v>
      </c>
      <c r="W350" t="s">
        <v>59</v>
      </c>
      <c r="X350" t="s">
        <v>59</v>
      </c>
      <c r="Y350" t="s">
        <v>59</v>
      </c>
    </row>
    <row r="351" spans="1:25" x14ac:dyDescent="0.25">
      <c r="A351">
        <v>211</v>
      </c>
      <c r="B351" t="s">
        <v>5272</v>
      </c>
      <c r="C351" t="s">
        <v>4395</v>
      </c>
      <c r="D351" t="s">
        <v>4396</v>
      </c>
      <c r="E351" t="s">
        <v>4394</v>
      </c>
      <c r="F351">
        <v>-1</v>
      </c>
      <c r="G351" t="s">
        <v>59</v>
      </c>
      <c r="H351" t="s">
        <v>59</v>
      </c>
      <c r="I351" t="s">
        <v>59</v>
      </c>
      <c r="J351" t="s">
        <v>59</v>
      </c>
      <c r="K351" t="s">
        <v>59</v>
      </c>
      <c r="L351" t="s">
        <v>59</v>
      </c>
      <c r="M351" t="s">
        <v>59</v>
      </c>
      <c r="N351" t="s">
        <v>59</v>
      </c>
      <c r="O351" t="s">
        <v>59</v>
      </c>
      <c r="P351" t="s">
        <v>59</v>
      </c>
      <c r="Q351" t="s">
        <v>59</v>
      </c>
      <c r="R351" t="s">
        <v>59</v>
      </c>
      <c r="S351" t="s">
        <v>59</v>
      </c>
      <c r="T351" t="s">
        <v>59</v>
      </c>
      <c r="U351" t="s">
        <v>59</v>
      </c>
      <c r="V351" t="s">
        <v>59</v>
      </c>
      <c r="W351" t="s">
        <v>59</v>
      </c>
      <c r="X351" t="s">
        <v>59</v>
      </c>
      <c r="Y351" t="s">
        <v>59</v>
      </c>
    </row>
    <row r="352" spans="1:25" x14ac:dyDescent="0.25">
      <c r="A352">
        <v>210</v>
      </c>
      <c r="B352" t="s">
        <v>5272</v>
      </c>
      <c r="C352" t="s">
        <v>4392</v>
      </c>
      <c r="D352" t="s">
        <v>4393</v>
      </c>
      <c r="E352" t="s">
        <v>4394</v>
      </c>
      <c r="F352">
        <v>-1</v>
      </c>
      <c r="G352" t="s">
        <v>59</v>
      </c>
      <c r="H352" t="s">
        <v>59</v>
      </c>
      <c r="I352" t="s">
        <v>59</v>
      </c>
      <c r="J352" t="s">
        <v>59</v>
      </c>
      <c r="K352" t="s">
        <v>59</v>
      </c>
      <c r="L352" t="s">
        <v>59</v>
      </c>
      <c r="M352" t="s">
        <v>59</v>
      </c>
      <c r="N352" t="s">
        <v>59</v>
      </c>
      <c r="O352" t="s">
        <v>59</v>
      </c>
      <c r="P352" t="s">
        <v>59</v>
      </c>
      <c r="Q352" t="s">
        <v>59</v>
      </c>
      <c r="R352" t="s">
        <v>59</v>
      </c>
      <c r="S352" t="s">
        <v>59</v>
      </c>
      <c r="T352" t="s">
        <v>59</v>
      </c>
      <c r="U352" t="s">
        <v>59</v>
      </c>
      <c r="V352" t="s">
        <v>59</v>
      </c>
      <c r="W352" t="s">
        <v>59</v>
      </c>
      <c r="X352" t="s">
        <v>59</v>
      </c>
      <c r="Y352" t="s">
        <v>59</v>
      </c>
    </row>
    <row r="353" spans="1:25" x14ac:dyDescent="0.25">
      <c r="A353">
        <v>214</v>
      </c>
      <c r="B353" t="s">
        <v>5272</v>
      </c>
      <c r="C353" t="s">
        <v>4401</v>
      </c>
      <c r="D353" t="s">
        <v>4402</v>
      </c>
      <c r="E353" t="s">
        <v>4394</v>
      </c>
      <c r="F353">
        <v>-1</v>
      </c>
      <c r="G353" t="s">
        <v>59</v>
      </c>
      <c r="H353" t="s">
        <v>59</v>
      </c>
      <c r="I353" t="s">
        <v>59</v>
      </c>
      <c r="J353" t="s">
        <v>59</v>
      </c>
      <c r="K353" t="s">
        <v>59</v>
      </c>
      <c r="L353" t="s">
        <v>59</v>
      </c>
      <c r="M353" t="s">
        <v>59</v>
      </c>
      <c r="N353" t="s">
        <v>59</v>
      </c>
      <c r="O353" t="s">
        <v>59</v>
      </c>
      <c r="P353" t="s">
        <v>59</v>
      </c>
      <c r="Q353" t="s">
        <v>59</v>
      </c>
      <c r="R353" t="s">
        <v>59</v>
      </c>
      <c r="S353" t="s">
        <v>59</v>
      </c>
      <c r="T353" t="s">
        <v>59</v>
      </c>
      <c r="U353" t="s">
        <v>59</v>
      </c>
      <c r="V353" t="s">
        <v>59</v>
      </c>
      <c r="W353" t="s">
        <v>59</v>
      </c>
      <c r="X353" t="s">
        <v>59</v>
      </c>
      <c r="Y353" t="s">
        <v>59</v>
      </c>
    </row>
    <row r="354" spans="1:25" x14ac:dyDescent="0.25">
      <c r="A354">
        <v>212</v>
      </c>
      <c r="B354" t="s">
        <v>5272</v>
      </c>
      <c r="C354" t="s">
        <v>4397</v>
      </c>
      <c r="D354" t="s">
        <v>4398</v>
      </c>
      <c r="E354" t="s">
        <v>4394</v>
      </c>
      <c r="F354">
        <v>-1</v>
      </c>
      <c r="G354" t="s">
        <v>59</v>
      </c>
      <c r="H354" t="s">
        <v>59</v>
      </c>
      <c r="I354" t="s">
        <v>59</v>
      </c>
      <c r="J354" t="s">
        <v>59</v>
      </c>
      <c r="K354" t="s">
        <v>59</v>
      </c>
      <c r="L354" t="s">
        <v>59</v>
      </c>
      <c r="M354" t="s">
        <v>59</v>
      </c>
      <c r="N354" t="s">
        <v>59</v>
      </c>
      <c r="O354" t="s">
        <v>59</v>
      </c>
      <c r="P354" t="s">
        <v>59</v>
      </c>
      <c r="Q354" t="s">
        <v>59</v>
      </c>
      <c r="R354" t="s">
        <v>59</v>
      </c>
      <c r="S354" t="s">
        <v>59</v>
      </c>
      <c r="T354" t="s">
        <v>59</v>
      </c>
      <c r="U354" t="s">
        <v>59</v>
      </c>
      <c r="V354" t="s">
        <v>59</v>
      </c>
      <c r="W354" t="s">
        <v>59</v>
      </c>
      <c r="X354" t="s">
        <v>59</v>
      </c>
      <c r="Y354" t="s">
        <v>59</v>
      </c>
    </row>
    <row r="355" spans="1:25" x14ac:dyDescent="0.25">
      <c r="A355">
        <v>213</v>
      </c>
      <c r="B355" t="s">
        <v>5272</v>
      </c>
      <c r="C355" t="s">
        <v>4399</v>
      </c>
      <c r="D355" t="s">
        <v>4400</v>
      </c>
      <c r="E355" t="s">
        <v>4394</v>
      </c>
      <c r="F355">
        <v>-1</v>
      </c>
      <c r="G355" t="s">
        <v>59</v>
      </c>
      <c r="H355" t="s">
        <v>59</v>
      </c>
      <c r="I355" t="s">
        <v>59</v>
      </c>
      <c r="J355" t="s">
        <v>59</v>
      </c>
      <c r="K355" t="s">
        <v>59</v>
      </c>
      <c r="L355" t="s">
        <v>59</v>
      </c>
      <c r="M355" t="s">
        <v>59</v>
      </c>
      <c r="N355" t="s">
        <v>59</v>
      </c>
      <c r="O355" t="s">
        <v>59</v>
      </c>
      <c r="P355" t="s">
        <v>59</v>
      </c>
      <c r="Q355" t="s">
        <v>59</v>
      </c>
      <c r="R355" t="s">
        <v>59</v>
      </c>
      <c r="S355" t="s">
        <v>59</v>
      </c>
      <c r="T355" t="s">
        <v>59</v>
      </c>
      <c r="U355" t="s">
        <v>59</v>
      </c>
      <c r="V355" t="s">
        <v>59</v>
      </c>
      <c r="W355" t="s">
        <v>59</v>
      </c>
      <c r="X355" t="s">
        <v>59</v>
      </c>
      <c r="Y355" t="s">
        <v>59</v>
      </c>
    </row>
    <row r="356" spans="1:25" x14ac:dyDescent="0.25">
      <c r="A356">
        <v>536</v>
      </c>
      <c r="B356" t="s">
        <v>5272</v>
      </c>
      <c r="C356" t="s">
        <v>4956</v>
      </c>
      <c r="D356" t="s">
        <v>4957</v>
      </c>
      <c r="E356" t="s">
        <v>4955</v>
      </c>
      <c r="F356">
        <v>-1</v>
      </c>
      <c r="G356" t="s">
        <v>59</v>
      </c>
      <c r="H356" t="s">
        <v>59</v>
      </c>
      <c r="I356" t="s">
        <v>59</v>
      </c>
      <c r="J356" t="s">
        <v>59</v>
      </c>
      <c r="K356" t="s">
        <v>59</v>
      </c>
      <c r="L356" t="s">
        <v>59</v>
      </c>
      <c r="M356" t="s">
        <v>59</v>
      </c>
      <c r="N356" t="s">
        <v>59</v>
      </c>
      <c r="O356" t="s">
        <v>59</v>
      </c>
      <c r="P356" t="s">
        <v>59</v>
      </c>
      <c r="Q356" t="s">
        <v>59</v>
      </c>
      <c r="R356" t="s">
        <v>59</v>
      </c>
      <c r="S356" t="s">
        <v>59</v>
      </c>
      <c r="T356" t="s">
        <v>59</v>
      </c>
      <c r="U356" t="s">
        <v>59</v>
      </c>
      <c r="V356" t="s">
        <v>59</v>
      </c>
      <c r="W356" t="s">
        <v>59</v>
      </c>
      <c r="X356" t="s">
        <v>59</v>
      </c>
      <c r="Y356" t="s">
        <v>59</v>
      </c>
    </row>
    <row r="357" spans="1:25" x14ac:dyDescent="0.25">
      <c r="A357">
        <v>539</v>
      </c>
      <c r="B357" t="s">
        <v>5272</v>
      </c>
      <c r="C357" t="s">
        <v>4962</v>
      </c>
      <c r="D357" t="s">
        <v>4963</v>
      </c>
      <c r="E357" t="s">
        <v>4955</v>
      </c>
      <c r="F357">
        <v>-1</v>
      </c>
      <c r="G357" t="s">
        <v>59</v>
      </c>
      <c r="H357" t="s">
        <v>59</v>
      </c>
      <c r="I357" t="s">
        <v>59</v>
      </c>
      <c r="J357" t="s">
        <v>59</v>
      </c>
      <c r="K357" t="s">
        <v>59</v>
      </c>
      <c r="L357" t="s">
        <v>59</v>
      </c>
      <c r="M357" t="s">
        <v>59</v>
      </c>
      <c r="N357" t="s">
        <v>59</v>
      </c>
      <c r="O357" t="s">
        <v>59</v>
      </c>
      <c r="P357" t="s">
        <v>59</v>
      </c>
      <c r="Q357" t="s">
        <v>59</v>
      </c>
      <c r="R357" t="s">
        <v>59</v>
      </c>
      <c r="S357" t="s">
        <v>59</v>
      </c>
      <c r="T357" t="s">
        <v>59</v>
      </c>
      <c r="U357" t="s">
        <v>59</v>
      </c>
      <c r="V357" t="s">
        <v>59</v>
      </c>
      <c r="W357" t="s">
        <v>59</v>
      </c>
      <c r="X357" t="s">
        <v>59</v>
      </c>
      <c r="Y357" t="s">
        <v>59</v>
      </c>
    </row>
    <row r="358" spans="1:25" x14ac:dyDescent="0.25">
      <c r="A358">
        <v>545</v>
      </c>
      <c r="B358" t="s">
        <v>5272</v>
      </c>
      <c r="C358" t="s">
        <v>4974</v>
      </c>
      <c r="D358" t="s">
        <v>4975</v>
      </c>
      <c r="E358" t="s">
        <v>4955</v>
      </c>
      <c r="F358">
        <v>-1</v>
      </c>
      <c r="G358" t="s">
        <v>59</v>
      </c>
      <c r="H358" t="s">
        <v>59</v>
      </c>
      <c r="I358" t="s">
        <v>59</v>
      </c>
      <c r="J358" t="s">
        <v>59</v>
      </c>
      <c r="K358" t="s">
        <v>59</v>
      </c>
      <c r="L358" t="s">
        <v>59</v>
      </c>
      <c r="M358" t="s">
        <v>59</v>
      </c>
      <c r="N358" t="s">
        <v>59</v>
      </c>
      <c r="O358" t="s">
        <v>59</v>
      </c>
      <c r="P358" t="s">
        <v>59</v>
      </c>
      <c r="Q358" t="s">
        <v>59</v>
      </c>
      <c r="R358" t="s">
        <v>59</v>
      </c>
      <c r="S358" t="s">
        <v>59</v>
      </c>
      <c r="T358" t="s">
        <v>59</v>
      </c>
      <c r="U358" t="s">
        <v>59</v>
      </c>
      <c r="V358" t="s">
        <v>59</v>
      </c>
      <c r="W358" t="s">
        <v>59</v>
      </c>
      <c r="X358" t="s">
        <v>59</v>
      </c>
      <c r="Y358" t="s">
        <v>59</v>
      </c>
    </row>
    <row r="359" spans="1:25" x14ac:dyDescent="0.25">
      <c r="A359">
        <v>538</v>
      </c>
      <c r="B359" t="s">
        <v>5272</v>
      </c>
      <c r="C359" t="s">
        <v>4960</v>
      </c>
      <c r="D359" t="s">
        <v>4961</v>
      </c>
      <c r="E359" t="s">
        <v>4955</v>
      </c>
      <c r="F359">
        <v>-1</v>
      </c>
      <c r="G359" t="s">
        <v>59</v>
      </c>
      <c r="H359" t="s">
        <v>59</v>
      </c>
      <c r="I359" t="s">
        <v>59</v>
      </c>
      <c r="J359" t="s">
        <v>59</v>
      </c>
      <c r="K359" t="s">
        <v>59</v>
      </c>
      <c r="L359" t="s">
        <v>59</v>
      </c>
      <c r="M359" t="s">
        <v>59</v>
      </c>
      <c r="N359" t="s">
        <v>59</v>
      </c>
      <c r="O359" t="s">
        <v>59</v>
      </c>
      <c r="P359" t="s">
        <v>59</v>
      </c>
      <c r="Q359" t="s">
        <v>59</v>
      </c>
      <c r="R359" t="s">
        <v>59</v>
      </c>
      <c r="S359" t="s">
        <v>59</v>
      </c>
      <c r="T359" t="s">
        <v>59</v>
      </c>
      <c r="U359" t="s">
        <v>59</v>
      </c>
      <c r="V359" t="s">
        <v>59</v>
      </c>
      <c r="W359" t="s">
        <v>59</v>
      </c>
      <c r="X359" t="s">
        <v>59</v>
      </c>
      <c r="Y359" t="s">
        <v>59</v>
      </c>
    </row>
    <row r="360" spans="1:25" x14ac:dyDescent="0.25">
      <c r="A360">
        <v>537</v>
      </c>
      <c r="B360" t="s">
        <v>5272</v>
      </c>
      <c r="C360" t="s">
        <v>4958</v>
      </c>
      <c r="D360" t="s">
        <v>4959</v>
      </c>
      <c r="E360" t="s">
        <v>4955</v>
      </c>
      <c r="F360">
        <v>-1</v>
      </c>
      <c r="G360" t="s">
        <v>59</v>
      </c>
      <c r="H360" t="s">
        <v>59</v>
      </c>
      <c r="I360" t="s">
        <v>59</v>
      </c>
      <c r="J360" t="s">
        <v>59</v>
      </c>
      <c r="K360" t="s">
        <v>59</v>
      </c>
      <c r="L360" t="s">
        <v>59</v>
      </c>
      <c r="M360" t="s">
        <v>59</v>
      </c>
      <c r="N360" t="s">
        <v>59</v>
      </c>
      <c r="O360" t="s">
        <v>59</v>
      </c>
      <c r="P360" t="s">
        <v>59</v>
      </c>
      <c r="Q360" t="s">
        <v>59</v>
      </c>
      <c r="R360" t="s">
        <v>59</v>
      </c>
      <c r="S360" t="s">
        <v>59</v>
      </c>
      <c r="T360" t="s">
        <v>59</v>
      </c>
      <c r="U360" t="s">
        <v>59</v>
      </c>
      <c r="V360" t="s">
        <v>59</v>
      </c>
      <c r="W360" t="s">
        <v>59</v>
      </c>
      <c r="X360" t="s">
        <v>59</v>
      </c>
      <c r="Y360" t="s">
        <v>59</v>
      </c>
    </row>
    <row r="361" spans="1:25" x14ac:dyDescent="0.25">
      <c r="A361">
        <v>541</v>
      </c>
      <c r="B361" t="s">
        <v>5272</v>
      </c>
      <c r="C361" t="s">
        <v>4966</v>
      </c>
      <c r="D361" t="s">
        <v>4967</v>
      </c>
      <c r="E361" t="s">
        <v>4955</v>
      </c>
      <c r="F361">
        <v>-1</v>
      </c>
      <c r="G361" t="s">
        <v>59</v>
      </c>
      <c r="H361" t="s">
        <v>59</v>
      </c>
      <c r="I361" t="s">
        <v>59</v>
      </c>
      <c r="J361" t="s">
        <v>59</v>
      </c>
      <c r="K361" t="s">
        <v>59</v>
      </c>
      <c r="L361" t="s">
        <v>59</v>
      </c>
      <c r="M361" t="s">
        <v>59</v>
      </c>
      <c r="N361" t="s">
        <v>59</v>
      </c>
      <c r="O361" t="s">
        <v>59</v>
      </c>
      <c r="P361" t="s">
        <v>59</v>
      </c>
      <c r="Q361" t="s">
        <v>59</v>
      </c>
      <c r="R361" t="s">
        <v>59</v>
      </c>
      <c r="S361" t="s">
        <v>59</v>
      </c>
      <c r="T361" t="s">
        <v>59</v>
      </c>
      <c r="U361" t="s">
        <v>59</v>
      </c>
      <c r="V361" t="s">
        <v>59</v>
      </c>
      <c r="W361" t="s">
        <v>59</v>
      </c>
      <c r="X361" t="s">
        <v>59</v>
      </c>
      <c r="Y361" t="s">
        <v>59</v>
      </c>
    </row>
    <row r="362" spans="1:25" x14ac:dyDescent="0.25">
      <c r="A362">
        <v>540</v>
      </c>
      <c r="B362" t="s">
        <v>5272</v>
      </c>
      <c r="C362" t="s">
        <v>4964</v>
      </c>
      <c r="D362" t="s">
        <v>4965</v>
      </c>
      <c r="E362" t="s">
        <v>4955</v>
      </c>
      <c r="F362">
        <v>-1</v>
      </c>
      <c r="G362" t="s">
        <v>59</v>
      </c>
      <c r="H362" t="s">
        <v>59</v>
      </c>
      <c r="I362" t="s">
        <v>59</v>
      </c>
      <c r="J362" t="s">
        <v>59</v>
      </c>
      <c r="K362" t="s">
        <v>59</v>
      </c>
      <c r="L362" t="s">
        <v>59</v>
      </c>
      <c r="M362" t="s">
        <v>59</v>
      </c>
      <c r="N362" t="s">
        <v>59</v>
      </c>
      <c r="O362" t="s">
        <v>59</v>
      </c>
      <c r="P362" t="s">
        <v>59</v>
      </c>
      <c r="Q362" t="s">
        <v>59</v>
      </c>
      <c r="R362" t="s">
        <v>59</v>
      </c>
      <c r="S362" t="s">
        <v>59</v>
      </c>
      <c r="T362" t="s">
        <v>59</v>
      </c>
      <c r="U362" t="s">
        <v>59</v>
      </c>
      <c r="V362" t="s">
        <v>59</v>
      </c>
      <c r="W362" t="s">
        <v>59</v>
      </c>
      <c r="X362" t="s">
        <v>59</v>
      </c>
      <c r="Y362" t="s">
        <v>59</v>
      </c>
    </row>
    <row r="363" spans="1:25" x14ac:dyDescent="0.25">
      <c r="A363">
        <v>535</v>
      </c>
      <c r="B363" t="s">
        <v>5272</v>
      </c>
      <c r="C363" t="s">
        <v>1521</v>
      </c>
      <c r="D363" t="s">
        <v>4954</v>
      </c>
      <c r="E363" t="s">
        <v>4955</v>
      </c>
      <c r="F363">
        <v>-1</v>
      </c>
      <c r="G363" t="s">
        <v>59</v>
      </c>
      <c r="H363" t="s">
        <v>59</v>
      </c>
      <c r="I363" t="s">
        <v>59</v>
      </c>
      <c r="J363" t="s">
        <v>59</v>
      </c>
      <c r="K363" t="s">
        <v>59</v>
      </c>
      <c r="L363" t="s">
        <v>59</v>
      </c>
      <c r="M363" t="s">
        <v>59</v>
      </c>
      <c r="N363" t="s">
        <v>59</v>
      </c>
      <c r="O363" t="s">
        <v>59</v>
      </c>
      <c r="P363" t="s">
        <v>59</v>
      </c>
      <c r="Q363" t="s">
        <v>59</v>
      </c>
      <c r="R363" t="s">
        <v>59</v>
      </c>
      <c r="S363" t="s">
        <v>59</v>
      </c>
      <c r="T363" t="s">
        <v>59</v>
      </c>
      <c r="U363" t="s">
        <v>59</v>
      </c>
      <c r="V363" t="s">
        <v>59</v>
      </c>
      <c r="W363" t="s">
        <v>59</v>
      </c>
      <c r="X363" t="s">
        <v>59</v>
      </c>
      <c r="Y363" t="s">
        <v>59</v>
      </c>
    </row>
    <row r="364" spans="1:25" x14ac:dyDescent="0.25">
      <c r="A364">
        <v>546</v>
      </c>
      <c r="B364" t="s">
        <v>5272</v>
      </c>
      <c r="C364" t="s">
        <v>4976</v>
      </c>
      <c r="D364" t="s">
        <v>4977</v>
      </c>
      <c r="E364" t="s">
        <v>4955</v>
      </c>
      <c r="F364">
        <v>-1</v>
      </c>
      <c r="G364" t="s">
        <v>59</v>
      </c>
      <c r="H364" t="s">
        <v>59</v>
      </c>
      <c r="I364" t="s">
        <v>59</v>
      </c>
      <c r="J364" t="s">
        <v>59</v>
      </c>
      <c r="K364" t="s">
        <v>59</v>
      </c>
      <c r="L364" t="s">
        <v>59</v>
      </c>
      <c r="M364" t="s">
        <v>59</v>
      </c>
      <c r="N364" t="s">
        <v>59</v>
      </c>
      <c r="O364" t="s">
        <v>59</v>
      </c>
      <c r="P364" t="s">
        <v>59</v>
      </c>
      <c r="Q364" t="s">
        <v>59</v>
      </c>
      <c r="R364" t="s">
        <v>59</v>
      </c>
      <c r="S364" t="s">
        <v>59</v>
      </c>
      <c r="T364" t="s">
        <v>59</v>
      </c>
      <c r="U364" t="s">
        <v>59</v>
      </c>
      <c r="V364" t="s">
        <v>59</v>
      </c>
      <c r="W364" t="s">
        <v>59</v>
      </c>
      <c r="X364" t="s">
        <v>59</v>
      </c>
      <c r="Y364" t="s">
        <v>59</v>
      </c>
    </row>
    <row r="365" spans="1:25" x14ac:dyDescent="0.25">
      <c r="A365">
        <v>542</v>
      </c>
      <c r="B365" t="s">
        <v>5272</v>
      </c>
      <c r="C365" t="s">
        <v>4968</v>
      </c>
      <c r="D365" t="s">
        <v>4969</v>
      </c>
      <c r="E365" t="s">
        <v>4955</v>
      </c>
      <c r="F365">
        <v>-1</v>
      </c>
      <c r="G365" t="s">
        <v>59</v>
      </c>
      <c r="H365" t="s">
        <v>59</v>
      </c>
      <c r="I365" t="s">
        <v>59</v>
      </c>
      <c r="J365" t="s">
        <v>59</v>
      </c>
      <c r="K365" t="s">
        <v>59</v>
      </c>
      <c r="L365" t="s">
        <v>59</v>
      </c>
      <c r="M365" t="s">
        <v>59</v>
      </c>
      <c r="N365" t="s">
        <v>59</v>
      </c>
      <c r="O365" t="s">
        <v>59</v>
      </c>
      <c r="P365" t="s">
        <v>59</v>
      </c>
      <c r="Q365" t="s">
        <v>59</v>
      </c>
      <c r="R365" t="s">
        <v>59</v>
      </c>
      <c r="S365" t="s">
        <v>59</v>
      </c>
      <c r="T365" t="s">
        <v>59</v>
      </c>
      <c r="U365" t="s">
        <v>59</v>
      </c>
      <c r="V365" t="s">
        <v>59</v>
      </c>
      <c r="W365" t="s">
        <v>59</v>
      </c>
      <c r="X365" t="s">
        <v>59</v>
      </c>
      <c r="Y365" t="s">
        <v>59</v>
      </c>
    </row>
    <row r="366" spans="1:25" x14ac:dyDescent="0.25">
      <c r="A366">
        <v>543</v>
      </c>
      <c r="B366" t="s">
        <v>5272</v>
      </c>
      <c r="C366" t="s">
        <v>4970</v>
      </c>
      <c r="D366" t="s">
        <v>4971</v>
      </c>
      <c r="E366" t="s">
        <v>4955</v>
      </c>
      <c r="F366">
        <v>-1</v>
      </c>
      <c r="G366" t="s">
        <v>59</v>
      </c>
      <c r="H366" t="s">
        <v>59</v>
      </c>
      <c r="I366" t="s">
        <v>59</v>
      </c>
      <c r="J366" t="s">
        <v>59</v>
      </c>
      <c r="K366" t="s">
        <v>59</v>
      </c>
      <c r="L366" t="s">
        <v>59</v>
      </c>
      <c r="M366" t="s">
        <v>59</v>
      </c>
      <c r="N366" t="s">
        <v>59</v>
      </c>
      <c r="O366" t="s">
        <v>59</v>
      </c>
      <c r="P366" t="s">
        <v>59</v>
      </c>
      <c r="Q366" t="s">
        <v>59</v>
      </c>
      <c r="R366" t="s">
        <v>59</v>
      </c>
      <c r="S366" t="s">
        <v>59</v>
      </c>
      <c r="T366" t="s">
        <v>59</v>
      </c>
      <c r="U366" t="s">
        <v>59</v>
      </c>
      <c r="V366" t="s">
        <v>59</v>
      </c>
      <c r="W366" t="s">
        <v>59</v>
      </c>
      <c r="X366" t="s">
        <v>59</v>
      </c>
      <c r="Y366" t="s">
        <v>59</v>
      </c>
    </row>
    <row r="367" spans="1:25" x14ac:dyDescent="0.25">
      <c r="A367">
        <v>544</v>
      </c>
      <c r="B367" t="s">
        <v>5272</v>
      </c>
      <c r="C367" t="s">
        <v>4972</v>
      </c>
      <c r="D367" t="s">
        <v>4973</v>
      </c>
      <c r="E367" t="s">
        <v>4955</v>
      </c>
      <c r="F367">
        <v>-1</v>
      </c>
      <c r="G367" t="s">
        <v>59</v>
      </c>
      <c r="H367" t="s">
        <v>59</v>
      </c>
      <c r="I367" t="s">
        <v>59</v>
      </c>
      <c r="J367" t="s">
        <v>59</v>
      </c>
      <c r="K367" t="s">
        <v>59</v>
      </c>
      <c r="L367" t="s">
        <v>59</v>
      </c>
      <c r="M367" t="s">
        <v>59</v>
      </c>
      <c r="N367" t="s">
        <v>59</v>
      </c>
      <c r="O367" t="s">
        <v>59</v>
      </c>
      <c r="P367" t="s">
        <v>59</v>
      </c>
      <c r="Q367" t="s">
        <v>59</v>
      </c>
      <c r="R367" t="s">
        <v>59</v>
      </c>
      <c r="S367" t="s">
        <v>59</v>
      </c>
      <c r="T367" t="s">
        <v>59</v>
      </c>
      <c r="U367" t="s">
        <v>59</v>
      </c>
      <c r="V367" t="s">
        <v>59</v>
      </c>
      <c r="W367" t="s">
        <v>59</v>
      </c>
      <c r="X367" t="s">
        <v>59</v>
      </c>
      <c r="Y367" t="s">
        <v>59</v>
      </c>
    </row>
    <row r="368" spans="1:25" x14ac:dyDescent="0.25">
      <c r="A368">
        <v>500</v>
      </c>
      <c r="B368" t="s">
        <v>5272</v>
      </c>
      <c r="C368" t="s">
        <v>4885</v>
      </c>
      <c r="D368" t="s">
        <v>4886</v>
      </c>
      <c r="E368" t="s">
        <v>4405</v>
      </c>
      <c r="F368">
        <v>-1</v>
      </c>
      <c r="G368" t="s">
        <v>59</v>
      </c>
      <c r="H368" t="s">
        <v>59</v>
      </c>
      <c r="I368" t="s">
        <v>59</v>
      </c>
      <c r="J368" t="s">
        <v>59</v>
      </c>
      <c r="K368" t="s">
        <v>59</v>
      </c>
      <c r="L368" t="s">
        <v>59</v>
      </c>
      <c r="M368" t="s">
        <v>59</v>
      </c>
      <c r="N368" t="s">
        <v>59</v>
      </c>
      <c r="O368" t="s">
        <v>59</v>
      </c>
      <c r="P368" t="s">
        <v>59</v>
      </c>
      <c r="Q368" t="s">
        <v>59</v>
      </c>
      <c r="R368" t="s">
        <v>59</v>
      </c>
      <c r="S368" t="s">
        <v>59</v>
      </c>
      <c r="T368" t="s">
        <v>59</v>
      </c>
      <c r="U368" t="s">
        <v>59</v>
      </c>
      <c r="V368" t="s">
        <v>59</v>
      </c>
      <c r="W368" t="s">
        <v>59</v>
      </c>
      <c r="X368" t="s">
        <v>59</v>
      </c>
      <c r="Y368" t="s">
        <v>59</v>
      </c>
    </row>
    <row r="369" spans="1:25" x14ac:dyDescent="0.25">
      <c r="A369">
        <v>501</v>
      </c>
      <c r="B369" t="s">
        <v>5272</v>
      </c>
      <c r="C369" t="s">
        <v>4887</v>
      </c>
      <c r="D369" t="s">
        <v>4888</v>
      </c>
      <c r="E369" t="s">
        <v>4405</v>
      </c>
      <c r="F369">
        <v>-1</v>
      </c>
      <c r="G369" t="s">
        <v>59</v>
      </c>
      <c r="H369" t="s">
        <v>59</v>
      </c>
      <c r="I369" t="s">
        <v>59</v>
      </c>
      <c r="J369" t="s">
        <v>59</v>
      </c>
      <c r="K369" t="s">
        <v>59</v>
      </c>
      <c r="L369" t="s">
        <v>59</v>
      </c>
      <c r="M369" t="s">
        <v>59</v>
      </c>
      <c r="N369" t="s">
        <v>59</v>
      </c>
      <c r="O369" t="s">
        <v>59</v>
      </c>
      <c r="P369" t="s">
        <v>59</v>
      </c>
      <c r="Q369" t="s">
        <v>59</v>
      </c>
      <c r="R369" t="s">
        <v>59</v>
      </c>
      <c r="S369" t="s">
        <v>59</v>
      </c>
      <c r="T369" t="s">
        <v>59</v>
      </c>
      <c r="U369" t="s">
        <v>59</v>
      </c>
      <c r="V369" t="s">
        <v>59</v>
      </c>
      <c r="W369" t="s">
        <v>59</v>
      </c>
      <c r="X369" t="s">
        <v>59</v>
      </c>
      <c r="Y369" t="s">
        <v>59</v>
      </c>
    </row>
    <row r="370" spans="1:25" x14ac:dyDescent="0.25">
      <c r="A370">
        <v>502</v>
      </c>
      <c r="B370" t="s">
        <v>5272</v>
      </c>
      <c r="C370" t="s">
        <v>4889</v>
      </c>
      <c r="D370" t="s">
        <v>4890</v>
      </c>
      <c r="E370" t="s">
        <v>4405</v>
      </c>
      <c r="F370">
        <v>-1</v>
      </c>
      <c r="G370" t="s">
        <v>59</v>
      </c>
      <c r="H370" t="s">
        <v>59</v>
      </c>
      <c r="I370" t="s">
        <v>59</v>
      </c>
      <c r="J370" t="s">
        <v>59</v>
      </c>
      <c r="K370" t="s">
        <v>59</v>
      </c>
      <c r="L370" t="s">
        <v>59</v>
      </c>
      <c r="M370" t="s">
        <v>59</v>
      </c>
      <c r="N370" t="s">
        <v>59</v>
      </c>
      <c r="O370" t="s">
        <v>59</v>
      </c>
      <c r="P370" t="s">
        <v>59</v>
      </c>
      <c r="Q370" t="s">
        <v>59</v>
      </c>
      <c r="R370" t="s">
        <v>59</v>
      </c>
      <c r="S370" t="s">
        <v>59</v>
      </c>
      <c r="T370" t="s">
        <v>59</v>
      </c>
      <c r="U370" t="s">
        <v>59</v>
      </c>
      <c r="V370" t="s">
        <v>59</v>
      </c>
      <c r="W370" t="s">
        <v>59</v>
      </c>
      <c r="X370" t="s">
        <v>59</v>
      </c>
      <c r="Y370" t="s">
        <v>59</v>
      </c>
    </row>
    <row r="371" spans="1:25" x14ac:dyDescent="0.25">
      <c r="A371">
        <v>503</v>
      </c>
      <c r="B371" t="s">
        <v>5272</v>
      </c>
      <c r="C371" t="s">
        <v>4891</v>
      </c>
      <c r="D371" t="s">
        <v>4892</v>
      </c>
      <c r="E371" t="s">
        <v>4405</v>
      </c>
      <c r="F371">
        <v>-1</v>
      </c>
      <c r="G371" t="s">
        <v>59</v>
      </c>
      <c r="H371" t="s">
        <v>59</v>
      </c>
      <c r="I371" t="s">
        <v>59</v>
      </c>
      <c r="J371" t="s">
        <v>59</v>
      </c>
      <c r="K371" t="s">
        <v>59</v>
      </c>
      <c r="L371" t="s">
        <v>59</v>
      </c>
      <c r="M371" t="s">
        <v>59</v>
      </c>
      <c r="N371" t="s">
        <v>59</v>
      </c>
      <c r="O371" t="s">
        <v>59</v>
      </c>
      <c r="P371" t="s">
        <v>59</v>
      </c>
      <c r="Q371" t="s">
        <v>59</v>
      </c>
      <c r="R371" t="s">
        <v>59</v>
      </c>
      <c r="S371" t="s">
        <v>59</v>
      </c>
      <c r="T371" t="s">
        <v>59</v>
      </c>
      <c r="U371" t="s">
        <v>59</v>
      </c>
      <c r="V371" t="s">
        <v>59</v>
      </c>
      <c r="W371" t="s">
        <v>59</v>
      </c>
      <c r="X371" t="s">
        <v>59</v>
      </c>
      <c r="Y371" t="s">
        <v>59</v>
      </c>
    </row>
    <row r="372" spans="1:25" x14ac:dyDescent="0.25">
      <c r="A372">
        <v>504</v>
      </c>
      <c r="B372" t="s">
        <v>5272</v>
      </c>
      <c r="C372" t="s">
        <v>4893</v>
      </c>
      <c r="D372" t="s">
        <v>4894</v>
      </c>
      <c r="E372" t="s">
        <v>4405</v>
      </c>
      <c r="F372">
        <v>-1</v>
      </c>
      <c r="G372" t="s">
        <v>59</v>
      </c>
      <c r="H372" t="s">
        <v>59</v>
      </c>
      <c r="I372" t="s">
        <v>59</v>
      </c>
      <c r="J372" t="s">
        <v>59</v>
      </c>
      <c r="K372" t="s">
        <v>59</v>
      </c>
      <c r="L372" t="s">
        <v>59</v>
      </c>
      <c r="M372" t="s">
        <v>59</v>
      </c>
      <c r="N372" t="s">
        <v>59</v>
      </c>
      <c r="O372" t="s">
        <v>59</v>
      </c>
      <c r="P372" t="s">
        <v>59</v>
      </c>
      <c r="Q372" t="s">
        <v>59</v>
      </c>
      <c r="R372" t="s">
        <v>59</v>
      </c>
      <c r="S372" t="s">
        <v>59</v>
      </c>
      <c r="T372" t="s">
        <v>59</v>
      </c>
      <c r="U372" t="s">
        <v>59</v>
      </c>
      <c r="V372" t="s">
        <v>59</v>
      </c>
      <c r="W372" t="s">
        <v>59</v>
      </c>
      <c r="X372" t="s">
        <v>59</v>
      </c>
      <c r="Y372" t="s">
        <v>59</v>
      </c>
    </row>
    <row r="373" spans="1:25" x14ac:dyDescent="0.25">
      <c r="A373">
        <v>505</v>
      </c>
      <c r="B373" t="s">
        <v>5272</v>
      </c>
      <c r="C373" t="s">
        <v>4895</v>
      </c>
      <c r="D373" t="s">
        <v>4896</v>
      </c>
      <c r="E373" t="s">
        <v>4405</v>
      </c>
      <c r="F373">
        <v>-1</v>
      </c>
      <c r="G373" t="s">
        <v>59</v>
      </c>
      <c r="H373" t="s">
        <v>59</v>
      </c>
      <c r="I373" t="s">
        <v>59</v>
      </c>
      <c r="J373" t="s">
        <v>59</v>
      </c>
      <c r="K373" t="s">
        <v>59</v>
      </c>
      <c r="L373" t="s">
        <v>59</v>
      </c>
      <c r="M373" t="s">
        <v>59</v>
      </c>
      <c r="N373" t="s">
        <v>59</v>
      </c>
      <c r="O373" t="s">
        <v>59</v>
      </c>
      <c r="P373" t="s">
        <v>59</v>
      </c>
      <c r="Q373" t="s">
        <v>59</v>
      </c>
      <c r="R373" t="s">
        <v>59</v>
      </c>
      <c r="S373" t="s">
        <v>59</v>
      </c>
      <c r="T373" t="s">
        <v>59</v>
      </c>
      <c r="U373" t="s">
        <v>59</v>
      </c>
      <c r="V373" t="s">
        <v>59</v>
      </c>
      <c r="W373" t="s">
        <v>59</v>
      </c>
      <c r="X373" t="s">
        <v>59</v>
      </c>
      <c r="Y373" t="s">
        <v>59</v>
      </c>
    </row>
    <row r="374" spans="1:25" x14ac:dyDescent="0.25">
      <c r="A374">
        <v>506</v>
      </c>
      <c r="B374" t="s">
        <v>5272</v>
      </c>
      <c r="C374" t="s">
        <v>4897</v>
      </c>
      <c r="D374" t="s">
        <v>4898</v>
      </c>
      <c r="E374" t="s">
        <v>4405</v>
      </c>
      <c r="F374">
        <v>-1</v>
      </c>
      <c r="G374" t="s">
        <v>59</v>
      </c>
      <c r="H374" t="s">
        <v>59</v>
      </c>
      <c r="I374" t="s">
        <v>59</v>
      </c>
      <c r="J374" t="s">
        <v>59</v>
      </c>
      <c r="K374" t="s">
        <v>59</v>
      </c>
      <c r="L374" t="s">
        <v>59</v>
      </c>
      <c r="M374" t="s">
        <v>59</v>
      </c>
      <c r="N374" t="s">
        <v>59</v>
      </c>
      <c r="O374" t="s">
        <v>59</v>
      </c>
      <c r="P374" t="s">
        <v>59</v>
      </c>
      <c r="Q374" t="s">
        <v>59</v>
      </c>
      <c r="R374" t="s">
        <v>59</v>
      </c>
      <c r="S374" t="s">
        <v>59</v>
      </c>
      <c r="T374" t="s">
        <v>59</v>
      </c>
      <c r="U374" t="s">
        <v>59</v>
      </c>
      <c r="V374" t="s">
        <v>59</v>
      </c>
      <c r="W374" t="s">
        <v>59</v>
      </c>
      <c r="X374" t="s">
        <v>59</v>
      </c>
      <c r="Y374" t="s">
        <v>59</v>
      </c>
    </row>
    <row r="375" spans="1:25" x14ac:dyDescent="0.25">
      <c r="A375">
        <v>507</v>
      </c>
      <c r="B375" t="s">
        <v>5272</v>
      </c>
      <c r="C375" t="s">
        <v>4899</v>
      </c>
      <c r="D375" t="s">
        <v>4900</v>
      </c>
      <c r="E375" t="s">
        <v>4405</v>
      </c>
      <c r="F375">
        <v>-1</v>
      </c>
      <c r="G375" t="s">
        <v>59</v>
      </c>
      <c r="H375" t="s">
        <v>59</v>
      </c>
      <c r="I375" t="s">
        <v>59</v>
      </c>
      <c r="J375" t="s">
        <v>59</v>
      </c>
      <c r="K375" t="s">
        <v>59</v>
      </c>
      <c r="L375" t="s">
        <v>59</v>
      </c>
      <c r="M375" t="s">
        <v>59</v>
      </c>
      <c r="N375" t="s">
        <v>59</v>
      </c>
      <c r="O375" t="s">
        <v>59</v>
      </c>
      <c r="P375" t="s">
        <v>59</v>
      </c>
      <c r="Q375" t="s">
        <v>59</v>
      </c>
      <c r="R375" t="s">
        <v>59</v>
      </c>
      <c r="S375" t="s">
        <v>59</v>
      </c>
      <c r="T375" t="s">
        <v>59</v>
      </c>
      <c r="U375" t="s">
        <v>59</v>
      </c>
      <c r="V375" t="s">
        <v>59</v>
      </c>
      <c r="W375" t="s">
        <v>59</v>
      </c>
      <c r="X375" t="s">
        <v>59</v>
      </c>
      <c r="Y375" t="s">
        <v>59</v>
      </c>
    </row>
    <row r="376" spans="1:25" x14ac:dyDescent="0.25">
      <c r="A376">
        <v>508</v>
      </c>
      <c r="B376" t="s">
        <v>5272</v>
      </c>
      <c r="C376" t="s">
        <v>4901</v>
      </c>
      <c r="D376" t="s">
        <v>4902</v>
      </c>
      <c r="E376" t="s">
        <v>4405</v>
      </c>
      <c r="F376">
        <v>-1</v>
      </c>
      <c r="G376" t="s">
        <v>59</v>
      </c>
      <c r="H376" t="s">
        <v>59</v>
      </c>
      <c r="I376" t="s">
        <v>59</v>
      </c>
      <c r="J376" t="s">
        <v>59</v>
      </c>
      <c r="K376" t="s">
        <v>59</v>
      </c>
      <c r="L376" t="s">
        <v>59</v>
      </c>
      <c r="M376" t="s">
        <v>59</v>
      </c>
      <c r="N376" t="s">
        <v>59</v>
      </c>
      <c r="O376" t="s">
        <v>59</v>
      </c>
      <c r="P376" t="s">
        <v>59</v>
      </c>
      <c r="Q376" t="s">
        <v>59</v>
      </c>
      <c r="R376" t="s">
        <v>59</v>
      </c>
      <c r="S376" t="s">
        <v>59</v>
      </c>
      <c r="T376" t="s">
        <v>59</v>
      </c>
      <c r="U376" t="s">
        <v>59</v>
      </c>
      <c r="V376" t="s">
        <v>59</v>
      </c>
      <c r="W376" t="s">
        <v>59</v>
      </c>
      <c r="X376" t="s">
        <v>59</v>
      </c>
      <c r="Y376" t="s">
        <v>59</v>
      </c>
    </row>
    <row r="377" spans="1:25" x14ac:dyDescent="0.25">
      <c r="A377">
        <v>509</v>
      </c>
      <c r="B377" t="s">
        <v>5272</v>
      </c>
      <c r="C377" t="s">
        <v>4903</v>
      </c>
      <c r="D377" t="s">
        <v>4904</v>
      </c>
      <c r="E377" t="s">
        <v>4405</v>
      </c>
      <c r="F377">
        <v>-1</v>
      </c>
      <c r="G377" t="s">
        <v>59</v>
      </c>
      <c r="H377" t="s">
        <v>59</v>
      </c>
      <c r="I377" t="s">
        <v>59</v>
      </c>
      <c r="J377" t="s">
        <v>59</v>
      </c>
      <c r="K377" t="s">
        <v>59</v>
      </c>
      <c r="L377" t="s">
        <v>59</v>
      </c>
      <c r="M377" t="s">
        <v>59</v>
      </c>
      <c r="N377" t="s">
        <v>59</v>
      </c>
      <c r="O377" t="s">
        <v>59</v>
      </c>
      <c r="P377" t="s">
        <v>59</v>
      </c>
      <c r="Q377" t="s">
        <v>59</v>
      </c>
      <c r="R377" t="s">
        <v>59</v>
      </c>
      <c r="S377" t="s">
        <v>59</v>
      </c>
      <c r="T377" t="s">
        <v>59</v>
      </c>
      <c r="U377" t="s">
        <v>59</v>
      </c>
      <c r="V377" t="s">
        <v>59</v>
      </c>
      <c r="W377" t="s">
        <v>59</v>
      </c>
      <c r="X377" t="s">
        <v>59</v>
      </c>
      <c r="Y377" t="s">
        <v>59</v>
      </c>
    </row>
    <row r="378" spans="1:25" x14ac:dyDescent="0.25">
      <c r="A378">
        <v>510</v>
      </c>
      <c r="B378" t="s">
        <v>5272</v>
      </c>
      <c r="C378" t="s">
        <v>4905</v>
      </c>
      <c r="D378" t="s">
        <v>4906</v>
      </c>
      <c r="E378" t="s">
        <v>4405</v>
      </c>
      <c r="F378">
        <v>-1</v>
      </c>
      <c r="G378" t="s">
        <v>59</v>
      </c>
      <c r="H378" t="s">
        <v>59</v>
      </c>
      <c r="I378" t="s">
        <v>59</v>
      </c>
      <c r="J378" t="s">
        <v>59</v>
      </c>
      <c r="K378" t="s">
        <v>59</v>
      </c>
      <c r="L378" t="s">
        <v>59</v>
      </c>
      <c r="M378" t="s">
        <v>59</v>
      </c>
      <c r="N378" t="s">
        <v>59</v>
      </c>
      <c r="O378" t="s">
        <v>59</v>
      </c>
      <c r="P378" t="s">
        <v>59</v>
      </c>
      <c r="Q378" t="s">
        <v>59</v>
      </c>
      <c r="R378" t="s">
        <v>59</v>
      </c>
      <c r="S378" t="s">
        <v>59</v>
      </c>
      <c r="T378" t="s">
        <v>59</v>
      </c>
      <c r="U378" t="s">
        <v>59</v>
      </c>
      <c r="V378" t="s">
        <v>59</v>
      </c>
      <c r="W378" t="s">
        <v>59</v>
      </c>
      <c r="X378" t="s">
        <v>59</v>
      </c>
      <c r="Y378" t="s">
        <v>59</v>
      </c>
    </row>
    <row r="379" spans="1:25" x14ac:dyDescent="0.25">
      <c r="A379">
        <v>511</v>
      </c>
      <c r="B379" t="s">
        <v>5272</v>
      </c>
      <c r="C379" t="s">
        <v>4907</v>
      </c>
      <c r="D379" t="s">
        <v>4908</v>
      </c>
      <c r="E379" t="s">
        <v>4405</v>
      </c>
      <c r="F379">
        <v>-1</v>
      </c>
      <c r="G379" t="s">
        <v>59</v>
      </c>
      <c r="H379" t="s">
        <v>59</v>
      </c>
      <c r="I379" t="s">
        <v>59</v>
      </c>
      <c r="J379" t="s">
        <v>59</v>
      </c>
      <c r="K379" t="s">
        <v>59</v>
      </c>
      <c r="L379" t="s">
        <v>59</v>
      </c>
      <c r="M379" t="s">
        <v>59</v>
      </c>
      <c r="N379" t="s">
        <v>59</v>
      </c>
      <c r="O379" t="s">
        <v>59</v>
      </c>
      <c r="P379" t="s">
        <v>59</v>
      </c>
      <c r="Q379" t="s">
        <v>59</v>
      </c>
      <c r="R379" t="s">
        <v>59</v>
      </c>
      <c r="S379" t="s">
        <v>59</v>
      </c>
      <c r="T379" t="s">
        <v>59</v>
      </c>
      <c r="U379" t="s">
        <v>59</v>
      </c>
      <c r="V379" t="s">
        <v>59</v>
      </c>
      <c r="W379" t="s">
        <v>59</v>
      </c>
      <c r="X379" t="s">
        <v>59</v>
      </c>
      <c r="Y379" t="s">
        <v>59</v>
      </c>
    </row>
    <row r="380" spans="1:25" x14ac:dyDescent="0.25">
      <c r="A380">
        <v>512</v>
      </c>
      <c r="B380" t="s">
        <v>5272</v>
      </c>
      <c r="C380" t="s">
        <v>4909</v>
      </c>
      <c r="D380" t="s">
        <v>4910</v>
      </c>
      <c r="E380" t="s">
        <v>4405</v>
      </c>
      <c r="F380">
        <v>-1</v>
      </c>
      <c r="G380" t="s">
        <v>59</v>
      </c>
      <c r="H380" t="s">
        <v>59</v>
      </c>
      <c r="I380" t="s">
        <v>59</v>
      </c>
      <c r="J380" t="s">
        <v>59</v>
      </c>
      <c r="K380" t="s">
        <v>59</v>
      </c>
      <c r="L380" t="s">
        <v>59</v>
      </c>
      <c r="M380" t="s">
        <v>59</v>
      </c>
      <c r="N380" t="s">
        <v>59</v>
      </c>
      <c r="O380" t="s">
        <v>59</v>
      </c>
      <c r="P380" t="s">
        <v>59</v>
      </c>
      <c r="Q380" t="s">
        <v>59</v>
      </c>
      <c r="R380" t="s">
        <v>59</v>
      </c>
      <c r="S380" t="s">
        <v>59</v>
      </c>
      <c r="T380" t="s">
        <v>59</v>
      </c>
      <c r="U380" t="s">
        <v>59</v>
      </c>
      <c r="V380" t="s">
        <v>59</v>
      </c>
      <c r="W380" t="s">
        <v>59</v>
      </c>
      <c r="X380" t="s">
        <v>59</v>
      </c>
      <c r="Y380" t="s">
        <v>59</v>
      </c>
    </row>
    <row r="381" spans="1:25" x14ac:dyDescent="0.25">
      <c r="A381">
        <v>513</v>
      </c>
      <c r="B381" t="s">
        <v>5272</v>
      </c>
      <c r="C381" t="s">
        <v>4911</v>
      </c>
      <c r="D381" t="s">
        <v>4912</v>
      </c>
      <c r="E381" t="s">
        <v>4405</v>
      </c>
      <c r="F381">
        <v>-1</v>
      </c>
      <c r="G381" t="s">
        <v>59</v>
      </c>
      <c r="H381" t="s">
        <v>59</v>
      </c>
      <c r="I381" t="s">
        <v>59</v>
      </c>
      <c r="J381" t="s">
        <v>59</v>
      </c>
      <c r="K381" t="s">
        <v>59</v>
      </c>
      <c r="L381" t="s">
        <v>59</v>
      </c>
      <c r="M381" t="s">
        <v>59</v>
      </c>
      <c r="N381" t="s">
        <v>59</v>
      </c>
      <c r="O381" t="s">
        <v>59</v>
      </c>
      <c r="P381" t="s">
        <v>59</v>
      </c>
      <c r="Q381" t="s">
        <v>59</v>
      </c>
      <c r="R381" t="s">
        <v>59</v>
      </c>
      <c r="S381" t="s">
        <v>59</v>
      </c>
      <c r="T381" t="s">
        <v>59</v>
      </c>
      <c r="U381" t="s">
        <v>59</v>
      </c>
      <c r="V381" t="s">
        <v>59</v>
      </c>
      <c r="W381" t="s">
        <v>59</v>
      </c>
      <c r="X381" t="s">
        <v>59</v>
      </c>
      <c r="Y381" t="s">
        <v>59</v>
      </c>
    </row>
    <row r="382" spans="1:25" x14ac:dyDescent="0.25">
      <c r="A382">
        <v>514</v>
      </c>
      <c r="B382" t="s">
        <v>5272</v>
      </c>
      <c r="C382" t="s">
        <v>4913</v>
      </c>
      <c r="D382" t="s">
        <v>4914</v>
      </c>
      <c r="E382" t="s">
        <v>4405</v>
      </c>
      <c r="F382">
        <v>-1</v>
      </c>
      <c r="G382" t="s">
        <v>59</v>
      </c>
      <c r="H382" t="s">
        <v>59</v>
      </c>
      <c r="I382" t="s">
        <v>59</v>
      </c>
      <c r="J382" t="s">
        <v>59</v>
      </c>
      <c r="K382" t="s">
        <v>59</v>
      </c>
      <c r="L382" t="s">
        <v>59</v>
      </c>
      <c r="M382" t="s">
        <v>59</v>
      </c>
      <c r="N382" t="s">
        <v>59</v>
      </c>
      <c r="O382" t="s">
        <v>59</v>
      </c>
      <c r="P382" t="s">
        <v>59</v>
      </c>
      <c r="Q382" t="s">
        <v>59</v>
      </c>
      <c r="R382" t="s">
        <v>59</v>
      </c>
      <c r="S382" t="s">
        <v>59</v>
      </c>
      <c r="T382" t="s">
        <v>59</v>
      </c>
      <c r="U382" t="s">
        <v>59</v>
      </c>
      <c r="V382" t="s">
        <v>59</v>
      </c>
      <c r="W382" t="s">
        <v>59</v>
      </c>
      <c r="X382" t="s">
        <v>59</v>
      </c>
      <c r="Y382" t="s">
        <v>59</v>
      </c>
    </row>
    <row r="383" spans="1:25" x14ac:dyDescent="0.25">
      <c r="A383">
        <v>515</v>
      </c>
      <c r="B383" t="s">
        <v>5272</v>
      </c>
      <c r="C383" t="s">
        <v>4915</v>
      </c>
      <c r="D383" t="s">
        <v>4916</v>
      </c>
      <c r="E383" t="s">
        <v>4405</v>
      </c>
      <c r="F383">
        <v>-1</v>
      </c>
      <c r="G383" t="s">
        <v>59</v>
      </c>
      <c r="H383" t="s">
        <v>59</v>
      </c>
      <c r="I383" t="s">
        <v>59</v>
      </c>
      <c r="J383" t="s">
        <v>59</v>
      </c>
      <c r="K383" t="s">
        <v>59</v>
      </c>
      <c r="L383" t="s">
        <v>59</v>
      </c>
      <c r="M383" t="s">
        <v>59</v>
      </c>
      <c r="N383" t="s">
        <v>59</v>
      </c>
      <c r="O383" t="s">
        <v>59</v>
      </c>
      <c r="P383" t="s">
        <v>59</v>
      </c>
      <c r="Q383" t="s">
        <v>59</v>
      </c>
      <c r="R383" t="s">
        <v>59</v>
      </c>
      <c r="S383" t="s">
        <v>59</v>
      </c>
      <c r="T383" t="s">
        <v>59</v>
      </c>
      <c r="U383" t="s">
        <v>59</v>
      </c>
      <c r="V383" t="s">
        <v>59</v>
      </c>
      <c r="W383" t="s">
        <v>59</v>
      </c>
      <c r="X383" t="s">
        <v>59</v>
      </c>
      <c r="Y383" t="s">
        <v>59</v>
      </c>
    </row>
    <row r="384" spans="1:25" x14ac:dyDescent="0.25">
      <c r="A384">
        <v>516</v>
      </c>
      <c r="B384" t="s">
        <v>5272</v>
      </c>
      <c r="C384" t="s">
        <v>4917</v>
      </c>
      <c r="D384" t="s">
        <v>4918</v>
      </c>
      <c r="E384" t="s">
        <v>4405</v>
      </c>
      <c r="F384">
        <v>-1</v>
      </c>
      <c r="G384" t="s">
        <v>59</v>
      </c>
      <c r="H384" t="s">
        <v>59</v>
      </c>
      <c r="I384" t="s">
        <v>59</v>
      </c>
      <c r="J384" t="s">
        <v>59</v>
      </c>
      <c r="K384" t="s">
        <v>59</v>
      </c>
      <c r="L384" t="s">
        <v>59</v>
      </c>
      <c r="M384" t="s">
        <v>59</v>
      </c>
      <c r="N384" t="s">
        <v>59</v>
      </c>
      <c r="O384" t="s">
        <v>59</v>
      </c>
      <c r="P384" t="s">
        <v>59</v>
      </c>
      <c r="Q384" t="s">
        <v>59</v>
      </c>
      <c r="R384" t="s">
        <v>59</v>
      </c>
      <c r="S384" t="s">
        <v>59</v>
      </c>
      <c r="T384" t="s">
        <v>59</v>
      </c>
      <c r="U384" t="s">
        <v>59</v>
      </c>
      <c r="V384" t="s">
        <v>59</v>
      </c>
      <c r="W384" t="s">
        <v>59</v>
      </c>
      <c r="X384" t="s">
        <v>59</v>
      </c>
      <c r="Y384" t="s">
        <v>59</v>
      </c>
    </row>
    <row r="385" spans="1:25" x14ac:dyDescent="0.25">
      <c r="A385">
        <v>517</v>
      </c>
      <c r="B385" t="s">
        <v>5272</v>
      </c>
      <c r="C385" t="s">
        <v>4919</v>
      </c>
      <c r="D385" t="s">
        <v>4920</v>
      </c>
      <c r="E385" t="s">
        <v>4405</v>
      </c>
      <c r="F385">
        <v>-1</v>
      </c>
      <c r="G385" t="s">
        <v>59</v>
      </c>
      <c r="H385" t="s">
        <v>59</v>
      </c>
      <c r="I385" t="s">
        <v>59</v>
      </c>
      <c r="J385" t="s">
        <v>59</v>
      </c>
      <c r="K385" t="s">
        <v>59</v>
      </c>
      <c r="L385" t="s">
        <v>59</v>
      </c>
      <c r="M385" t="s">
        <v>59</v>
      </c>
      <c r="N385" t="s">
        <v>59</v>
      </c>
      <c r="O385" t="s">
        <v>59</v>
      </c>
      <c r="P385" t="s">
        <v>59</v>
      </c>
      <c r="Q385" t="s">
        <v>59</v>
      </c>
      <c r="R385" t="s">
        <v>59</v>
      </c>
      <c r="S385" t="s">
        <v>59</v>
      </c>
      <c r="T385" t="s">
        <v>59</v>
      </c>
      <c r="U385" t="s">
        <v>59</v>
      </c>
      <c r="V385" t="s">
        <v>59</v>
      </c>
      <c r="W385" t="s">
        <v>59</v>
      </c>
      <c r="X385" t="s">
        <v>59</v>
      </c>
      <c r="Y385" t="s">
        <v>59</v>
      </c>
    </row>
    <row r="386" spans="1:25" x14ac:dyDescent="0.25">
      <c r="A386">
        <v>518</v>
      </c>
      <c r="B386" t="s">
        <v>5272</v>
      </c>
      <c r="C386" t="s">
        <v>4921</v>
      </c>
      <c r="D386" t="s">
        <v>4922</v>
      </c>
      <c r="E386" t="s">
        <v>4405</v>
      </c>
      <c r="F386">
        <v>-1</v>
      </c>
      <c r="G386" t="s">
        <v>59</v>
      </c>
      <c r="H386" t="s">
        <v>59</v>
      </c>
      <c r="I386" t="s">
        <v>59</v>
      </c>
      <c r="J386" t="s">
        <v>59</v>
      </c>
      <c r="K386" t="s">
        <v>59</v>
      </c>
      <c r="L386" t="s">
        <v>59</v>
      </c>
      <c r="M386" t="s">
        <v>59</v>
      </c>
      <c r="N386" t="s">
        <v>59</v>
      </c>
      <c r="O386" t="s">
        <v>59</v>
      </c>
      <c r="P386" t="s">
        <v>59</v>
      </c>
      <c r="Q386" t="s">
        <v>59</v>
      </c>
      <c r="R386" t="s">
        <v>59</v>
      </c>
      <c r="S386" t="s">
        <v>59</v>
      </c>
      <c r="T386" t="s">
        <v>59</v>
      </c>
      <c r="U386" t="s">
        <v>59</v>
      </c>
      <c r="V386" t="s">
        <v>59</v>
      </c>
      <c r="W386" t="s">
        <v>59</v>
      </c>
      <c r="X386" t="s">
        <v>59</v>
      </c>
      <c r="Y386" t="s">
        <v>59</v>
      </c>
    </row>
    <row r="387" spans="1:25" x14ac:dyDescent="0.25">
      <c r="A387">
        <v>519</v>
      </c>
      <c r="B387" t="s">
        <v>5272</v>
      </c>
      <c r="C387" t="s">
        <v>4923</v>
      </c>
      <c r="D387" t="s">
        <v>4924</v>
      </c>
      <c r="E387" t="s">
        <v>4405</v>
      </c>
      <c r="F387">
        <v>-1</v>
      </c>
      <c r="G387" t="s">
        <v>59</v>
      </c>
      <c r="H387" t="s">
        <v>59</v>
      </c>
      <c r="I387" t="s">
        <v>59</v>
      </c>
      <c r="J387" t="s">
        <v>59</v>
      </c>
      <c r="K387" t="s">
        <v>59</v>
      </c>
      <c r="L387" t="s">
        <v>59</v>
      </c>
      <c r="M387" t="s">
        <v>59</v>
      </c>
      <c r="N387" t="s">
        <v>59</v>
      </c>
      <c r="O387" t="s">
        <v>59</v>
      </c>
      <c r="P387" t="s">
        <v>59</v>
      </c>
      <c r="Q387" t="s">
        <v>59</v>
      </c>
      <c r="R387" t="s">
        <v>59</v>
      </c>
      <c r="S387" t="s">
        <v>59</v>
      </c>
      <c r="T387" t="s">
        <v>59</v>
      </c>
      <c r="U387" t="s">
        <v>59</v>
      </c>
      <c r="V387" t="s">
        <v>59</v>
      </c>
      <c r="W387" t="s">
        <v>59</v>
      </c>
      <c r="X387" t="s">
        <v>59</v>
      </c>
      <c r="Y387" t="s">
        <v>59</v>
      </c>
    </row>
    <row r="388" spans="1:25" x14ac:dyDescent="0.25">
      <c r="A388">
        <v>218</v>
      </c>
      <c r="B388" t="s">
        <v>5272</v>
      </c>
      <c r="C388" t="s">
        <v>4410</v>
      </c>
      <c r="D388" t="s">
        <v>4411</v>
      </c>
      <c r="E388" t="s">
        <v>4405</v>
      </c>
      <c r="F388">
        <v>-1</v>
      </c>
      <c r="G388" t="s">
        <v>59</v>
      </c>
      <c r="H388" t="s">
        <v>59</v>
      </c>
      <c r="I388" t="s">
        <v>59</v>
      </c>
      <c r="J388" t="s">
        <v>59</v>
      </c>
      <c r="K388" t="s">
        <v>59</v>
      </c>
      <c r="L388" t="s">
        <v>59</v>
      </c>
      <c r="M388" t="s">
        <v>59</v>
      </c>
      <c r="N388" t="s">
        <v>59</v>
      </c>
      <c r="O388" t="s">
        <v>59</v>
      </c>
      <c r="P388" t="s">
        <v>59</v>
      </c>
      <c r="Q388" t="s">
        <v>59</v>
      </c>
      <c r="R388" t="s">
        <v>59</v>
      </c>
      <c r="S388" t="s">
        <v>59</v>
      </c>
      <c r="T388" t="s">
        <v>59</v>
      </c>
      <c r="U388" t="s">
        <v>59</v>
      </c>
      <c r="V388" t="s">
        <v>59</v>
      </c>
      <c r="W388" t="s">
        <v>59</v>
      </c>
      <c r="X388" t="s">
        <v>59</v>
      </c>
      <c r="Y388" t="s">
        <v>59</v>
      </c>
    </row>
    <row r="389" spans="1:25" x14ac:dyDescent="0.25">
      <c r="A389">
        <v>215</v>
      </c>
      <c r="B389" t="s">
        <v>5272</v>
      </c>
      <c r="C389" t="s">
        <v>4403</v>
      </c>
      <c r="D389" t="s">
        <v>4404</v>
      </c>
      <c r="E389" t="s">
        <v>4405</v>
      </c>
      <c r="F389">
        <v>-1</v>
      </c>
      <c r="G389" t="s">
        <v>59</v>
      </c>
      <c r="H389" t="s">
        <v>59</v>
      </c>
      <c r="I389" t="s">
        <v>59</v>
      </c>
      <c r="J389" t="s">
        <v>59</v>
      </c>
      <c r="K389" t="s">
        <v>59</v>
      </c>
      <c r="L389" t="s">
        <v>59</v>
      </c>
      <c r="M389" t="s">
        <v>59</v>
      </c>
      <c r="N389" t="s">
        <v>59</v>
      </c>
      <c r="O389" t="s">
        <v>59</v>
      </c>
      <c r="P389" t="s">
        <v>59</v>
      </c>
      <c r="Q389" t="s">
        <v>59</v>
      </c>
      <c r="R389" t="s">
        <v>59</v>
      </c>
      <c r="S389" t="s">
        <v>59</v>
      </c>
      <c r="T389" t="s">
        <v>59</v>
      </c>
      <c r="U389" t="s">
        <v>59</v>
      </c>
      <c r="V389" t="s">
        <v>59</v>
      </c>
      <c r="W389" t="s">
        <v>59</v>
      </c>
      <c r="X389" t="s">
        <v>59</v>
      </c>
      <c r="Y389" t="s">
        <v>59</v>
      </c>
    </row>
    <row r="390" spans="1:25" x14ac:dyDescent="0.25">
      <c r="A390">
        <v>216</v>
      </c>
      <c r="B390" t="s">
        <v>5272</v>
      </c>
      <c r="C390" t="s">
        <v>4406</v>
      </c>
      <c r="D390" t="s">
        <v>4407</v>
      </c>
      <c r="E390" t="s">
        <v>4405</v>
      </c>
      <c r="F390">
        <v>-1</v>
      </c>
      <c r="G390" t="s">
        <v>59</v>
      </c>
      <c r="H390" t="s">
        <v>59</v>
      </c>
      <c r="I390" t="s">
        <v>59</v>
      </c>
      <c r="J390" t="s">
        <v>59</v>
      </c>
      <c r="K390" t="s">
        <v>59</v>
      </c>
      <c r="L390" t="s">
        <v>59</v>
      </c>
      <c r="M390" t="s">
        <v>59</v>
      </c>
      <c r="N390" t="s">
        <v>59</v>
      </c>
      <c r="O390" t="s">
        <v>59</v>
      </c>
      <c r="P390" t="s">
        <v>59</v>
      </c>
      <c r="Q390" t="s">
        <v>59</v>
      </c>
      <c r="R390" t="s">
        <v>59</v>
      </c>
      <c r="S390" t="s">
        <v>59</v>
      </c>
      <c r="T390" t="s">
        <v>59</v>
      </c>
      <c r="U390" t="s">
        <v>59</v>
      </c>
      <c r="V390" t="s">
        <v>59</v>
      </c>
      <c r="W390" t="s">
        <v>59</v>
      </c>
      <c r="X390" t="s">
        <v>59</v>
      </c>
      <c r="Y390" t="s">
        <v>59</v>
      </c>
    </row>
    <row r="391" spans="1:25" x14ac:dyDescent="0.25">
      <c r="A391">
        <v>217</v>
      </c>
      <c r="B391" t="s">
        <v>5272</v>
      </c>
      <c r="C391" t="s">
        <v>4408</v>
      </c>
      <c r="D391" t="s">
        <v>4409</v>
      </c>
      <c r="E391" t="s">
        <v>4405</v>
      </c>
      <c r="F391">
        <v>-1</v>
      </c>
      <c r="G391" t="s">
        <v>59</v>
      </c>
      <c r="H391" t="s">
        <v>59</v>
      </c>
      <c r="I391" t="s">
        <v>59</v>
      </c>
      <c r="J391" t="s">
        <v>59</v>
      </c>
      <c r="K391" t="s">
        <v>59</v>
      </c>
      <c r="L391" t="s">
        <v>59</v>
      </c>
      <c r="M391" t="s">
        <v>59</v>
      </c>
      <c r="N391" t="s">
        <v>59</v>
      </c>
      <c r="O391" t="s">
        <v>59</v>
      </c>
      <c r="P391" t="s">
        <v>59</v>
      </c>
      <c r="Q391" t="s">
        <v>59</v>
      </c>
      <c r="R391" t="s">
        <v>59</v>
      </c>
      <c r="S391" t="s">
        <v>59</v>
      </c>
      <c r="T391" t="s">
        <v>59</v>
      </c>
      <c r="U391" t="s">
        <v>59</v>
      </c>
      <c r="V391" t="s">
        <v>59</v>
      </c>
      <c r="W391" t="s">
        <v>59</v>
      </c>
      <c r="X391" t="s">
        <v>59</v>
      </c>
      <c r="Y391" t="s">
        <v>59</v>
      </c>
    </row>
    <row r="392" spans="1:25" x14ac:dyDescent="0.25">
      <c r="A392">
        <v>219</v>
      </c>
      <c r="B392" t="s">
        <v>5272</v>
      </c>
      <c r="C392" t="s">
        <v>4412</v>
      </c>
      <c r="D392" t="s">
        <v>4413</v>
      </c>
      <c r="E392" t="s">
        <v>4405</v>
      </c>
      <c r="F392">
        <v>-1</v>
      </c>
      <c r="G392" t="s">
        <v>59</v>
      </c>
      <c r="H392" t="s">
        <v>59</v>
      </c>
      <c r="I392" t="s">
        <v>59</v>
      </c>
      <c r="J392" t="s">
        <v>59</v>
      </c>
      <c r="K392" t="s">
        <v>59</v>
      </c>
      <c r="L392" t="s">
        <v>59</v>
      </c>
      <c r="M392" t="s">
        <v>59</v>
      </c>
      <c r="N392" t="s">
        <v>59</v>
      </c>
      <c r="O392" t="s">
        <v>59</v>
      </c>
      <c r="P392" t="s">
        <v>59</v>
      </c>
      <c r="Q392" t="s">
        <v>59</v>
      </c>
      <c r="R392" t="s">
        <v>59</v>
      </c>
      <c r="S392" t="s">
        <v>59</v>
      </c>
      <c r="T392" t="s">
        <v>59</v>
      </c>
      <c r="U392" t="s">
        <v>59</v>
      </c>
      <c r="V392" t="s">
        <v>59</v>
      </c>
      <c r="W392" t="s">
        <v>59</v>
      </c>
      <c r="X392" t="s">
        <v>59</v>
      </c>
      <c r="Y392" t="s">
        <v>59</v>
      </c>
    </row>
    <row r="393" spans="1:25" x14ac:dyDescent="0.25">
      <c r="A393">
        <v>549</v>
      </c>
      <c r="B393" t="s">
        <v>5272</v>
      </c>
      <c r="C393" t="s">
        <v>4979</v>
      </c>
      <c r="D393" t="s">
        <v>4980</v>
      </c>
      <c r="E393" t="s">
        <v>4981</v>
      </c>
      <c r="F393">
        <v>-1</v>
      </c>
      <c r="G393" t="s">
        <v>59</v>
      </c>
      <c r="H393" t="s">
        <v>59</v>
      </c>
      <c r="I393" t="s">
        <v>59</v>
      </c>
      <c r="J393" t="s">
        <v>59</v>
      </c>
      <c r="K393" t="s">
        <v>59</v>
      </c>
      <c r="L393" t="s">
        <v>59</v>
      </c>
      <c r="M393" t="s">
        <v>59</v>
      </c>
      <c r="N393" t="s">
        <v>59</v>
      </c>
      <c r="O393" t="s">
        <v>59</v>
      </c>
      <c r="P393" t="s">
        <v>59</v>
      </c>
      <c r="Q393" t="s">
        <v>59</v>
      </c>
      <c r="R393" t="s">
        <v>59</v>
      </c>
      <c r="S393" t="s">
        <v>59</v>
      </c>
      <c r="T393" t="s">
        <v>59</v>
      </c>
      <c r="U393" t="s">
        <v>59</v>
      </c>
      <c r="V393" t="s">
        <v>59</v>
      </c>
      <c r="W393" t="s">
        <v>59</v>
      </c>
      <c r="X393" t="s">
        <v>59</v>
      </c>
      <c r="Y393" t="s">
        <v>59</v>
      </c>
    </row>
    <row r="394" spans="1:25" x14ac:dyDescent="0.25">
      <c r="A394">
        <v>550</v>
      </c>
      <c r="B394" t="s">
        <v>5272</v>
      </c>
      <c r="C394" t="s">
        <v>4982</v>
      </c>
      <c r="D394" t="s">
        <v>4983</v>
      </c>
      <c r="E394" t="s">
        <v>4981</v>
      </c>
      <c r="F394">
        <v>-1</v>
      </c>
      <c r="G394" t="s">
        <v>59</v>
      </c>
      <c r="H394" t="s">
        <v>59</v>
      </c>
      <c r="I394" t="s">
        <v>59</v>
      </c>
      <c r="J394" t="s">
        <v>59</v>
      </c>
      <c r="K394" t="s">
        <v>59</v>
      </c>
      <c r="L394" t="s">
        <v>59</v>
      </c>
      <c r="M394" t="s">
        <v>59</v>
      </c>
      <c r="N394" t="s">
        <v>59</v>
      </c>
      <c r="O394" t="s">
        <v>59</v>
      </c>
      <c r="P394" t="s">
        <v>59</v>
      </c>
      <c r="Q394" t="s">
        <v>59</v>
      </c>
      <c r="R394" t="s">
        <v>59</v>
      </c>
      <c r="S394" t="s">
        <v>59</v>
      </c>
      <c r="T394" t="s">
        <v>59</v>
      </c>
      <c r="U394" t="s">
        <v>59</v>
      </c>
      <c r="V394" t="s">
        <v>59</v>
      </c>
      <c r="W394" t="s">
        <v>59</v>
      </c>
      <c r="X394" t="s">
        <v>59</v>
      </c>
      <c r="Y394" t="s">
        <v>59</v>
      </c>
    </row>
    <row r="395" spans="1:25" x14ac:dyDescent="0.25">
      <c r="A395">
        <v>551</v>
      </c>
      <c r="B395" t="s">
        <v>5272</v>
      </c>
      <c r="C395" t="s">
        <v>4984</v>
      </c>
      <c r="D395" t="s">
        <v>4985</v>
      </c>
      <c r="E395" t="s">
        <v>4981</v>
      </c>
      <c r="F395">
        <v>-1</v>
      </c>
      <c r="G395" t="s">
        <v>59</v>
      </c>
      <c r="H395" t="s">
        <v>59</v>
      </c>
      <c r="I395" t="s">
        <v>59</v>
      </c>
      <c r="J395" t="s">
        <v>59</v>
      </c>
      <c r="K395" t="s">
        <v>59</v>
      </c>
      <c r="L395" t="s">
        <v>59</v>
      </c>
      <c r="M395" t="s">
        <v>59</v>
      </c>
      <c r="N395" t="s">
        <v>59</v>
      </c>
      <c r="O395" t="s">
        <v>59</v>
      </c>
      <c r="P395" t="s">
        <v>59</v>
      </c>
      <c r="Q395" t="s">
        <v>59</v>
      </c>
      <c r="R395" t="s">
        <v>59</v>
      </c>
      <c r="S395" t="s">
        <v>59</v>
      </c>
      <c r="T395" t="s">
        <v>59</v>
      </c>
      <c r="U395" t="s">
        <v>59</v>
      </c>
      <c r="V395" t="s">
        <v>59</v>
      </c>
      <c r="W395" t="s">
        <v>59</v>
      </c>
      <c r="X395" t="s">
        <v>59</v>
      </c>
      <c r="Y395" t="s">
        <v>59</v>
      </c>
    </row>
    <row r="396" spans="1:25" x14ac:dyDescent="0.25">
      <c r="A396">
        <v>552</v>
      </c>
      <c r="B396" t="s">
        <v>5272</v>
      </c>
      <c r="C396" t="s">
        <v>4986</v>
      </c>
      <c r="D396" t="s">
        <v>4987</v>
      </c>
      <c r="E396" t="s">
        <v>4981</v>
      </c>
      <c r="F396">
        <v>-1</v>
      </c>
      <c r="G396" t="s">
        <v>59</v>
      </c>
      <c r="H396" t="s">
        <v>59</v>
      </c>
      <c r="I396" t="s">
        <v>59</v>
      </c>
      <c r="J396" t="s">
        <v>59</v>
      </c>
      <c r="K396" t="s">
        <v>59</v>
      </c>
      <c r="L396" t="s">
        <v>59</v>
      </c>
      <c r="M396" t="s">
        <v>59</v>
      </c>
      <c r="N396" t="s">
        <v>59</v>
      </c>
      <c r="O396" t="s">
        <v>59</v>
      </c>
      <c r="P396" t="s">
        <v>59</v>
      </c>
      <c r="Q396" t="s">
        <v>59</v>
      </c>
      <c r="R396" t="s">
        <v>59</v>
      </c>
      <c r="S396" t="s">
        <v>59</v>
      </c>
      <c r="T396" t="s">
        <v>59</v>
      </c>
      <c r="U396" t="s">
        <v>59</v>
      </c>
      <c r="V396" t="s">
        <v>59</v>
      </c>
      <c r="W396" t="s">
        <v>59</v>
      </c>
      <c r="X396" t="s">
        <v>59</v>
      </c>
      <c r="Y396" t="s">
        <v>59</v>
      </c>
    </row>
    <row r="397" spans="1:25" x14ac:dyDescent="0.25">
      <c r="A397">
        <v>553</v>
      </c>
      <c r="B397" t="s">
        <v>5272</v>
      </c>
      <c r="C397" t="s">
        <v>4988</v>
      </c>
      <c r="D397" t="s">
        <v>4989</v>
      </c>
      <c r="E397" t="s">
        <v>4981</v>
      </c>
      <c r="F397">
        <v>-1</v>
      </c>
      <c r="G397" t="s">
        <v>59</v>
      </c>
      <c r="H397" t="s">
        <v>59</v>
      </c>
      <c r="I397" t="s">
        <v>59</v>
      </c>
      <c r="J397" t="s">
        <v>59</v>
      </c>
      <c r="K397" t="s">
        <v>59</v>
      </c>
      <c r="L397" t="s">
        <v>59</v>
      </c>
      <c r="M397" t="s">
        <v>59</v>
      </c>
      <c r="N397" t="s">
        <v>59</v>
      </c>
      <c r="O397" t="s">
        <v>59</v>
      </c>
      <c r="P397" t="s">
        <v>59</v>
      </c>
      <c r="Q397" t="s">
        <v>59</v>
      </c>
      <c r="R397" t="s">
        <v>59</v>
      </c>
      <c r="S397" t="s">
        <v>59</v>
      </c>
      <c r="T397" t="s">
        <v>59</v>
      </c>
      <c r="U397" t="s">
        <v>59</v>
      </c>
      <c r="V397" t="s">
        <v>59</v>
      </c>
      <c r="W397" t="s">
        <v>59</v>
      </c>
      <c r="X397" t="s">
        <v>59</v>
      </c>
      <c r="Y397" t="s">
        <v>59</v>
      </c>
    </row>
    <row r="398" spans="1:25" x14ac:dyDescent="0.25">
      <c r="A398">
        <v>554</v>
      </c>
      <c r="B398" t="s">
        <v>5272</v>
      </c>
      <c r="C398" t="s">
        <v>4990</v>
      </c>
      <c r="D398" t="s">
        <v>4991</v>
      </c>
      <c r="E398" t="s">
        <v>4981</v>
      </c>
      <c r="F398">
        <v>-1</v>
      </c>
      <c r="G398" t="s">
        <v>59</v>
      </c>
      <c r="H398" t="s">
        <v>59</v>
      </c>
      <c r="I398" t="s">
        <v>59</v>
      </c>
      <c r="J398" t="s">
        <v>59</v>
      </c>
      <c r="K398" t="s">
        <v>59</v>
      </c>
      <c r="L398" t="s">
        <v>59</v>
      </c>
      <c r="M398" t="s">
        <v>59</v>
      </c>
      <c r="N398" t="s">
        <v>59</v>
      </c>
      <c r="O398" t="s">
        <v>59</v>
      </c>
      <c r="P398" t="s">
        <v>59</v>
      </c>
      <c r="Q398" t="s">
        <v>59</v>
      </c>
      <c r="R398" t="s">
        <v>59</v>
      </c>
      <c r="S398" t="s">
        <v>59</v>
      </c>
      <c r="T398" t="s">
        <v>59</v>
      </c>
      <c r="U398" t="s">
        <v>59</v>
      </c>
      <c r="V398" t="s">
        <v>59</v>
      </c>
      <c r="W398" t="s">
        <v>59</v>
      </c>
      <c r="X398" t="s">
        <v>59</v>
      </c>
      <c r="Y398" t="s">
        <v>59</v>
      </c>
    </row>
    <row r="399" spans="1:25" x14ac:dyDescent="0.25">
      <c r="A399">
        <v>555</v>
      </c>
      <c r="B399" t="s">
        <v>5272</v>
      </c>
      <c r="C399" t="s">
        <v>4992</v>
      </c>
      <c r="D399" t="s">
        <v>4993</v>
      </c>
      <c r="E399" t="s">
        <v>4981</v>
      </c>
      <c r="F399">
        <v>-1</v>
      </c>
      <c r="G399" t="s">
        <v>59</v>
      </c>
      <c r="H399" t="s">
        <v>59</v>
      </c>
      <c r="I399" t="s">
        <v>59</v>
      </c>
      <c r="J399" t="s">
        <v>59</v>
      </c>
      <c r="K399" t="s">
        <v>59</v>
      </c>
      <c r="L399" t="s">
        <v>59</v>
      </c>
      <c r="M399" t="s">
        <v>59</v>
      </c>
      <c r="N399" t="s">
        <v>59</v>
      </c>
      <c r="O399" t="s">
        <v>59</v>
      </c>
      <c r="P399" t="s">
        <v>59</v>
      </c>
      <c r="Q399" t="s">
        <v>59</v>
      </c>
      <c r="R399" t="s">
        <v>59</v>
      </c>
      <c r="S399" t="s">
        <v>59</v>
      </c>
      <c r="T399" t="s">
        <v>59</v>
      </c>
      <c r="U399" t="s">
        <v>59</v>
      </c>
      <c r="V399" t="s">
        <v>59</v>
      </c>
      <c r="W399" t="s">
        <v>59</v>
      </c>
      <c r="X399" t="s">
        <v>59</v>
      </c>
      <c r="Y399" t="s">
        <v>59</v>
      </c>
    </row>
    <row r="400" spans="1:25" x14ac:dyDescent="0.25">
      <c r="A400">
        <v>556</v>
      </c>
      <c r="B400" t="s">
        <v>5272</v>
      </c>
      <c r="C400" t="s">
        <v>4994</v>
      </c>
      <c r="D400" t="s">
        <v>4995</v>
      </c>
      <c r="E400" t="s">
        <v>4981</v>
      </c>
      <c r="F400">
        <v>-1</v>
      </c>
      <c r="G400" t="s">
        <v>59</v>
      </c>
      <c r="H400" t="s">
        <v>59</v>
      </c>
      <c r="I400" t="s">
        <v>59</v>
      </c>
      <c r="J400" t="s">
        <v>59</v>
      </c>
      <c r="K400" t="s">
        <v>59</v>
      </c>
      <c r="L400" t="s">
        <v>59</v>
      </c>
      <c r="M400" t="s">
        <v>59</v>
      </c>
      <c r="N400" t="s">
        <v>59</v>
      </c>
      <c r="O400" t="s">
        <v>59</v>
      </c>
      <c r="P400" t="s">
        <v>59</v>
      </c>
      <c r="Q400" t="s">
        <v>59</v>
      </c>
      <c r="R400" t="s">
        <v>59</v>
      </c>
      <c r="S400" t="s">
        <v>59</v>
      </c>
      <c r="T400" t="s">
        <v>59</v>
      </c>
      <c r="U400" t="s">
        <v>59</v>
      </c>
      <c r="V400" t="s">
        <v>59</v>
      </c>
      <c r="W400" t="s">
        <v>59</v>
      </c>
      <c r="X400" t="s">
        <v>59</v>
      </c>
      <c r="Y400" t="s">
        <v>59</v>
      </c>
    </row>
    <row r="401" spans="1:25" x14ac:dyDescent="0.25">
      <c r="A401">
        <v>557</v>
      </c>
      <c r="B401" t="s">
        <v>5272</v>
      </c>
      <c r="C401" t="s">
        <v>4996</v>
      </c>
      <c r="D401" t="s">
        <v>4997</v>
      </c>
      <c r="E401" t="s">
        <v>4981</v>
      </c>
      <c r="F401">
        <v>-1</v>
      </c>
      <c r="G401" t="s">
        <v>59</v>
      </c>
      <c r="H401" t="s">
        <v>59</v>
      </c>
      <c r="I401" t="s">
        <v>59</v>
      </c>
      <c r="J401" t="s">
        <v>59</v>
      </c>
      <c r="K401" t="s">
        <v>59</v>
      </c>
      <c r="L401" t="s">
        <v>59</v>
      </c>
      <c r="M401" t="s">
        <v>59</v>
      </c>
      <c r="N401" t="s">
        <v>59</v>
      </c>
      <c r="O401" t="s">
        <v>59</v>
      </c>
      <c r="P401" t="s">
        <v>59</v>
      </c>
      <c r="Q401" t="s">
        <v>59</v>
      </c>
      <c r="R401" t="s">
        <v>59</v>
      </c>
      <c r="S401" t="s">
        <v>59</v>
      </c>
      <c r="T401" t="s">
        <v>59</v>
      </c>
      <c r="U401" t="s">
        <v>59</v>
      </c>
      <c r="V401" t="s">
        <v>59</v>
      </c>
      <c r="W401" t="s">
        <v>59</v>
      </c>
      <c r="X401" t="s">
        <v>59</v>
      </c>
      <c r="Y401" t="s">
        <v>59</v>
      </c>
    </row>
    <row r="402" spans="1:25" x14ac:dyDescent="0.25">
      <c r="A402">
        <v>558</v>
      </c>
      <c r="B402" t="s">
        <v>5272</v>
      </c>
      <c r="C402" t="s">
        <v>4998</v>
      </c>
      <c r="D402" t="s">
        <v>4999</v>
      </c>
      <c r="E402" t="s">
        <v>4981</v>
      </c>
      <c r="F402">
        <v>-1</v>
      </c>
      <c r="G402" t="s">
        <v>59</v>
      </c>
      <c r="H402" t="s">
        <v>59</v>
      </c>
      <c r="I402" t="s">
        <v>59</v>
      </c>
      <c r="J402" t="s">
        <v>59</v>
      </c>
      <c r="K402" t="s">
        <v>59</v>
      </c>
      <c r="L402" t="s">
        <v>59</v>
      </c>
      <c r="M402" t="s">
        <v>59</v>
      </c>
      <c r="N402" t="s">
        <v>59</v>
      </c>
      <c r="O402" t="s">
        <v>59</v>
      </c>
      <c r="P402" t="s">
        <v>59</v>
      </c>
      <c r="Q402" t="s">
        <v>59</v>
      </c>
      <c r="R402" t="s">
        <v>59</v>
      </c>
      <c r="S402" t="s">
        <v>59</v>
      </c>
      <c r="T402" t="s">
        <v>59</v>
      </c>
      <c r="U402" t="s">
        <v>59</v>
      </c>
      <c r="V402" t="s">
        <v>59</v>
      </c>
      <c r="W402" t="s">
        <v>59</v>
      </c>
      <c r="X402" t="s">
        <v>59</v>
      </c>
      <c r="Y402" t="s">
        <v>59</v>
      </c>
    </row>
    <row r="403" spans="1:25" x14ac:dyDescent="0.25">
      <c r="A403">
        <v>559</v>
      </c>
      <c r="B403" t="s">
        <v>5272</v>
      </c>
      <c r="C403" t="s">
        <v>5000</v>
      </c>
      <c r="D403" t="s">
        <v>5001</v>
      </c>
      <c r="E403" t="s">
        <v>4981</v>
      </c>
      <c r="F403">
        <v>-1</v>
      </c>
      <c r="G403" t="s">
        <v>59</v>
      </c>
      <c r="H403" t="s">
        <v>59</v>
      </c>
      <c r="I403" t="s">
        <v>59</v>
      </c>
      <c r="J403" t="s">
        <v>59</v>
      </c>
      <c r="K403" t="s">
        <v>59</v>
      </c>
      <c r="L403" t="s">
        <v>59</v>
      </c>
      <c r="M403" t="s">
        <v>59</v>
      </c>
      <c r="N403" t="s">
        <v>59</v>
      </c>
      <c r="O403" t="s">
        <v>59</v>
      </c>
      <c r="P403" t="s">
        <v>59</v>
      </c>
      <c r="Q403" t="s">
        <v>59</v>
      </c>
      <c r="R403" t="s">
        <v>59</v>
      </c>
      <c r="S403" t="s">
        <v>59</v>
      </c>
      <c r="T403" t="s">
        <v>59</v>
      </c>
      <c r="U403" t="s">
        <v>59</v>
      </c>
      <c r="V403" t="s">
        <v>59</v>
      </c>
      <c r="W403" t="s">
        <v>59</v>
      </c>
      <c r="X403" t="s">
        <v>59</v>
      </c>
      <c r="Y403" t="s">
        <v>59</v>
      </c>
    </row>
    <row r="404" spans="1:25" x14ac:dyDescent="0.25">
      <c r="A404">
        <v>560</v>
      </c>
      <c r="B404" t="s">
        <v>5272</v>
      </c>
      <c r="C404" t="s">
        <v>5002</v>
      </c>
      <c r="D404" t="s">
        <v>5003</v>
      </c>
      <c r="E404" t="s">
        <v>4981</v>
      </c>
      <c r="F404">
        <v>-1</v>
      </c>
      <c r="G404" t="s">
        <v>59</v>
      </c>
      <c r="H404" t="s">
        <v>59</v>
      </c>
      <c r="I404" t="s">
        <v>59</v>
      </c>
      <c r="J404" t="s">
        <v>59</v>
      </c>
      <c r="K404" t="s">
        <v>59</v>
      </c>
      <c r="L404" t="s">
        <v>59</v>
      </c>
      <c r="M404" t="s">
        <v>59</v>
      </c>
      <c r="N404" t="s">
        <v>59</v>
      </c>
      <c r="O404" t="s">
        <v>59</v>
      </c>
      <c r="P404" t="s">
        <v>59</v>
      </c>
      <c r="Q404" t="s">
        <v>59</v>
      </c>
      <c r="R404" t="s">
        <v>59</v>
      </c>
      <c r="S404" t="s">
        <v>59</v>
      </c>
      <c r="T404" t="s">
        <v>59</v>
      </c>
      <c r="U404" t="s">
        <v>59</v>
      </c>
      <c r="V404" t="s">
        <v>59</v>
      </c>
      <c r="W404" t="s">
        <v>59</v>
      </c>
      <c r="X404" t="s">
        <v>59</v>
      </c>
      <c r="Y404" t="s">
        <v>59</v>
      </c>
    </row>
    <row r="405" spans="1:25" x14ac:dyDescent="0.25">
      <c r="A405">
        <v>561</v>
      </c>
      <c r="B405" t="s">
        <v>5272</v>
      </c>
      <c r="C405" t="s">
        <v>5004</v>
      </c>
      <c r="D405" t="s">
        <v>5005</v>
      </c>
      <c r="E405" t="s">
        <v>4981</v>
      </c>
      <c r="F405">
        <v>-1</v>
      </c>
      <c r="G405" t="s">
        <v>59</v>
      </c>
      <c r="H405" t="s">
        <v>59</v>
      </c>
      <c r="I405" t="s">
        <v>59</v>
      </c>
      <c r="J405" t="s">
        <v>59</v>
      </c>
      <c r="K405" t="s">
        <v>59</v>
      </c>
      <c r="L405" t="s">
        <v>59</v>
      </c>
      <c r="M405" t="s">
        <v>59</v>
      </c>
      <c r="N405" t="s">
        <v>59</v>
      </c>
      <c r="O405" t="s">
        <v>59</v>
      </c>
      <c r="P405" t="s">
        <v>59</v>
      </c>
      <c r="Q405" t="s">
        <v>59</v>
      </c>
      <c r="R405" t="s">
        <v>59</v>
      </c>
      <c r="S405" t="s">
        <v>59</v>
      </c>
      <c r="T405" t="s">
        <v>59</v>
      </c>
      <c r="U405" t="s">
        <v>59</v>
      </c>
      <c r="V405" t="s">
        <v>59</v>
      </c>
      <c r="W405" t="s">
        <v>59</v>
      </c>
      <c r="X405" t="s">
        <v>59</v>
      </c>
      <c r="Y405" t="s">
        <v>59</v>
      </c>
    </row>
    <row r="406" spans="1:25" x14ac:dyDescent="0.25">
      <c r="A406">
        <v>464</v>
      </c>
      <c r="B406" t="s">
        <v>5272</v>
      </c>
      <c r="C406" t="s">
        <v>4825</v>
      </c>
      <c r="D406" t="s">
        <v>4826</v>
      </c>
      <c r="E406" t="s">
        <v>4416</v>
      </c>
      <c r="F406">
        <v>-1</v>
      </c>
      <c r="G406" t="s">
        <v>59</v>
      </c>
      <c r="H406" t="s">
        <v>59</v>
      </c>
      <c r="I406" t="s">
        <v>59</v>
      </c>
      <c r="J406" t="s">
        <v>59</v>
      </c>
      <c r="K406" t="s">
        <v>59</v>
      </c>
      <c r="L406" t="s">
        <v>59</v>
      </c>
      <c r="M406" t="s">
        <v>59</v>
      </c>
      <c r="N406" t="s">
        <v>59</v>
      </c>
      <c r="O406" t="s">
        <v>59</v>
      </c>
      <c r="P406" t="s">
        <v>59</v>
      </c>
      <c r="Q406" t="s">
        <v>59</v>
      </c>
      <c r="R406" t="s">
        <v>59</v>
      </c>
      <c r="S406" t="s">
        <v>59</v>
      </c>
      <c r="T406" t="s">
        <v>59</v>
      </c>
      <c r="U406" t="s">
        <v>59</v>
      </c>
      <c r="V406" t="s">
        <v>59</v>
      </c>
      <c r="W406" t="s">
        <v>59</v>
      </c>
      <c r="X406" t="s">
        <v>59</v>
      </c>
      <c r="Y406" t="s">
        <v>59</v>
      </c>
    </row>
    <row r="407" spans="1:25" x14ac:dyDescent="0.25">
      <c r="A407">
        <v>465</v>
      </c>
      <c r="B407" t="s">
        <v>5272</v>
      </c>
      <c r="C407" t="s">
        <v>4827</v>
      </c>
      <c r="D407" t="s">
        <v>4828</v>
      </c>
      <c r="E407" t="s">
        <v>4416</v>
      </c>
      <c r="F407">
        <v>-1</v>
      </c>
      <c r="G407" t="s">
        <v>59</v>
      </c>
      <c r="H407" t="s">
        <v>59</v>
      </c>
      <c r="I407" t="s">
        <v>59</v>
      </c>
      <c r="J407" t="s">
        <v>59</v>
      </c>
      <c r="K407" t="s">
        <v>59</v>
      </c>
      <c r="L407" t="s">
        <v>59</v>
      </c>
      <c r="M407" t="s">
        <v>59</v>
      </c>
      <c r="N407" t="s">
        <v>59</v>
      </c>
      <c r="O407" t="s">
        <v>59</v>
      </c>
      <c r="P407" t="s">
        <v>59</v>
      </c>
      <c r="Q407" t="s">
        <v>59</v>
      </c>
      <c r="R407" t="s">
        <v>59</v>
      </c>
      <c r="S407" t="s">
        <v>59</v>
      </c>
      <c r="T407" t="s">
        <v>59</v>
      </c>
      <c r="U407" t="s">
        <v>59</v>
      </c>
      <c r="V407" t="s">
        <v>59</v>
      </c>
      <c r="W407" t="s">
        <v>59</v>
      </c>
      <c r="X407" t="s">
        <v>59</v>
      </c>
      <c r="Y407" t="s">
        <v>59</v>
      </c>
    </row>
    <row r="408" spans="1:25" x14ac:dyDescent="0.25">
      <c r="A408">
        <v>466</v>
      </c>
      <c r="B408" t="s">
        <v>5272</v>
      </c>
      <c r="C408" t="s">
        <v>4829</v>
      </c>
      <c r="D408" t="s">
        <v>4830</v>
      </c>
      <c r="E408" t="s">
        <v>4416</v>
      </c>
      <c r="F408">
        <v>-1</v>
      </c>
      <c r="G408" t="s">
        <v>59</v>
      </c>
      <c r="H408" t="s">
        <v>59</v>
      </c>
      <c r="I408" t="s">
        <v>59</v>
      </c>
      <c r="J408" t="s">
        <v>59</v>
      </c>
      <c r="K408" t="s">
        <v>59</v>
      </c>
      <c r="L408" t="s">
        <v>59</v>
      </c>
      <c r="M408" t="s">
        <v>59</v>
      </c>
      <c r="N408" t="s">
        <v>59</v>
      </c>
      <c r="O408" t="s">
        <v>59</v>
      </c>
      <c r="P408" t="s">
        <v>59</v>
      </c>
      <c r="Q408" t="s">
        <v>59</v>
      </c>
      <c r="R408" t="s">
        <v>59</v>
      </c>
      <c r="S408" t="s">
        <v>59</v>
      </c>
      <c r="T408" t="s">
        <v>59</v>
      </c>
      <c r="U408" t="s">
        <v>59</v>
      </c>
      <c r="V408" t="s">
        <v>59</v>
      </c>
      <c r="W408" t="s">
        <v>59</v>
      </c>
      <c r="X408" t="s">
        <v>59</v>
      </c>
      <c r="Y408" t="s">
        <v>59</v>
      </c>
    </row>
    <row r="409" spans="1:25" x14ac:dyDescent="0.25">
      <c r="A409">
        <v>467</v>
      </c>
      <c r="B409" t="s">
        <v>5272</v>
      </c>
      <c r="C409" t="s">
        <v>4831</v>
      </c>
      <c r="D409" t="s">
        <v>4832</v>
      </c>
      <c r="E409" t="s">
        <v>4416</v>
      </c>
      <c r="F409">
        <v>-1</v>
      </c>
      <c r="G409" t="s">
        <v>59</v>
      </c>
      <c r="H409" t="s">
        <v>59</v>
      </c>
      <c r="I409" t="s">
        <v>59</v>
      </c>
      <c r="J409" t="s">
        <v>59</v>
      </c>
      <c r="K409" t="s">
        <v>59</v>
      </c>
      <c r="L409" t="s">
        <v>59</v>
      </c>
      <c r="M409" t="s">
        <v>59</v>
      </c>
      <c r="N409" t="s">
        <v>59</v>
      </c>
      <c r="O409" t="s">
        <v>59</v>
      </c>
      <c r="P409" t="s">
        <v>59</v>
      </c>
      <c r="Q409" t="s">
        <v>59</v>
      </c>
      <c r="R409" t="s">
        <v>59</v>
      </c>
      <c r="S409" t="s">
        <v>59</v>
      </c>
      <c r="T409" t="s">
        <v>59</v>
      </c>
      <c r="U409" t="s">
        <v>59</v>
      </c>
      <c r="V409" t="s">
        <v>59</v>
      </c>
      <c r="W409" t="s">
        <v>59</v>
      </c>
      <c r="X409" t="s">
        <v>59</v>
      </c>
      <c r="Y409" t="s">
        <v>59</v>
      </c>
    </row>
    <row r="410" spans="1:25" x14ac:dyDescent="0.25">
      <c r="A410">
        <v>468</v>
      </c>
      <c r="B410" t="s">
        <v>5272</v>
      </c>
      <c r="C410" t="s">
        <v>4833</v>
      </c>
      <c r="D410" t="s">
        <v>4834</v>
      </c>
      <c r="E410" t="s">
        <v>4416</v>
      </c>
      <c r="F410">
        <v>-1</v>
      </c>
      <c r="G410" t="s">
        <v>59</v>
      </c>
      <c r="H410" t="s">
        <v>59</v>
      </c>
      <c r="I410" t="s">
        <v>59</v>
      </c>
      <c r="J410" t="s">
        <v>59</v>
      </c>
      <c r="K410" t="s">
        <v>59</v>
      </c>
      <c r="L410" t="s">
        <v>59</v>
      </c>
      <c r="M410" t="s">
        <v>59</v>
      </c>
      <c r="N410" t="s">
        <v>59</v>
      </c>
      <c r="O410" t="s">
        <v>59</v>
      </c>
      <c r="P410" t="s">
        <v>59</v>
      </c>
      <c r="Q410" t="s">
        <v>59</v>
      </c>
      <c r="R410" t="s">
        <v>59</v>
      </c>
      <c r="S410" t="s">
        <v>59</v>
      </c>
      <c r="T410" t="s">
        <v>59</v>
      </c>
      <c r="U410" t="s">
        <v>59</v>
      </c>
      <c r="V410" t="s">
        <v>59</v>
      </c>
      <c r="W410" t="s">
        <v>59</v>
      </c>
      <c r="X410" t="s">
        <v>59</v>
      </c>
      <c r="Y410" t="s">
        <v>59</v>
      </c>
    </row>
    <row r="411" spans="1:25" x14ac:dyDescent="0.25">
      <c r="A411">
        <v>455</v>
      </c>
      <c r="B411" t="s">
        <v>5272</v>
      </c>
      <c r="C411" t="s">
        <v>4807</v>
      </c>
      <c r="D411" t="s">
        <v>4808</v>
      </c>
      <c r="E411" t="s">
        <v>4416</v>
      </c>
      <c r="F411">
        <v>-1</v>
      </c>
      <c r="G411" t="s">
        <v>59</v>
      </c>
      <c r="H411" t="s">
        <v>59</v>
      </c>
      <c r="I411" t="s">
        <v>59</v>
      </c>
      <c r="J411" t="s">
        <v>59</v>
      </c>
      <c r="K411" t="s">
        <v>59</v>
      </c>
      <c r="L411" t="s">
        <v>59</v>
      </c>
      <c r="M411" t="s">
        <v>59</v>
      </c>
      <c r="N411" t="s">
        <v>59</v>
      </c>
      <c r="O411" t="s">
        <v>59</v>
      </c>
      <c r="P411" t="s">
        <v>59</v>
      </c>
      <c r="Q411" t="s">
        <v>59</v>
      </c>
      <c r="R411" t="s">
        <v>59</v>
      </c>
      <c r="S411" t="s">
        <v>59</v>
      </c>
      <c r="T411" t="s">
        <v>59</v>
      </c>
      <c r="U411" t="s">
        <v>59</v>
      </c>
      <c r="V411" t="s">
        <v>59</v>
      </c>
      <c r="W411" t="s">
        <v>59</v>
      </c>
      <c r="X411" t="s">
        <v>59</v>
      </c>
      <c r="Y411" t="s">
        <v>59</v>
      </c>
    </row>
    <row r="412" spans="1:25" x14ac:dyDescent="0.25">
      <c r="A412">
        <v>456</v>
      </c>
      <c r="B412" t="s">
        <v>5272</v>
      </c>
      <c r="C412" t="s">
        <v>4809</v>
      </c>
      <c r="D412" t="s">
        <v>4810</v>
      </c>
      <c r="E412" t="s">
        <v>4416</v>
      </c>
      <c r="F412">
        <v>-1</v>
      </c>
      <c r="G412" t="s">
        <v>59</v>
      </c>
      <c r="H412" t="s">
        <v>59</v>
      </c>
      <c r="I412" t="s">
        <v>59</v>
      </c>
      <c r="J412" t="s">
        <v>59</v>
      </c>
      <c r="K412" t="s">
        <v>59</v>
      </c>
      <c r="L412" t="s">
        <v>59</v>
      </c>
      <c r="M412" t="s">
        <v>59</v>
      </c>
      <c r="N412" t="s">
        <v>59</v>
      </c>
      <c r="O412" t="s">
        <v>59</v>
      </c>
      <c r="P412" t="s">
        <v>59</v>
      </c>
      <c r="Q412" t="s">
        <v>59</v>
      </c>
      <c r="R412" t="s">
        <v>59</v>
      </c>
      <c r="S412" t="s">
        <v>59</v>
      </c>
      <c r="T412" t="s">
        <v>59</v>
      </c>
      <c r="U412" t="s">
        <v>59</v>
      </c>
      <c r="V412" t="s">
        <v>59</v>
      </c>
      <c r="W412" t="s">
        <v>59</v>
      </c>
      <c r="X412" t="s">
        <v>59</v>
      </c>
      <c r="Y412" t="s">
        <v>59</v>
      </c>
    </row>
    <row r="413" spans="1:25" x14ac:dyDescent="0.25">
      <c r="A413">
        <v>457</v>
      </c>
      <c r="B413" t="s">
        <v>5272</v>
      </c>
      <c r="C413" t="s">
        <v>4811</v>
      </c>
      <c r="D413" t="s">
        <v>4812</v>
      </c>
      <c r="E413" t="s">
        <v>4416</v>
      </c>
      <c r="F413">
        <v>-1</v>
      </c>
      <c r="G413" t="s">
        <v>59</v>
      </c>
      <c r="H413" t="s">
        <v>59</v>
      </c>
      <c r="I413" t="s">
        <v>59</v>
      </c>
      <c r="J413" t="s">
        <v>59</v>
      </c>
      <c r="K413" t="s">
        <v>59</v>
      </c>
      <c r="L413" t="s">
        <v>59</v>
      </c>
      <c r="M413" t="s">
        <v>59</v>
      </c>
      <c r="N413" t="s">
        <v>59</v>
      </c>
      <c r="O413" t="s">
        <v>59</v>
      </c>
      <c r="P413" t="s">
        <v>59</v>
      </c>
      <c r="Q413" t="s">
        <v>59</v>
      </c>
      <c r="R413" t="s">
        <v>59</v>
      </c>
      <c r="S413" t="s">
        <v>59</v>
      </c>
      <c r="T413" t="s">
        <v>59</v>
      </c>
      <c r="U413" t="s">
        <v>59</v>
      </c>
      <c r="V413" t="s">
        <v>59</v>
      </c>
      <c r="W413" t="s">
        <v>59</v>
      </c>
      <c r="X413" t="s">
        <v>59</v>
      </c>
      <c r="Y413" t="s">
        <v>59</v>
      </c>
    </row>
    <row r="414" spans="1:25" x14ac:dyDescent="0.25">
      <c r="A414">
        <v>458</v>
      </c>
      <c r="B414" t="s">
        <v>5272</v>
      </c>
      <c r="C414" t="s">
        <v>4813</v>
      </c>
      <c r="D414" t="s">
        <v>4814</v>
      </c>
      <c r="E414" t="s">
        <v>4416</v>
      </c>
      <c r="F414">
        <v>-1</v>
      </c>
      <c r="G414" t="s">
        <v>59</v>
      </c>
      <c r="H414" t="s">
        <v>59</v>
      </c>
      <c r="I414" t="s">
        <v>59</v>
      </c>
      <c r="J414" t="s">
        <v>59</v>
      </c>
      <c r="K414" t="s">
        <v>59</v>
      </c>
      <c r="L414" t="s">
        <v>59</v>
      </c>
      <c r="M414" t="s">
        <v>59</v>
      </c>
      <c r="N414" t="s">
        <v>59</v>
      </c>
      <c r="O414" t="s">
        <v>59</v>
      </c>
      <c r="P414" t="s">
        <v>59</v>
      </c>
      <c r="Q414" t="s">
        <v>59</v>
      </c>
      <c r="R414" t="s">
        <v>59</v>
      </c>
      <c r="S414" t="s">
        <v>59</v>
      </c>
      <c r="T414" t="s">
        <v>59</v>
      </c>
      <c r="U414" t="s">
        <v>59</v>
      </c>
      <c r="V414" t="s">
        <v>59</v>
      </c>
      <c r="W414" t="s">
        <v>59</v>
      </c>
      <c r="X414" t="s">
        <v>59</v>
      </c>
      <c r="Y414" t="s">
        <v>59</v>
      </c>
    </row>
    <row r="415" spans="1:25" x14ac:dyDescent="0.25">
      <c r="A415">
        <v>459</v>
      </c>
      <c r="B415" t="s">
        <v>5272</v>
      </c>
      <c r="C415" t="s">
        <v>4815</v>
      </c>
      <c r="D415" t="s">
        <v>4816</v>
      </c>
      <c r="E415" t="s">
        <v>4416</v>
      </c>
      <c r="F415">
        <v>-1</v>
      </c>
      <c r="G415" t="s">
        <v>59</v>
      </c>
      <c r="H415" t="s">
        <v>59</v>
      </c>
      <c r="I415" t="s">
        <v>59</v>
      </c>
      <c r="J415" t="s">
        <v>59</v>
      </c>
      <c r="K415" t="s">
        <v>59</v>
      </c>
      <c r="L415" t="s">
        <v>59</v>
      </c>
      <c r="M415" t="s">
        <v>59</v>
      </c>
      <c r="N415" t="s">
        <v>59</v>
      </c>
      <c r="O415" t="s">
        <v>59</v>
      </c>
      <c r="P415" t="s">
        <v>59</v>
      </c>
      <c r="Q415" t="s">
        <v>59</v>
      </c>
      <c r="R415" t="s">
        <v>59</v>
      </c>
      <c r="S415" t="s">
        <v>59</v>
      </c>
      <c r="T415" t="s">
        <v>59</v>
      </c>
      <c r="U415" t="s">
        <v>59</v>
      </c>
      <c r="V415" t="s">
        <v>59</v>
      </c>
      <c r="W415" t="s">
        <v>59</v>
      </c>
      <c r="X415" t="s">
        <v>59</v>
      </c>
      <c r="Y415" t="s">
        <v>59</v>
      </c>
    </row>
    <row r="416" spans="1:25" x14ac:dyDescent="0.25">
      <c r="A416">
        <v>460</v>
      </c>
      <c r="B416" t="s">
        <v>5272</v>
      </c>
      <c r="C416" t="s">
        <v>4817</v>
      </c>
      <c r="D416" t="s">
        <v>4818</v>
      </c>
      <c r="E416" t="s">
        <v>4416</v>
      </c>
      <c r="F416">
        <v>-1</v>
      </c>
      <c r="G416" t="s">
        <v>59</v>
      </c>
      <c r="H416" t="s">
        <v>59</v>
      </c>
      <c r="I416" t="s">
        <v>59</v>
      </c>
      <c r="J416" t="s">
        <v>59</v>
      </c>
      <c r="K416" t="s">
        <v>59</v>
      </c>
      <c r="L416" t="s">
        <v>59</v>
      </c>
      <c r="M416" t="s">
        <v>59</v>
      </c>
      <c r="N416" t="s">
        <v>59</v>
      </c>
      <c r="O416" t="s">
        <v>59</v>
      </c>
      <c r="P416" t="s">
        <v>59</v>
      </c>
      <c r="Q416" t="s">
        <v>59</v>
      </c>
      <c r="R416" t="s">
        <v>59</v>
      </c>
      <c r="S416" t="s">
        <v>59</v>
      </c>
      <c r="T416" t="s">
        <v>59</v>
      </c>
      <c r="U416" t="s">
        <v>59</v>
      </c>
      <c r="V416" t="s">
        <v>59</v>
      </c>
      <c r="W416" t="s">
        <v>59</v>
      </c>
      <c r="X416" t="s">
        <v>59</v>
      </c>
      <c r="Y416" t="s">
        <v>59</v>
      </c>
    </row>
    <row r="417" spans="1:25" x14ac:dyDescent="0.25">
      <c r="A417">
        <v>461</v>
      </c>
      <c r="B417" t="s">
        <v>5272</v>
      </c>
      <c r="C417" t="s">
        <v>4819</v>
      </c>
      <c r="D417" t="s">
        <v>4820</v>
      </c>
      <c r="E417" t="s">
        <v>4416</v>
      </c>
      <c r="F417">
        <v>-1</v>
      </c>
      <c r="G417" t="s">
        <v>59</v>
      </c>
      <c r="H417" t="s">
        <v>59</v>
      </c>
      <c r="I417" t="s">
        <v>59</v>
      </c>
      <c r="J417" t="s">
        <v>59</v>
      </c>
      <c r="K417" t="s">
        <v>59</v>
      </c>
      <c r="L417" t="s">
        <v>59</v>
      </c>
      <c r="M417" t="s">
        <v>59</v>
      </c>
      <c r="N417" t="s">
        <v>59</v>
      </c>
      <c r="O417" t="s">
        <v>59</v>
      </c>
      <c r="P417" t="s">
        <v>59</v>
      </c>
      <c r="Q417" t="s">
        <v>59</v>
      </c>
      <c r="R417" t="s">
        <v>59</v>
      </c>
      <c r="S417" t="s">
        <v>59</v>
      </c>
      <c r="T417" t="s">
        <v>59</v>
      </c>
      <c r="U417" t="s">
        <v>59</v>
      </c>
      <c r="V417" t="s">
        <v>59</v>
      </c>
      <c r="W417" t="s">
        <v>59</v>
      </c>
      <c r="X417" t="s">
        <v>59</v>
      </c>
      <c r="Y417" t="s">
        <v>59</v>
      </c>
    </row>
    <row r="418" spans="1:25" x14ac:dyDescent="0.25">
      <c r="A418">
        <v>462</v>
      </c>
      <c r="B418" t="s">
        <v>5272</v>
      </c>
      <c r="C418" t="s">
        <v>4821</v>
      </c>
      <c r="D418" t="s">
        <v>4822</v>
      </c>
      <c r="E418" t="s">
        <v>4416</v>
      </c>
      <c r="F418">
        <v>-1</v>
      </c>
      <c r="G418" t="s">
        <v>59</v>
      </c>
      <c r="H418" t="s">
        <v>59</v>
      </c>
      <c r="I418" t="s">
        <v>59</v>
      </c>
      <c r="J418" t="s">
        <v>59</v>
      </c>
      <c r="K418" t="s">
        <v>59</v>
      </c>
      <c r="L418" t="s">
        <v>59</v>
      </c>
      <c r="M418" t="s">
        <v>59</v>
      </c>
      <c r="N418" t="s">
        <v>59</v>
      </c>
      <c r="O418" t="s">
        <v>59</v>
      </c>
      <c r="P418" t="s">
        <v>59</v>
      </c>
      <c r="Q418" t="s">
        <v>59</v>
      </c>
      <c r="R418" t="s">
        <v>59</v>
      </c>
      <c r="S418" t="s">
        <v>59</v>
      </c>
      <c r="T418" t="s">
        <v>59</v>
      </c>
      <c r="U418" t="s">
        <v>59</v>
      </c>
      <c r="V418" t="s">
        <v>59</v>
      </c>
      <c r="W418" t="s">
        <v>59</v>
      </c>
      <c r="X418" t="s">
        <v>59</v>
      </c>
      <c r="Y418" t="s">
        <v>59</v>
      </c>
    </row>
    <row r="419" spans="1:25" x14ac:dyDescent="0.25">
      <c r="A419">
        <v>463</v>
      </c>
      <c r="B419" t="s">
        <v>5272</v>
      </c>
      <c r="C419" t="s">
        <v>4823</v>
      </c>
      <c r="D419" t="s">
        <v>4824</v>
      </c>
      <c r="E419" t="s">
        <v>4416</v>
      </c>
      <c r="F419">
        <v>-1</v>
      </c>
      <c r="G419" t="s">
        <v>59</v>
      </c>
      <c r="H419" t="s">
        <v>59</v>
      </c>
      <c r="I419" t="s">
        <v>59</v>
      </c>
      <c r="J419" t="s">
        <v>59</v>
      </c>
      <c r="K419" t="s">
        <v>59</v>
      </c>
      <c r="L419" t="s">
        <v>59</v>
      </c>
      <c r="M419" t="s">
        <v>59</v>
      </c>
      <c r="N419" t="s">
        <v>59</v>
      </c>
      <c r="O419" t="s">
        <v>59</v>
      </c>
      <c r="P419" t="s">
        <v>59</v>
      </c>
      <c r="Q419" t="s">
        <v>59</v>
      </c>
      <c r="R419" t="s">
        <v>59</v>
      </c>
      <c r="S419" t="s">
        <v>59</v>
      </c>
      <c r="T419" t="s">
        <v>59</v>
      </c>
      <c r="U419" t="s">
        <v>59</v>
      </c>
      <c r="V419" t="s">
        <v>59</v>
      </c>
      <c r="W419" t="s">
        <v>59</v>
      </c>
      <c r="X419" t="s">
        <v>59</v>
      </c>
      <c r="Y419" t="s">
        <v>59</v>
      </c>
    </row>
    <row r="420" spans="1:25" x14ac:dyDescent="0.25">
      <c r="A420">
        <v>223</v>
      </c>
      <c r="B420" t="s">
        <v>5272</v>
      </c>
      <c r="C420" t="s">
        <v>4421</v>
      </c>
      <c r="D420" t="s">
        <v>4422</v>
      </c>
      <c r="E420" t="s">
        <v>4416</v>
      </c>
      <c r="F420">
        <v>-1</v>
      </c>
      <c r="G420" t="s">
        <v>59</v>
      </c>
      <c r="H420" t="s">
        <v>59</v>
      </c>
      <c r="I420" t="s">
        <v>59</v>
      </c>
      <c r="J420" t="s">
        <v>59</v>
      </c>
      <c r="K420" t="s">
        <v>59</v>
      </c>
      <c r="L420" t="s">
        <v>59</v>
      </c>
      <c r="M420" t="s">
        <v>59</v>
      </c>
      <c r="N420" t="s">
        <v>59</v>
      </c>
      <c r="O420" t="s">
        <v>59</v>
      </c>
      <c r="P420" t="s">
        <v>59</v>
      </c>
      <c r="Q420" t="s">
        <v>59</v>
      </c>
      <c r="R420" t="s">
        <v>59</v>
      </c>
      <c r="S420" t="s">
        <v>59</v>
      </c>
      <c r="T420" t="s">
        <v>59</v>
      </c>
      <c r="U420" t="s">
        <v>59</v>
      </c>
      <c r="V420" t="s">
        <v>59</v>
      </c>
      <c r="W420" t="s">
        <v>59</v>
      </c>
      <c r="X420" t="s">
        <v>59</v>
      </c>
      <c r="Y420" t="s">
        <v>59</v>
      </c>
    </row>
    <row r="421" spans="1:25" x14ac:dyDescent="0.25">
      <c r="A421">
        <v>220</v>
      </c>
      <c r="B421" t="s">
        <v>5272</v>
      </c>
      <c r="C421" t="s">
        <v>4414</v>
      </c>
      <c r="D421" t="s">
        <v>4415</v>
      </c>
      <c r="E421" t="s">
        <v>4416</v>
      </c>
      <c r="F421">
        <v>-1</v>
      </c>
      <c r="G421" t="s">
        <v>59</v>
      </c>
      <c r="H421" t="s">
        <v>59</v>
      </c>
      <c r="I421" t="s">
        <v>59</v>
      </c>
      <c r="J421" t="s">
        <v>59</v>
      </c>
      <c r="K421" t="s">
        <v>59</v>
      </c>
      <c r="L421" t="s">
        <v>59</v>
      </c>
      <c r="M421" t="s">
        <v>59</v>
      </c>
      <c r="N421" t="s">
        <v>59</v>
      </c>
      <c r="O421" t="s">
        <v>59</v>
      </c>
      <c r="P421" t="s">
        <v>59</v>
      </c>
      <c r="Q421" t="s">
        <v>59</v>
      </c>
      <c r="R421" t="s">
        <v>59</v>
      </c>
      <c r="S421" t="s">
        <v>59</v>
      </c>
      <c r="T421" t="s">
        <v>59</v>
      </c>
      <c r="U421" t="s">
        <v>59</v>
      </c>
      <c r="V421" t="s">
        <v>59</v>
      </c>
      <c r="W421" t="s">
        <v>59</v>
      </c>
      <c r="X421" t="s">
        <v>59</v>
      </c>
      <c r="Y421" t="s">
        <v>59</v>
      </c>
    </row>
    <row r="422" spans="1:25" x14ac:dyDescent="0.25">
      <c r="A422">
        <v>221</v>
      </c>
      <c r="B422" t="s">
        <v>5272</v>
      </c>
      <c r="C422" t="s">
        <v>4417</v>
      </c>
      <c r="D422" t="s">
        <v>4418</v>
      </c>
      <c r="E422" t="s">
        <v>4416</v>
      </c>
      <c r="F422">
        <v>-1</v>
      </c>
      <c r="G422" t="s">
        <v>59</v>
      </c>
      <c r="H422" t="s">
        <v>59</v>
      </c>
      <c r="I422" t="s">
        <v>59</v>
      </c>
      <c r="J422" t="s">
        <v>59</v>
      </c>
      <c r="K422" t="s">
        <v>59</v>
      </c>
      <c r="L422" t="s">
        <v>59</v>
      </c>
      <c r="M422" t="s">
        <v>59</v>
      </c>
      <c r="N422" t="s">
        <v>59</v>
      </c>
      <c r="O422" t="s">
        <v>59</v>
      </c>
      <c r="P422" t="s">
        <v>59</v>
      </c>
      <c r="Q422" t="s">
        <v>59</v>
      </c>
      <c r="R422" t="s">
        <v>59</v>
      </c>
      <c r="S422" t="s">
        <v>59</v>
      </c>
      <c r="T422" t="s">
        <v>59</v>
      </c>
      <c r="U422" t="s">
        <v>59</v>
      </c>
      <c r="V422" t="s">
        <v>59</v>
      </c>
      <c r="W422" t="s">
        <v>59</v>
      </c>
      <c r="X422" t="s">
        <v>59</v>
      </c>
      <c r="Y422" t="s">
        <v>59</v>
      </c>
    </row>
    <row r="423" spans="1:25" x14ac:dyDescent="0.25">
      <c r="A423">
        <v>224</v>
      </c>
      <c r="B423" t="s">
        <v>5272</v>
      </c>
      <c r="C423" t="s">
        <v>4423</v>
      </c>
      <c r="D423" t="s">
        <v>4424</v>
      </c>
      <c r="E423" t="s">
        <v>4416</v>
      </c>
      <c r="F423">
        <v>-1</v>
      </c>
      <c r="G423" t="s">
        <v>59</v>
      </c>
      <c r="H423" t="s">
        <v>59</v>
      </c>
      <c r="I423" t="s">
        <v>59</v>
      </c>
      <c r="J423" t="s">
        <v>59</v>
      </c>
      <c r="K423" t="s">
        <v>59</v>
      </c>
      <c r="L423" t="s">
        <v>59</v>
      </c>
      <c r="M423" t="s">
        <v>59</v>
      </c>
      <c r="N423" t="s">
        <v>59</v>
      </c>
      <c r="O423" t="s">
        <v>59</v>
      </c>
      <c r="P423" t="s">
        <v>59</v>
      </c>
      <c r="Q423" t="s">
        <v>59</v>
      </c>
      <c r="R423" t="s">
        <v>59</v>
      </c>
      <c r="S423" t="s">
        <v>59</v>
      </c>
      <c r="T423" t="s">
        <v>59</v>
      </c>
      <c r="U423" t="s">
        <v>59</v>
      </c>
      <c r="V423" t="s">
        <v>59</v>
      </c>
      <c r="W423" t="s">
        <v>59</v>
      </c>
      <c r="X423" t="s">
        <v>59</v>
      </c>
      <c r="Y423" t="s">
        <v>59</v>
      </c>
    </row>
    <row r="424" spans="1:25" x14ac:dyDescent="0.25">
      <c r="A424">
        <v>225</v>
      </c>
      <c r="B424" t="s">
        <v>5272</v>
      </c>
      <c r="C424" t="s">
        <v>4425</v>
      </c>
      <c r="D424" t="s">
        <v>4426</v>
      </c>
      <c r="E424" t="s">
        <v>4416</v>
      </c>
      <c r="F424">
        <v>-1</v>
      </c>
      <c r="G424" t="s">
        <v>59</v>
      </c>
      <c r="H424" t="s">
        <v>59</v>
      </c>
      <c r="I424" t="s">
        <v>59</v>
      </c>
      <c r="J424" t="s">
        <v>59</v>
      </c>
      <c r="K424" t="s">
        <v>59</v>
      </c>
      <c r="L424" t="s">
        <v>59</v>
      </c>
      <c r="M424" t="s">
        <v>59</v>
      </c>
      <c r="N424" t="s">
        <v>59</v>
      </c>
      <c r="O424" t="s">
        <v>59</v>
      </c>
      <c r="P424" t="s">
        <v>59</v>
      </c>
      <c r="Q424" t="s">
        <v>59</v>
      </c>
      <c r="R424" t="s">
        <v>59</v>
      </c>
      <c r="S424" t="s">
        <v>59</v>
      </c>
      <c r="T424" t="s">
        <v>59</v>
      </c>
      <c r="U424" t="s">
        <v>59</v>
      </c>
      <c r="V424" t="s">
        <v>59</v>
      </c>
      <c r="W424" t="s">
        <v>59</v>
      </c>
      <c r="X424" t="s">
        <v>59</v>
      </c>
      <c r="Y424" t="s">
        <v>59</v>
      </c>
    </row>
    <row r="425" spans="1:25" x14ac:dyDescent="0.25">
      <c r="A425">
        <v>222</v>
      </c>
      <c r="B425" t="s">
        <v>5272</v>
      </c>
      <c r="C425" t="s">
        <v>4419</v>
      </c>
      <c r="D425" t="s">
        <v>4420</v>
      </c>
      <c r="E425" t="s">
        <v>4416</v>
      </c>
      <c r="F425">
        <v>-1</v>
      </c>
      <c r="G425" t="s">
        <v>59</v>
      </c>
      <c r="H425" t="s">
        <v>59</v>
      </c>
      <c r="I425" t="s">
        <v>59</v>
      </c>
      <c r="J425" t="s">
        <v>59</v>
      </c>
      <c r="K425" t="s">
        <v>59</v>
      </c>
      <c r="L425" t="s">
        <v>59</v>
      </c>
      <c r="M425" t="s">
        <v>59</v>
      </c>
      <c r="N425" t="s">
        <v>59</v>
      </c>
      <c r="O425" t="s">
        <v>59</v>
      </c>
      <c r="P425" t="s">
        <v>59</v>
      </c>
      <c r="Q425" t="s">
        <v>59</v>
      </c>
      <c r="R425" t="s">
        <v>59</v>
      </c>
      <c r="S425" t="s">
        <v>59</v>
      </c>
      <c r="T425" t="s">
        <v>59</v>
      </c>
      <c r="U425" t="s">
        <v>59</v>
      </c>
      <c r="V425" t="s">
        <v>59</v>
      </c>
      <c r="W425" t="s">
        <v>59</v>
      </c>
      <c r="X425" t="s">
        <v>59</v>
      </c>
      <c r="Y425" t="s">
        <v>59</v>
      </c>
    </row>
    <row r="426" spans="1:25" x14ac:dyDescent="0.25">
      <c r="A426">
        <v>226</v>
      </c>
      <c r="B426" t="s">
        <v>5272</v>
      </c>
      <c r="C426" t="s">
        <v>4427</v>
      </c>
      <c r="D426" t="s">
        <v>4428</v>
      </c>
      <c r="E426" t="s">
        <v>4416</v>
      </c>
      <c r="F426">
        <v>-1</v>
      </c>
      <c r="G426" t="s">
        <v>59</v>
      </c>
      <c r="H426" t="s">
        <v>59</v>
      </c>
      <c r="I426" t="s">
        <v>59</v>
      </c>
      <c r="J426" t="s">
        <v>59</v>
      </c>
      <c r="K426" t="s">
        <v>59</v>
      </c>
      <c r="L426" t="s">
        <v>59</v>
      </c>
      <c r="M426" t="s">
        <v>59</v>
      </c>
      <c r="N426" t="s">
        <v>59</v>
      </c>
      <c r="O426" t="s">
        <v>59</v>
      </c>
      <c r="P426" t="s">
        <v>59</v>
      </c>
      <c r="Q426" t="s">
        <v>59</v>
      </c>
      <c r="R426" t="s">
        <v>59</v>
      </c>
      <c r="S426" t="s">
        <v>59</v>
      </c>
      <c r="T426" t="s">
        <v>59</v>
      </c>
      <c r="U426" t="s">
        <v>59</v>
      </c>
      <c r="V426" t="s">
        <v>59</v>
      </c>
      <c r="W426" t="s">
        <v>59</v>
      </c>
      <c r="X426" t="s">
        <v>59</v>
      </c>
      <c r="Y426" t="s">
        <v>59</v>
      </c>
    </row>
    <row r="427" spans="1:25" x14ac:dyDescent="0.25">
      <c r="A427">
        <v>267</v>
      </c>
      <c r="B427" t="s">
        <v>5272</v>
      </c>
      <c r="C427" t="s">
        <v>4506</v>
      </c>
      <c r="D427" t="s">
        <v>4507</v>
      </c>
      <c r="E427" t="s">
        <v>4265</v>
      </c>
      <c r="F427">
        <v>-1</v>
      </c>
      <c r="G427" t="s">
        <v>59</v>
      </c>
      <c r="H427" t="s">
        <v>59</v>
      </c>
      <c r="I427" t="s">
        <v>59</v>
      </c>
      <c r="J427" t="s">
        <v>59</v>
      </c>
      <c r="K427" t="s">
        <v>59</v>
      </c>
      <c r="L427" t="s">
        <v>59</v>
      </c>
      <c r="M427" t="s">
        <v>59</v>
      </c>
      <c r="N427" t="s">
        <v>59</v>
      </c>
      <c r="O427" t="s">
        <v>59</v>
      </c>
      <c r="P427" t="s">
        <v>59</v>
      </c>
      <c r="Q427" t="s">
        <v>59</v>
      </c>
      <c r="R427" t="s">
        <v>59</v>
      </c>
      <c r="S427" t="s">
        <v>59</v>
      </c>
      <c r="T427" t="s">
        <v>59</v>
      </c>
      <c r="U427" t="s">
        <v>59</v>
      </c>
      <c r="V427" t="s">
        <v>59</v>
      </c>
      <c r="W427" t="s">
        <v>59</v>
      </c>
      <c r="X427" t="s">
        <v>59</v>
      </c>
      <c r="Y427" t="s">
        <v>59</v>
      </c>
    </row>
    <row r="428" spans="1:25" x14ac:dyDescent="0.25">
      <c r="A428">
        <v>274</v>
      </c>
      <c r="B428" t="s">
        <v>5272</v>
      </c>
      <c r="C428" t="s">
        <v>4520</v>
      </c>
      <c r="D428" t="s">
        <v>4521</v>
      </c>
      <c r="E428" t="s">
        <v>4265</v>
      </c>
      <c r="F428">
        <v>-1</v>
      </c>
      <c r="G428" t="s">
        <v>59</v>
      </c>
      <c r="H428" t="s">
        <v>59</v>
      </c>
      <c r="I428" t="s">
        <v>59</v>
      </c>
      <c r="J428" t="s">
        <v>59</v>
      </c>
      <c r="K428" t="s">
        <v>59</v>
      </c>
      <c r="L428" t="s">
        <v>59</v>
      </c>
      <c r="M428" t="s">
        <v>59</v>
      </c>
      <c r="N428" t="s">
        <v>59</v>
      </c>
      <c r="O428" t="s">
        <v>59</v>
      </c>
      <c r="P428" t="s">
        <v>59</v>
      </c>
      <c r="Q428" t="s">
        <v>59</v>
      </c>
      <c r="R428" t="s">
        <v>59</v>
      </c>
      <c r="S428" t="s">
        <v>59</v>
      </c>
      <c r="T428" t="s">
        <v>59</v>
      </c>
      <c r="U428" t="s">
        <v>59</v>
      </c>
      <c r="V428" t="s">
        <v>59</v>
      </c>
      <c r="W428" t="s">
        <v>59</v>
      </c>
      <c r="X428" t="s">
        <v>59</v>
      </c>
      <c r="Y428" t="s">
        <v>59</v>
      </c>
    </row>
    <row r="429" spans="1:25" x14ac:dyDescent="0.25">
      <c r="A429">
        <v>278</v>
      </c>
      <c r="B429" t="s">
        <v>5272</v>
      </c>
      <c r="C429" t="s">
        <v>4528</v>
      </c>
      <c r="D429" t="s">
        <v>4529</v>
      </c>
      <c r="E429" t="s">
        <v>4265</v>
      </c>
      <c r="F429">
        <v>-1</v>
      </c>
      <c r="G429" t="s">
        <v>59</v>
      </c>
      <c r="H429" t="s">
        <v>59</v>
      </c>
      <c r="I429" t="s">
        <v>59</v>
      </c>
      <c r="J429" t="s">
        <v>59</v>
      </c>
      <c r="K429" t="s">
        <v>59</v>
      </c>
      <c r="L429" t="s">
        <v>59</v>
      </c>
      <c r="M429" t="s">
        <v>59</v>
      </c>
      <c r="N429" t="s">
        <v>59</v>
      </c>
      <c r="O429" t="s">
        <v>59</v>
      </c>
      <c r="P429" t="s">
        <v>59</v>
      </c>
      <c r="Q429" t="s">
        <v>59</v>
      </c>
      <c r="R429" t="s">
        <v>59</v>
      </c>
      <c r="S429" t="s">
        <v>59</v>
      </c>
      <c r="T429" t="s">
        <v>59</v>
      </c>
      <c r="U429" t="s">
        <v>59</v>
      </c>
      <c r="V429" t="s">
        <v>59</v>
      </c>
      <c r="W429" t="s">
        <v>59</v>
      </c>
      <c r="X429" t="s">
        <v>59</v>
      </c>
      <c r="Y429" t="s">
        <v>59</v>
      </c>
    </row>
    <row r="430" spans="1:25" x14ac:dyDescent="0.25">
      <c r="A430">
        <v>262</v>
      </c>
      <c r="B430" t="s">
        <v>5272</v>
      </c>
      <c r="C430" t="s">
        <v>4497</v>
      </c>
      <c r="D430" t="s">
        <v>4498</v>
      </c>
      <c r="E430" t="s">
        <v>4265</v>
      </c>
      <c r="F430">
        <v>-1</v>
      </c>
      <c r="G430" t="s">
        <v>59</v>
      </c>
      <c r="H430" t="s">
        <v>59</v>
      </c>
      <c r="I430" t="s">
        <v>59</v>
      </c>
      <c r="J430" t="s">
        <v>59</v>
      </c>
      <c r="K430" t="s">
        <v>59</v>
      </c>
      <c r="L430" t="s">
        <v>59</v>
      </c>
      <c r="M430" t="s">
        <v>59</v>
      </c>
      <c r="N430" t="s">
        <v>59</v>
      </c>
      <c r="O430" t="s">
        <v>59</v>
      </c>
      <c r="P430" t="s">
        <v>59</v>
      </c>
      <c r="Q430" t="s">
        <v>59</v>
      </c>
      <c r="R430" t="s">
        <v>59</v>
      </c>
      <c r="S430" t="s">
        <v>59</v>
      </c>
      <c r="T430" t="s">
        <v>59</v>
      </c>
      <c r="U430" t="s">
        <v>59</v>
      </c>
      <c r="V430" t="s">
        <v>59</v>
      </c>
      <c r="W430" t="s">
        <v>59</v>
      </c>
      <c r="X430" t="s">
        <v>59</v>
      </c>
      <c r="Y430" t="s">
        <v>59</v>
      </c>
    </row>
    <row r="431" spans="1:25" x14ac:dyDescent="0.25">
      <c r="A431">
        <v>579</v>
      </c>
      <c r="B431" t="s">
        <v>5272</v>
      </c>
      <c r="C431" t="s">
        <v>5038</v>
      </c>
      <c r="D431" t="s">
        <v>5039</v>
      </c>
      <c r="E431" t="s">
        <v>4265</v>
      </c>
      <c r="F431">
        <v>-1</v>
      </c>
      <c r="G431" t="s">
        <v>59</v>
      </c>
      <c r="H431" t="s">
        <v>59</v>
      </c>
      <c r="I431" t="s">
        <v>59</v>
      </c>
      <c r="J431" t="s">
        <v>59</v>
      </c>
      <c r="K431" t="s">
        <v>59</v>
      </c>
      <c r="L431" t="s">
        <v>59</v>
      </c>
      <c r="M431" t="s">
        <v>59</v>
      </c>
      <c r="N431" t="s">
        <v>59</v>
      </c>
      <c r="O431" t="s">
        <v>59</v>
      </c>
      <c r="P431" t="s">
        <v>59</v>
      </c>
      <c r="Q431" t="s">
        <v>59</v>
      </c>
      <c r="R431" t="s">
        <v>59</v>
      </c>
      <c r="S431" t="s">
        <v>59</v>
      </c>
      <c r="T431" t="s">
        <v>59</v>
      </c>
      <c r="U431" t="s">
        <v>59</v>
      </c>
      <c r="V431" t="s">
        <v>59</v>
      </c>
      <c r="W431" t="s">
        <v>59</v>
      </c>
      <c r="X431" t="s">
        <v>59</v>
      </c>
      <c r="Y431" t="s">
        <v>59</v>
      </c>
    </row>
    <row r="432" spans="1:25" x14ac:dyDescent="0.25">
      <c r="A432">
        <v>610</v>
      </c>
      <c r="B432" t="s">
        <v>5272</v>
      </c>
      <c r="C432" t="s">
        <v>5096</v>
      </c>
      <c r="D432" t="s">
        <v>5097</v>
      </c>
      <c r="E432" t="s">
        <v>4265</v>
      </c>
      <c r="F432">
        <v>-1</v>
      </c>
      <c r="G432" t="s">
        <v>59</v>
      </c>
      <c r="H432" t="s">
        <v>59</v>
      </c>
      <c r="I432" t="s">
        <v>59</v>
      </c>
      <c r="J432" t="s">
        <v>59</v>
      </c>
      <c r="K432" t="s">
        <v>59</v>
      </c>
      <c r="L432" t="s">
        <v>59</v>
      </c>
      <c r="M432" t="s">
        <v>59</v>
      </c>
      <c r="N432" t="s">
        <v>59</v>
      </c>
      <c r="O432" t="s">
        <v>59</v>
      </c>
      <c r="P432" t="s">
        <v>59</v>
      </c>
      <c r="Q432" t="s">
        <v>59</v>
      </c>
      <c r="R432" t="s">
        <v>59</v>
      </c>
      <c r="S432" t="s">
        <v>59</v>
      </c>
      <c r="T432" t="s">
        <v>59</v>
      </c>
      <c r="U432" t="s">
        <v>59</v>
      </c>
      <c r="V432" t="s">
        <v>59</v>
      </c>
      <c r="W432" t="s">
        <v>59</v>
      </c>
      <c r="X432" t="s">
        <v>59</v>
      </c>
      <c r="Y432" t="s">
        <v>59</v>
      </c>
    </row>
    <row r="433" spans="1:25" x14ac:dyDescent="0.25">
      <c r="A433">
        <v>611</v>
      </c>
      <c r="B433" t="s">
        <v>5272</v>
      </c>
      <c r="C433" t="s">
        <v>5098</v>
      </c>
      <c r="D433" t="s">
        <v>5099</v>
      </c>
      <c r="E433" t="s">
        <v>4265</v>
      </c>
      <c r="F433">
        <v>-1</v>
      </c>
      <c r="G433" t="s">
        <v>59</v>
      </c>
      <c r="H433" t="s">
        <v>59</v>
      </c>
      <c r="I433" t="s">
        <v>59</v>
      </c>
      <c r="J433" t="s">
        <v>59</v>
      </c>
      <c r="K433" t="s">
        <v>59</v>
      </c>
      <c r="L433" t="s">
        <v>59</v>
      </c>
      <c r="M433" t="s">
        <v>59</v>
      </c>
      <c r="N433" t="s">
        <v>59</v>
      </c>
      <c r="O433" t="s">
        <v>59</v>
      </c>
      <c r="P433" t="s">
        <v>59</v>
      </c>
      <c r="Q433" t="s">
        <v>59</v>
      </c>
      <c r="R433" t="s">
        <v>59</v>
      </c>
      <c r="S433" t="s">
        <v>59</v>
      </c>
      <c r="T433" t="s">
        <v>59</v>
      </c>
      <c r="U433" t="s">
        <v>59</v>
      </c>
      <c r="V433" t="s">
        <v>59</v>
      </c>
      <c r="W433" t="s">
        <v>59</v>
      </c>
      <c r="X433" t="s">
        <v>59</v>
      </c>
      <c r="Y433" t="s">
        <v>59</v>
      </c>
    </row>
    <row r="434" spans="1:25" x14ac:dyDescent="0.25">
      <c r="A434">
        <v>612</v>
      </c>
      <c r="B434" t="s">
        <v>5272</v>
      </c>
      <c r="C434" t="s">
        <v>5100</v>
      </c>
      <c r="D434" t="s">
        <v>5101</v>
      </c>
      <c r="E434" t="s">
        <v>4265</v>
      </c>
      <c r="F434">
        <v>-1</v>
      </c>
      <c r="G434" t="s">
        <v>59</v>
      </c>
      <c r="H434" t="s">
        <v>59</v>
      </c>
      <c r="I434" t="s">
        <v>59</v>
      </c>
      <c r="J434" t="s">
        <v>59</v>
      </c>
      <c r="K434" t="s">
        <v>59</v>
      </c>
      <c r="L434" t="s">
        <v>59</v>
      </c>
      <c r="M434" t="s">
        <v>59</v>
      </c>
      <c r="N434" t="s">
        <v>59</v>
      </c>
      <c r="O434" t="s">
        <v>59</v>
      </c>
      <c r="P434" t="s">
        <v>59</v>
      </c>
      <c r="Q434" t="s">
        <v>59</v>
      </c>
      <c r="R434" t="s">
        <v>59</v>
      </c>
      <c r="S434" t="s">
        <v>59</v>
      </c>
      <c r="T434" t="s">
        <v>59</v>
      </c>
      <c r="U434" t="s">
        <v>59</v>
      </c>
      <c r="V434" t="s">
        <v>59</v>
      </c>
      <c r="W434" t="s">
        <v>59</v>
      </c>
      <c r="X434" t="s">
        <v>59</v>
      </c>
      <c r="Y434" t="s">
        <v>59</v>
      </c>
    </row>
    <row r="435" spans="1:25" x14ac:dyDescent="0.25">
      <c r="A435">
        <v>613</v>
      </c>
      <c r="B435" t="s">
        <v>5272</v>
      </c>
      <c r="C435" t="s">
        <v>5102</v>
      </c>
      <c r="D435" t="s">
        <v>5103</v>
      </c>
      <c r="E435" t="s">
        <v>4265</v>
      </c>
      <c r="F435">
        <v>-1</v>
      </c>
      <c r="G435" t="s">
        <v>59</v>
      </c>
      <c r="H435" t="s">
        <v>59</v>
      </c>
      <c r="I435" t="s">
        <v>59</v>
      </c>
      <c r="J435" t="s">
        <v>59</v>
      </c>
      <c r="K435" t="s">
        <v>59</v>
      </c>
      <c r="L435" t="s">
        <v>59</v>
      </c>
      <c r="M435" t="s">
        <v>59</v>
      </c>
      <c r="N435" t="s">
        <v>59</v>
      </c>
      <c r="O435" t="s">
        <v>59</v>
      </c>
      <c r="P435" t="s">
        <v>59</v>
      </c>
      <c r="Q435" t="s">
        <v>59</v>
      </c>
      <c r="R435" t="s">
        <v>59</v>
      </c>
      <c r="S435" t="s">
        <v>59</v>
      </c>
      <c r="T435" t="s">
        <v>59</v>
      </c>
      <c r="U435" t="s">
        <v>59</v>
      </c>
      <c r="V435" t="s">
        <v>59</v>
      </c>
      <c r="W435" t="s">
        <v>59</v>
      </c>
      <c r="X435" t="s">
        <v>59</v>
      </c>
      <c r="Y435" t="s">
        <v>59</v>
      </c>
    </row>
    <row r="436" spans="1:25" x14ac:dyDescent="0.25">
      <c r="A436">
        <v>614</v>
      </c>
      <c r="B436" t="s">
        <v>5272</v>
      </c>
      <c r="C436" t="s">
        <v>5104</v>
      </c>
      <c r="D436" t="s">
        <v>5105</v>
      </c>
      <c r="E436" t="s">
        <v>4265</v>
      </c>
      <c r="F436">
        <v>-1</v>
      </c>
      <c r="G436" t="s">
        <v>59</v>
      </c>
      <c r="H436" t="s">
        <v>59</v>
      </c>
      <c r="I436" t="s">
        <v>59</v>
      </c>
      <c r="J436" t="s">
        <v>59</v>
      </c>
      <c r="K436" t="s">
        <v>59</v>
      </c>
      <c r="L436" t="s">
        <v>59</v>
      </c>
      <c r="M436" t="s">
        <v>59</v>
      </c>
      <c r="N436" t="s">
        <v>59</v>
      </c>
      <c r="O436" t="s">
        <v>59</v>
      </c>
      <c r="P436" t="s">
        <v>59</v>
      </c>
      <c r="Q436" t="s">
        <v>59</v>
      </c>
      <c r="R436" t="s">
        <v>59</v>
      </c>
      <c r="S436" t="s">
        <v>59</v>
      </c>
      <c r="T436" t="s">
        <v>59</v>
      </c>
      <c r="U436" t="s">
        <v>59</v>
      </c>
      <c r="V436" t="s">
        <v>59</v>
      </c>
      <c r="W436" t="s">
        <v>59</v>
      </c>
      <c r="X436" t="s">
        <v>59</v>
      </c>
      <c r="Y436" t="s">
        <v>59</v>
      </c>
    </row>
    <row r="437" spans="1:25" x14ac:dyDescent="0.25">
      <c r="A437">
        <v>615</v>
      </c>
      <c r="B437" t="s">
        <v>5272</v>
      </c>
      <c r="C437" t="s">
        <v>5106</v>
      </c>
      <c r="D437" t="s">
        <v>5107</v>
      </c>
      <c r="E437" t="s">
        <v>4265</v>
      </c>
      <c r="F437">
        <v>-1</v>
      </c>
      <c r="G437" t="s">
        <v>59</v>
      </c>
      <c r="H437" t="s">
        <v>59</v>
      </c>
      <c r="I437" t="s">
        <v>59</v>
      </c>
      <c r="J437" t="s">
        <v>59</v>
      </c>
      <c r="K437" t="s">
        <v>59</v>
      </c>
      <c r="L437" t="s">
        <v>59</v>
      </c>
      <c r="M437" t="s">
        <v>59</v>
      </c>
      <c r="N437" t="s">
        <v>59</v>
      </c>
      <c r="O437" t="s">
        <v>59</v>
      </c>
      <c r="P437" t="s">
        <v>59</v>
      </c>
      <c r="Q437" t="s">
        <v>59</v>
      </c>
      <c r="R437" t="s">
        <v>59</v>
      </c>
      <c r="S437" t="s">
        <v>59</v>
      </c>
      <c r="T437" t="s">
        <v>59</v>
      </c>
      <c r="U437" t="s">
        <v>59</v>
      </c>
      <c r="V437" t="s">
        <v>59</v>
      </c>
      <c r="W437" t="s">
        <v>59</v>
      </c>
      <c r="X437" t="s">
        <v>59</v>
      </c>
      <c r="Y437" t="s">
        <v>59</v>
      </c>
    </row>
    <row r="438" spans="1:25" x14ac:dyDescent="0.25">
      <c r="A438">
        <v>616</v>
      </c>
      <c r="B438" t="s">
        <v>5272</v>
      </c>
      <c r="C438" t="s">
        <v>5108</v>
      </c>
      <c r="D438" t="s">
        <v>5109</v>
      </c>
      <c r="E438" t="s">
        <v>4265</v>
      </c>
      <c r="F438">
        <v>-1</v>
      </c>
      <c r="G438" t="s">
        <v>59</v>
      </c>
      <c r="H438" t="s">
        <v>59</v>
      </c>
      <c r="I438" t="s">
        <v>59</v>
      </c>
      <c r="J438" t="s">
        <v>59</v>
      </c>
      <c r="K438" t="s">
        <v>59</v>
      </c>
      <c r="L438" t="s">
        <v>59</v>
      </c>
      <c r="M438" t="s">
        <v>59</v>
      </c>
      <c r="N438" t="s">
        <v>59</v>
      </c>
      <c r="O438" t="s">
        <v>59</v>
      </c>
      <c r="P438" t="s">
        <v>59</v>
      </c>
      <c r="Q438" t="s">
        <v>59</v>
      </c>
      <c r="R438" t="s">
        <v>59</v>
      </c>
      <c r="S438" t="s">
        <v>59</v>
      </c>
      <c r="T438" t="s">
        <v>59</v>
      </c>
      <c r="U438" t="s">
        <v>59</v>
      </c>
      <c r="V438" t="s">
        <v>59</v>
      </c>
      <c r="W438" t="s">
        <v>59</v>
      </c>
      <c r="X438" t="s">
        <v>59</v>
      </c>
      <c r="Y438" t="s">
        <v>59</v>
      </c>
    </row>
    <row r="439" spans="1:25" x14ac:dyDescent="0.25">
      <c r="A439">
        <v>617</v>
      </c>
      <c r="B439" t="s">
        <v>5272</v>
      </c>
      <c r="C439" t="s">
        <v>5110</v>
      </c>
      <c r="D439" t="s">
        <v>5111</v>
      </c>
      <c r="E439" t="s">
        <v>4265</v>
      </c>
      <c r="F439">
        <v>-1</v>
      </c>
      <c r="G439" t="s">
        <v>59</v>
      </c>
      <c r="H439" t="s">
        <v>59</v>
      </c>
      <c r="I439" t="s">
        <v>59</v>
      </c>
      <c r="J439" t="s">
        <v>59</v>
      </c>
      <c r="K439" t="s">
        <v>59</v>
      </c>
      <c r="L439" t="s">
        <v>59</v>
      </c>
      <c r="M439" t="s">
        <v>59</v>
      </c>
      <c r="N439" t="s">
        <v>59</v>
      </c>
      <c r="O439" t="s">
        <v>59</v>
      </c>
      <c r="P439" t="s">
        <v>59</v>
      </c>
      <c r="Q439" t="s">
        <v>59</v>
      </c>
      <c r="R439" t="s">
        <v>59</v>
      </c>
      <c r="S439" t="s">
        <v>59</v>
      </c>
      <c r="T439" t="s">
        <v>59</v>
      </c>
      <c r="U439" t="s">
        <v>59</v>
      </c>
      <c r="V439" t="s">
        <v>59</v>
      </c>
      <c r="W439" t="s">
        <v>59</v>
      </c>
      <c r="X439" t="s">
        <v>59</v>
      </c>
      <c r="Y439" t="s">
        <v>59</v>
      </c>
    </row>
    <row r="440" spans="1:25" x14ac:dyDescent="0.25">
      <c r="A440">
        <v>618</v>
      </c>
      <c r="B440" t="s">
        <v>5272</v>
      </c>
      <c r="C440" t="s">
        <v>5112</v>
      </c>
      <c r="D440" t="s">
        <v>5113</v>
      </c>
      <c r="E440" t="s">
        <v>4265</v>
      </c>
      <c r="F440">
        <v>-1</v>
      </c>
      <c r="G440" t="s">
        <v>59</v>
      </c>
      <c r="H440" t="s">
        <v>59</v>
      </c>
      <c r="I440" t="s">
        <v>59</v>
      </c>
      <c r="J440" t="s">
        <v>59</v>
      </c>
      <c r="K440" t="s">
        <v>59</v>
      </c>
      <c r="L440" t="s">
        <v>59</v>
      </c>
      <c r="M440" t="s">
        <v>59</v>
      </c>
      <c r="N440" t="s">
        <v>59</v>
      </c>
      <c r="O440" t="s">
        <v>59</v>
      </c>
      <c r="P440" t="s">
        <v>59</v>
      </c>
      <c r="Q440" t="s">
        <v>59</v>
      </c>
      <c r="R440" t="s">
        <v>59</v>
      </c>
      <c r="S440" t="s">
        <v>59</v>
      </c>
      <c r="T440" t="s">
        <v>59</v>
      </c>
      <c r="U440" t="s">
        <v>59</v>
      </c>
      <c r="V440" t="s">
        <v>59</v>
      </c>
      <c r="W440" t="s">
        <v>59</v>
      </c>
      <c r="X440" t="s">
        <v>59</v>
      </c>
      <c r="Y440" t="s">
        <v>59</v>
      </c>
    </row>
    <row r="441" spans="1:25" x14ac:dyDescent="0.25">
      <c r="A441">
        <v>619</v>
      </c>
      <c r="B441" t="s">
        <v>5272</v>
      </c>
      <c r="C441" t="s">
        <v>5114</v>
      </c>
      <c r="D441" t="s">
        <v>5115</v>
      </c>
      <c r="E441" t="s">
        <v>4265</v>
      </c>
      <c r="F441">
        <v>-1</v>
      </c>
      <c r="G441" t="s">
        <v>59</v>
      </c>
      <c r="H441" t="s">
        <v>59</v>
      </c>
      <c r="I441" t="s">
        <v>59</v>
      </c>
      <c r="J441" t="s">
        <v>59</v>
      </c>
      <c r="K441" t="s">
        <v>59</v>
      </c>
      <c r="L441" t="s">
        <v>59</v>
      </c>
      <c r="M441" t="s">
        <v>59</v>
      </c>
      <c r="N441" t="s">
        <v>59</v>
      </c>
      <c r="O441" t="s">
        <v>59</v>
      </c>
      <c r="P441" t="s">
        <v>59</v>
      </c>
      <c r="Q441" t="s">
        <v>59</v>
      </c>
      <c r="R441" t="s">
        <v>59</v>
      </c>
      <c r="S441" t="s">
        <v>59</v>
      </c>
      <c r="T441" t="s">
        <v>59</v>
      </c>
      <c r="U441" t="s">
        <v>59</v>
      </c>
      <c r="V441" t="s">
        <v>59</v>
      </c>
      <c r="W441" t="s">
        <v>59</v>
      </c>
      <c r="X441" t="s">
        <v>59</v>
      </c>
      <c r="Y441" t="s">
        <v>59</v>
      </c>
    </row>
    <row r="442" spans="1:25" x14ac:dyDescent="0.25">
      <c r="A442">
        <v>620</v>
      </c>
      <c r="B442" t="s">
        <v>5272</v>
      </c>
      <c r="C442" t="s">
        <v>5116</v>
      </c>
      <c r="D442" t="s">
        <v>5117</v>
      </c>
      <c r="E442" t="s">
        <v>4265</v>
      </c>
      <c r="F442">
        <v>-1</v>
      </c>
      <c r="G442" t="s">
        <v>59</v>
      </c>
      <c r="H442" t="s">
        <v>59</v>
      </c>
      <c r="I442" t="s">
        <v>59</v>
      </c>
      <c r="J442" t="s">
        <v>59</v>
      </c>
      <c r="K442" t="s">
        <v>59</v>
      </c>
      <c r="L442" t="s">
        <v>59</v>
      </c>
      <c r="M442" t="s">
        <v>59</v>
      </c>
      <c r="N442" t="s">
        <v>59</v>
      </c>
      <c r="O442" t="s">
        <v>59</v>
      </c>
      <c r="P442" t="s">
        <v>59</v>
      </c>
      <c r="Q442" t="s">
        <v>59</v>
      </c>
      <c r="R442" t="s">
        <v>59</v>
      </c>
      <c r="S442" t="s">
        <v>59</v>
      </c>
      <c r="T442" t="s">
        <v>59</v>
      </c>
      <c r="U442" t="s">
        <v>59</v>
      </c>
      <c r="V442" t="s">
        <v>59</v>
      </c>
      <c r="W442" t="s">
        <v>59</v>
      </c>
      <c r="X442" t="s">
        <v>59</v>
      </c>
      <c r="Y442" t="s">
        <v>59</v>
      </c>
    </row>
    <row r="443" spans="1:25" x14ac:dyDescent="0.25">
      <c r="A443">
        <v>621</v>
      </c>
      <c r="B443" t="s">
        <v>5272</v>
      </c>
      <c r="C443" t="s">
        <v>5118</v>
      </c>
      <c r="D443" t="s">
        <v>5119</v>
      </c>
      <c r="E443" t="s">
        <v>4265</v>
      </c>
      <c r="F443">
        <v>-1</v>
      </c>
      <c r="G443" t="s">
        <v>59</v>
      </c>
      <c r="H443" t="s">
        <v>59</v>
      </c>
      <c r="I443" t="s">
        <v>59</v>
      </c>
      <c r="J443" t="s">
        <v>59</v>
      </c>
      <c r="K443" t="s">
        <v>59</v>
      </c>
      <c r="L443" t="s">
        <v>59</v>
      </c>
      <c r="M443" t="s">
        <v>59</v>
      </c>
      <c r="N443" t="s">
        <v>59</v>
      </c>
      <c r="O443" t="s">
        <v>59</v>
      </c>
      <c r="P443" t="s">
        <v>59</v>
      </c>
      <c r="Q443" t="s">
        <v>59</v>
      </c>
      <c r="R443" t="s">
        <v>59</v>
      </c>
      <c r="S443" t="s">
        <v>59</v>
      </c>
      <c r="T443" t="s">
        <v>59</v>
      </c>
      <c r="U443" t="s">
        <v>59</v>
      </c>
      <c r="V443" t="s">
        <v>59</v>
      </c>
      <c r="W443" t="s">
        <v>59</v>
      </c>
      <c r="X443" t="s">
        <v>59</v>
      </c>
      <c r="Y443" t="s">
        <v>59</v>
      </c>
    </row>
    <row r="444" spans="1:25" x14ac:dyDescent="0.25">
      <c r="A444">
        <v>622</v>
      </c>
      <c r="B444" t="s">
        <v>5272</v>
      </c>
      <c r="C444" t="s">
        <v>5120</v>
      </c>
      <c r="D444" t="s">
        <v>5121</v>
      </c>
      <c r="E444" t="s">
        <v>4265</v>
      </c>
      <c r="F444">
        <v>-1</v>
      </c>
      <c r="G444" t="s">
        <v>59</v>
      </c>
      <c r="H444" t="s">
        <v>59</v>
      </c>
      <c r="I444" t="s">
        <v>59</v>
      </c>
      <c r="J444" t="s">
        <v>59</v>
      </c>
      <c r="K444" t="s">
        <v>59</v>
      </c>
      <c r="L444" t="s">
        <v>59</v>
      </c>
      <c r="M444" t="s">
        <v>59</v>
      </c>
      <c r="N444" t="s">
        <v>59</v>
      </c>
      <c r="O444" t="s">
        <v>59</v>
      </c>
      <c r="P444" t="s">
        <v>59</v>
      </c>
      <c r="Q444" t="s">
        <v>59</v>
      </c>
      <c r="R444" t="s">
        <v>59</v>
      </c>
      <c r="S444" t="s">
        <v>59</v>
      </c>
      <c r="T444" t="s">
        <v>59</v>
      </c>
      <c r="U444" t="s">
        <v>59</v>
      </c>
      <c r="V444" t="s">
        <v>59</v>
      </c>
      <c r="W444" t="s">
        <v>59</v>
      </c>
      <c r="X444" t="s">
        <v>59</v>
      </c>
      <c r="Y444" t="s">
        <v>59</v>
      </c>
    </row>
    <row r="445" spans="1:25" x14ac:dyDescent="0.25">
      <c r="A445">
        <v>249</v>
      </c>
      <c r="B445" t="s">
        <v>5272</v>
      </c>
      <c r="C445" t="s">
        <v>4473</v>
      </c>
      <c r="D445" t="s">
        <v>4474</v>
      </c>
      <c r="E445" t="s">
        <v>4265</v>
      </c>
      <c r="F445">
        <v>-1</v>
      </c>
      <c r="G445" t="s">
        <v>59</v>
      </c>
      <c r="H445" t="s">
        <v>59</v>
      </c>
      <c r="I445" t="s">
        <v>59</v>
      </c>
      <c r="J445" t="s">
        <v>59</v>
      </c>
      <c r="K445" t="s">
        <v>59</v>
      </c>
      <c r="L445" t="s">
        <v>59</v>
      </c>
      <c r="M445" t="s">
        <v>59</v>
      </c>
      <c r="N445" t="s">
        <v>59</v>
      </c>
      <c r="O445" t="s">
        <v>59</v>
      </c>
      <c r="P445" t="s">
        <v>59</v>
      </c>
      <c r="Q445" t="s">
        <v>59</v>
      </c>
      <c r="R445" t="s">
        <v>59</v>
      </c>
      <c r="S445" t="s">
        <v>59</v>
      </c>
      <c r="T445" t="s">
        <v>59</v>
      </c>
      <c r="U445" t="s">
        <v>59</v>
      </c>
      <c r="V445" t="s">
        <v>59</v>
      </c>
      <c r="W445" t="s">
        <v>59</v>
      </c>
      <c r="X445" t="s">
        <v>59</v>
      </c>
      <c r="Y445" t="s">
        <v>59</v>
      </c>
    </row>
    <row r="446" spans="1:25" x14ac:dyDescent="0.25">
      <c r="A446">
        <v>248</v>
      </c>
      <c r="B446" t="s">
        <v>5272</v>
      </c>
      <c r="C446" t="s">
        <v>4471</v>
      </c>
      <c r="D446" t="s">
        <v>4472</v>
      </c>
      <c r="E446" t="s">
        <v>4265</v>
      </c>
      <c r="F446">
        <v>-1</v>
      </c>
      <c r="G446" t="s">
        <v>59</v>
      </c>
      <c r="H446" t="s">
        <v>59</v>
      </c>
      <c r="I446" t="s">
        <v>59</v>
      </c>
      <c r="J446" t="s">
        <v>59</v>
      </c>
      <c r="K446" t="s">
        <v>59</v>
      </c>
      <c r="L446" t="s">
        <v>59</v>
      </c>
      <c r="M446" t="s">
        <v>59</v>
      </c>
      <c r="N446" t="s">
        <v>59</v>
      </c>
      <c r="O446" t="s">
        <v>59</v>
      </c>
      <c r="P446" t="s">
        <v>59</v>
      </c>
      <c r="Q446" t="s">
        <v>59</v>
      </c>
      <c r="R446" t="s">
        <v>59</v>
      </c>
      <c r="S446" t="s">
        <v>59</v>
      </c>
      <c r="T446" t="s">
        <v>59</v>
      </c>
      <c r="U446" t="s">
        <v>59</v>
      </c>
      <c r="V446" t="s">
        <v>59</v>
      </c>
      <c r="W446" t="s">
        <v>59</v>
      </c>
      <c r="X446" t="s">
        <v>59</v>
      </c>
      <c r="Y446" t="s">
        <v>59</v>
      </c>
    </row>
    <row r="447" spans="1:25" x14ac:dyDescent="0.25">
      <c r="A447">
        <v>269</v>
      </c>
      <c r="B447" t="s">
        <v>5272</v>
      </c>
      <c r="C447" t="s">
        <v>4510</v>
      </c>
      <c r="D447" t="s">
        <v>4511</v>
      </c>
      <c r="E447" t="s">
        <v>4265</v>
      </c>
      <c r="F447">
        <v>-1</v>
      </c>
      <c r="G447" t="s">
        <v>59</v>
      </c>
      <c r="H447" t="s">
        <v>59</v>
      </c>
      <c r="I447" t="s">
        <v>59</v>
      </c>
      <c r="J447" t="s">
        <v>59</v>
      </c>
      <c r="K447" t="s">
        <v>59</v>
      </c>
      <c r="L447" t="s">
        <v>59</v>
      </c>
      <c r="M447" t="s">
        <v>59</v>
      </c>
      <c r="N447" t="s">
        <v>59</v>
      </c>
      <c r="O447" t="s">
        <v>59</v>
      </c>
      <c r="P447" t="s">
        <v>59</v>
      </c>
      <c r="Q447" t="s">
        <v>59</v>
      </c>
      <c r="R447" t="s">
        <v>59</v>
      </c>
      <c r="S447" t="s">
        <v>59</v>
      </c>
      <c r="T447" t="s">
        <v>59</v>
      </c>
      <c r="U447" t="s">
        <v>59</v>
      </c>
      <c r="V447" t="s">
        <v>59</v>
      </c>
      <c r="W447" t="s">
        <v>59</v>
      </c>
      <c r="X447" t="s">
        <v>59</v>
      </c>
      <c r="Y447" t="s">
        <v>59</v>
      </c>
    </row>
    <row r="448" spans="1:25" x14ac:dyDescent="0.25">
      <c r="A448">
        <v>242</v>
      </c>
      <c r="B448" t="s">
        <v>5272</v>
      </c>
      <c r="C448" t="s">
        <v>4459</v>
      </c>
      <c r="D448" t="s">
        <v>4460</v>
      </c>
      <c r="E448" t="s">
        <v>4265</v>
      </c>
      <c r="F448">
        <v>-1</v>
      </c>
      <c r="G448" t="s">
        <v>59</v>
      </c>
      <c r="H448" t="s">
        <v>59</v>
      </c>
      <c r="I448" t="s">
        <v>59</v>
      </c>
      <c r="J448" t="s">
        <v>59</v>
      </c>
      <c r="K448" t="s">
        <v>59</v>
      </c>
      <c r="L448" t="s">
        <v>59</v>
      </c>
      <c r="M448" t="s">
        <v>59</v>
      </c>
      <c r="N448" t="s">
        <v>59</v>
      </c>
      <c r="O448" t="s">
        <v>59</v>
      </c>
      <c r="P448" t="s">
        <v>59</v>
      </c>
      <c r="Q448" t="s">
        <v>59</v>
      </c>
      <c r="R448" t="s">
        <v>59</v>
      </c>
      <c r="S448" t="s">
        <v>59</v>
      </c>
      <c r="T448" t="s">
        <v>59</v>
      </c>
      <c r="U448" t="s">
        <v>59</v>
      </c>
      <c r="V448" t="s">
        <v>59</v>
      </c>
      <c r="W448" t="s">
        <v>59</v>
      </c>
      <c r="X448" t="s">
        <v>59</v>
      </c>
      <c r="Y448" t="s">
        <v>59</v>
      </c>
    </row>
    <row r="449" spans="1:25" x14ac:dyDescent="0.25">
      <c r="A449">
        <v>238</v>
      </c>
      <c r="B449" t="s">
        <v>5272</v>
      </c>
      <c r="C449" t="s">
        <v>4451</v>
      </c>
      <c r="D449" t="s">
        <v>4452</v>
      </c>
      <c r="E449" t="s">
        <v>4265</v>
      </c>
      <c r="F449">
        <v>-1</v>
      </c>
      <c r="G449" t="s">
        <v>59</v>
      </c>
      <c r="H449" t="s">
        <v>59</v>
      </c>
      <c r="I449" t="s">
        <v>59</v>
      </c>
      <c r="J449" t="s">
        <v>59</v>
      </c>
      <c r="K449" t="s">
        <v>59</v>
      </c>
      <c r="L449" t="s">
        <v>59</v>
      </c>
      <c r="M449" t="s">
        <v>59</v>
      </c>
      <c r="N449" t="s">
        <v>59</v>
      </c>
      <c r="O449" t="s">
        <v>59</v>
      </c>
      <c r="P449" t="s">
        <v>59</v>
      </c>
      <c r="Q449" t="s">
        <v>59</v>
      </c>
      <c r="R449" t="s">
        <v>59</v>
      </c>
      <c r="S449" t="s">
        <v>59</v>
      </c>
      <c r="T449" t="s">
        <v>59</v>
      </c>
      <c r="U449" t="s">
        <v>59</v>
      </c>
      <c r="V449" t="s">
        <v>59</v>
      </c>
      <c r="W449" t="s">
        <v>59</v>
      </c>
      <c r="X449" t="s">
        <v>59</v>
      </c>
      <c r="Y449" t="s">
        <v>59</v>
      </c>
    </row>
    <row r="450" spans="1:25" x14ac:dyDescent="0.25">
      <c r="A450">
        <v>246</v>
      </c>
      <c r="B450" t="s">
        <v>5272</v>
      </c>
      <c r="C450" t="s">
        <v>4467</v>
      </c>
      <c r="D450" t="s">
        <v>4468</v>
      </c>
      <c r="E450" t="s">
        <v>4265</v>
      </c>
      <c r="F450">
        <v>-1</v>
      </c>
      <c r="G450" t="s">
        <v>59</v>
      </c>
      <c r="H450" t="s">
        <v>59</v>
      </c>
      <c r="I450" t="s">
        <v>59</v>
      </c>
      <c r="J450" t="s">
        <v>59</v>
      </c>
      <c r="K450" t="s">
        <v>59</v>
      </c>
      <c r="L450" t="s">
        <v>59</v>
      </c>
      <c r="M450" t="s">
        <v>59</v>
      </c>
      <c r="N450" t="s">
        <v>59</v>
      </c>
      <c r="O450" t="s">
        <v>59</v>
      </c>
      <c r="P450" t="s">
        <v>59</v>
      </c>
      <c r="Q450" t="s">
        <v>59</v>
      </c>
      <c r="R450" t="s">
        <v>59</v>
      </c>
      <c r="S450" t="s">
        <v>59</v>
      </c>
      <c r="T450" t="s">
        <v>59</v>
      </c>
      <c r="U450" t="s">
        <v>59</v>
      </c>
      <c r="V450" t="s">
        <v>59</v>
      </c>
      <c r="W450" t="s">
        <v>59</v>
      </c>
      <c r="X450" t="s">
        <v>59</v>
      </c>
      <c r="Y450" t="s">
        <v>59</v>
      </c>
    </row>
    <row r="451" spans="1:25" x14ac:dyDescent="0.25">
      <c r="A451">
        <v>239</v>
      </c>
      <c r="B451" t="s">
        <v>5272</v>
      </c>
      <c r="C451" t="s">
        <v>4453</v>
      </c>
      <c r="D451" t="s">
        <v>4454</v>
      </c>
      <c r="E451" t="s">
        <v>4265</v>
      </c>
      <c r="F451">
        <v>-1</v>
      </c>
      <c r="G451" t="s">
        <v>59</v>
      </c>
      <c r="H451" t="s">
        <v>59</v>
      </c>
      <c r="I451" t="s">
        <v>59</v>
      </c>
      <c r="J451" t="s">
        <v>59</v>
      </c>
      <c r="K451" t="s">
        <v>59</v>
      </c>
      <c r="L451" t="s">
        <v>59</v>
      </c>
      <c r="M451" t="s">
        <v>59</v>
      </c>
      <c r="N451" t="s">
        <v>59</v>
      </c>
      <c r="O451" t="s">
        <v>59</v>
      </c>
      <c r="P451" t="s">
        <v>59</v>
      </c>
      <c r="Q451" t="s">
        <v>59</v>
      </c>
      <c r="R451" t="s">
        <v>59</v>
      </c>
      <c r="S451" t="s">
        <v>59</v>
      </c>
      <c r="T451" t="s">
        <v>59</v>
      </c>
      <c r="U451" t="s">
        <v>59</v>
      </c>
      <c r="V451" t="s">
        <v>59</v>
      </c>
      <c r="W451" t="s">
        <v>59</v>
      </c>
      <c r="X451" t="s">
        <v>59</v>
      </c>
      <c r="Y451" t="s">
        <v>59</v>
      </c>
    </row>
    <row r="452" spans="1:25" x14ac:dyDescent="0.25">
      <c r="A452">
        <v>277</v>
      </c>
      <c r="B452" t="s">
        <v>5272</v>
      </c>
      <c r="C452" t="s">
        <v>4526</v>
      </c>
      <c r="D452" t="s">
        <v>4527</v>
      </c>
      <c r="E452" t="s">
        <v>4265</v>
      </c>
      <c r="F452">
        <v>-1</v>
      </c>
      <c r="G452" t="s">
        <v>59</v>
      </c>
      <c r="H452" t="s">
        <v>59</v>
      </c>
      <c r="I452" t="s">
        <v>59</v>
      </c>
      <c r="J452" t="s">
        <v>59</v>
      </c>
      <c r="K452" t="s">
        <v>59</v>
      </c>
      <c r="L452" t="s">
        <v>59</v>
      </c>
      <c r="M452" t="s">
        <v>59</v>
      </c>
      <c r="N452" t="s">
        <v>59</v>
      </c>
      <c r="O452" t="s">
        <v>59</v>
      </c>
      <c r="P452" t="s">
        <v>59</v>
      </c>
      <c r="Q452" t="s">
        <v>59</v>
      </c>
      <c r="R452" t="s">
        <v>59</v>
      </c>
      <c r="S452" t="s">
        <v>59</v>
      </c>
      <c r="T452" t="s">
        <v>59</v>
      </c>
      <c r="U452" t="s">
        <v>59</v>
      </c>
      <c r="V452" t="s">
        <v>59</v>
      </c>
      <c r="W452" t="s">
        <v>59</v>
      </c>
      <c r="X452" t="s">
        <v>59</v>
      </c>
      <c r="Y452" t="s">
        <v>59</v>
      </c>
    </row>
    <row r="453" spans="1:25" x14ac:dyDescent="0.25">
      <c r="A453">
        <v>247</v>
      </c>
      <c r="B453" t="s">
        <v>5272</v>
      </c>
      <c r="C453" t="s">
        <v>4469</v>
      </c>
      <c r="D453" t="s">
        <v>4470</v>
      </c>
      <c r="E453" t="s">
        <v>4265</v>
      </c>
      <c r="F453">
        <v>-1</v>
      </c>
      <c r="G453" t="s">
        <v>59</v>
      </c>
      <c r="H453" t="s">
        <v>59</v>
      </c>
      <c r="I453" t="s">
        <v>59</v>
      </c>
      <c r="J453" t="s">
        <v>59</v>
      </c>
      <c r="K453" t="s">
        <v>59</v>
      </c>
      <c r="L453" t="s">
        <v>59</v>
      </c>
      <c r="M453" t="s">
        <v>59</v>
      </c>
      <c r="N453" t="s">
        <v>59</v>
      </c>
      <c r="O453" t="s">
        <v>59</v>
      </c>
      <c r="P453" t="s">
        <v>59</v>
      </c>
      <c r="Q453" t="s">
        <v>59</v>
      </c>
      <c r="R453" t="s">
        <v>59</v>
      </c>
      <c r="S453" t="s">
        <v>59</v>
      </c>
      <c r="T453" t="s">
        <v>59</v>
      </c>
      <c r="U453" t="s">
        <v>59</v>
      </c>
      <c r="V453" t="s">
        <v>59</v>
      </c>
      <c r="W453" t="s">
        <v>59</v>
      </c>
      <c r="X453" t="s">
        <v>59</v>
      </c>
      <c r="Y453" t="s">
        <v>59</v>
      </c>
    </row>
    <row r="454" spans="1:25" x14ac:dyDescent="0.25">
      <c r="A454">
        <v>240</v>
      </c>
      <c r="B454" t="s">
        <v>5272</v>
      </c>
      <c r="C454" t="s">
        <v>4455</v>
      </c>
      <c r="D454" t="s">
        <v>4456</v>
      </c>
      <c r="E454" t="s">
        <v>4265</v>
      </c>
      <c r="F454">
        <v>-1</v>
      </c>
      <c r="G454" t="s">
        <v>59</v>
      </c>
      <c r="H454" t="s">
        <v>59</v>
      </c>
      <c r="I454" t="s">
        <v>59</v>
      </c>
      <c r="J454" t="s">
        <v>59</v>
      </c>
      <c r="K454" t="s">
        <v>59</v>
      </c>
      <c r="L454" t="s">
        <v>59</v>
      </c>
      <c r="M454" t="s">
        <v>59</v>
      </c>
      <c r="N454" t="s">
        <v>59</v>
      </c>
      <c r="O454" t="s">
        <v>59</v>
      </c>
      <c r="P454" t="s">
        <v>59</v>
      </c>
      <c r="Q454" t="s">
        <v>59</v>
      </c>
      <c r="R454" t="s">
        <v>59</v>
      </c>
      <c r="S454" t="s">
        <v>59</v>
      </c>
      <c r="T454" t="s">
        <v>59</v>
      </c>
      <c r="U454" t="s">
        <v>59</v>
      </c>
      <c r="V454" t="s">
        <v>59</v>
      </c>
      <c r="W454" t="s">
        <v>59</v>
      </c>
      <c r="X454" t="s">
        <v>59</v>
      </c>
      <c r="Y454" t="s">
        <v>59</v>
      </c>
    </row>
    <row r="455" spans="1:25" x14ac:dyDescent="0.25">
      <c r="A455">
        <v>252</v>
      </c>
      <c r="B455" t="s">
        <v>5272</v>
      </c>
      <c r="C455" t="s">
        <v>4477</v>
      </c>
      <c r="D455" t="s">
        <v>4478</v>
      </c>
      <c r="E455" t="s">
        <v>4265</v>
      </c>
      <c r="F455">
        <v>-1</v>
      </c>
      <c r="G455" t="s">
        <v>59</v>
      </c>
      <c r="H455" t="s">
        <v>59</v>
      </c>
      <c r="I455" t="s">
        <v>59</v>
      </c>
      <c r="J455" t="s">
        <v>59</v>
      </c>
      <c r="K455" t="s">
        <v>59</v>
      </c>
      <c r="L455" t="s">
        <v>59</v>
      </c>
      <c r="M455" t="s">
        <v>59</v>
      </c>
      <c r="N455" t="s">
        <v>59</v>
      </c>
      <c r="O455" t="s">
        <v>59</v>
      </c>
      <c r="P455" t="s">
        <v>59</v>
      </c>
      <c r="Q455" t="s">
        <v>59</v>
      </c>
      <c r="R455" t="s">
        <v>59</v>
      </c>
      <c r="S455" t="s">
        <v>59</v>
      </c>
      <c r="T455" t="s">
        <v>59</v>
      </c>
      <c r="U455" t="s">
        <v>59</v>
      </c>
      <c r="V455" t="s">
        <v>59</v>
      </c>
      <c r="W455" t="s">
        <v>59</v>
      </c>
      <c r="X455" t="s">
        <v>59</v>
      </c>
      <c r="Y455" t="s">
        <v>59</v>
      </c>
    </row>
    <row r="456" spans="1:25" x14ac:dyDescent="0.25">
      <c r="A456">
        <v>276</v>
      </c>
      <c r="B456" t="s">
        <v>5272</v>
      </c>
      <c r="C456" t="s">
        <v>4524</v>
      </c>
      <c r="D456" t="s">
        <v>4525</v>
      </c>
      <c r="E456" t="s">
        <v>4265</v>
      </c>
      <c r="F456">
        <v>-1</v>
      </c>
      <c r="G456" t="s">
        <v>59</v>
      </c>
      <c r="H456" t="s">
        <v>59</v>
      </c>
      <c r="I456" t="s">
        <v>59</v>
      </c>
      <c r="J456" t="s">
        <v>59</v>
      </c>
      <c r="K456" t="s">
        <v>59</v>
      </c>
      <c r="L456" t="s">
        <v>59</v>
      </c>
      <c r="M456" t="s">
        <v>59</v>
      </c>
      <c r="N456" t="s">
        <v>59</v>
      </c>
      <c r="O456" t="s">
        <v>59</v>
      </c>
      <c r="P456" t="s">
        <v>59</v>
      </c>
      <c r="Q456" t="s">
        <v>59</v>
      </c>
      <c r="R456" t="s">
        <v>59</v>
      </c>
      <c r="S456" t="s">
        <v>59</v>
      </c>
      <c r="T456" t="s">
        <v>59</v>
      </c>
      <c r="U456" t="s">
        <v>59</v>
      </c>
      <c r="V456" t="s">
        <v>59</v>
      </c>
      <c r="W456" t="s">
        <v>59</v>
      </c>
      <c r="X456" t="s">
        <v>59</v>
      </c>
      <c r="Y456" t="s">
        <v>59</v>
      </c>
    </row>
    <row r="457" spans="1:25" x14ac:dyDescent="0.25">
      <c r="A457">
        <v>275</v>
      </c>
      <c r="B457" t="s">
        <v>5272</v>
      </c>
      <c r="C457" t="s">
        <v>4522</v>
      </c>
      <c r="D457" t="s">
        <v>4523</v>
      </c>
      <c r="E457" t="s">
        <v>4265</v>
      </c>
      <c r="F457">
        <v>-1</v>
      </c>
      <c r="G457" t="s">
        <v>59</v>
      </c>
      <c r="H457" t="s">
        <v>59</v>
      </c>
      <c r="I457" t="s">
        <v>59</v>
      </c>
      <c r="J457" t="s">
        <v>59</v>
      </c>
      <c r="K457" t="s">
        <v>59</v>
      </c>
      <c r="L457" t="s">
        <v>59</v>
      </c>
      <c r="M457" t="s">
        <v>59</v>
      </c>
      <c r="N457" t="s">
        <v>59</v>
      </c>
      <c r="O457" t="s">
        <v>59</v>
      </c>
      <c r="P457" t="s">
        <v>59</v>
      </c>
      <c r="Q457" t="s">
        <v>59</v>
      </c>
      <c r="R457" t="s">
        <v>59</v>
      </c>
      <c r="S457" t="s">
        <v>59</v>
      </c>
      <c r="T457" t="s">
        <v>59</v>
      </c>
      <c r="U457" t="s">
        <v>59</v>
      </c>
      <c r="V457" t="s">
        <v>59</v>
      </c>
      <c r="W457" t="s">
        <v>59</v>
      </c>
      <c r="X457" t="s">
        <v>59</v>
      </c>
      <c r="Y457" t="s">
        <v>59</v>
      </c>
    </row>
    <row r="458" spans="1:25" x14ac:dyDescent="0.25">
      <c r="A458">
        <v>285</v>
      </c>
      <c r="B458" t="s">
        <v>5272</v>
      </c>
      <c r="C458" t="s">
        <v>4541</v>
      </c>
      <c r="D458" t="s">
        <v>4542</v>
      </c>
      <c r="E458" t="s">
        <v>4265</v>
      </c>
      <c r="F458">
        <v>-1</v>
      </c>
      <c r="G458" t="s">
        <v>59</v>
      </c>
      <c r="H458" t="s">
        <v>59</v>
      </c>
      <c r="I458" t="s">
        <v>59</v>
      </c>
      <c r="J458" t="s">
        <v>59</v>
      </c>
      <c r="K458" t="s">
        <v>59</v>
      </c>
      <c r="L458" t="s">
        <v>59</v>
      </c>
      <c r="M458" t="s">
        <v>59</v>
      </c>
      <c r="N458" t="s">
        <v>59</v>
      </c>
      <c r="O458" t="s">
        <v>59</v>
      </c>
      <c r="P458" t="s">
        <v>59</v>
      </c>
      <c r="Q458" t="s">
        <v>59</v>
      </c>
      <c r="R458" t="s">
        <v>59</v>
      </c>
      <c r="S458" t="s">
        <v>59</v>
      </c>
      <c r="T458" t="s">
        <v>59</v>
      </c>
      <c r="U458" t="s">
        <v>59</v>
      </c>
      <c r="V458" t="s">
        <v>59</v>
      </c>
      <c r="W458" t="s">
        <v>59</v>
      </c>
      <c r="X458" t="s">
        <v>59</v>
      </c>
      <c r="Y458" t="s">
        <v>59</v>
      </c>
    </row>
    <row r="459" spans="1:25" x14ac:dyDescent="0.25">
      <c r="A459">
        <v>227</v>
      </c>
      <c r="B459" t="s">
        <v>5272</v>
      </c>
      <c r="C459" t="s">
        <v>4429</v>
      </c>
      <c r="D459" t="s">
        <v>4430</v>
      </c>
      <c r="E459" t="s">
        <v>4265</v>
      </c>
      <c r="F459">
        <v>-1</v>
      </c>
      <c r="G459" t="s">
        <v>59</v>
      </c>
      <c r="H459" t="s">
        <v>59</v>
      </c>
      <c r="I459" t="s">
        <v>59</v>
      </c>
      <c r="J459" t="s">
        <v>59</v>
      </c>
      <c r="K459" t="s">
        <v>59</v>
      </c>
      <c r="L459" t="s">
        <v>59</v>
      </c>
      <c r="M459" t="s">
        <v>59</v>
      </c>
      <c r="N459" t="s">
        <v>59</v>
      </c>
      <c r="O459" t="s">
        <v>59</v>
      </c>
      <c r="P459" t="s">
        <v>59</v>
      </c>
      <c r="Q459" t="s">
        <v>59</v>
      </c>
      <c r="R459" t="s">
        <v>59</v>
      </c>
      <c r="S459" t="s">
        <v>59</v>
      </c>
      <c r="T459" t="s">
        <v>59</v>
      </c>
      <c r="U459" t="s">
        <v>59</v>
      </c>
      <c r="V459" t="s">
        <v>59</v>
      </c>
      <c r="W459" t="s">
        <v>59</v>
      </c>
      <c r="X459" t="s">
        <v>59</v>
      </c>
      <c r="Y459" t="s">
        <v>59</v>
      </c>
    </row>
    <row r="460" spans="1:25" x14ac:dyDescent="0.25">
      <c r="A460">
        <v>280</v>
      </c>
      <c r="B460" t="s">
        <v>5272</v>
      </c>
      <c r="C460" t="s">
        <v>4532</v>
      </c>
      <c r="D460" t="s">
        <v>4533</v>
      </c>
      <c r="E460" t="s">
        <v>4265</v>
      </c>
      <c r="F460">
        <v>-1</v>
      </c>
      <c r="G460" t="s">
        <v>59</v>
      </c>
      <c r="H460" t="s">
        <v>59</v>
      </c>
      <c r="I460" t="s">
        <v>59</v>
      </c>
      <c r="J460" t="s">
        <v>59</v>
      </c>
      <c r="K460" t="s">
        <v>59</v>
      </c>
      <c r="L460" t="s">
        <v>59</v>
      </c>
      <c r="M460" t="s">
        <v>59</v>
      </c>
      <c r="N460" t="s">
        <v>59</v>
      </c>
      <c r="O460" t="s">
        <v>59</v>
      </c>
      <c r="P460" t="s">
        <v>59</v>
      </c>
      <c r="Q460" t="s">
        <v>59</v>
      </c>
      <c r="R460" t="s">
        <v>59</v>
      </c>
      <c r="S460" t="s">
        <v>59</v>
      </c>
      <c r="T460" t="s">
        <v>59</v>
      </c>
      <c r="U460" t="s">
        <v>59</v>
      </c>
      <c r="V460" t="s">
        <v>59</v>
      </c>
      <c r="W460" t="s">
        <v>59</v>
      </c>
      <c r="X460" t="s">
        <v>59</v>
      </c>
      <c r="Y460" t="s">
        <v>59</v>
      </c>
    </row>
    <row r="461" spans="1:25" x14ac:dyDescent="0.25">
      <c r="A461">
        <v>260</v>
      </c>
      <c r="B461" t="s">
        <v>5272</v>
      </c>
      <c r="C461" t="s">
        <v>4493</v>
      </c>
      <c r="D461" t="s">
        <v>4494</v>
      </c>
      <c r="E461" t="s">
        <v>4265</v>
      </c>
      <c r="F461">
        <v>-1</v>
      </c>
      <c r="G461" t="s">
        <v>59</v>
      </c>
      <c r="H461" t="s">
        <v>59</v>
      </c>
      <c r="I461" t="s">
        <v>59</v>
      </c>
      <c r="J461" t="s">
        <v>59</v>
      </c>
      <c r="K461" t="s">
        <v>59</v>
      </c>
      <c r="L461" t="s">
        <v>59</v>
      </c>
      <c r="M461" t="s">
        <v>59</v>
      </c>
      <c r="N461" t="s">
        <v>59</v>
      </c>
      <c r="O461" t="s">
        <v>59</v>
      </c>
      <c r="P461" t="s">
        <v>59</v>
      </c>
      <c r="Q461" t="s">
        <v>59</v>
      </c>
      <c r="R461" t="s">
        <v>59</v>
      </c>
      <c r="S461" t="s">
        <v>59</v>
      </c>
      <c r="T461" t="s">
        <v>59</v>
      </c>
      <c r="U461" t="s">
        <v>59</v>
      </c>
      <c r="V461" t="s">
        <v>59</v>
      </c>
      <c r="W461" t="s">
        <v>59</v>
      </c>
      <c r="X461" t="s">
        <v>59</v>
      </c>
      <c r="Y461" t="s">
        <v>59</v>
      </c>
    </row>
    <row r="462" spans="1:25" x14ac:dyDescent="0.25">
      <c r="A462">
        <v>228</v>
      </c>
      <c r="B462" t="s">
        <v>5272</v>
      </c>
      <c r="C462" t="s">
        <v>4431</v>
      </c>
      <c r="D462" t="s">
        <v>4432</v>
      </c>
      <c r="E462" t="s">
        <v>4265</v>
      </c>
      <c r="F462">
        <v>-1</v>
      </c>
      <c r="G462" t="s">
        <v>59</v>
      </c>
      <c r="H462" t="s">
        <v>59</v>
      </c>
      <c r="I462" t="s">
        <v>59</v>
      </c>
      <c r="J462" t="s">
        <v>59</v>
      </c>
      <c r="K462" t="s">
        <v>59</v>
      </c>
      <c r="L462" t="s">
        <v>59</v>
      </c>
      <c r="M462" t="s">
        <v>59</v>
      </c>
      <c r="N462" t="s">
        <v>59</v>
      </c>
      <c r="O462" t="s">
        <v>59</v>
      </c>
      <c r="P462" t="s">
        <v>59</v>
      </c>
      <c r="Q462" t="s">
        <v>59</v>
      </c>
      <c r="R462" t="s">
        <v>59</v>
      </c>
      <c r="S462" t="s">
        <v>59</v>
      </c>
      <c r="T462" t="s">
        <v>59</v>
      </c>
      <c r="U462" t="s">
        <v>59</v>
      </c>
      <c r="V462" t="s">
        <v>59</v>
      </c>
      <c r="W462" t="s">
        <v>59</v>
      </c>
      <c r="X462" t="s">
        <v>59</v>
      </c>
      <c r="Y462" t="s">
        <v>59</v>
      </c>
    </row>
    <row r="463" spans="1:25" x14ac:dyDescent="0.25">
      <c r="A463">
        <v>241</v>
      </c>
      <c r="B463" t="s">
        <v>5272</v>
      </c>
      <c r="C463" t="s">
        <v>4457</v>
      </c>
      <c r="D463" t="s">
        <v>4458</v>
      </c>
      <c r="E463" t="s">
        <v>4265</v>
      </c>
      <c r="F463">
        <v>-1</v>
      </c>
      <c r="G463" t="s">
        <v>59</v>
      </c>
      <c r="H463" t="s">
        <v>59</v>
      </c>
      <c r="I463" t="s">
        <v>59</v>
      </c>
      <c r="J463" t="s">
        <v>59</v>
      </c>
      <c r="K463" t="s">
        <v>59</v>
      </c>
      <c r="L463" t="s">
        <v>59</v>
      </c>
      <c r="M463" t="s">
        <v>59</v>
      </c>
      <c r="N463" t="s">
        <v>59</v>
      </c>
      <c r="O463" t="s">
        <v>59</v>
      </c>
      <c r="P463" t="s">
        <v>59</v>
      </c>
      <c r="Q463" t="s">
        <v>59</v>
      </c>
      <c r="R463" t="s">
        <v>59</v>
      </c>
      <c r="S463" t="s">
        <v>59</v>
      </c>
      <c r="T463" t="s">
        <v>59</v>
      </c>
      <c r="U463" t="s">
        <v>59</v>
      </c>
      <c r="V463" t="s">
        <v>59</v>
      </c>
      <c r="W463" t="s">
        <v>59</v>
      </c>
      <c r="X463" t="s">
        <v>59</v>
      </c>
      <c r="Y463" t="s">
        <v>59</v>
      </c>
    </row>
    <row r="464" spans="1:25" x14ac:dyDescent="0.25">
      <c r="A464">
        <v>263</v>
      </c>
      <c r="B464" t="s">
        <v>5272</v>
      </c>
      <c r="C464" t="s">
        <v>4499</v>
      </c>
      <c r="D464" t="s">
        <v>4488</v>
      </c>
      <c r="E464" t="s">
        <v>4265</v>
      </c>
      <c r="F464">
        <v>-1</v>
      </c>
      <c r="G464" t="s">
        <v>59</v>
      </c>
      <c r="H464" t="s">
        <v>59</v>
      </c>
      <c r="I464" t="s">
        <v>59</v>
      </c>
      <c r="J464" t="s">
        <v>59</v>
      </c>
      <c r="K464" t="s">
        <v>59</v>
      </c>
      <c r="L464" t="s">
        <v>59</v>
      </c>
      <c r="M464" t="s">
        <v>59</v>
      </c>
      <c r="N464" t="s">
        <v>59</v>
      </c>
      <c r="O464" t="s">
        <v>59</v>
      </c>
      <c r="P464" t="s">
        <v>59</v>
      </c>
      <c r="Q464" t="s">
        <v>59</v>
      </c>
      <c r="R464" t="s">
        <v>59</v>
      </c>
      <c r="S464" t="s">
        <v>59</v>
      </c>
      <c r="T464" t="s">
        <v>59</v>
      </c>
      <c r="U464" t="s">
        <v>59</v>
      </c>
      <c r="V464" t="s">
        <v>59</v>
      </c>
      <c r="W464" t="s">
        <v>59</v>
      </c>
      <c r="X464" t="s">
        <v>59</v>
      </c>
      <c r="Y464" t="s">
        <v>59</v>
      </c>
    </row>
    <row r="465" spans="1:25" x14ac:dyDescent="0.25">
      <c r="A465">
        <v>257</v>
      </c>
      <c r="B465" t="s">
        <v>5272</v>
      </c>
      <c r="C465" t="s">
        <v>4487</v>
      </c>
      <c r="D465" t="s">
        <v>4488</v>
      </c>
      <c r="E465" t="s">
        <v>4265</v>
      </c>
      <c r="F465">
        <v>-1</v>
      </c>
      <c r="G465" t="s">
        <v>59</v>
      </c>
      <c r="H465" t="s">
        <v>59</v>
      </c>
      <c r="I465" t="s">
        <v>59</v>
      </c>
      <c r="J465" t="s">
        <v>59</v>
      </c>
      <c r="K465" t="s">
        <v>59</v>
      </c>
      <c r="L465" t="s">
        <v>59</v>
      </c>
      <c r="M465" t="s">
        <v>59</v>
      </c>
      <c r="N465" t="s">
        <v>59</v>
      </c>
      <c r="O465" t="s">
        <v>59</v>
      </c>
      <c r="P465" t="s">
        <v>59</v>
      </c>
      <c r="Q465" t="s">
        <v>59</v>
      </c>
      <c r="R465" t="s">
        <v>59</v>
      </c>
      <c r="S465" t="s">
        <v>59</v>
      </c>
      <c r="T465" t="s">
        <v>59</v>
      </c>
      <c r="U465" t="s">
        <v>59</v>
      </c>
      <c r="V465" t="s">
        <v>59</v>
      </c>
      <c r="W465" t="s">
        <v>59</v>
      </c>
      <c r="X465" t="s">
        <v>59</v>
      </c>
      <c r="Y465" t="s">
        <v>59</v>
      </c>
    </row>
    <row r="466" spans="1:25" x14ac:dyDescent="0.25">
      <c r="A466">
        <v>258</v>
      </c>
      <c r="B466" t="s">
        <v>5272</v>
      </c>
      <c r="C466" t="s">
        <v>4489</v>
      </c>
      <c r="D466" t="s">
        <v>4490</v>
      </c>
      <c r="E466" t="s">
        <v>4265</v>
      </c>
      <c r="F466">
        <v>-1</v>
      </c>
      <c r="G466" t="s">
        <v>59</v>
      </c>
      <c r="H466" t="s">
        <v>59</v>
      </c>
      <c r="I466" t="s">
        <v>59</v>
      </c>
      <c r="J466" t="s">
        <v>59</v>
      </c>
      <c r="K466" t="s">
        <v>59</v>
      </c>
      <c r="L466" t="s">
        <v>59</v>
      </c>
      <c r="M466" t="s">
        <v>59</v>
      </c>
      <c r="N466" t="s">
        <v>59</v>
      </c>
      <c r="O466" t="s">
        <v>59</v>
      </c>
      <c r="P466" t="s">
        <v>59</v>
      </c>
      <c r="Q466" t="s">
        <v>59</v>
      </c>
      <c r="R466" t="s">
        <v>59</v>
      </c>
      <c r="S466" t="s">
        <v>59</v>
      </c>
      <c r="T466" t="s">
        <v>59</v>
      </c>
      <c r="U466" t="s">
        <v>59</v>
      </c>
      <c r="V466" t="s">
        <v>59</v>
      </c>
      <c r="W466" t="s">
        <v>59</v>
      </c>
      <c r="X466" t="s">
        <v>59</v>
      </c>
      <c r="Y466" t="s">
        <v>59</v>
      </c>
    </row>
    <row r="467" spans="1:25" x14ac:dyDescent="0.25">
      <c r="A467">
        <v>265</v>
      </c>
      <c r="B467" t="s">
        <v>5272</v>
      </c>
      <c r="C467" t="s">
        <v>4502</v>
      </c>
      <c r="D467" t="s">
        <v>4503</v>
      </c>
      <c r="E467" t="s">
        <v>4265</v>
      </c>
      <c r="F467">
        <v>-1</v>
      </c>
      <c r="G467" t="s">
        <v>59</v>
      </c>
      <c r="H467" t="s">
        <v>59</v>
      </c>
      <c r="I467" t="s">
        <v>59</v>
      </c>
      <c r="J467" t="s">
        <v>59</v>
      </c>
      <c r="K467" t="s">
        <v>59</v>
      </c>
      <c r="L467" t="s">
        <v>59</v>
      </c>
      <c r="M467" t="s">
        <v>59</v>
      </c>
      <c r="N467" t="s">
        <v>59</v>
      </c>
      <c r="O467" t="s">
        <v>59</v>
      </c>
      <c r="P467" t="s">
        <v>59</v>
      </c>
      <c r="Q467" t="s">
        <v>59</v>
      </c>
      <c r="R467" t="s">
        <v>59</v>
      </c>
      <c r="S467" t="s">
        <v>59</v>
      </c>
      <c r="T467" t="s">
        <v>59</v>
      </c>
      <c r="U467" t="s">
        <v>59</v>
      </c>
      <c r="V467" t="s">
        <v>59</v>
      </c>
      <c r="W467" t="s">
        <v>59</v>
      </c>
      <c r="X467" t="s">
        <v>59</v>
      </c>
      <c r="Y467" t="s">
        <v>59</v>
      </c>
    </row>
    <row r="468" spans="1:25" x14ac:dyDescent="0.25">
      <c r="A468">
        <v>264</v>
      </c>
      <c r="B468" t="s">
        <v>5272</v>
      </c>
      <c r="C468" t="s">
        <v>4500</v>
      </c>
      <c r="D468" t="s">
        <v>4501</v>
      </c>
      <c r="E468" t="s">
        <v>4265</v>
      </c>
      <c r="F468">
        <v>-1</v>
      </c>
      <c r="G468" t="s">
        <v>59</v>
      </c>
      <c r="H468" t="s">
        <v>59</v>
      </c>
      <c r="I468" t="s">
        <v>59</v>
      </c>
      <c r="J468" t="s">
        <v>59</v>
      </c>
      <c r="K468" t="s">
        <v>59</v>
      </c>
      <c r="L468" t="s">
        <v>59</v>
      </c>
      <c r="M468" t="s">
        <v>59</v>
      </c>
      <c r="N468" t="s">
        <v>59</v>
      </c>
      <c r="O468" t="s">
        <v>59</v>
      </c>
      <c r="P468" t="s">
        <v>59</v>
      </c>
      <c r="Q468" t="s">
        <v>59</v>
      </c>
      <c r="R468" t="s">
        <v>59</v>
      </c>
      <c r="S468" t="s">
        <v>59</v>
      </c>
      <c r="T468" t="s">
        <v>59</v>
      </c>
      <c r="U468" t="s">
        <v>59</v>
      </c>
      <c r="V468" t="s">
        <v>59</v>
      </c>
      <c r="W468" t="s">
        <v>59</v>
      </c>
      <c r="X468" t="s">
        <v>59</v>
      </c>
      <c r="Y468" t="s">
        <v>59</v>
      </c>
    </row>
    <row r="469" spans="1:25" x14ac:dyDescent="0.25">
      <c r="A469">
        <v>161</v>
      </c>
      <c r="B469" t="s">
        <v>5272</v>
      </c>
      <c r="C469" t="s">
        <v>5275</v>
      </c>
      <c r="D469" t="s">
        <v>4307</v>
      </c>
      <c r="E469" t="s">
        <v>4265</v>
      </c>
      <c r="F469">
        <v>-1</v>
      </c>
      <c r="G469" t="s">
        <v>59</v>
      </c>
      <c r="H469" t="s">
        <v>59</v>
      </c>
      <c r="I469" t="s">
        <v>59</v>
      </c>
      <c r="J469" t="s">
        <v>59</v>
      </c>
      <c r="K469" t="s">
        <v>59</v>
      </c>
      <c r="L469" t="s">
        <v>59</v>
      </c>
      <c r="M469" t="s">
        <v>59</v>
      </c>
      <c r="N469" t="s">
        <v>59</v>
      </c>
      <c r="O469" t="s">
        <v>59</v>
      </c>
      <c r="P469" t="s">
        <v>59</v>
      </c>
      <c r="Q469" t="s">
        <v>59</v>
      </c>
      <c r="R469" t="s">
        <v>59</v>
      </c>
      <c r="S469" t="s">
        <v>59</v>
      </c>
      <c r="T469" t="s">
        <v>59</v>
      </c>
      <c r="U469" t="s">
        <v>59</v>
      </c>
      <c r="V469" t="s">
        <v>59</v>
      </c>
      <c r="W469" t="s">
        <v>59</v>
      </c>
      <c r="X469" t="s">
        <v>59</v>
      </c>
      <c r="Y469" t="s">
        <v>59</v>
      </c>
    </row>
    <row r="470" spans="1:25" x14ac:dyDescent="0.25">
      <c r="A470">
        <v>162</v>
      </c>
      <c r="B470" t="s">
        <v>5272</v>
      </c>
      <c r="C470" t="s">
        <v>4306</v>
      </c>
      <c r="D470" t="s">
        <v>4307</v>
      </c>
      <c r="E470" t="s">
        <v>4265</v>
      </c>
      <c r="F470">
        <v>-1</v>
      </c>
      <c r="G470" t="s">
        <v>59</v>
      </c>
      <c r="H470" t="s">
        <v>59</v>
      </c>
      <c r="I470" t="s">
        <v>59</v>
      </c>
      <c r="J470" t="s">
        <v>59</v>
      </c>
      <c r="K470" t="s">
        <v>59</v>
      </c>
      <c r="L470" t="s">
        <v>59</v>
      </c>
      <c r="M470" t="s">
        <v>59</v>
      </c>
      <c r="N470" t="s">
        <v>59</v>
      </c>
      <c r="O470" t="s">
        <v>59</v>
      </c>
      <c r="P470" t="s">
        <v>59</v>
      </c>
      <c r="Q470" t="s">
        <v>59</v>
      </c>
      <c r="R470" t="s">
        <v>59</v>
      </c>
      <c r="S470" t="s">
        <v>59</v>
      </c>
      <c r="T470" t="s">
        <v>59</v>
      </c>
      <c r="U470" t="s">
        <v>59</v>
      </c>
      <c r="V470" t="s">
        <v>59</v>
      </c>
      <c r="W470" t="s">
        <v>59</v>
      </c>
      <c r="X470" t="s">
        <v>59</v>
      </c>
      <c r="Y470" t="s">
        <v>59</v>
      </c>
    </row>
    <row r="471" spans="1:25" x14ac:dyDescent="0.25">
      <c r="A471">
        <v>161</v>
      </c>
      <c r="B471" t="s">
        <v>5272</v>
      </c>
      <c r="C471" t="s">
        <v>5276</v>
      </c>
      <c r="D471" t="s">
        <v>4309</v>
      </c>
      <c r="E471" t="s">
        <v>4265</v>
      </c>
      <c r="F471">
        <v>-1</v>
      </c>
      <c r="G471" t="s">
        <v>59</v>
      </c>
      <c r="H471" t="s">
        <v>59</v>
      </c>
      <c r="I471" t="s">
        <v>59</v>
      </c>
      <c r="J471" t="s">
        <v>59</v>
      </c>
      <c r="K471" t="s">
        <v>59</v>
      </c>
      <c r="L471" t="s">
        <v>59</v>
      </c>
      <c r="M471" t="s">
        <v>59</v>
      </c>
      <c r="N471" t="s">
        <v>59</v>
      </c>
      <c r="O471" t="s">
        <v>59</v>
      </c>
      <c r="P471" t="s">
        <v>59</v>
      </c>
      <c r="Q471" t="s">
        <v>59</v>
      </c>
      <c r="R471" t="s">
        <v>59</v>
      </c>
      <c r="S471" t="s">
        <v>59</v>
      </c>
      <c r="T471" t="s">
        <v>59</v>
      </c>
      <c r="U471" t="s">
        <v>59</v>
      </c>
      <c r="V471" t="s">
        <v>59</v>
      </c>
      <c r="W471" t="s">
        <v>59</v>
      </c>
      <c r="X471" t="s">
        <v>59</v>
      </c>
      <c r="Y471" t="s">
        <v>59</v>
      </c>
    </row>
    <row r="472" spans="1:25" x14ac:dyDescent="0.25">
      <c r="A472">
        <v>163</v>
      </c>
      <c r="B472" t="s">
        <v>5272</v>
      </c>
      <c r="C472" t="s">
        <v>4308</v>
      </c>
      <c r="D472" t="s">
        <v>4309</v>
      </c>
      <c r="E472" t="s">
        <v>4265</v>
      </c>
      <c r="F472">
        <v>-1</v>
      </c>
      <c r="G472" t="s">
        <v>59</v>
      </c>
      <c r="H472" t="s">
        <v>59</v>
      </c>
      <c r="I472" t="s">
        <v>59</v>
      </c>
      <c r="J472" t="s">
        <v>59</v>
      </c>
      <c r="K472" t="s">
        <v>59</v>
      </c>
      <c r="L472" t="s">
        <v>59</v>
      </c>
      <c r="M472" t="s">
        <v>59</v>
      </c>
      <c r="N472" t="s">
        <v>59</v>
      </c>
      <c r="O472" t="s">
        <v>59</v>
      </c>
      <c r="P472" t="s">
        <v>59</v>
      </c>
      <c r="Q472" t="s">
        <v>59</v>
      </c>
      <c r="R472" t="s">
        <v>59</v>
      </c>
      <c r="S472" t="s">
        <v>59</v>
      </c>
      <c r="T472" t="s">
        <v>59</v>
      </c>
      <c r="U472" t="s">
        <v>59</v>
      </c>
      <c r="V472" t="s">
        <v>59</v>
      </c>
      <c r="W472" t="s">
        <v>59</v>
      </c>
      <c r="X472" t="s">
        <v>59</v>
      </c>
      <c r="Y472" t="s">
        <v>59</v>
      </c>
    </row>
    <row r="473" spans="1:25" x14ac:dyDescent="0.25">
      <c r="A473">
        <v>161</v>
      </c>
      <c r="B473" t="s">
        <v>5272</v>
      </c>
      <c r="C473" t="s">
        <v>5277</v>
      </c>
      <c r="D473" t="s">
        <v>4311</v>
      </c>
      <c r="E473" t="s">
        <v>4265</v>
      </c>
      <c r="F473">
        <v>-1</v>
      </c>
      <c r="G473" t="s">
        <v>59</v>
      </c>
      <c r="H473" t="s">
        <v>59</v>
      </c>
      <c r="I473" t="s">
        <v>59</v>
      </c>
      <c r="J473" t="s">
        <v>59</v>
      </c>
      <c r="K473" t="s">
        <v>59</v>
      </c>
      <c r="L473" t="s">
        <v>59</v>
      </c>
      <c r="M473" t="s">
        <v>59</v>
      </c>
      <c r="N473" t="s">
        <v>59</v>
      </c>
      <c r="O473" t="s">
        <v>59</v>
      </c>
      <c r="P473" t="s">
        <v>59</v>
      </c>
      <c r="Q473" t="s">
        <v>59</v>
      </c>
      <c r="R473" t="s">
        <v>59</v>
      </c>
      <c r="S473" t="s">
        <v>59</v>
      </c>
      <c r="T473" t="s">
        <v>59</v>
      </c>
      <c r="U473" t="s">
        <v>59</v>
      </c>
      <c r="V473" t="s">
        <v>59</v>
      </c>
      <c r="W473" t="s">
        <v>59</v>
      </c>
      <c r="X473" t="s">
        <v>59</v>
      </c>
      <c r="Y473" t="s">
        <v>59</v>
      </c>
    </row>
    <row r="474" spans="1:25" x14ac:dyDescent="0.25">
      <c r="A474">
        <v>164</v>
      </c>
      <c r="B474" t="s">
        <v>5272</v>
      </c>
      <c r="C474" t="s">
        <v>4310</v>
      </c>
      <c r="D474" t="s">
        <v>4311</v>
      </c>
      <c r="E474" t="s">
        <v>4265</v>
      </c>
      <c r="F474">
        <v>-1</v>
      </c>
      <c r="G474" t="s">
        <v>59</v>
      </c>
      <c r="H474" t="s">
        <v>59</v>
      </c>
      <c r="I474" t="s">
        <v>59</v>
      </c>
      <c r="J474" t="s">
        <v>59</v>
      </c>
      <c r="K474" t="s">
        <v>59</v>
      </c>
      <c r="L474" t="s">
        <v>59</v>
      </c>
      <c r="M474" t="s">
        <v>59</v>
      </c>
      <c r="N474" t="s">
        <v>59</v>
      </c>
      <c r="O474" t="s">
        <v>59</v>
      </c>
      <c r="P474" t="s">
        <v>59</v>
      </c>
      <c r="Q474" t="s">
        <v>59</v>
      </c>
      <c r="R474" t="s">
        <v>59</v>
      </c>
      <c r="S474" t="s">
        <v>59</v>
      </c>
      <c r="T474" t="s">
        <v>59</v>
      </c>
      <c r="U474" t="s">
        <v>59</v>
      </c>
      <c r="V474" t="s">
        <v>59</v>
      </c>
      <c r="W474" t="s">
        <v>59</v>
      </c>
      <c r="X474" t="s">
        <v>59</v>
      </c>
      <c r="Y474" t="s">
        <v>59</v>
      </c>
    </row>
    <row r="475" spans="1:25" x14ac:dyDescent="0.25">
      <c r="A475">
        <v>161</v>
      </c>
      <c r="B475" t="s">
        <v>5272</v>
      </c>
      <c r="C475" t="s">
        <v>5278</v>
      </c>
      <c r="D475" t="s">
        <v>4313</v>
      </c>
      <c r="E475" t="s">
        <v>4265</v>
      </c>
      <c r="F475">
        <v>-1</v>
      </c>
      <c r="G475" t="s">
        <v>59</v>
      </c>
      <c r="H475" t="s">
        <v>59</v>
      </c>
      <c r="I475" t="s">
        <v>59</v>
      </c>
      <c r="J475" t="s">
        <v>59</v>
      </c>
      <c r="K475" t="s">
        <v>59</v>
      </c>
      <c r="L475" t="s">
        <v>59</v>
      </c>
      <c r="M475" t="s">
        <v>59</v>
      </c>
      <c r="N475" t="s">
        <v>59</v>
      </c>
      <c r="O475" t="s">
        <v>59</v>
      </c>
      <c r="P475" t="s">
        <v>59</v>
      </c>
      <c r="Q475" t="s">
        <v>59</v>
      </c>
      <c r="R475" t="s">
        <v>59</v>
      </c>
      <c r="S475" t="s">
        <v>59</v>
      </c>
      <c r="T475" t="s">
        <v>59</v>
      </c>
      <c r="U475" t="s">
        <v>59</v>
      </c>
      <c r="V475" t="s">
        <v>59</v>
      </c>
      <c r="W475" t="s">
        <v>59</v>
      </c>
      <c r="X475" t="s">
        <v>59</v>
      </c>
      <c r="Y475" t="s">
        <v>59</v>
      </c>
    </row>
    <row r="476" spans="1:25" x14ac:dyDescent="0.25">
      <c r="A476">
        <v>165</v>
      </c>
      <c r="B476" t="s">
        <v>5272</v>
      </c>
      <c r="C476" t="s">
        <v>4312</v>
      </c>
      <c r="D476" t="s">
        <v>4313</v>
      </c>
      <c r="E476" t="s">
        <v>4265</v>
      </c>
      <c r="F476">
        <v>-1</v>
      </c>
      <c r="G476" t="s">
        <v>59</v>
      </c>
      <c r="H476" t="s">
        <v>59</v>
      </c>
      <c r="I476" t="s">
        <v>59</v>
      </c>
      <c r="J476" t="s">
        <v>59</v>
      </c>
      <c r="K476" t="s">
        <v>59</v>
      </c>
      <c r="L476" t="s">
        <v>59</v>
      </c>
      <c r="M476" t="s">
        <v>59</v>
      </c>
      <c r="N476" t="s">
        <v>59</v>
      </c>
      <c r="O476" t="s">
        <v>59</v>
      </c>
      <c r="P476" t="s">
        <v>59</v>
      </c>
      <c r="Q476" t="s">
        <v>59</v>
      </c>
      <c r="R476" t="s">
        <v>59</v>
      </c>
      <c r="S476" t="s">
        <v>59</v>
      </c>
      <c r="T476" t="s">
        <v>59</v>
      </c>
      <c r="U476" t="s">
        <v>59</v>
      </c>
      <c r="V476" t="s">
        <v>59</v>
      </c>
      <c r="W476" t="s">
        <v>59</v>
      </c>
      <c r="X476" t="s">
        <v>59</v>
      </c>
      <c r="Y476" t="s">
        <v>59</v>
      </c>
    </row>
    <row r="477" spans="1:25" x14ac:dyDescent="0.25">
      <c r="A477">
        <v>581</v>
      </c>
      <c r="B477" t="s">
        <v>5272</v>
      </c>
      <c r="C477" t="s">
        <v>5042</v>
      </c>
      <c r="D477" t="s">
        <v>5043</v>
      </c>
      <c r="E477" t="s">
        <v>4265</v>
      </c>
      <c r="F477">
        <v>-1</v>
      </c>
      <c r="G477" t="s">
        <v>59</v>
      </c>
      <c r="H477" t="s">
        <v>59</v>
      </c>
      <c r="I477" t="s">
        <v>59</v>
      </c>
      <c r="J477" t="s">
        <v>59</v>
      </c>
      <c r="K477" t="s">
        <v>59</v>
      </c>
      <c r="L477" t="s">
        <v>59</v>
      </c>
      <c r="M477" t="s">
        <v>59</v>
      </c>
      <c r="N477" t="s">
        <v>59</v>
      </c>
      <c r="O477" t="s">
        <v>59</v>
      </c>
      <c r="P477" t="s">
        <v>59</v>
      </c>
      <c r="Q477" t="s">
        <v>59</v>
      </c>
      <c r="R477" t="s">
        <v>59</v>
      </c>
      <c r="S477" t="s">
        <v>59</v>
      </c>
      <c r="T477" t="s">
        <v>59</v>
      </c>
      <c r="U477" t="s">
        <v>59</v>
      </c>
      <c r="V477" t="s">
        <v>59</v>
      </c>
      <c r="W477" t="s">
        <v>59</v>
      </c>
      <c r="X477" t="s">
        <v>59</v>
      </c>
      <c r="Y477" t="s">
        <v>59</v>
      </c>
    </row>
    <row r="478" spans="1:25" x14ac:dyDescent="0.25">
      <c r="A478">
        <v>626</v>
      </c>
      <c r="B478" t="s">
        <v>5272</v>
      </c>
      <c r="C478" t="s">
        <v>5126</v>
      </c>
      <c r="D478" t="s">
        <v>5127</v>
      </c>
      <c r="E478" t="s">
        <v>4265</v>
      </c>
      <c r="F478">
        <v>-1</v>
      </c>
      <c r="G478" t="s">
        <v>59</v>
      </c>
      <c r="H478" t="s">
        <v>59</v>
      </c>
      <c r="I478" t="s">
        <v>59</v>
      </c>
      <c r="J478" t="s">
        <v>59</v>
      </c>
      <c r="K478" t="s">
        <v>59</v>
      </c>
      <c r="L478" t="s">
        <v>59</v>
      </c>
      <c r="M478" t="s">
        <v>59</v>
      </c>
      <c r="N478" t="s">
        <v>59</v>
      </c>
      <c r="O478" t="s">
        <v>59</v>
      </c>
      <c r="P478" t="s">
        <v>59</v>
      </c>
      <c r="Q478" t="s">
        <v>59</v>
      </c>
      <c r="R478" t="s">
        <v>59</v>
      </c>
      <c r="S478" t="s">
        <v>59</v>
      </c>
      <c r="T478" t="s">
        <v>59</v>
      </c>
      <c r="U478" t="s">
        <v>59</v>
      </c>
      <c r="V478" t="s">
        <v>59</v>
      </c>
      <c r="W478" t="s">
        <v>59</v>
      </c>
      <c r="X478" t="s">
        <v>59</v>
      </c>
      <c r="Y478" t="s">
        <v>59</v>
      </c>
    </row>
    <row r="479" spans="1:25" x14ac:dyDescent="0.25">
      <c r="A479">
        <v>624</v>
      </c>
      <c r="B479" t="s">
        <v>5272</v>
      </c>
      <c r="C479" t="s">
        <v>1526</v>
      </c>
      <c r="D479" t="s">
        <v>5124</v>
      </c>
      <c r="E479" t="s">
        <v>4265</v>
      </c>
      <c r="F479">
        <v>-1</v>
      </c>
      <c r="G479" t="s">
        <v>59</v>
      </c>
      <c r="H479" t="s">
        <v>59</v>
      </c>
      <c r="I479" t="s">
        <v>59</v>
      </c>
      <c r="J479" t="s">
        <v>59</v>
      </c>
      <c r="K479" t="s">
        <v>59</v>
      </c>
      <c r="L479" t="s">
        <v>59</v>
      </c>
      <c r="M479" t="s">
        <v>59</v>
      </c>
      <c r="N479" t="s">
        <v>59</v>
      </c>
      <c r="O479" t="s">
        <v>59</v>
      </c>
      <c r="P479" t="s">
        <v>59</v>
      </c>
      <c r="Q479" t="s">
        <v>59</v>
      </c>
      <c r="R479" t="s">
        <v>59</v>
      </c>
      <c r="S479" t="s">
        <v>59</v>
      </c>
      <c r="T479" t="s">
        <v>59</v>
      </c>
      <c r="U479" t="s">
        <v>59</v>
      </c>
      <c r="V479" t="s">
        <v>59</v>
      </c>
      <c r="W479" t="s">
        <v>59</v>
      </c>
      <c r="X479" t="s">
        <v>59</v>
      </c>
      <c r="Y479" t="s">
        <v>59</v>
      </c>
    </row>
    <row r="480" spans="1:25" x14ac:dyDescent="0.25">
      <c r="A480">
        <v>582</v>
      </c>
      <c r="B480" t="s">
        <v>5272</v>
      </c>
      <c r="C480" t="s">
        <v>5044</v>
      </c>
      <c r="D480" t="s">
        <v>5045</v>
      </c>
      <c r="E480" t="s">
        <v>4265</v>
      </c>
      <c r="F480">
        <v>-1</v>
      </c>
      <c r="G480" t="s">
        <v>59</v>
      </c>
      <c r="H480" t="s">
        <v>59</v>
      </c>
      <c r="I480" t="s">
        <v>59</v>
      </c>
      <c r="J480" t="s">
        <v>59</v>
      </c>
      <c r="K480" t="s">
        <v>59</v>
      </c>
      <c r="L480" t="s">
        <v>59</v>
      </c>
      <c r="M480" t="s">
        <v>59</v>
      </c>
      <c r="N480" t="s">
        <v>59</v>
      </c>
      <c r="O480" t="s">
        <v>59</v>
      </c>
      <c r="P480" t="s">
        <v>59</v>
      </c>
      <c r="Q480" t="s">
        <v>59</v>
      </c>
      <c r="R480" t="s">
        <v>59</v>
      </c>
      <c r="S480" t="s">
        <v>59</v>
      </c>
      <c r="T480" t="s">
        <v>59</v>
      </c>
      <c r="U480" t="s">
        <v>59</v>
      </c>
      <c r="V480" t="s">
        <v>59</v>
      </c>
      <c r="W480" t="s">
        <v>59</v>
      </c>
      <c r="X480" t="s">
        <v>59</v>
      </c>
      <c r="Y480" t="s">
        <v>59</v>
      </c>
    </row>
    <row r="481" spans="1:25" x14ac:dyDescent="0.25">
      <c r="A481">
        <v>583</v>
      </c>
      <c r="B481" t="s">
        <v>5272</v>
      </c>
      <c r="C481" t="s">
        <v>5046</v>
      </c>
      <c r="D481" t="s">
        <v>5047</v>
      </c>
      <c r="E481" t="s">
        <v>4265</v>
      </c>
      <c r="F481">
        <v>-1</v>
      </c>
      <c r="G481" t="s">
        <v>59</v>
      </c>
      <c r="H481" t="s">
        <v>59</v>
      </c>
      <c r="I481" t="s">
        <v>59</v>
      </c>
      <c r="J481" t="s">
        <v>59</v>
      </c>
      <c r="K481" t="s">
        <v>59</v>
      </c>
      <c r="L481" t="s">
        <v>59</v>
      </c>
      <c r="M481" t="s">
        <v>59</v>
      </c>
      <c r="N481" t="s">
        <v>59</v>
      </c>
      <c r="O481" t="s">
        <v>59</v>
      </c>
      <c r="P481" t="s">
        <v>59</v>
      </c>
      <c r="Q481" t="s">
        <v>59</v>
      </c>
      <c r="R481" t="s">
        <v>59</v>
      </c>
      <c r="S481" t="s">
        <v>59</v>
      </c>
      <c r="T481" t="s">
        <v>59</v>
      </c>
      <c r="U481" t="s">
        <v>59</v>
      </c>
      <c r="V481" t="s">
        <v>59</v>
      </c>
      <c r="W481" t="s">
        <v>59</v>
      </c>
      <c r="X481" t="s">
        <v>59</v>
      </c>
      <c r="Y481" t="s">
        <v>59</v>
      </c>
    </row>
    <row r="482" spans="1:25" x14ac:dyDescent="0.25">
      <c r="A482">
        <v>235</v>
      </c>
      <c r="B482" t="s">
        <v>5272</v>
      </c>
      <c r="C482" t="s">
        <v>4445</v>
      </c>
      <c r="D482" t="s">
        <v>4446</v>
      </c>
      <c r="E482" t="s">
        <v>4265</v>
      </c>
      <c r="F482">
        <v>-1</v>
      </c>
      <c r="G482" t="s">
        <v>59</v>
      </c>
      <c r="H482" t="s">
        <v>59</v>
      </c>
      <c r="I482" t="s">
        <v>59</v>
      </c>
      <c r="J482" t="s">
        <v>59</v>
      </c>
      <c r="K482" t="s">
        <v>59</v>
      </c>
      <c r="L482" t="s">
        <v>59</v>
      </c>
      <c r="M482" t="s">
        <v>59</v>
      </c>
      <c r="N482" t="s">
        <v>59</v>
      </c>
      <c r="O482" t="s">
        <v>59</v>
      </c>
      <c r="P482" t="s">
        <v>59</v>
      </c>
      <c r="Q482" t="s">
        <v>59</v>
      </c>
      <c r="R482" t="s">
        <v>59</v>
      </c>
      <c r="S482" t="s">
        <v>59</v>
      </c>
      <c r="T482" t="s">
        <v>59</v>
      </c>
      <c r="U482" t="s">
        <v>59</v>
      </c>
      <c r="V482" t="s">
        <v>59</v>
      </c>
      <c r="W482" t="s">
        <v>59</v>
      </c>
      <c r="X482" t="s">
        <v>59</v>
      </c>
      <c r="Y482" t="s">
        <v>59</v>
      </c>
    </row>
    <row r="483" spans="1:25" x14ac:dyDescent="0.25">
      <c r="A483">
        <v>237</v>
      </c>
      <c r="B483" t="s">
        <v>5272</v>
      </c>
      <c r="C483" t="s">
        <v>4449</v>
      </c>
      <c r="D483" t="s">
        <v>4450</v>
      </c>
      <c r="E483" t="s">
        <v>4265</v>
      </c>
      <c r="F483">
        <v>-1</v>
      </c>
      <c r="G483" t="s">
        <v>59</v>
      </c>
      <c r="H483" t="s">
        <v>59</v>
      </c>
      <c r="I483" t="s">
        <v>59</v>
      </c>
      <c r="J483" t="s">
        <v>59</v>
      </c>
      <c r="K483" t="s">
        <v>59</v>
      </c>
      <c r="L483" t="s">
        <v>59</v>
      </c>
      <c r="M483" t="s">
        <v>59</v>
      </c>
      <c r="N483" t="s">
        <v>59</v>
      </c>
      <c r="O483" t="s">
        <v>59</v>
      </c>
      <c r="P483" t="s">
        <v>59</v>
      </c>
      <c r="Q483" t="s">
        <v>59</v>
      </c>
      <c r="R483" t="s">
        <v>59</v>
      </c>
      <c r="S483" t="s">
        <v>59</v>
      </c>
      <c r="T483" t="s">
        <v>59</v>
      </c>
      <c r="U483" t="s">
        <v>59</v>
      </c>
      <c r="V483" t="s">
        <v>59</v>
      </c>
      <c r="W483" t="s">
        <v>59</v>
      </c>
      <c r="X483" t="s">
        <v>59</v>
      </c>
      <c r="Y483" t="s">
        <v>59</v>
      </c>
    </row>
    <row r="484" spans="1:25" x14ac:dyDescent="0.25">
      <c r="A484">
        <v>236</v>
      </c>
      <c r="B484" t="s">
        <v>5272</v>
      </c>
      <c r="C484" t="s">
        <v>4447</v>
      </c>
      <c r="D484" t="s">
        <v>4448</v>
      </c>
      <c r="E484" t="s">
        <v>4265</v>
      </c>
      <c r="F484">
        <v>-1</v>
      </c>
      <c r="G484" t="s">
        <v>59</v>
      </c>
      <c r="H484" t="s">
        <v>59</v>
      </c>
      <c r="I484" t="s">
        <v>59</v>
      </c>
      <c r="J484" t="s">
        <v>59</v>
      </c>
      <c r="K484" t="s">
        <v>59</v>
      </c>
      <c r="L484" t="s">
        <v>59</v>
      </c>
      <c r="M484" t="s">
        <v>59</v>
      </c>
      <c r="N484" t="s">
        <v>59</v>
      </c>
      <c r="O484" t="s">
        <v>59</v>
      </c>
      <c r="P484" t="s">
        <v>59</v>
      </c>
      <c r="Q484" t="s">
        <v>59</v>
      </c>
      <c r="R484" t="s">
        <v>59</v>
      </c>
      <c r="S484" t="s">
        <v>59</v>
      </c>
      <c r="T484" t="s">
        <v>59</v>
      </c>
      <c r="U484" t="s">
        <v>59</v>
      </c>
      <c r="V484" t="s">
        <v>59</v>
      </c>
      <c r="W484" t="s">
        <v>59</v>
      </c>
      <c r="X484" t="s">
        <v>59</v>
      </c>
      <c r="Y484" t="s">
        <v>59</v>
      </c>
    </row>
    <row r="485" spans="1:25" x14ac:dyDescent="0.25">
      <c r="A485">
        <v>596</v>
      </c>
      <c r="B485" t="s">
        <v>5272</v>
      </c>
      <c r="C485" t="s">
        <v>5071</v>
      </c>
      <c r="D485" t="s">
        <v>5072</v>
      </c>
      <c r="E485" t="s">
        <v>4265</v>
      </c>
      <c r="F485">
        <v>-1</v>
      </c>
      <c r="G485" t="s">
        <v>59</v>
      </c>
      <c r="H485" t="s">
        <v>59</v>
      </c>
      <c r="I485" t="s">
        <v>59</v>
      </c>
      <c r="J485" t="s">
        <v>59</v>
      </c>
      <c r="K485" t="s">
        <v>59</v>
      </c>
      <c r="L485" t="s">
        <v>59</v>
      </c>
      <c r="M485" t="s">
        <v>59</v>
      </c>
      <c r="N485" t="s">
        <v>59</v>
      </c>
      <c r="O485" t="s">
        <v>59</v>
      </c>
      <c r="P485" t="s">
        <v>59</v>
      </c>
      <c r="Q485" t="s">
        <v>59</v>
      </c>
      <c r="R485" t="s">
        <v>59</v>
      </c>
      <c r="S485" t="s">
        <v>59</v>
      </c>
      <c r="T485" t="s">
        <v>59</v>
      </c>
      <c r="U485" t="s">
        <v>59</v>
      </c>
      <c r="V485" t="s">
        <v>59</v>
      </c>
      <c r="W485" t="s">
        <v>59</v>
      </c>
      <c r="X485" t="s">
        <v>59</v>
      </c>
      <c r="Y485" t="s">
        <v>59</v>
      </c>
    </row>
    <row r="486" spans="1:25" x14ac:dyDescent="0.25">
      <c r="A486">
        <v>256</v>
      </c>
      <c r="B486" t="s">
        <v>5272</v>
      </c>
      <c r="C486" t="s">
        <v>4485</v>
      </c>
      <c r="D486" t="s">
        <v>4486</v>
      </c>
      <c r="E486" t="s">
        <v>4265</v>
      </c>
      <c r="F486">
        <v>-1</v>
      </c>
      <c r="G486" t="s">
        <v>59</v>
      </c>
      <c r="H486" t="s">
        <v>59</v>
      </c>
      <c r="I486" t="s">
        <v>59</v>
      </c>
      <c r="J486" t="s">
        <v>59</v>
      </c>
      <c r="K486" t="s">
        <v>59</v>
      </c>
      <c r="L486" t="s">
        <v>59</v>
      </c>
      <c r="M486" t="s">
        <v>59</v>
      </c>
      <c r="N486" t="s">
        <v>59</v>
      </c>
      <c r="O486" t="s">
        <v>59</v>
      </c>
      <c r="P486" t="s">
        <v>59</v>
      </c>
      <c r="Q486" t="s">
        <v>59</v>
      </c>
      <c r="R486" t="s">
        <v>59</v>
      </c>
      <c r="S486" t="s">
        <v>59</v>
      </c>
      <c r="T486" t="s">
        <v>59</v>
      </c>
      <c r="U486" t="s">
        <v>59</v>
      </c>
      <c r="V486" t="s">
        <v>59</v>
      </c>
      <c r="W486" t="s">
        <v>59</v>
      </c>
      <c r="X486" t="s">
        <v>59</v>
      </c>
      <c r="Y486" t="s">
        <v>59</v>
      </c>
    </row>
    <row r="487" spans="1:25" x14ac:dyDescent="0.25">
      <c r="A487">
        <v>595</v>
      </c>
      <c r="B487" t="s">
        <v>5272</v>
      </c>
      <c r="C487" t="s">
        <v>5069</v>
      </c>
      <c r="D487" t="s">
        <v>5070</v>
      </c>
      <c r="E487" t="s">
        <v>4265</v>
      </c>
      <c r="F487">
        <v>-1</v>
      </c>
      <c r="G487" t="s">
        <v>59</v>
      </c>
      <c r="H487" t="s">
        <v>59</v>
      </c>
      <c r="I487" t="s">
        <v>59</v>
      </c>
      <c r="J487" t="s">
        <v>59</v>
      </c>
      <c r="K487" t="s">
        <v>59</v>
      </c>
      <c r="L487" t="s">
        <v>59</v>
      </c>
      <c r="M487" t="s">
        <v>59</v>
      </c>
      <c r="N487" t="s">
        <v>59</v>
      </c>
      <c r="O487" t="s">
        <v>59</v>
      </c>
      <c r="P487" t="s">
        <v>59</v>
      </c>
      <c r="Q487" t="s">
        <v>59</v>
      </c>
      <c r="R487" t="s">
        <v>59</v>
      </c>
      <c r="S487" t="s">
        <v>59</v>
      </c>
      <c r="T487" t="s">
        <v>59</v>
      </c>
      <c r="U487" t="s">
        <v>59</v>
      </c>
      <c r="V487" t="s">
        <v>59</v>
      </c>
      <c r="W487" t="s">
        <v>59</v>
      </c>
      <c r="X487" t="s">
        <v>59</v>
      </c>
      <c r="Y487" t="s">
        <v>59</v>
      </c>
    </row>
    <row r="488" spans="1:25" x14ac:dyDescent="0.25">
      <c r="A488">
        <v>594</v>
      </c>
      <c r="B488" t="s">
        <v>5272</v>
      </c>
      <c r="C488" t="s">
        <v>5067</v>
      </c>
      <c r="D488" t="s">
        <v>5068</v>
      </c>
      <c r="E488" t="s">
        <v>4265</v>
      </c>
      <c r="F488">
        <v>-1</v>
      </c>
      <c r="G488" t="s">
        <v>59</v>
      </c>
      <c r="H488" t="s">
        <v>59</v>
      </c>
      <c r="I488" t="s">
        <v>59</v>
      </c>
      <c r="J488" t="s">
        <v>59</v>
      </c>
      <c r="K488" t="s">
        <v>59</v>
      </c>
      <c r="L488" t="s">
        <v>59</v>
      </c>
      <c r="M488" t="s">
        <v>59</v>
      </c>
      <c r="N488" t="s">
        <v>59</v>
      </c>
      <c r="O488" t="s">
        <v>59</v>
      </c>
      <c r="P488" t="s">
        <v>59</v>
      </c>
      <c r="Q488" t="s">
        <v>59</v>
      </c>
      <c r="R488" t="s">
        <v>59</v>
      </c>
      <c r="S488" t="s">
        <v>59</v>
      </c>
      <c r="T488" t="s">
        <v>59</v>
      </c>
      <c r="U488" t="s">
        <v>59</v>
      </c>
      <c r="V488" t="s">
        <v>59</v>
      </c>
      <c r="W488" t="s">
        <v>59</v>
      </c>
      <c r="X488" t="s">
        <v>59</v>
      </c>
      <c r="Y488" t="s">
        <v>59</v>
      </c>
    </row>
    <row r="489" spans="1:25" x14ac:dyDescent="0.25">
      <c r="A489">
        <v>593</v>
      </c>
      <c r="B489" t="s">
        <v>5272</v>
      </c>
      <c r="C489" t="s">
        <v>5065</v>
      </c>
      <c r="D489" t="s">
        <v>5066</v>
      </c>
      <c r="E489" t="s">
        <v>4265</v>
      </c>
      <c r="F489">
        <v>-1</v>
      </c>
      <c r="G489" t="s">
        <v>59</v>
      </c>
      <c r="H489" t="s">
        <v>59</v>
      </c>
      <c r="I489" t="s">
        <v>59</v>
      </c>
      <c r="J489" t="s">
        <v>59</v>
      </c>
      <c r="K489" t="s">
        <v>59</v>
      </c>
      <c r="L489" t="s">
        <v>59</v>
      </c>
      <c r="M489" t="s">
        <v>59</v>
      </c>
      <c r="N489" t="s">
        <v>59</v>
      </c>
      <c r="O489" t="s">
        <v>59</v>
      </c>
      <c r="P489" t="s">
        <v>59</v>
      </c>
      <c r="Q489" t="s">
        <v>59</v>
      </c>
      <c r="R489" t="s">
        <v>59</v>
      </c>
      <c r="S489" t="s">
        <v>59</v>
      </c>
      <c r="T489" t="s">
        <v>59</v>
      </c>
      <c r="U489" t="s">
        <v>59</v>
      </c>
      <c r="V489" t="s">
        <v>59</v>
      </c>
      <c r="W489" t="s">
        <v>59</v>
      </c>
      <c r="X489" t="s">
        <v>59</v>
      </c>
      <c r="Y489" t="s">
        <v>59</v>
      </c>
    </row>
    <row r="490" spans="1:25" x14ac:dyDescent="0.25">
      <c r="A490">
        <v>592</v>
      </c>
      <c r="B490" t="s">
        <v>5272</v>
      </c>
      <c r="C490" t="s">
        <v>5063</v>
      </c>
      <c r="D490" t="s">
        <v>5064</v>
      </c>
      <c r="E490" t="s">
        <v>4265</v>
      </c>
      <c r="F490">
        <v>-1</v>
      </c>
      <c r="G490" t="s">
        <v>59</v>
      </c>
      <c r="H490" t="s">
        <v>59</v>
      </c>
      <c r="I490" t="s">
        <v>59</v>
      </c>
      <c r="J490" t="s">
        <v>59</v>
      </c>
      <c r="K490" t="s">
        <v>59</v>
      </c>
      <c r="L490" t="s">
        <v>59</v>
      </c>
      <c r="M490" t="s">
        <v>59</v>
      </c>
      <c r="N490" t="s">
        <v>59</v>
      </c>
      <c r="O490" t="s">
        <v>59</v>
      </c>
      <c r="P490" t="s">
        <v>59</v>
      </c>
      <c r="Q490" t="s">
        <v>59</v>
      </c>
      <c r="R490" t="s">
        <v>59</v>
      </c>
      <c r="S490" t="s">
        <v>59</v>
      </c>
      <c r="T490" t="s">
        <v>59</v>
      </c>
      <c r="U490" t="s">
        <v>59</v>
      </c>
      <c r="V490" t="s">
        <v>59</v>
      </c>
      <c r="W490" t="s">
        <v>59</v>
      </c>
      <c r="X490" t="s">
        <v>59</v>
      </c>
      <c r="Y490" t="s">
        <v>59</v>
      </c>
    </row>
    <row r="491" spans="1:25" x14ac:dyDescent="0.25">
      <c r="A491">
        <v>261</v>
      </c>
      <c r="B491" t="s">
        <v>5272</v>
      </c>
      <c r="C491" t="s">
        <v>4495</v>
      </c>
      <c r="D491" t="s">
        <v>4496</v>
      </c>
      <c r="E491" t="s">
        <v>4265</v>
      </c>
      <c r="F491">
        <v>-1</v>
      </c>
      <c r="G491" t="s">
        <v>59</v>
      </c>
      <c r="H491" t="s">
        <v>59</v>
      </c>
      <c r="I491" t="s">
        <v>59</v>
      </c>
      <c r="J491" t="s">
        <v>59</v>
      </c>
      <c r="K491" t="s">
        <v>59</v>
      </c>
      <c r="L491" t="s">
        <v>59</v>
      </c>
      <c r="M491" t="s">
        <v>59</v>
      </c>
      <c r="N491" t="s">
        <v>59</v>
      </c>
      <c r="O491" t="s">
        <v>59</v>
      </c>
      <c r="P491" t="s">
        <v>59</v>
      </c>
      <c r="Q491" t="s">
        <v>59</v>
      </c>
      <c r="R491" t="s">
        <v>59</v>
      </c>
      <c r="S491" t="s">
        <v>59</v>
      </c>
      <c r="T491" t="s">
        <v>59</v>
      </c>
      <c r="U491" t="s">
        <v>59</v>
      </c>
      <c r="V491" t="s">
        <v>59</v>
      </c>
      <c r="W491" t="s">
        <v>59</v>
      </c>
      <c r="X491" t="s">
        <v>59</v>
      </c>
      <c r="Y491" t="s">
        <v>59</v>
      </c>
    </row>
    <row r="492" spans="1:25" x14ac:dyDescent="0.25">
      <c r="A492">
        <v>591</v>
      </c>
      <c r="B492" t="s">
        <v>5272</v>
      </c>
      <c r="C492" t="s">
        <v>5061</v>
      </c>
      <c r="D492" t="s">
        <v>5062</v>
      </c>
      <c r="E492" t="s">
        <v>4265</v>
      </c>
      <c r="F492">
        <v>-1</v>
      </c>
      <c r="G492" t="s">
        <v>59</v>
      </c>
      <c r="H492" t="s">
        <v>59</v>
      </c>
      <c r="I492" t="s">
        <v>59</v>
      </c>
      <c r="J492" t="s">
        <v>59</v>
      </c>
      <c r="K492" t="s">
        <v>59</v>
      </c>
      <c r="L492" t="s">
        <v>59</v>
      </c>
      <c r="M492" t="s">
        <v>59</v>
      </c>
      <c r="N492" t="s">
        <v>59</v>
      </c>
      <c r="O492" t="s">
        <v>59</v>
      </c>
      <c r="P492" t="s">
        <v>59</v>
      </c>
      <c r="Q492" t="s">
        <v>59</v>
      </c>
      <c r="R492" t="s">
        <v>59</v>
      </c>
      <c r="S492" t="s">
        <v>59</v>
      </c>
      <c r="T492" t="s">
        <v>59</v>
      </c>
      <c r="U492" t="s">
        <v>59</v>
      </c>
      <c r="V492" t="s">
        <v>59</v>
      </c>
      <c r="W492" t="s">
        <v>59</v>
      </c>
      <c r="X492" t="s">
        <v>59</v>
      </c>
      <c r="Y492" t="s">
        <v>59</v>
      </c>
    </row>
    <row r="493" spans="1:25" x14ac:dyDescent="0.25">
      <c r="A493">
        <v>590</v>
      </c>
      <c r="B493" t="s">
        <v>5272</v>
      </c>
      <c r="C493" t="s">
        <v>5059</v>
      </c>
      <c r="D493" t="s">
        <v>5060</v>
      </c>
      <c r="E493" t="s">
        <v>4265</v>
      </c>
      <c r="F493">
        <v>-1</v>
      </c>
      <c r="G493" t="s">
        <v>59</v>
      </c>
      <c r="H493" t="s">
        <v>59</v>
      </c>
      <c r="I493" t="s">
        <v>59</v>
      </c>
      <c r="J493" t="s">
        <v>59</v>
      </c>
      <c r="K493" t="s">
        <v>59</v>
      </c>
      <c r="L493" t="s">
        <v>59</v>
      </c>
      <c r="M493" t="s">
        <v>59</v>
      </c>
      <c r="N493" t="s">
        <v>59</v>
      </c>
      <c r="O493" t="s">
        <v>59</v>
      </c>
      <c r="P493" t="s">
        <v>59</v>
      </c>
      <c r="Q493" t="s">
        <v>59</v>
      </c>
      <c r="R493" t="s">
        <v>59</v>
      </c>
      <c r="S493" t="s">
        <v>59</v>
      </c>
      <c r="T493" t="s">
        <v>59</v>
      </c>
      <c r="U493" t="s">
        <v>59</v>
      </c>
      <c r="V493" t="s">
        <v>59</v>
      </c>
      <c r="W493" t="s">
        <v>59</v>
      </c>
      <c r="X493" t="s">
        <v>59</v>
      </c>
      <c r="Y493" t="s">
        <v>59</v>
      </c>
    </row>
    <row r="494" spans="1:25" x14ac:dyDescent="0.25">
      <c r="A494">
        <v>669</v>
      </c>
      <c r="B494" t="s">
        <v>5272</v>
      </c>
      <c r="C494" t="s">
        <v>5209</v>
      </c>
      <c r="D494" t="s">
        <v>5210</v>
      </c>
      <c r="E494" t="s">
        <v>4265</v>
      </c>
      <c r="F494">
        <v>-1</v>
      </c>
      <c r="G494" t="s">
        <v>59</v>
      </c>
      <c r="H494" t="s">
        <v>59</v>
      </c>
      <c r="I494" t="s">
        <v>59</v>
      </c>
      <c r="J494" t="s">
        <v>59</v>
      </c>
      <c r="K494" t="s">
        <v>59</v>
      </c>
      <c r="L494" t="s">
        <v>59</v>
      </c>
      <c r="M494" t="s">
        <v>59</v>
      </c>
      <c r="N494" t="s">
        <v>59</v>
      </c>
      <c r="O494" t="s">
        <v>59</v>
      </c>
      <c r="P494" t="s">
        <v>59</v>
      </c>
      <c r="Q494" t="s">
        <v>59</v>
      </c>
      <c r="R494" t="s">
        <v>59</v>
      </c>
      <c r="S494" t="s">
        <v>59</v>
      </c>
      <c r="T494" t="s">
        <v>59</v>
      </c>
      <c r="U494" t="s">
        <v>59</v>
      </c>
      <c r="V494" t="s">
        <v>59</v>
      </c>
      <c r="W494" t="s">
        <v>59</v>
      </c>
      <c r="X494" t="s">
        <v>59</v>
      </c>
      <c r="Y494" t="s">
        <v>59</v>
      </c>
    </row>
    <row r="495" spans="1:25" x14ac:dyDescent="0.25">
      <c r="A495">
        <v>589</v>
      </c>
      <c r="B495" t="s">
        <v>5272</v>
      </c>
      <c r="C495" t="s">
        <v>5057</v>
      </c>
      <c r="D495" t="s">
        <v>5058</v>
      </c>
      <c r="E495" t="s">
        <v>4265</v>
      </c>
      <c r="F495">
        <v>-1</v>
      </c>
      <c r="G495" t="s">
        <v>59</v>
      </c>
      <c r="H495" t="s">
        <v>59</v>
      </c>
      <c r="I495" t="s">
        <v>59</v>
      </c>
      <c r="J495" t="s">
        <v>59</v>
      </c>
      <c r="K495" t="s">
        <v>59</v>
      </c>
      <c r="L495" t="s">
        <v>59</v>
      </c>
      <c r="M495" t="s">
        <v>59</v>
      </c>
      <c r="N495" t="s">
        <v>59</v>
      </c>
      <c r="O495" t="s">
        <v>59</v>
      </c>
      <c r="P495" t="s">
        <v>59</v>
      </c>
      <c r="Q495" t="s">
        <v>59</v>
      </c>
      <c r="R495" t="s">
        <v>59</v>
      </c>
      <c r="S495" t="s">
        <v>59</v>
      </c>
      <c r="T495" t="s">
        <v>59</v>
      </c>
      <c r="U495" t="s">
        <v>59</v>
      </c>
      <c r="V495" t="s">
        <v>59</v>
      </c>
      <c r="W495" t="s">
        <v>59</v>
      </c>
      <c r="X495" t="s">
        <v>59</v>
      </c>
      <c r="Y495" t="s">
        <v>59</v>
      </c>
    </row>
    <row r="496" spans="1:25" x14ac:dyDescent="0.25">
      <c r="A496">
        <v>588</v>
      </c>
      <c r="B496" t="s">
        <v>5272</v>
      </c>
      <c r="C496" t="s">
        <v>842</v>
      </c>
      <c r="D496" t="s">
        <v>5056</v>
      </c>
      <c r="E496" t="s">
        <v>4265</v>
      </c>
      <c r="F496">
        <v>-1</v>
      </c>
      <c r="G496" t="s">
        <v>59</v>
      </c>
      <c r="H496" t="s">
        <v>59</v>
      </c>
      <c r="I496" t="s">
        <v>59</v>
      </c>
      <c r="J496" t="s">
        <v>59</v>
      </c>
      <c r="K496" t="s">
        <v>59</v>
      </c>
      <c r="L496" t="s">
        <v>59</v>
      </c>
      <c r="M496" t="s">
        <v>59</v>
      </c>
      <c r="N496" t="s">
        <v>59</v>
      </c>
      <c r="O496" t="s">
        <v>59</v>
      </c>
      <c r="P496" t="s">
        <v>59</v>
      </c>
      <c r="Q496" t="s">
        <v>59</v>
      </c>
      <c r="R496" t="s">
        <v>59</v>
      </c>
      <c r="S496" t="s">
        <v>59</v>
      </c>
      <c r="T496" t="s">
        <v>59</v>
      </c>
      <c r="U496" t="s">
        <v>59</v>
      </c>
      <c r="V496" t="s">
        <v>59</v>
      </c>
      <c r="W496" t="s">
        <v>59</v>
      </c>
      <c r="X496" t="s">
        <v>59</v>
      </c>
      <c r="Y496" t="s">
        <v>59</v>
      </c>
    </row>
    <row r="497" spans="1:25" x14ac:dyDescent="0.25">
      <c r="A497">
        <v>587</v>
      </c>
      <c r="B497" t="s">
        <v>5272</v>
      </c>
      <c r="C497" t="s">
        <v>5054</v>
      </c>
      <c r="D497" t="s">
        <v>5055</v>
      </c>
      <c r="E497" t="s">
        <v>4265</v>
      </c>
      <c r="F497">
        <v>-1</v>
      </c>
      <c r="G497" t="s">
        <v>59</v>
      </c>
      <c r="H497" t="s">
        <v>59</v>
      </c>
      <c r="I497" t="s">
        <v>59</v>
      </c>
      <c r="J497" t="s">
        <v>59</v>
      </c>
      <c r="K497" t="s">
        <v>59</v>
      </c>
      <c r="L497" t="s">
        <v>59</v>
      </c>
      <c r="M497" t="s">
        <v>59</v>
      </c>
      <c r="N497" t="s">
        <v>59</v>
      </c>
      <c r="O497" t="s">
        <v>59</v>
      </c>
      <c r="P497" t="s">
        <v>59</v>
      </c>
      <c r="Q497" t="s">
        <v>59</v>
      </c>
      <c r="R497" t="s">
        <v>59</v>
      </c>
      <c r="S497" t="s">
        <v>59</v>
      </c>
      <c r="T497" t="s">
        <v>59</v>
      </c>
      <c r="U497" t="s">
        <v>59</v>
      </c>
      <c r="V497" t="s">
        <v>59</v>
      </c>
      <c r="W497" t="s">
        <v>59</v>
      </c>
      <c r="X497" t="s">
        <v>59</v>
      </c>
      <c r="Y497" t="s">
        <v>59</v>
      </c>
    </row>
    <row r="498" spans="1:25" x14ac:dyDescent="0.25">
      <c r="A498">
        <v>586</v>
      </c>
      <c r="B498" t="s">
        <v>5272</v>
      </c>
      <c r="C498" t="s">
        <v>5052</v>
      </c>
      <c r="D498" t="s">
        <v>5053</v>
      </c>
      <c r="E498" t="s">
        <v>4265</v>
      </c>
      <c r="F498">
        <v>-1</v>
      </c>
      <c r="G498" t="s">
        <v>59</v>
      </c>
      <c r="H498" t="s">
        <v>59</v>
      </c>
      <c r="I498" t="s">
        <v>59</v>
      </c>
      <c r="J498" t="s">
        <v>59</v>
      </c>
      <c r="K498" t="s">
        <v>59</v>
      </c>
      <c r="L498" t="s">
        <v>59</v>
      </c>
      <c r="M498" t="s">
        <v>59</v>
      </c>
      <c r="N498" t="s">
        <v>59</v>
      </c>
      <c r="O498" t="s">
        <v>59</v>
      </c>
      <c r="P498" t="s">
        <v>59</v>
      </c>
      <c r="Q498" t="s">
        <v>59</v>
      </c>
      <c r="R498" t="s">
        <v>59</v>
      </c>
      <c r="S498" t="s">
        <v>59</v>
      </c>
      <c r="T498" t="s">
        <v>59</v>
      </c>
      <c r="U498" t="s">
        <v>59</v>
      </c>
      <c r="V498" t="s">
        <v>59</v>
      </c>
      <c r="W498" t="s">
        <v>59</v>
      </c>
      <c r="X498" t="s">
        <v>59</v>
      </c>
      <c r="Y498" t="s">
        <v>59</v>
      </c>
    </row>
    <row r="499" spans="1:25" x14ac:dyDescent="0.25">
      <c r="A499">
        <v>585</v>
      </c>
      <c r="B499" t="s">
        <v>5272</v>
      </c>
      <c r="C499" t="s">
        <v>5050</v>
      </c>
      <c r="D499" t="s">
        <v>5051</v>
      </c>
      <c r="E499" t="s">
        <v>4265</v>
      </c>
      <c r="F499">
        <v>-1</v>
      </c>
      <c r="G499" t="s">
        <v>59</v>
      </c>
      <c r="H499" t="s">
        <v>59</v>
      </c>
      <c r="I499" t="s">
        <v>59</v>
      </c>
      <c r="J499" t="s">
        <v>59</v>
      </c>
      <c r="K499" t="s">
        <v>59</v>
      </c>
      <c r="L499" t="s">
        <v>59</v>
      </c>
      <c r="M499" t="s">
        <v>59</v>
      </c>
      <c r="N499" t="s">
        <v>59</v>
      </c>
      <c r="O499" t="s">
        <v>59</v>
      </c>
      <c r="P499" t="s">
        <v>59</v>
      </c>
      <c r="Q499" t="s">
        <v>59</v>
      </c>
      <c r="R499" t="s">
        <v>59</v>
      </c>
      <c r="S499" t="s">
        <v>59</v>
      </c>
      <c r="T499" t="s">
        <v>59</v>
      </c>
      <c r="U499" t="s">
        <v>59</v>
      </c>
      <c r="V499" t="s">
        <v>59</v>
      </c>
      <c r="W499" t="s">
        <v>59</v>
      </c>
      <c r="X499" t="s">
        <v>59</v>
      </c>
      <c r="Y499" t="s">
        <v>59</v>
      </c>
    </row>
    <row r="500" spans="1:25" x14ac:dyDescent="0.25">
      <c r="A500">
        <v>682</v>
      </c>
      <c r="B500" t="s">
        <v>5272</v>
      </c>
      <c r="C500" t="s">
        <v>5235</v>
      </c>
      <c r="D500" t="s">
        <v>5236</v>
      </c>
      <c r="E500" t="s">
        <v>4265</v>
      </c>
      <c r="F500">
        <v>-1</v>
      </c>
      <c r="G500" t="s">
        <v>59</v>
      </c>
      <c r="H500" t="s">
        <v>59</v>
      </c>
      <c r="I500" t="s">
        <v>59</v>
      </c>
      <c r="J500" t="s">
        <v>59</v>
      </c>
      <c r="K500" t="s">
        <v>59</v>
      </c>
      <c r="L500" t="s">
        <v>59</v>
      </c>
      <c r="M500" t="s">
        <v>59</v>
      </c>
      <c r="N500" t="s">
        <v>59</v>
      </c>
      <c r="O500" t="s">
        <v>59</v>
      </c>
      <c r="P500" t="s">
        <v>59</v>
      </c>
      <c r="Q500" t="s">
        <v>59</v>
      </c>
      <c r="R500" t="s">
        <v>59</v>
      </c>
      <c r="S500" t="s">
        <v>59</v>
      </c>
      <c r="T500" t="s">
        <v>59</v>
      </c>
      <c r="U500" t="s">
        <v>59</v>
      </c>
      <c r="V500" t="s">
        <v>59</v>
      </c>
      <c r="W500" t="s">
        <v>59</v>
      </c>
      <c r="X500" t="s">
        <v>59</v>
      </c>
      <c r="Y500" t="s">
        <v>59</v>
      </c>
    </row>
    <row r="501" spans="1:25" x14ac:dyDescent="0.25">
      <c r="A501">
        <v>683</v>
      </c>
      <c r="B501" t="s">
        <v>5272</v>
      </c>
      <c r="C501" t="s">
        <v>5237</v>
      </c>
      <c r="D501" t="s">
        <v>5238</v>
      </c>
      <c r="E501" t="s">
        <v>4265</v>
      </c>
      <c r="F501">
        <v>-1</v>
      </c>
      <c r="G501" t="s">
        <v>59</v>
      </c>
      <c r="H501" t="s">
        <v>59</v>
      </c>
      <c r="I501" t="s">
        <v>59</v>
      </c>
      <c r="J501" t="s">
        <v>59</v>
      </c>
      <c r="K501" t="s">
        <v>59</v>
      </c>
      <c r="L501" t="s">
        <v>59</v>
      </c>
      <c r="M501" t="s">
        <v>59</v>
      </c>
      <c r="N501" t="s">
        <v>59</v>
      </c>
      <c r="O501" t="s">
        <v>59</v>
      </c>
      <c r="P501" t="s">
        <v>59</v>
      </c>
      <c r="Q501" t="s">
        <v>59</v>
      </c>
      <c r="R501" t="s">
        <v>59</v>
      </c>
      <c r="S501" t="s">
        <v>59</v>
      </c>
      <c r="T501" t="s">
        <v>59</v>
      </c>
      <c r="U501" t="s">
        <v>59</v>
      </c>
      <c r="V501" t="s">
        <v>59</v>
      </c>
      <c r="W501" t="s">
        <v>59</v>
      </c>
      <c r="X501" t="s">
        <v>59</v>
      </c>
      <c r="Y501" t="s">
        <v>59</v>
      </c>
    </row>
    <row r="502" spans="1:25" x14ac:dyDescent="0.25">
      <c r="A502">
        <v>684</v>
      </c>
      <c r="B502" t="s">
        <v>5272</v>
      </c>
      <c r="C502" t="s">
        <v>5239</v>
      </c>
      <c r="D502" t="s">
        <v>5240</v>
      </c>
      <c r="E502" t="s">
        <v>4265</v>
      </c>
      <c r="F502">
        <v>-1</v>
      </c>
      <c r="G502" t="s">
        <v>59</v>
      </c>
      <c r="H502" t="s">
        <v>59</v>
      </c>
      <c r="I502" t="s">
        <v>59</v>
      </c>
      <c r="J502" t="s">
        <v>59</v>
      </c>
      <c r="K502" t="s">
        <v>59</v>
      </c>
      <c r="L502" t="s">
        <v>59</v>
      </c>
      <c r="M502" t="s">
        <v>59</v>
      </c>
      <c r="N502" t="s">
        <v>59</v>
      </c>
      <c r="O502" t="s">
        <v>59</v>
      </c>
      <c r="P502" t="s">
        <v>59</v>
      </c>
      <c r="Q502" t="s">
        <v>59</v>
      </c>
      <c r="R502" t="s">
        <v>59</v>
      </c>
      <c r="S502" t="s">
        <v>59</v>
      </c>
      <c r="T502" t="s">
        <v>59</v>
      </c>
      <c r="U502" t="s">
        <v>59</v>
      </c>
      <c r="V502" t="s">
        <v>59</v>
      </c>
      <c r="W502" t="s">
        <v>59</v>
      </c>
      <c r="X502" t="s">
        <v>59</v>
      </c>
      <c r="Y502" t="s">
        <v>59</v>
      </c>
    </row>
    <row r="503" spans="1:25" x14ac:dyDescent="0.25">
      <c r="A503">
        <v>685</v>
      </c>
      <c r="B503" t="s">
        <v>5272</v>
      </c>
      <c r="C503" t="s">
        <v>5241</v>
      </c>
      <c r="D503" t="s">
        <v>5242</v>
      </c>
      <c r="E503" t="s">
        <v>4265</v>
      </c>
      <c r="F503">
        <v>-1</v>
      </c>
      <c r="G503" t="s">
        <v>59</v>
      </c>
      <c r="H503" t="s">
        <v>59</v>
      </c>
      <c r="I503" t="s">
        <v>59</v>
      </c>
      <c r="J503" t="s">
        <v>59</v>
      </c>
      <c r="K503" t="s">
        <v>59</v>
      </c>
      <c r="L503" t="s">
        <v>59</v>
      </c>
      <c r="M503" t="s">
        <v>59</v>
      </c>
      <c r="N503" t="s">
        <v>59</v>
      </c>
      <c r="O503" t="s">
        <v>59</v>
      </c>
      <c r="P503" t="s">
        <v>59</v>
      </c>
      <c r="Q503" t="s">
        <v>59</v>
      </c>
      <c r="R503" t="s">
        <v>59</v>
      </c>
      <c r="S503" t="s">
        <v>59</v>
      </c>
      <c r="T503" t="s">
        <v>59</v>
      </c>
      <c r="U503" t="s">
        <v>59</v>
      </c>
      <c r="V503" t="s">
        <v>59</v>
      </c>
      <c r="W503" t="s">
        <v>59</v>
      </c>
      <c r="X503" t="s">
        <v>59</v>
      </c>
      <c r="Y503" t="s">
        <v>59</v>
      </c>
    </row>
    <row r="504" spans="1:25" x14ac:dyDescent="0.25">
      <c r="A504">
        <v>167</v>
      </c>
      <c r="B504" t="s">
        <v>5272</v>
      </c>
      <c r="C504" t="s">
        <v>4315</v>
      </c>
      <c r="D504" t="s">
        <v>4316</v>
      </c>
      <c r="E504" t="s">
        <v>4265</v>
      </c>
      <c r="F504">
        <v>-1</v>
      </c>
      <c r="G504" t="s">
        <v>59</v>
      </c>
      <c r="H504" t="s">
        <v>59</v>
      </c>
      <c r="I504" t="s">
        <v>59</v>
      </c>
      <c r="J504" t="s">
        <v>59</v>
      </c>
      <c r="K504" t="s">
        <v>59</v>
      </c>
      <c r="L504" t="s">
        <v>59</v>
      </c>
      <c r="M504" t="s">
        <v>59</v>
      </c>
      <c r="N504" t="s">
        <v>59</v>
      </c>
      <c r="O504" t="s">
        <v>59</v>
      </c>
      <c r="P504" t="s">
        <v>59</v>
      </c>
      <c r="Q504" t="s">
        <v>59</v>
      </c>
      <c r="R504" t="s">
        <v>59</v>
      </c>
      <c r="S504" t="s">
        <v>59</v>
      </c>
      <c r="T504" t="s">
        <v>59</v>
      </c>
      <c r="U504" t="s">
        <v>59</v>
      </c>
      <c r="V504" t="s">
        <v>59</v>
      </c>
      <c r="W504" t="s">
        <v>59</v>
      </c>
      <c r="X504" t="s">
        <v>59</v>
      </c>
      <c r="Y504" t="s">
        <v>59</v>
      </c>
    </row>
    <row r="505" spans="1:25" x14ac:dyDescent="0.25">
      <c r="A505">
        <v>168</v>
      </c>
      <c r="B505" t="s">
        <v>5272</v>
      </c>
      <c r="C505" t="s">
        <v>4317</v>
      </c>
      <c r="D505" t="s">
        <v>4318</v>
      </c>
      <c r="E505" t="s">
        <v>4265</v>
      </c>
      <c r="F505">
        <v>-1</v>
      </c>
      <c r="G505" t="s">
        <v>59</v>
      </c>
      <c r="H505" t="s">
        <v>59</v>
      </c>
      <c r="I505" t="s">
        <v>59</v>
      </c>
      <c r="J505" t="s">
        <v>59</v>
      </c>
      <c r="K505" t="s">
        <v>59</v>
      </c>
      <c r="L505" t="s">
        <v>59</v>
      </c>
      <c r="M505" t="s">
        <v>59</v>
      </c>
      <c r="N505" t="s">
        <v>59</v>
      </c>
      <c r="O505" t="s">
        <v>59</v>
      </c>
      <c r="P505" t="s">
        <v>59</v>
      </c>
      <c r="Q505" t="s">
        <v>59</v>
      </c>
      <c r="R505" t="s">
        <v>59</v>
      </c>
      <c r="S505" t="s">
        <v>59</v>
      </c>
      <c r="T505" t="s">
        <v>59</v>
      </c>
      <c r="U505" t="s">
        <v>59</v>
      </c>
      <c r="V505" t="s">
        <v>59</v>
      </c>
      <c r="W505" t="s">
        <v>59</v>
      </c>
      <c r="X505" t="s">
        <v>59</v>
      </c>
      <c r="Y505" t="s">
        <v>59</v>
      </c>
    </row>
    <row r="506" spans="1:25" x14ac:dyDescent="0.25">
      <c r="A506">
        <v>625</v>
      </c>
      <c r="B506" t="s">
        <v>5272</v>
      </c>
      <c r="C506" t="s">
        <v>5125</v>
      </c>
      <c r="D506" t="s">
        <v>5074</v>
      </c>
      <c r="E506" t="s">
        <v>4265</v>
      </c>
      <c r="F506">
        <v>-1</v>
      </c>
      <c r="G506" t="s">
        <v>59</v>
      </c>
      <c r="H506" t="s">
        <v>59</v>
      </c>
      <c r="I506" t="s">
        <v>59</v>
      </c>
      <c r="J506" t="s">
        <v>59</v>
      </c>
      <c r="K506" t="s">
        <v>59</v>
      </c>
      <c r="L506" t="s">
        <v>59</v>
      </c>
      <c r="M506" t="s">
        <v>59</v>
      </c>
      <c r="N506" t="s">
        <v>59</v>
      </c>
      <c r="O506" t="s">
        <v>59</v>
      </c>
      <c r="P506" t="s">
        <v>59</v>
      </c>
      <c r="Q506" t="s">
        <v>59</v>
      </c>
      <c r="R506" t="s">
        <v>59</v>
      </c>
      <c r="S506" t="s">
        <v>59</v>
      </c>
      <c r="T506" t="s">
        <v>59</v>
      </c>
      <c r="U506" t="s">
        <v>59</v>
      </c>
      <c r="V506" t="s">
        <v>59</v>
      </c>
      <c r="W506" t="s">
        <v>59</v>
      </c>
      <c r="X506" t="s">
        <v>59</v>
      </c>
      <c r="Y506" t="s">
        <v>59</v>
      </c>
    </row>
    <row r="507" spans="1:25" x14ac:dyDescent="0.25">
      <c r="A507">
        <v>597</v>
      </c>
      <c r="B507" t="s">
        <v>5272</v>
      </c>
      <c r="C507" t="s">
        <v>5073</v>
      </c>
      <c r="D507" t="s">
        <v>5074</v>
      </c>
      <c r="E507" t="s">
        <v>4265</v>
      </c>
      <c r="F507">
        <v>-1</v>
      </c>
      <c r="G507" t="s">
        <v>59</v>
      </c>
      <c r="H507" t="s">
        <v>59</v>
      </c>
      <c r="I507" t="s">
        <v>59</v>
      </c>
      <c r="J507" t="s">
        <v>59</v>
      </c>
      <c r="K507" t="s">
        <v>59</v>
      </c>
      <c r="L507" t="s">
        <v>59</v>
      </c>
      <c r="M507" t="s">
        <v>59</v>
      </c>
      <c r="N507" t="s">
        <v>59</v>
      </c>
      <c r="O507" t="s">
        <v>59</v>
      </c>
      <c r="P507" t="s">
        <v>59</v>
      </c>
      <c r="Q507" t="s">
        <v>59</v>
      </c>
      <c r="R507" t="s">
        <v>59</v>
      </c>
      <c r="S507" t="s">
        <v>59</v>
      </c>
      <c r="T507" t="s">
        <v>59</v>
      </c>
      <c r="U507" t="s">
        <v>59</v>
      </c>
      <c r="V507" t="s">
        <v>59</v>
      </c>
      <c r="W507" t="s">
        <v>59</v>
      </c>
      <c r="X507" t="s">
        <v>59</v>
      </c>
      <c r="Y507" t="s">
        <v>59</v>
      </c>
    </row>
    <row r="508" spans="1:25" x14ac:dyDescent="0.25">
      <c r="A508">
        <v>584</v>
      </c>
      <c r="B508" t="s">
        <v>5272</v>
      </c>
      <c r="C508" t="s">
        <v>5048</v>
      </c>
      <c r="D508" t="s">
        <v>5049</v>
      </c>
      <c r="E508" t="s">
        <v>4265</v>
      </c>
      <c r="F508">
        <v>-1</v>
      </c>
      <c r="G508" t="s">
        <v>59</v>
      </c>
      <c r="H508" t="s">
        <v>59</v>
      </c>
      <c r="I508" t="s">
        <v>59</v>
      </c>
      <c r="J508" t="s">
        <v>59</v>
      </c>
      <c r="K508" t="s">
        <v>59</v>
      </c>
      <c r="L508" t="s">
        <v>59</v>
      </c>
      <c r="M508" t="s">
        <v>59</v>
      </c>
      <c r="N508" t="s">
        <v>59</v>
      </c>
      <c r="O508" t="s">
        <v>59</v>
      </c>
      <c r="P508" t="s">
        <v>59</v>
      </c>
      <c r="Q508" t="s">
        <v>59</v>
      </c>
      <c r="R508" t="s">
        <v>59</v>
      </c>
      <c r="S508" t="s">
        <v>59</v>
      </c>
      <c r="T508" t="s">
        <v>59</v>
      </c>
      <c r="U508" t="s">
        <v>59</v>
      </c>
      <c r="V508" t="s">
        <v>59</v>
      </c>
      <c r="W508" t="s">
        <v>59</v>
      </c>
      <c r="X508" t="s">
        <v>59</v>
      </c>
      <c r="Y508" t="s">
        <v>59</v>
      </c>
    </row>
    <row r="509" spans="1:25" x14ac:dyDescent="0.25">
      <c r="A509">
        <v>599</v>
      </c>
      <c r="B509" t="s">
        <v>5272</v>
      </c>
      <c r="C509" t="s">
        <v>5077</v>
      </c>
      <c r="D509" t="s">
        <v>5078</v>
      </c>
      <c r="E509" t="s">
        <v>4265</v>
      </c>
      <c r="F509">
        <v>-1</v>
      </c>
      <c r="G509" t="s">
        <v>59</v>
      </c>
      <c r="H509" t="s">
        <v>59</v>
      </c>
      <c r="I509" t="s">
        <v>59</v>
      </c>
      <c r="J509" t="s">
        <v>59</v>
      </c>
      <c r="K509" t="s">
        <v>59</v>
      </c>
      <c r="L509" t="s">
        <v>59</v>
      </c>
      <c r="M509" t="s">
        <v>59</v>
      </c>
      <c r="N509" t="s">
        <v>59</v>
      </c>
      <c r="O509" t="s">
        <v>59</v>
      </c>
      <c r="P509" t="s">
        <v>59</v>
      </c>
      <c r="Q509" t="s">
        <v>59</v>
      </c>
      <c r="R509" t="s">
        <v>59</v>
      </c>
      <c r="S509" t="s">
        <v>59</v>
      </c>
      <c r="T509" t="s">
        <v>59</v>
      </c>
      <c r="U509" t="s">
        <v>59</v>
      </c>
      <c r="V509" t="s">
        <v>59</v>
      </c>
      <c r="W509" t="s">
        <v>59</v>
      </c>
      <c r="X509" t="s">
        <v>59</v>
      </c>
      <c r="Y509" t="s">
        <v>59</v>
      </c>
    </row>
    <row r="510" spans="1:25" x14ac:dyDescent="0.25">
      <c r="A510">
        <v>598</v>
      </c>
      <c r="B510" t="s">
        <v>5272</v>
      </c>
      <c r="C510" t="s">
        <v>5075</v>
      </c>
      <c r="D510" t="s">
        <v>5076</v>
      </c>
      <c r="E510" t="s">
        <v>4265</v>
      </c>
      <c r="F510">
        <v>-1</v>
      </c>
      <c r="G510" t="s">
        <v>59</v>
      </c>
      <c r="H510" t="s">
        <v>59</v>
      </c>
      <c r="I510" t="s">
        <v>59</v>
      </c>
      <c r="J510" t="s">
        <v>59</v>
      </c>
      <c r="K510" t="s">
        <v>59</v>
      </c>
      <c r="L510" t="s">
        <v>59</v>
      </c>
      <c r="M510" t="s">
        <v>59</v>
      </c>
      <c r="N510" t="s">
        <v>59</v>
      </c>
      <c r="O510" t="s">
        <v>59</v>
      </c>
      <c r="P510" t="s">
        <v>59</v>
      </c>
      <c r="Q510" t="s">
        <v>59</v>
      </c>
      <c r="R510" t="s">
        <v>59</v>
      </c>
      <c r="S510" t="s">
        <v>59</v>
      </c>
      <c r="T510" t="s">
        <v>59</v>
      </c>
      <c r="U510" t="s">
        <v>59</v>
      </c>
      <c r="V510" t="s">
        <v>59</v>
      </c>
      <c r="W510" t="s">
        <v>59</v>
      </c>
      <c r="X510" t="s">
        <v>59</v>
      </c>
      <c r="Y510" t="s">
        <v>59</v>
      </c>
    </row>
    <row r="511" spans="1:25" x14ac:dyDescent="0.25">
      <c r="A511">
        <v>131</v>
      </c>
      <c r="B511" t="s">
        <v>5272</v>
      </c>
      <c r="C511" t="s">
        <v>4266</v>
      </c>
      <c r="D511" t="s">
        <v>4267</v>
      </c>
      <c r="E511" t="s">
        <v>4265</v>
      </c>
      <c r="F511">
        <v>-1</v>
      </c>
      <c r="G511" t="s">
        <v>59</v>
      </c>
      <c r="H511" t="s">
        <v>59</v>
      </c>
      <c r="I511" t="s">
        <v>59</v>
      </c>
      <c r="J511" t="s">
        <v>59</v>
      </c>
      <c r="K511" t="s">
        <v>59</v>
      </c>
      <c r="L511" t="s">
        <v>59</v>
      </c>
      <c r="M511" t="s">
        <v>59</v>
      </c>
      <c r="N511" t="s">
        <v>59</v>
      </c>
      <c r="O511" t="s">
        <v>59</v>
      </c>
      <c r="P511" t="s">
        <v>59</v>
      </c>
      <c r="Q511" t="s">
        <v>59</v>
      </c>
      <c r="R511" t="s">
        <v>59</v>
      </c>
      <c r="S511" t="s">
        <v>59</v>
      </c>
      <c r="T511" t="s">
        <v>59</v>
      </c>
      <c r="U511" t="s">
        <v>59</v>
      </c>
      <c r="V511" t="s">
        <v>59</v>
      </c>
      <c r="W511" t="s">
        <v>59</v>
      </c>
      <c r="X511" t="s">
        <v>59</v>
      </c>
      <c r="Y511" t="s">
        <v>59</v>
      </c>
    </row>
    <row r="512" spans="1:25" x14ac:dyDescent="0.25">
      <c r="A512">
        <v>627</v>
      </c>
      <c r="B512" t="s">
        <v>5272</v>
      </c>
      <c r="C512" t="s">
        <v>1542</v>
      </c>
      <c r="D512" t="s">
        <v>5128</v>
      </c>
      <c r="E512" t="s">
        <v>4265</v>
      </c>
      <c r="F512">
        <v>-1</v>
      </c>
      <c r="G512" t="s">
        <v>59</v>
      </c>
      <c r="H512" t="s">
        <v>59</v>
      </c>
      <c r="I512" t="s">
        <v>59</v>
      </c>
      <c r="J512" t="s">
        <v>59</v>
      </c>
      <c r="K512" t="s">
        <v>59</v>
      </c>
      <c r="L512" t="s">
        <v>59</v>
      </c>
      <c r="M512" t="s">
        <v>59</v>
      </c>
      <c r="N512" t="s">
        <v>59</v>
      </c>
      <c r="O512" t="s">
        <v>59</v>
      </c>
      <c r="P512" t="s">
        <v>59</v>
      </c>
      <c r="Q512" t="s">
        <v>59</v>
      </c>
      <c r="R512" t="s">
        <v>59</v>
      </c>
      <c r="S512" t="s">
        <v>59</v>
      </c>
      <c r="T512" t="s">
        <v>59</v>
      </c>
      <c r="U512" t="s">
        <v>59</v>
      </c>
      <c r="V512" t="s">
        <v>59</v>
      </c>
      <c r="W512" t="s">
        <v>59</v>
      </c>
      <c r="X512" t="s">
        <v>59</v>
      </c>
      <c r="Y512" t="s">
        <v>59</v>
      </c>
    </row>
    <row r="513" spans="1:25" x14ac:dyDescent="0.25">
      <c r="A513">
        <v>250</v>
      </c>
      <c r="B513" t="s">
        <v>5272</v>
      </c>
      <c r="C513" t="s">
        <v>845</v>
      </c>
      <c r="D513" t="s">
        <v>4475</v>
      </c>
      <c r="E513" t="s">
        <v>4265</v>
      </c>
      <c r="F513">
        <v>-1</v>
      </c>
      <c r="G513" t="s">
        <v>59</v>
      </c>
      <c r="H513" t="s">
        <v>59</v>
      </c>
      <c r="I513" t="s">
        <v>59</v>
      </c>
      <c r="J513" t="s">
        <v>59</v>
      </c>
      <c r="K513" t="s">
        <v>59</v>
      </c>
      <c r="L513" t="s">
        <v>59</v>
      </c>
      <c r="M513" t="s">
        <v>59</v>
      </c>
      <c r="N513" t="s">
        <v>59</v>
      </c>
      <c r="O513" t="s">
        <v>59</v>
      </c>
      <c r="P513" t="s">
        <v>59</v>
      </c>
      <c r="Q513" t="s">
        <v>59</v>
      </c>
      <c r="R513" t="s">
        <v>59</v>
      </c>
      <c r="S513" t="s">
        <v>59</v>
      </c>
      <c r="T513" t="s">
        <v>59</v>
      </c>
      <c r="U513" t="s">
        <v>59</v>
      </c>
      <c r="V513" t="s">
        <v>59</v>
      </c>
      <c r="W513" t="s">
        <v>59</v>
      </c>
      <c r="X513" t="s">
        <v>59</v>
      </c>
      <c r="Y513" t="s">
        <v>59</v>
      </c>
    </row>
    <row r="514" spans="1:25" x14ac:dyDescent="0.25">
      <c r="A514">
        <v>251</v>
      </c>
      <c r="B514" t="s">
        <v>5272</v>
      </c>
      <c r="C514" t="s">
        <v>894</v>
      </c>
      <c r="D514" t="s">
        <v>4476</v>
      </c>
      <c r="E514" t="s">
        <v>4265</v>
      </c>
      <c r="F514">
        <v>-1</v>
      </c>
      <c r="G514" t="s">
        <v>59</v>
      </c>
      <c r="H514" t="s">
        <v>59</v>
      </c>
      <c r="I514" t="s">
        <v>59</v>
      </c>
      <c r="J514" t="s">
        <v>59</v>
      </c>
      <c r="K514" t="s">
        <v>59</v>
      </c>
      <c r="L514" t="s">
        <v>59</v>
      </c>
      <c r="M514" t="s">
        <v>59</v>
      </c>
      <c r="N514" t="s">
        <v>59</v>
      </c>
      <c r="O514" t="s">
        <v>59</v>
      </c>
      <c r="P514" t="s">
        <v>59</v>
      </c>
      <c r="Q514" t="s">
        <v>59</v>
      </c>
      <c r="R514" t="s">
        <v>59</v>
      </c>
      <c r="S514" t="s">
        <v>59</v>
      </c>
      <c r="T514" t="s">
        <v>59</v>
      </c>
      <c r="U514" t="s">
        <v>59</v>
      </c>
      <c r="V514" t="s">
        <v>59</v>
      </c>
      <c r="W514" t="s">
        <v>59</v>
      </c>
      <c r="X514" t="s">
        <v>59</v>
      </c>
      <c r="Y514" t="s">
        <v>59</v>
      </c>
    </row>
    <row r="515" spans="1:25" x14ac:dyDescent="0.25">
      <c r="A515">
        <v>176</v>
      </c>
      <c r="B515" t="s">
        <v>5272</v>
      </c>
      <c r="C515" t="s">
        <v>2548</v>
      </c>
      <c r="D515" t="s">
        <v>4331</v>
      </c>
      <c r="E515" t="s">
        <v>4265</v>
      </c>
      <c r="F515">
        <v>-1</v>
      </c>
      <c r="G515" t="s">
        <v>59</v>
      </c>
      <c r="H515" t="s">
        <v>59</v>
      </c>
      <c r="I515" t="s">
        <v>59</v>
      </c>
      <c r="J515" t="s">
        <v>59</v>
      </c>
      <c r="K515" t="s">
        <v>59</v>
      </c>
      <c r="L515" t="s">
        <v>59</v>
      </c>
      <c r="M515" t="s">
        <v>59</v>
      </c>
      <c r="N515" t="s">
        <v>59</v>
      </c>
      <c r="O515" t="s">
        <v>59</v>
      </c>
      <c r="P515" t="s">
        <v>59</v>
      </c>
      <c r="Q515" t="s">
        <v>59</v>
      </c>
      <c r="R515" t="s">
        <v>59</v>
      </c>
      <c r="S515" t="s">
        <v>59</v>
      </c>
      <c r="T515" t="s">
        <v>59</v>
      </c>
      <c r="U515" t="s">
        <v>59</v>
      </c>
      <c r="V515" t="s">
        <v>59</v>
      </c>
      <c r="W515" t="s">
        <v>59</v>
      </c>
      <c r="X515" t="s">
        <v>59</v>
      </c>
      <c r="Y515" t="s">
        <v>59</v>
      </c>
    </row>
    <row r="516" spans="1:25" x14ac:dyDescent="0.25">
      <c r="A516">
        <v>177</v>
      </c>
      <c r="B516" t="s">
        <v>5272</v>
      </c>
      <c r="C516" t="s">
        <v>4332</v>
      </c>
      <c r="D516" t="s">
        <v>4333</v>
      </c>
      <c r="E516" t="s">
        <v>4265</v>
      </c>
      <c r="F516">
        <v>-1</v>
      </c>
      <c r="G516" t="s">
        <v>59</v>
      </c>
      <c r="H516" t="s">
        <v>59</v>
      </c>
      <c r="I516" t="s">
        <v>59</v>
      </c>
      <c r="J516" t="s">
        <v>59</v>
      </c>
      <c r="K516" t="s">
        <v>59</v>
      </c>
      <c r="L516" t="s">
        <v>59</v>
      </c>
      <c r="M516" t="s">
        <v>59</v>
      </c>
      <c r="N516" t="s">
        <v>59</v>
      </c>
      <c r="O516" t="s">
        <v>59</v>
      </c>
      <c r="P516" t="s">
        <v>59</v>
      </c>
      <c r="Q516" t="s">
        <v>59</v>
      </c>
      <c r="R516" t="s">
        <v>59</v>
      </c>
      <c r="S516" t="s">
        <v>59</v>
      </c>
      <c r="T516" t="s">
        <v>59</v>
      </c>
      <c r="U516" t="s">
        <v>59</v>
      </c>
      <c r="V516" t="s">
        <v>59</v>
      </c>
      <c r="W516" t="s">
        <v>59</v>
      </c>
      <c r="X516" t="s">
        <v>59</v>
      </c>
      <c r="Y516" t="s">
        <v>59</v>
      </c>
    </row>
    <row r="517" spans="1:25" x14ac:dyDescent="0.25">
      <c r="A517">
        <v>178</v>
      </c>
      <c r="B517" t="s">
        <v>5272</v>
      </c>
      <c r="C517" t="s">
        <v>4334</v>
      </c>
      <c r="D517" t="s">
        <v>4335</v>
      </c>
      <c r="E517" t="s">
        <v>4265</v>
      </c>
      <c r="F517">
        <v>-1</v>
      </c>
      <c r="G517" t="s">
        <v>59</v>
      </c>
      <c r="H517" t="s">
        <v>59</v>
      </c>
      <c r="I517" t="s">
        <v>59</v>
      </c>
      <c r="J517" t="s">
        <v>59</v>
      </c>
      <c r="K517" t="s">
        <v>59</v>
      </c>
      <c r="L517" t="s">
        <v>59</v>
      </c>
      <c r="M517" t="s">
        <v>59</v>
      </c>
      <c r="N517" t="s">
        <v>59</v>
      </c>
      <c r="O517" t="s">
        <v>59</v>
      </c>
      <c r="P517" t="s">
        <v>59</v>
      </c>
      <c r="Q517" t="s">
        <v>59</v>
      </c>
      <c r="R517" t="s">
        <v>59</v>
      </c>
      <c r="S517" t="s">
        <v>59</v>
      </c>
      <c r="T517" t="s">
        <v>59</v>
      </c>
      <c r="U517" t="s">
        <v>59</v>
      </c>
      <c r="V517" t="s">
        <v>59</v>
      </c>
      <c r="W517" t="s">
        <v>59</v>
      </c>
      <c r="X517" t="s">
        <v>59</v>
      </c>
      <c r="Y517" t="s">
        <v>59</v>
      </c>
    </row>
    <row r="518" spans="1:25" x14ac:dyDescent="0.25">
      <c r="A518">
        <v>179</v>
      </c>
      <c r="B518" t="s">
        <v>5272</v>
      </c>
      <c r="C518" t="s">
        <v>4336</v>
      </c>
      <c r="D518" t="s">
        <v>4337</v>
      </c>
      <c r="E518" t="s">
        <v>4265</v>
      </c>
      <c r="F518">
        <v>-1</v>
      </c>
      <c r="G518" t="s">
        <v>59</v>
      </c>
      <c r="H518" t="s">
        <v>59</v>
      </c>
      <c r="I518" t="s">
        <v>59</v>
      </c>
      <c r="J518" t="s">
        <v>59</v>
      </c>
      <c r="K518" t="s">
        <v>59</v>
      </c>
      <c r="L518" t="s">
        <v>59</v>
      </c>
      <c r="M518" t="s">
        <v>59</v>
      </c>
      <c r="N518" t="s">
        <v>59</v>
      </c>
      <c r="O518" t="s">
        <v>59</v>
      </c>
      <c r="P518" t="s">
        <v>59</v>
      </c>
      <c r="Q518" t="s">
        <v>59</v>
      </c>
      <c r="R518" t="s">
        <v>59</v>
      </c>
      <c r="S518" t="s">
        <v>59</v>
      </c>
      <c r="T518" t="s">
        <v>59</v>
      </c>
      <c r="U518" t="s">
        <v>59</v>
      </c>
      <c r="V518" t="s">
        <v>59</v>
      </c>
      <c r="W518" t="s">
        <v>59</v>
      </c>
      <c r="X518" t="s">
        <v>59</v>
      </c>
      <c r="Y518" t="s">
        <v>59</v>
      </c>
    </row>
    <row r="519" spans="1:25" x14ac:dyDescent="0.25">
      <c r="A519">
        <v>180</v>
      </c>
      <c r="B519" t="s">
        <v>5272</v>
      </c>
      <c r="C519" t="s">
        <v>4338</v>
      </c>
      <c r="D519" t="s">
        <v>4339</v>
      </c>
      <c r="E519" t="s">
        <v>4265</v>
      </c>
      <c r="F519">
        <v>-1</v>
      </c>
      <c r="G519" t="s">
        <v>59</v>
      </c>
      <c r="H519" t="s">
        <v>59</v>
      </c>
      <c r="I519" t="s">
        <v>59</v>
      </c>
      <c r="J519" t="s">
        <v>59</v>
      </c>
      <c r="K519" t="s">
        <v>59</v>
      </c>
      <c r="L519" t="s">
        <v>59</v>
      </c>
      <c r="M519" t="s">
        <v>59</v>
      </c>
      <c r="N519" t="s">
        <v>59</v>
      </c>
      <c r="O519" t="s">
        <v>59</v>
      </c>
      <c r="P519" t="s">
        <v>59</v>
      </c>
      <c r="Q519" t="s">
        <v>59</v>
      </c>
      <c r="R519" t="s">
        <v>59</v>
      </c>
      <c r="S519" t="s">
        <v>59</v>
      </c>
      <c r="T519" t="s">
        <v>59</v>
      </c>
      <c r="U519" t="s">
        <v>59</v>
      </c>
      <c r="V519" t="s">
        <v>59</v>
      </c>
      <c r="W519" t="s">
        <v>59</v>
      </c>
      <c r="X519" t="s">
        <v>59</v>
      </c>
      <c r="Y519" t="s">
        <v>59</v>
      </c>
    </row>
    <row r="520" spans="1:25" x14ac:dyDescent="0.25">
      <c r="A520">
        <v>181</v>
      </c>
      <c r="B520" t="s">
        <v>5272</v>
      </c>
      <c r="C520" t="s">
        <v>4340</v>
      </c>
      <c r="D520" t="s">
        <v>4341</v>
      </c>
      <c r="E520" t="s">
        <v>4265</v>
      </c>
      <c r="F520">
        <v>-1</v>
      </c>
      <c r="G520" t="s">
        <v>59</v>
      </c>
      <c r="H520" t="s">
        <v>59</v>
      </c>
      <c r="I520" t="s">
        <v>59</v>
      </c>
      <c r="J520" t="s">
        <v>59</v>
      </c>
      <c r="K520" t="s">
        <v>59</v>
      </c>
      <c r="L520" t="s">
        <v>59</v>
      </c>
      <c r="M520" t="s">
        <v>59</v>
      </c>
      <c r="N520" t="s">
        <v>59</v>
      </c>
      <c r="O520" t="s">
        <v>59</v>
      </c>
      <c r="P520" t="s">
        <v>59</v>
      </c>
      <c r="Q520" t="s">
        <v>59</v>
      </c>
      <c r="R520" t="s">
        <v>59</v>
      </c>
      <c r="S520" t="s">
        <v>59</v>
      </c>
      <c r="T520" t="s">
        <v>59</v>
      </c>
      <c r="U520" t="s">
        <v>59</v>
      </c>
      <c r="V520" t="s">
        <v>59</v>
      </c>
      <c r="W520" t="s">
        <v>59</v>
      </c>
      <c r="X520" t="s">
        <v>59</v>
      </c>
      <c r="Y520" t="s">
        <v>59</v>
      </c>
    </row>
    <row r="521" spans="1:25" x14ac:dyDescent="0.25">
      <c r="A521">
        <v>182</v>
      </c>
      <c r="B521" t="s">
        <v>5272</v>
      </c>
      <c r="C521" t="s">
        <v>4342</v>
      </c>
      <c r="D521" t="s">
        <v>4343</v>
      </c>
      <c r="E521" t="s">
        <v>4265</v>
      </c>
      <c r="F521">
        <v>-1</v>
      </c>
      <c r="G521" t="s">
        <v>59</v>
      </c>
      <c r="H521" t="s">
        <v>59</v>
      </c>
      <c r="I521" t="s">
        <v>59</v>
      </c>
      <c r="J521" t="s">
        <v>59</v>
      </c>
      <c r="K521" t="s">
        <v>59</v>
      </c>
      <c r="L521" t="s">
        <v>59</v>
      </c>
      <c r="M521" t="s">
        <v>59</v>
      </c>
      <c r="N521" t="s">
        <v>59</v>
      </c>
      <c r="O521" t="s">
        <v>59</v>
      </c>
      <c r="P521" t="s">
        <v>59</v>
      </c>
      <c r="Q521" t="s">
        <v>59</v>
      </c>
      <c r="R521" t="s">
        <v>59</v>
      </c>
      <c r="S521" t="s">
        <v>59</v>
      </c>
      <c r="T521" t="s">
        <v>59</v>
      </c>
      <c r="U521" t="s">
        <v>59</v>
      </c>
      <c r="V521" t="s">
        <v>59</v>
      </c>
      <c r="W521" t="s">
        <v>59</v>
      </c>
      <c r="X521" t="s">
        <v>59</v>
      </c>
      <c r="Y521" t="s">
        <v>59</v>
      </c>
    </row>
    <row r="522" spans="1:25" x14ac:dyDescent="0.25">
      <c r="A522">
        <v>183</v>
      </c>
      <c r="B522" t="s">
        <v>5272</v>
      </c>
      <c r="C522" t="s">
        <v>4344</v>
      </c>
      <c r="D522" t="s">
        <v>4345</v>
      </c>
      <c r="E522" t="s">
        <v>4265</v>
      </c>
      <c r="F522">
        <v>-1</v>
      </c>
      <c r="G522" t="s">
        <v>59</v>
      </c>
      <c r="H522" t="s">
        <v>59</v>
      </c>
      <c r="I522" t="s">
        <v>59</v>
      </c>
      <c r="J522" t="s">
        <v>59</v>
      </c>
      <c r="K522" t="s">
        <v>59</v>
      </c>
      <c r="L522" t="s">
        <v>59</v>
      </c>
      <c r="M522" t="s">
        <v>59</v>
      </c>
      <c r="N522" t="s">
        <v>59</v>
      </c>
      <c r="O522" t="s">
        <v>59</v>
      </c>
      <c r="P522" t="s">
        <v>59</v>
      </c>
      <c r="Q522" t="s">
        <v>59</v>
      </c>
      <c r="R522" t="s">
        <v>59</v>
      </c>
      <c r="S522" t="s">
        <v>59</v>
      </c>
      <c r="T522" t="s">
        <v>59</v>
      </c>
      <c r="U522" t="s">
        <v>59</v>
      </c>
      <c r="V522" t="s">
        <v>59</v>
      </c>
      <c r="W522" t="s">
        <v>59</v>
      </c>
      <c r="X522" t="s">
        <v>59</v>
      </c>
      <c r="Y522" t="s">
        <v>59</v>
      </c>
    </row>
    <row r="523" spans="1:25" x14ac:dyDescent="0.25">
      <c r="A523">
        <v>184</v>
      </c>
      <c r="B523" t="s">
        <v>5272</v>
      </c>
      <c r="C523" t="s">
        <v>4346</v>
      </c>
      <c r="D523" t="s">
        <v>4347</v>
      </c>
      <c r="E523" t="s">
        <v>4265</v>
      </c>
      <c r="F523">
        <v>-1</v>
      </c>
      <c r="G523" t="s">
        <v>59</v>
      </c>
      <c r="H523" t="s">
        <v>59</v>
      </c>
      <c r="I523" t="s">
        <v>59</v>
      </c>
      <c r="J523" t="s">
        <v>59</v>
      </c>
      <c r="K523" t="s">
        <v>59</v>
      </c>
      <c r="L523" t="s">
        <v>59</v>
      </c>
      <c r="M523" t="s">
        <v>59</v>
      </c>
      <c r="N523" t="s">
        <v>59</v>
      </c>
      <c r="O523" t="s">
        <v>59</v>
      </c>
      <c r="P523" t="s">
        <v>59</v>
      </c>
      <c r="Q523" t="s">
        <v>59</v>
      </c>
      <c r="R523" t="s">
        <v>59</v>
      </c>
      <c r="S523" t="s">
        <v>59</v>
      </c>
      <c r="T523" t="s">
        <v>59</v>
      </c>
      <c r="U523" t="s">
        <v>59</v>
      </c>
      <c r="V523" t="s">
        <v>59</v>
      </c>
      <c r="W523" t="s">
        <v>59</v>
      </c>
      <c r="X523" t="s">
        <v>59</v>
      </c>
      <c r="Y523" t="s">
        <v>59</v>
      </c>
    </row>
    <row r="524" spans="1:25" x14ac:dyDescent="0.25">
      <c r="A524">
        <v>185</v>
      </c>
      <c r="B524" t="s">
        <v>5272</v>
      </c>
      <c r="C524" t="s">
        <v>4348</v>
      </c>
      <c r="D524" t="s">
        <v>4349</v>
      </c>
      <c r="E524" t="s">
        <v>4265</v>
      </c>
      <c r="F524">
        <v>-1</v>
      </c>
      <c r="G524" t="s">
        <v>59</v>
      </c>
      <c r="H524" t="s">
        <v>59</v>
      </c>
      <c r="I524" t="s">
        <v>59</v>
      </c>
      <c r="J524" t="s">
        <v>59</v>
      </c>
      <c r="K524" t="s">
        <v>59</v>
      </c>
      <c r="L524" t="s">
        <v>59</v>
      </c>
      <c r="M524" t="s">
        <v>59</v>
      </c>
      <c r="N524" t="s">
        <v>59</v>
      </c>
      <c r="O524" t="s">
        <v>59</v>
      </c>
      <c r="P524" t="s">
        <v>59</v>
      </c>
      <c r="Q524" t="s">
        <v>59</v>
      </c>
      <c r="R524" t="s">
        <v>59</v>
      </c>
      <c r="S524" t="s">
        <v>59</v>
      </c>
      <c r="T524" t="s">
        <v>59</v>
      </c>
      <c r="U524" t="s">
        <v>59</v>
      </c>
      <c r="V524" t="s">
        <v>59</v>
      </c>
      <c r="W524" t="s">
        <v>59</v>
      </c>
      <c r="X524" t="s">
        <v>59</v>
      </c>
      <c r="Y524" t="s">
        <v>59</v>
      </c>
    </row>
    <row r="525" spans="1:25" x14ac:dyDescent="0.25">
      <c r="A525">
        <v>186</v>
      </c>
      <c r="B525" t="s">
        <v>5272</v>
      </c>
      <c r="C525" t="s">
        <v>4350</v>
      </c>
      <c r="D525" t="s">
        <v>4351</v>
      </c>
      <c r="E525" t="s">
        <v>4265</v>
      </c>
      <c r="F525">
        <v>-1</v>
      </c>
      <c r="G525" t="s">
        <v>59</v>
      </c>
      <c r="H525" t="s">
        <v>59</v>
      </c>
      <c r="I525" t="s">
        <v>59</v>
      </c>
      <c r="J525" t="s">
        <v>59</v>
      </c>
      <c r="K525" t="s">
        <v>59</v>
      </c>
      <c r="L525" t="s">
        <v>59</v>
      </c>
      <c r="M525" t="s">
        <v>59</v>
      </c>
      <c r="N525" t="s">
        <v>59</v>
      </c>
      <c r="O525" t="s">
        <v>59</v>
      </c>
      <c r="P525" t="s">
        <v>59</v>
      </c>
      <c r="Q525" t="s">
        <v>59</v>
      </c>
      <c r="R525" t="s">
        <v>59</v>
      </c>
      <c r="S525" t="s">
        <v>59</v>
      </c>
      <c r="T525" t="s">
        <v>59</v>
      </c>
      <c r="U525" t="s">
        <v>59</v>
      </c>
      <c r="V525" t="s">
        <v>59</v>
      </c>
      <c r="W525" t="s">
        <v>59</v>
      </c>
      <c r="X525" t="s">
        <v>59</v>
      </c>
      <c r="Y525" t="s">
        <v>59</v>
      </c>
    </row>
    <row r="526" spans="1:25" x14ac:dyDescent="0.25">
      <c r="A526">
        <v>187</v>
      </c>
      <c r="B526" t="s">
        <v>5272</v>
      </c>
      <c r="C526" t="s">
        <v>4352</v>
      </c>
      <c r="D526" t="s">
        <v>4353</v>
      </c>
      <c r="E526" t="s">
        <v>4265</v>
      </c>
      <c r="F526">
        <v>-1</v>
      </c>
      <c r="G526" t="s">
        <v>59</v>
      </c>
      <c r="H526" t="s">
        <v>59</v>
      </c>
      <c r="I526" t="s">
        <v>59</v>
      </c>
      <c r="J526" t="s">
        <v>59</v>
      </c>
      <c r="K526" t="s">
        <v>59</v>
      </c>
      <c r="L526" t="s">
        <v>59</v>
      </c>
      <c r="M526" t="s">
        <v>59</v>
      </c>
      <c r="N526" t="s">
        <v>59</v>
      </c>
      <c r="O526" t="s">
        <v>59</v>
      </c>
      <c r="P526" t="s">
        <v>59</v>
      </c>
      <c r="Q526" t="s">
        <v>59</v>
      </c>
      <c r="R526" t="s">
        <v>59</v>
      </c>
      <c r="S526" t="s">
        <v>59</v>
      </c>
      <c r="T526" t="s">
        <v>59</v>
      </c>
      <c r="U526" t="s">
        <v>59</v>
      </c>
      <c r="V526" t="s">
        <v>59</v>
      </c>
      <c r="W526" t="s">
        <v>59</v>
      </c>
      <c r="X526" t="s">
        <v>59</v>
      </c>
      <c r="Y526" t="s">
        <v>59</v>
      </c>
    </row>
    <row r="527" spans="1:25" x14ac:dyDescent="0.25">
      <c r="A527">
        <v>188</v>
      </c>
      <c r="B527" t="s">
        <v>5272</v>
      </c>
      <c r="C527" t="s">
        <v>4354</v>
      </c>
      <c r="D527" t="s">
        <v>4355</v>
      </c>
      <c r="E527" t="s">
        <v>4265</v>
      </c>
      <c r="F527">
        <v>-1</v>
      </c>
      <c r="G527" t="s">
        <v>59</v>
      </c>
      <c r="H527" t="s">
        <v>59</v>
      </c>
      <c r="I527" t="s">
        <v>59</v>
      </c>
      <c r="J527" t="s">
        <v>59</v>
      </c>
      <c r="K527" t="s">
        <v>59</v>
      </c>
      <c r="L527" t="s">
        <v>59</v>
      </c>
      <c r="M527" t="s">
        <v>59</v>
      </c>
      <c r="N527" t="s">
        <v>59</v>
      </c>
      <c r="O527" t="s">
        <v>59</v>
      </c>
      <c r="P527" t="s">
        <v>59</v>
      </c>
      <c r="Q527" t="s">
        <v>59</v>
      </c>
      <c r="R527" t="s">
        <v>59</v>
      </c>
      <c r="S527" t="s">
        <v>59</v>
      </c>
      <c r="T527" t="s">
        <v>59</v>
      </c>
      <c r="U527" t="s">
        <v>59</v>
      </c>
      <c r="V527" t="s">
        <v>59</v>
      </c>
      <c r="W527" t="s">
        <v>59</v>
      </c>
      <c r="X527" t="s">
        <v>59</v>
      </c>
      <c r="Y527" t="s">
        <v>59</v>
      </c>
    </row>
    <row r="528" spans="1:25" x14ac:dyDescent="0.25">
      <c r="A528">
        <v>189</v>
      </c>
      <c r="B528" t="s">
        <v>5272</v>
      </c>
      <c r="C528" t="s">
        <v>4356</v>
      </c>
      <c r="D528" t="s">
        <v>4357</v>
      </c>
      <c r="E528" t="s">
        <v>4265</v>
      </c>
      <c r="F528">
        <v>-1</v>
      </c>
      <c r="G528" t="s">
        <v>59</v>
      </c>
      <c r="H528" t="s">
        <v>59</v>
      </c>
      <c r="I528" t="s">
        <v>59</v>
      </c>
      <c r="J528" t="s">
        <v>59</v>
      </c>
      <c r="K528" t="s">
        <v>59</v>
      </c>
      <c r="L528" t="s">
        <v>59</v>
      </c>
      <c r="M528" t="s">
        <v>59</v>
      </c>
      <c r="N528" t="s">
        <v>59</v>
      </c>
      <c r="O528" t="s">
        <v>59</v>
      </c>
      <c r="P528" t="s">
        <v>59</v>
      </c>
      <c r="Q528" t="s">
        <v>59</v>
      </c>
      <c r="R528" t="s">
        <v>59</v>
      </c>
      <c r="S528" t="s">
        <v>59</v>
      </c>
      <c r="T528" t="s">
        <v>59</v>
      </c>
      <c r="U528" t="s">
        <v>59</v>
      </c>
      <c r="V528" t="s">
        <v>59</v>
      </c>
      <c r="W528" t="s">
        <v>59</v>
      </c>
      <c r="X528" t="s">
        <v>59</v>
      </c>
      <c r="Y528" t="s">
        <v>59</v>
      </c>
    </row>
    <row r="529" spans="1:25" x14ac:dyDescent="0.25">
      <c r="A529">
        <v>190</v>
      </c>
      <c r="B529" t="s">
        <v>5272</v>
      </c>
      <c r="C529" t="s">
        <v>4358</v>
      </c>
      <c r="D529" t="s">
        <v>4359</v>
      </c>
      <c r="E529" t="s">
        <v>4265</v>
      </c>
      <c r="F529">
        <v>-1</v>
      </c>
      <c r="G529" t="s">
        <v>59</v>
      </c>
      <c r="H529" t="s">
        <v>59</v>
      </c>
      <c r="I529" t="s">
        <v>59</v>
      </c>
      <c r="J529" t="s">
        <v>59</v>
      </c>
      <c r="K529" t="s">
        <v>59</v>
      </c>
      <c r="L529" t="s">
        <v>59</v>
      </c>
      <c r="M529" t="s">
        <v>59</v>
      </c>
      <c r="N529" t="s">
        <v>59</v>
      </c>
      <c r="O529" t="s">
        <v>59</v>
      </c>
      <c r="P529" t="s">
        <v>59</v>
      </c>
      <c r="Q529" t="s">
        <v>59</v>
      </c>
      <c r="R529" t="s">
        <v>59</v>
      </c>
      <c r="S529" t="s">
        <v>59</v>
      </c>
      <c r="T529" t="s">
        <v>59</v>
      </c>
      <c r="U529" t="s">
        <v>59</v>
      </c>
      <c r="V529" t="s">
        <v>59</v>
      </c>
      <c r="W529" t="s">
        <v>59</v>
      </c>
      <c r="X529" t="s">
        <v>59</v>
      </c>
      <c r="Y529" t="s">
        <v>59</v>
      </c>
    </row>
    <row r="530" spans="1:25" x14ac:dyDescent="0.25">
      <c r="A530">
        <v>191</v>
      </c>
      <c r="B530" t="s">
        <v>5272</v>
      </c>
      <c r="C530" t="s">
        <v>4360</v>
      </c>
      <c r="D530" t="s">
        <v>4361</v>
      </c>
      <c r="E530" t="s">
        <v>4265</v>
      </c>
      <c r="F530">
        <v>-1</v>
      </c>
      <c r="G530" t="s">
        <v>59</v>
      </c>
      <c r="H530" t="s">
        <v>59</v>
      </c>
      <c r="I530" t="s">
        <v>59</v>
      </c>
      <c r="J530" t="s">
        <v>59</v>
      </c>
      <c r="K530" t="s">
        <v>59</v>
      </c>
      <c r="L530" t="s">
        <v>59</v>
      </c>
      <c r="M530" t="s">
        <v>59</v>
      </c>
      <c r="N530" t="s">
        <v>59</v>
      </c>
      <c r="O530" t="s">
        <v>59</v>
      </c>
      <c r="P530" t="s">
        <v>59</v>
      </c>
      <c r="Q530" t="s">
        <v>59</v>
      </c>
      <c r="R530" t="s">
        <v>59</v>
      </c>
      <c r="S530" t="s">
        <v>59</v>
      </c>
      <c r="T530" t="s">
        <v>59</v>
      </c>
      <c r="U530" t="s">
        <v>59</v>
      </c>
      <c r="V530" t="s">
        <v>59</v>
      </c>
      <c r="W530" t="s">
        <v>59</v>
      </c>
      <c r="X530" t="s">
        <v>59</v>
      </c>
      <c r="Y530" t="s">
        <v>59</v>
      </c>
    </row>
    <row r="531" spans="1:25" x14ac:dyDescent="0.25">
      <c r="A531">
        <v>628</v>
      </c>
      <c r="B531" t="s">
        <v>5272</v>
      </c>
      <c r="C531" t="s">
        <v>1432</v>
      </c>
      <c r="D531" t="s">
        <v>5129</v>
      </c>
      <c r="E531" t="s">
        <v>4265</v>
      </c>
      <c r="F531">
        <v>-1</v>
      </c>
      <c r="G531" t="s">
        <v>59</v>
      </c>
      <c r="H531" t="s">
        <v>59</v>
      </c>
      <c r="I531" t="s">
        <v>59</v>
      </c>
      <c r="J531" t="s">
        <v>59</v>
      </c>
      <c r="K531" t="s">
        <v>59</v>
      </c>
      <c r="L531" t="s">
        <v>59</v>
      </c>
      <c r="M531" t="s">
        <v>59</v>
      </c>
      <c r="N531" t="s">
        <v>59</v>
      </c>
      <c r="O531" t="s">
        <v>59</v>
      </c>
      <c r="P531" t="s">
        <v>59</v>
      </c>
      <c r="Q531" t="s">
        <v>59</v>
      </c>
      <c r="R531" t="s">
        <v>59</v>
      </c>
      <c r="S531" t="s">
        <v>59</v>
      </c>
      <c r="T531" t="s">
        <v>59</v>
      </c>
      <c r="U531" t="s">
        <v>59</v>
      </c>
      <c r="V531" t="s">
        <v>59</v>
      </c>
      <c r="W531" t="s">
        <v>59</v>
      </c>
      <c r="X531" t="s">
        <v>59</v>
      </c>
      <c r="Y531" t="s">
        <v>59</v>
      </c>
    </row>
    <row r="532" spans="1:25" x14ac:dyDescent="0.25">
      <c r="A532">
        <v>629</v>
      </c>
      <c r="B532" t="s">
        <v>5272</v>
      </c>
      <c r="C532" t="s">
        <v>1426</v>
      </c>
      <c r="D532" t="s">
        <v>5130</v>
      </c>
      <c r="E532" t="s">
        <v>4265</v>
      </c>
      <c r="F532">
        <v>-1</v>
      </c>
      <c r="G532" t="s">
        <v>59</v>
      </c>
      <c r="H532" t="s">
        <v>59</v>
      </c>
      <c r="I532" t="s">
        <v>59</v>
      </c>
      <c r="J532" t="s">
        <v>59</v>
      </c>
      <c r="K532" t="s">
        <v>59</v>
      </c>
      <c r="L532" t="s">
        <v>59</v>
      </c>
      <c r="M532" t="s">
        <v>59</v>
      </c>
      <c r="N532" t="s">
        <v>59</v>
      </c>
      <c r="O532" t="s">
        <v>59</v>
      </c>
      <c r="P532" t="s">
        <v>59</v>
      </c>
      <c r="Q532" t="s">
        <v>59</v>
      </c>
      <c r="R532" t="s">
        <v>59</v>
      </c>
      <c r="S532" t="s">
        <v>59</v>
      </c>
      <c r="T532" t="s">
        <v>59</v>
      </c>
      <c r="U532" t="s">
        <v>59</v>
      </c>
      <c r="V532" t="s">
        <v>59</v>
      </c>
      <c r="W532" t="s">
        <v>59</v>
      </c>
      <c r="X532" t="s">
        <v>59</v>
      </c>
      <c r="Y532" t="s">
        <v>59</v>
      </c>
    </row>
    <row r="533" spans="1:25" x14ac:dyDescent="0.25">
      <c r="A533">
        <v>631</v>
      </c>
      <c r="B533" t="s">
        <v>5272</v>
      </c>
      <c r="C533" t="s">
        <v>1490</v>
      </c>
      <c r="D533" t="s">
        <v>5133</v>
      </c>
      <c r="E533" t="s">
        <v>4265</v>
      </c>
      <c r="F533">
        <v>-1</v>
      </c>
      <c r="G533" t="s">
        <v>59</v>
      </c>
      <c r="H533" t="s">
        <v>59</v>
      </c>
      <c r="I533" t="s">
        <v>59</v>
      </c>
      <c r="J533" t="s">
        <v>59</v>
      </c>
      <c r="K533" t="s">
        <v>59</v>
      </c>
      <c r="L533" t="s">
        <v>59</v>
      </c>
      <c r="M533" t="s">
        <v>59</v>
      </c>
      <c r="N533" t="s">
        <v>59</v>
      </c>
      <c r="O533" t="s">
        <v>59</v>
      </c>
      <c r="P533" t="s">
        <v>59</v>
      </c>
      <c r="Q533" t="s">
        <v>59</v>
      </c>
      <c r="R533" t="s">
        <v>59</v>
      </c>
      <c r="S533" t="s">
        <v>59</v>
      </c>
      <c r="T533" t="s">
        <v>59</v>
      </c>
      <c r="U533" t="s">
        <v>59</v>
      </c>
      <c r="V533" t="s">
        <v>59</v>
      </c>
      <c r="W533" t="s">
        <v>59</v>
      </c>
      <c r="X533" t="s">
        <v>59</v>
      </c>
      <c r="Y533" t="s">
        <v>59</v>
      </c>
    </row>
    <row r="534" spans="1:25" x14ac:dyDescent="0.25">
      <c r="A534">
        <v>633</v>
      </c>
      <c r="B534" t="s">
        <v>5272</v>
      </c>
      <c r="C534" t="s">
        <v>5136</v>
      </c>
      <c r="D534" t="s">
        <v>5137</v>
      </c>
      <c r="E534" t="s">
        <v>4265</v>
      </c>
      <c r="F534">
        <v>-1</v>
      </c>
      <c r="G534" t="s">
        <v>59</v>
      </c>
      <c r="H534" t="s">
        <v>59</v>
      </c>
      <c r="I534" t="s">
        <v>59</v>
      </c>
      <c r="J534" t="s">
        <v>59</v>
      </c>
      <c r="K534" t="s">
        <v>59</v>
      </c>
      <c r="L534" t="s">
        <v>59</v>
      </c>
      <c r="M534" t="s">
        <v>59</v>
      </c>
      <c r="N534" t="s">
        <v>59</v>
      </c>
      <c r="O534" t="s">
        <v>59</v>
      </c>
      <c r="P534" t="s">
        <v>59</v>
      </c>
      <c r="Q534" t="s">
        <v>59</v>
      </c>
      <c r="R534" t="s">
        <v>59</v>
      </c>
      <c r="S534" t="s">
        <v>59</v>
      </c>
      <c r="T534" t="s">
        <v>59</v>
      </c>
      <c r="U534" t="s">
        <v>59</v>
      </c>
      <c r="V534" t="s">
        <v>59</v>
      </c>
      <c r="W534" t="s">
        <v>59</v>
      </c>
      <c r="X534" t="s">
        <v>59</v>
      </c>
      <c r="Y534" t="s">
        <v>59</v>
      </c>
    </row>
    <row r="535" spans="1:25" x14ac:dyDescent="0.25">
      <c r="A535">
        <v>630</v>
      </c>
      <c r="B535" t="s">
        <v>5272</v>
      </c>
      <c r="C535" t="s">
        <v>5131</v>
      </c>
      <c r="D535" t="s">
        <v>5132</v>
      </c>
      <c r="E535" t="s">
        <v>4265</v>
      </c>
      <c r="F535">
        <v>-1</v>
      </c>
      <c r="G535" t="s">
        <v>59</v>
      </c>
      <c r="H535" t="s">
        <v>59</v>
      </c>
      <c r="I535" t="s">
        <v>59</v>
      </c>
      <c r="J535" t="s">
        <v>59</v>
      </c>
      <c r="K535" t="s">
        <v>59</v>
      </c>
      <c r="L535" t="s">
        <v>59</v>
      </c>
      <c r="M535" t="s">
        <v>59</v>
      </c>
      <c r="N535" t="s">
        <v>59</v>
      </c>
      <c r="O535" t="s">
        <v>59</v>
      </c>
      <c r="P535" t="s">
        <v>59</v>
      </c>
      <c r="Q535" t="s">
        <v>59</v>
      </c>
      <c r="R535" t="s">
        <v>59</v>
      </c>
      <c r="S535" t="s">
        <v>59</v>
      </c>
      <c r="T535" t="s">
        <v>59</v>
      </c>
      <c r="U535" t="s">
        <v>59</v>
      </c>
      <c r="V535" t="s">
        <v>59</v>
      </c>
      <c r="W535" t="s">
        <v>59</v>
      </c>
      <c r="X535" t="s">
        <v>59</v>
      </c>
      <c r="Y535" t="s">
        <v>59</v>
      </c>
    </row>
    <row r="536" spans="1:25" x14ac:dyDescent="0.25">
      <c r="A536">
        <v>253</v>
      </c>
      <c r="B536" t="s">
        <v>5272</v>
      </c>
      <c r="C536" t="s">
        <v>4479</v>
      </c>
      <c r="D536" t="s">
        <v>4480</v>
      </c>
      <c r="E536" t="s">
        <v>4265</v>
      </c>
      <c r="F536">
        <v>-1</v>
      </c>
      <c r="G536" t="s">
        <v>59</v>
      </c>
      <c r="H536" t="s">
        <v>59</v>
      </c>
      <c r="I536" t="s">
        <v>59</v>
      </c>
      <c r="J536" t="s">
        <v>59</v>
      </c>
      <c r="K536" t="s">
        <v>59</v>
      </c>
      <c r="L536" t="s">
        <v>59</v>
      </c>
      <c r="M536" t="s">
        <v>59</v>
      </c>
      <c r="N536" t="s">
        <v>59</v>
      </c>
      <c r="O536" t="s">
        <v>59</v>
      </c>
      <c r="P536" t="s">
        <v>59</v>
      </c>
      <c r="Q536" t="s">
        <v>59</v>
      </c>
      <c r="R536" t="s">
        <v>59</v>
      </c>
      <c r="S536" t="s">
        <v>59</v>
      </c>
      <c r="T536" t="s">
        <v>59</v>
      </c>
      <c r="U536" t="s">
        <v>59</v>
      </c>
      <c r="V536" t="s">
        <v>59</v>
      </c>
      <c r="W536" t="s">
        <v>59</v>
      </c>
      <c r="X536" t="s">
        <v>59</v>
      </c>
      <c r="Y536" t="s">
        <v>59</v>
      </c>
    </row>
    <row r="537" spans="1:25" x14ac:dyDescent="0.25">
      <c r="A537">
        <v>600</v>
      </c>
      <c r="B537" t="s">
        <v>5272</v>
      </c>
      <c r="C537" t="s">
        <v>5079</v>
      </c>
      <c r="D537" t="s">
        <v>5080</v>
      </c>
      <c r="E537" t="s">
        <v>4265</v>
      </c>
      <c r="F537">
        <v>-1</v>
      </c>
      <c r="G537" t="s">
        <v>59</v>
      </c>
      <c r="H537" t="s">
        <v>59</v>
      </c>
      <c r="I537" t="s">
        <v>59</v>
      </c>
      <c r="J537" t="s">
        <v>59</v>
      </c>
      <c r="K537" t="s">
        <v>59</v>
      </c>
      <c r="L537" t="s">
        <v>59</v>
      </c>
      <c r="M537" t="s">
        <v>59</v>
      </c>
      <c r="N537" t="s">
        <v>59</v>
      </c>
      <c r="O537" t="s">
        <v>59</v>
      </c>
      <c r="P537" t="s">
        <v>59</v>
      </c>
      <c r="Q537" t="s">
        <v>59</v>
      </c>
      <c r="R537" t="s">
        <v>59</v>
      </c>
      <c r="S537" t="s">
        <v>59</v>
      </c>
      <c r="T537" t="s">
        <v>59</v>
      </c>
      <c r="U537" t="s">
        <v>59</v>
      </c>
      <c r="V537" t="s">
        <v>59</v>
      </c>
      <c r="W537" t="s">
        <v>59</v>
      </c>
      <c r="X537" t="s">
        <v>59</v>
      </c>
      <c r="Y537" t="s">
        <v>59</v>
      </c>
    </row>
    <row r="538" spans="1:25" x14ac:dyDescent="0.25">
      <c r="A538">
        <v>134</v>
      </c>
      <c r="B538" t="s">
        <v>5272</v>
      </c>
      <c r="C538" t="s">
        <v>4272</v>
      </c>
      <c r="D538" t="s">
        <v>4273</v>
      </c>
      <c r="E538" t="s">
        <v>4265</v>
      </c>
      <c r="F538">
        <v>-1</v>
      </c>
      <c r="G538" t="s">
        <v>59</v>
      </c>
      <c r="H538" t="s">
        <v>59</v>
      </c>
      <c r="I538" t="s">
        <v>59</v>
      </c>
      <c r="J538" t="s">
        <v>59</v>
      </c>
      <c r="K538" t="s">
        <v>59</v>
      </c>
      <c r="L538" t="s">
        <v>59</v>
      </c>
      <c r="M538" t="s">
        <v>59</v>
      </c>
      <c r="N538" t="s">
        <v>59</v>
      </c>
      <c r="O538" t="s">
        <v>59</v>
      </c>
      <c r="P538" t="s">
        <v>59</v>
      </c>
      <c r="Q538" t="s">
        <v>59</v>
      </c>
      <c r="R538" t="s">
        <v>59</v>
      </c>
      <c r="S538" t="s">
        <v>59</v>
      </c>
      <c r="T538" t="s">
        <v>59</v>
      </c>
      <c r="U538" t="s">
        <v>59</v>
      </c>
      <c r="V538" t="s">
        <v>59</v>
      </c>
      <c r="W538" t="s">
        <v>59</v>
      </c>
      <c r="X538" t="s">
        <v>59</v>
      </c>
      <c r="Y538" t="s">
        <v>59</v>
      </c>
    </row>
    <row r="539" spans="1:25" x14ac:dyDescent="0.25">
      <c r="A539">
        <v>634</v>
      </c>
      <c r="B539" t="s">
        <v>5272</v>
      </c>
      <c r="C539" t="s">
        <v>5138</v>
      </c>
      <c r="D539" t="s">
        <v>5139</v>
      </c>
      <c r="E539" t="s">
        <v>4265</v>
      </c>
      <c r="F539">
        <v>-1</v>
      </c>
      <c r="G539" t="s">
        <v>59</v>
      </c>
      <c r="H539" t="s">
        <v>59</v>
      </c>
      <c r="I539" t="s">
        <v>59</v>
      </c>
      <c r="J539" t="s">
        <v>59</v>
      </c>
      <c r="K539" t="s">
        <v>59</v>
      </c>
      <c r="L539" t="s">
        <v>59</v>
      </c>
      <c r="M539" t="s">
        <v>59</v>
      </c>
      <c r="N539" t="s">
        <v>59</v>
      </c>
      <c r="O539" t="s">
        <v>59</v>
      </c>
      <c r="P539" t="s">
        <v>59</v>
      </c>
      <c r="Q539" t="s">
        <v>59</v>
      </c>
      <c r="R539" t="s">
        <v>59</v>
      </c>
      <c r="S539" t="s">
        <v>59</v>
      </c>
      <c r="T539" t="s">
        <v>59</v>
      </c>
      <c r="U539" t="s">
        <v>59</v>
      </c>
      <c r="V539" t="s">
        <v>59</v>
      </c>
      <c r="W539" t="s">
        <v>59</v>
      </c>
      <c r="X539" t="s">
        <v>59</v>
      </c>
      <c r="Y539" t="s">
        <v>59</v>
      </c>
    </row>
    <row r="540" spans="1:25" x14ac:dyDescent="0.25">
      <c r="A540">
        <v>681</v>
      </c>
      <c r="B540" t="s">
        <v>5272</v>
      </c>
      <c r="C540" t="s">
        <v>5233</v>
      </c>
      <c r="D540" t="s">
        <v>5234</v>
      </c>
      <c r="E540" t="s">
        <v>4265</v>
      </c>
      <c r="F540">
        <v>-1</v>
      </c>
      <c r="G540" t="s">
        <v>59</v>
      </c>
      <c r="H540" t="s">
        <v>59</v>
      </c>
      <c r="I540" t="s">
        <v>59</v>
      </c>
      <c r="J540" t="s">
        <v>59</v>
      </c>
      <c r="K540" t="s">
        <v>59</v>
      </c>
      <c r="L540" t="s">
        <v>59</v>
      </c>
      <c r="M540" t="s">
        <v>59</v>
      </c>
      <c r="N540" t="s">
        <v>59</v>
      </c>
      <c r="O540" t="s">
        <v>59</v>
      </c>
      <c r="P540" t="s">
        <v>59</v>
      </c>
      <c r="Q540" t="s">
        <v>59</v>
      </c>
      <c r="R540" t="s">
        <v>59</v>
      </c>
      <c r="S540" t="s">
        <v>59</v>
      </c>
      <c r="T540" t="s">
        <v>59</v>
      </c>
      <c r="U540" t="s">
        <v>59</v>
      </c>
      <c r="V540" t="s">
        <v>59</v>
      </c>
      <c r="W540" t="s">
        <v>59</v>
      </c>
      <c r="X540" t="s">
        <v>59</v>
      </c>
      <c r="Y540" t="s">
        <v>59</v>
      </c>
    </row>
    <row r="541" spans="1:25" x14ac:dyDescent="0.25">
      <c r="A541">
        <v>132</v>
      </c>
      <c r="B541" t="s">
        <v>5272</v>
      </c>
      <c r="C541" t="s">
        <v>4268</v>
      </c>
      <c r="D541" t="s">
        <v>4269</v>
      </c>
      <c r="E541" t="s">
        <v>4265</v>
      </c>
      <c r="F541">
        <v>-1</v>
      </c>
      <c r="G541" t="s">
        <v>59</v>
      </c>
      <c r="H541" t="s">
        <v>59</v>
      </c>
      <c r="I541" t="s">
        <v>59</v>
      </c>
      <c r="J541" t="s">
        <v>59</v>
      </c>
      <c r="K541" t="s">
        <v>59</v>
      </c>
      <c r="L541" t="s">
        <v>59</v>
      </c>
      <c r="M541" t="s">
        <v>59</v>
      </c>
      <c r="N541" t="s">
        <v>59</v>
      </c>
      <c r="O541" t="s">
        <v>59</v>
      </c>
      <c r="P541" t="s">
        <v>59</v>
      </c>
      <c r="Q541" t="s">
        <v>59</v>
      </c>
      <c r="R541" t="s">
        <v>59</v>
      </c>
      <c r="S541" t="s">
        <v>59</v>
      </c>
      <c r="T541" t="s">
        <v>59</v>
      </c>
      <c r="U541" t="s">
        <v>59</v>
      </c>
      <c r="V541" t="s">
        <v>59</v>
      </c>
      <c r="W541" t="s">
        <v>59</v>
      </c>
      <c r="X541" t="s">
        <v>59</v>
      </c>
      <c r="Y541" t="s">
        <v>59</v>
      </c>
    </row>
    <row r="542" spans="1:25" x14ac:dyDescent="0.25">
      <c r="A542">
        <v>133</v>
      </c>
      <c r="B542" t="s">
        <v>5272</v>
      </c>
      <c r="C542" t="s">
        <v>4270</v>
      </c>
      <c r="D542" t="s">
        <v>4271</v>
      </c>
      <c r="E542" t="s">
        <v>4265</v>
      </c>
      <c r="F542">
        <v>-1</v>
      </c>
      <c r="G542" t="s">
        <v>59</v>
      </c>
      <c r="H542" t="s">
        <v>59</v>
      </c>
      <c r="I542" t="s">
        <v>59</v>
      </c>
      <c r="J542" t="s">
        <v>59</v>
      </c>
      <c r="K542" t="s">
        <v>59</v>
      </c>
      <c r="L542" t="s">
        <v>59</v>
      </c>
      <c r="M542" t="s">
        <v>59</v>
      </c>
      <c r="N542" t="s">
        <v>59</v>
      </c>
      <c r="O542" t="s">
        <v>59</v>
      </c>
      <c r="P542" t="s">
        <v>59</v>
      </c>
      <c r="Q542" t="s">
        <v>59</v>
      </c>
      <c r="R542" t="s">
        <v>59</v>
      </c>
      <c r="S542" t="s">
        <v>59</v>
      </c>
      <c r="T542" t="s">
        <v>59</v>
      </c>
      <c r="U542" t="s">
        <v>59</v>
      </c>
      <c r="V542" t="s">
        <v>59</v>
      </c>
      <c r="W542" t="s">
        <v>59</v>
      </c>
      <c r="X542" t="s">
        <v>59</v>
      </c>
      <c r="Y542" t="s">
        <v>59</v>
      </c>
    </row>
    <row r="543" spans="1:25" x14ac:dyDescent="0.25">
      <c r="A543">
        <v>232</v>
      </c>
      <c r="B543" t="s">
        <v>5272</v>
      </c>
      <c r="C543" t="s">
        <v>4439</v>
      </c>
      <c r="D543" t="s">
        <v>4440</v>
      </c>
      <c r="E543" t="s">
        <v>4265</v>
      </c>
      <c r="F543">
        <v>-1</v>
      </c>
      <c r="G543" t="s">
        <v>59</v>
      </c>
      <c r="H543" t="s">
        <v>59</v>
      </c>
      <c r="I543" t="s">
        <v>59</v>
      </c>
      <c r="J543" t="s">
        <v>59</v>
      </c>
      <c r="K543" t="s">
        <v>59</v>
      </c>
      <c r="L543" t="s">
        <v>59</v>
      </c>
      <c r="M543" t="s">
        <v>59</v>
      </c>
      <c r="N543" t="s">
        <v>59</v>
      </c>
      <c r="O543" t="s">
        <v>59</v>
      </c>
      <c r="P543" t="s">
        <v>59</v>
      </c>
      <c r="Q543" t="s">
        <v>59</v>
      </c>
      <c r="R543" t="s">
        <v>59</v>
      </c>
      <c r="S543" t="s">
        <v>59</v>
      </c>
      <c r="T543" t="s">
        <v>59</v>
      </c>
      <c r="U543" t="s">
        <v>59</v>
      </c>
      <c r="V543" t="s">
        <v>59</v>
      </c>
      <c r="W543" t="s">
        <v>59</v>
      </c>
      <c r="X543" t="s">
        <v>59</v>
      </c>
      <c r="Y543" t="s">
        <v>59</v>
      </c>
    </row>
    <row r="544" spans="1:25" x14ac:dyDescent="0.25">
      <c r="A544">
        <v>602</v>
      </c>
      <c r="B544" t="s">
        <v>5272</v>
      </c>
      <c r="C544" t="s">
        <v>1436</v>
      </c>
      <c r="D544" t="s">
        <v>5083</v>
      </c>
      <c r="E544" t="s">
        <v>4265</v>
      </c>
      <c r="F544">
        <v>-1</v>
      </c>
      <c r="G544" t="s">
        <v>59</v>
      </c>
      <c r="H544" t="s">
        <v>59</v>
      </c>
      <c r="I544" t="s">
        <v>59</v>
      </c>
      <c r="J544" t="s">
        <v>59</v>
      </c>
      <c r="K544" t="s">
        <v>59</v>
      </c>
      <c r="L544" t="s">
        <v>59</v>
      </c>
      <c r="M544" t="s">
        <v>59</v>
      </c>
      <c r="N544" t="s">
        <v>59</v>
      </c>
      <c r="O544" t="s">
        <v>59</v>
      </c>
      <c r="P544" t="s">
        <v>59</v>
      </c>
      <c r="Q544" t="s">
        <v>59</v>
      </c>
      <c r="R544" t="s">
        <v>59</v>
      </c>
      <c r="S544" t="s">
        <v>59</v>
      </c>
      <c r="T544" t="s">
        <v>59</v>
      </c>
      <c r="U544" t="s">
        <v>59</v>
      </c>
      <c r="V544" t="s">
        <v>59</v>
      </c>
      <c r="W544" t="s">
        <v>59</v>
      </c>
      <c r="X544" t="s">
        <v>59</v>
      </c>
      <c r="Y544" t="s">
        <v>59</v>
      </c>
    </row>
    <row r="545" spans="1:25" x14ac:dyDescent="0.25">
      <c r="A545">
        <v>601</v>
      </c>
      <c r="B545" t="s">
        <v>5272</v>
      </c>
      <c r="C545" t="s">
        <v>5081</v>
      </c>
      <c r="D545" t="s">
        <v>5082</v>
      </c>
      <c r="E545" t="s">
        <v>4265</v>
      </c>
      <c r="F545">
        <v>-1</v>
      </c>
      <c r="G545" t="s">
        <v>59</v>
      </c>
      <c r="H545" t="s">
        <v>59</v>
      </c>
      <c r="I545" t="s">
        <v>59</v>
      </c>
      <c r="J545" t="s">
        <v>59</v>
      </c>
      <c r="K545" t="s">
        <v>59</v>
      </c>
      <c r="L545" t="s">
        <v>59</v>
      </c>
      <c r="M545" t="s">
        <v>59</v>
      </c>
      <c r="N545" t="s">
        <v>59</v>
      </c>
      <c r="O545" t="s">
        <v>59</v>
      </c>
      <c r="P545" t="s">
        <v>59</v>
      </c>
      <c r="Q545" t="s">
        <v>59</v>
      </c>
      <c r="R545" t="s">
        <v>59</v>
      </c>
      <c r="S545" t="s">
        <v>59</v>
      </c>
      <c r="T545" t="s">
        <v>59</v>
      </c>
      <c r="U545" t="s">
        <v>59</v>
      </c>
      <c r="V545" t="s">
        <v>59</v>
      </c>
      <c r="W545" t="s">
        <v>59</v>
      </c>
      <c r="X545" t="s">
        <v>59</v>
      </c>
      <c r="Y545" t="s">
        <v>59</v>
      </c>
    </row>
    <row r="546" spans="1:25" x14ac:dyDescent="0.25">
      <c r="A546">
        <v>270</v>
      </c>
      <c r="B546" t="s">
        <v>5272</v>
      </c>
      <c r="C546" t="s">
        <v>4512</v>
      </c>
      <c r="D546" t="s">
        <v>4513</v>
      </c>
      <c r="E546" t="s">
        <v>4265</v>
      </c>
      <c r="F546">
        <v>-1</v>
      </c>
      <c r="G546" t="s">
        <v>59</v>
      </c>
      <c r="H546" t="s">
        <v>59</v>
      </c>
      <c r="I546" t="s">
        <v>59</v>
      </c>
      <c r="J546" t="s">
        <v>59</v>
      </c>
      <c r="K546" t="s">
        <v>59</v>
      </c>
      <c r="L546" t="s">
        <v>59</v>
      </c>
      <c r="M546" t="s">
        <v>59</v>
      </c>
      <c r="N546" t="s">
        <v>59</v>
      </c>
      <c r="O546" t="s">
        <v>59</v>
      </c>
      <c r="P546" t="s">
        <v>59</v>
      </c>
      <c r="Q546" t="s">
        <v>59</v>
      </c>
      <c r="R546" t="s">
        <v>59</v>
      </c>
      <c r="S546" t="s">
        <v>59</v>
      </c>
      <c r="T546" t="s">
        <v>59</v>
      </c>
      <c r="U546" t="s">
        <v>59</v>
      </c>
      <c r="V546" t="s">
        <v>59</v>
      </c>
      <c r="W546" t="s">
        <v>59</v>
      </c>
      <c r="X546" t="s">
        <v>59</v>
      </c>
      <c r="Y546" t="s">
        <v>59</v>
      </c>
    </row>
    <row r="547" spans="1:25" x14ac:dyDescent="0.25">
      <c r="A547">
        <v>229</v>
      </c>
      <c r="B547" t="s">
        <v>5272</v>
      </c>
      <c r="C547" t="s">
        <v>4433</v>
      </c>
      <c r="D547" t="s">
        <v>4434</v>
      </c>
      <c r="E547" t="s">
        <v>4265</v>
      </c>
      <c r="F547">
        <v>-1</v>
      </c>
      <c r="G547" t="s">
        <v>59</v>
      </c>
      <c r="H547" t="s">
        <v>59</v>
      </c>
      <c r="I547" t="s">
        <v>59</v>
      </c>
      <c r="J547" t="s">
        <v>59</v>
      </c>
      <c r="K547" t="s">
        <v>59</v>
      </c>
      <c r="L547" t="s">
        <v>59</v>
      </c>
      <c r="M547" t="s">
        <v>59</v>
      </c>
      <c r="N547" t="s">
        <v>59</v>
      </c>
      <c r="O547" t="s">
        <v>59</v>
      </c>
      <c r="P547" t="s">
        <v>59</v>
      </c>
      <c r="Q547" t="s">
        <v>59</v>
      </c>
      <c r="R547" t="s">
        <v>59</v>
      </c>
      <c r="S547" t="s">
        <v>59</v>
      </c>
      <c r="T547" t="s">
        <v>59</v>
      </c>
      <c r="U547" t="s">
        <v>59</v>
      </c>
      <c r="V547" t="s">
        <v>59</v>
      </c>
      <c r="W547" t="s">
        <v>59</v>
      </c>
      <c r="X547" t="s">
        <v>59</v>
      </c>
      <c r="Y547" t="s">
        <v>59</v>
      </c>
    </row>
    <row r="548" spans="1:25" x14ac:dyDescent="0.25">
      <c r="A548">
        <v>254</v>
      </c>
      <c r="B548" t="s">
        <v>5272</v>
      </c>
      <c r="C548" t="s">
        <v>4481</v>
      </c>
      <c r="D548" t="s">
        <v>4482</v>
      </c>
      <c r="E548" t="s">
        <v>4265</v>
      </c>
      <c r="F548">
        <v>-1</v>
      </c>
      <c r="G548" t="s">
        <v>59</v>
      </c>
      <c r="H548" t="s">
        <v>59</v>
      </c>
      <c r="I548" t="s">
        <v>59</v>
      </c>
      <c r="J548" t="s">
        <v>59</v>
      </c>
      <c r="K548" t="s">
        <v>59</v>
      </c>
      <c r="L548" t="s">
        <v>59</v>
      </c>
      <c r="M548" t="s">
        <v>59</v>
      </c>
      <c r="N548" t="s">
        <v>59</v>
      </c>
      <c r="O548" t="s">
        <v>59</v>
      </c>
      <c r="P548" t="s">
        <v>59</v>
      </c>
      <c r="Q548" t="s">
        <v>59</v>
      </c>
      <c r="R548" t="s">
        <v>59</v>
      </c>
      <c r="S548" t="s">
        <v>59</v>
      </c>
      <c r="T548" t="s">
        <v>59</v>
      </c>
      <c r="U548" t="s">
        <v>59</v>
      </c>
      <c r="V548" t="s">
        <v>59</v>
      </c>
      <c r="W548" t="s">
        <v>59</v>
      </c>
      <c r="X548" t="s">
        <v>59</v>
      </c>
      <c r="Y548" t="s">
        <v>59</v>
      </c>
    </row>
    <row r="549" spans="1:25" x14ac:dyDescent="0.25">
      <c r="A549">
        <v>603</v>
      </c>
      <c r="B549" t="s">
        <v>5272</v>
      </c>
      <c r="C549" t="s">
        <v>5084</v>
      </c>
      <c r="D549" t="s">
        <v>5085</v>
      </c>
      <c r="E549" t="s">
        <v>4265</v>
      </c>
      <c r="F549">
        <v>-1</v>
      </c>
      <c r="G549" t="s">
        <v>59</v>
      </c>
      <c r="H549" t="s">
        <v>59</v>
      </c>
      <c r="I549" t="s">
        <v>59</v>
      </c>
      <c r="J549" t="s">
        <v>59</v>
      </c>
      <c r="K549" t="s">
        <v>59</v>
      </c>
      <c r="L549" t="s">
        <v>59</v>
      </c>
      <c r="M549" t="s">
        <v>59</v>
      </c>
      <c r="N549" t="s">
        <v>59</v>
      </c>
      <c r="O549" t="s">
        <v>59</v>
      </c>
      <c r="P549" t="s">
        <v>59</v>
      </c>
      <c r="Q549" t="s">
        <v>59</v>
      </c>
      <c r="R549" t="s">
        <v>59</v>
      </c>
      <c r="S549" t="s">
        <v>59</v>
      </c>
      <c r="T549" t="s">
        <v>59</v>
      </c>
      <c r="U549" t="s">
        <v>59</v>
      </c>
      <c r="V549" t="s">
        <v>59</v>
      </c>
      <c r="W549" t="s">
        <v>59</v>
      </c>
      <c r="X549" t="s">
        <v>59</v>
      </c>
      <c r="Y549" t="s">
        <v>59</v>
      </c>
    </row>
    <row r="550" spans="1:25" x14ac:dyDescent="0.25">
      <c r="A550">
        <v>604</v>
      </c>
      <c r="B550" t="s">
        <v>5272</v>
      </c>
      <c r="C550" t="s">
        <v>5086</v>
      </c>
      <c r="D550" t="s">
        <v>5087</v>
      </c>
      <c r="E550" t="s">
        <v>4265</v>
      </c>
      <c r="F550">
        <v>-1</v>
      </c>
      <c r="G550" t="s">
        <v>59</v>
      </c>
      <c r="H550" t="s">
        <v>59</v>
      </c>
      <c r="I550" t="s">
        <v>59</v>
      </c>
      <c r="J550" t="s">
        <v>59</v>
      </c>
      <c r="K550" t="s">
        <v>59</v>
      </c>
      <c r="L550" t="s">
        <v>59</v>
      </c>
      <c r="M550" t="s">
        <v>59</v>
      </c>
      <c r="N550" t="s">
        <v>59</v>
      </c>
      <c r="O550" t="s">
        <v>59</v>
      </c>
      <c r="P550" t="s">
        <v>59</v>
      </c>
      <c r="Q550" t="s">
        <v>59</v>
      </c>
      <c r="R550" t="s">
        <v>59</v>
      </c>
      <c r="S550" t="s">
        <v>59</v>
      </c>
      <c r="T550" t="s">
        <v>59</v>
      </c>
      <c r="U550" t="s">
        <v>59</v>
      </c>
      <c r="V550" t="s">
        <v>59</v>
      </c>
      <c r="W550" t="s">
        <v>59</v>
      </c>
      <c r="X550" t="s">
        <v>59</v>
      </c>
      <c r="Y550" t="s">
        <v>59</v>
      </c>
    </row>
    <row r="551" spans="1:25" x14ac:dyDescent="0.25">
      <c r="A551">
        <v>233</v>
      </c>
      <c r="B551" t="s">
        <v>5272</v>
      </c>
      <c r="C551" t="s">
        <v>4441</v>
      </c>
      <c r="D551" t="s">
        <v>4442</v>
      </c>
      <c r="E551" t="s">
        <v>4265</v>
      </c>
      <c r="F551">
        <v>-1</v>
      </c>
      <c r="G551" t="s">
        <v>59</v>
      </c>
      <c r="H551" t="s">
        <v>59</v>
      </c>
      <c r="I551" t="s">
        <v>59</v>
      </c>
      <c r="J551" t="s">
        <v>59</v>
      </c>
      <c r="K551" t="s">
        <v>59</v>
      </c>
      <c r="L551" t="s">
        <v>59</v>
      </c>
      <c r="M551" t="s">
        <v>59</v>
      </c>
      <c r="N551" t="s">
        <v>59</v>
      </c>
      <c r="O551" t="s">
        <v>59</v>
      </c>
      <c r="P551" t="s">
        <v>59</v>
      </c>
      <c r="Q551" t="s">
        <v>59</v>
      </c>
      <c r="R551" t="s">
        <v>59</v>
      </c>
      <c r="S551" t="s">
        <v>59</v>
      </c>
      <c r="T551" t="s">
        <v>59</v>
      </c>
      <c r="U551" t="s">
        <v>59</v>
      </c>
      <c r="V551" t="s">
        <v>59</v>
      </c>
      <c r="W551" t="s">
        <v>59</v>
      </c>
      <c r="X551" t="s">
        <v>59</v>
      </c>
      <c r="Y551" t="s">
        <v>59</v>
      </c>
    </row>
    <row r="552" spans="1:25" x14ac:dyDescent="0.25">
      <c r="A552">
        <v>564</v>
      </c>
      <c r="B552" t="s">
        <v>5272</v>
      </c>
      <c r="C552" t="s">
        <v>5008</v>
      </c>
      <c r="D552" t="s">
        <v>5009</v>
      </c>
      <c r="E552" t="s">
        <v>4265</v>
      </c>
      <c r="F552">
        <v>-1</v>
      </c>
      <c r="G552" t="s">
        <v>59</v>
      </c>
      <c r="H552" t="s">
        <v>59</v>
      </c>
      <c r="I552" t="s">
        <v>59</v>
      </c>
      <c r="J552" t="s">
        <v>59</v>
      </c>
      <c r="K552" t="s">
        <v>59</v>
      </c>
      <c r="L552" t="s">
        <v>59</v>
      </c>
      <c r="M552" t="s">
        <v>59</v>
      </c>
      <c r="N552" t="s">
        <v>59</v>
      </c>
      <c r="O552" t="s">
        <v>59</v>
      </c>
      <c r="P552" t="s">
        <v>59</v>
      </c>
      <c r="Q552" t="s">
        <v>59</v>
      </c>
      <c r="R552" t="s">
        <v>59</v>
      </c>
      <c r="S552" t="s">
        <v>59</v>
      </c>
      <c r="T552" t="s">
        <v>59</v>
      </c>
      <c r="U552" t="s">
        <v>59</v>
      </c>
      <c r="V552" t="s">
        <v>59</v>
      </c>
      <c r="W552" t="s">
        <v>59</v>
      </c>
      <c r="X552" t="s">
        <v>59</v>
      </c>
      <c r="Y552" t="s">
        <v>59</v>
      </c>
    </row>
    <row r="553" spans="1:25" x14ac:dyDescent="0.25">
      <c r="A553">
        <v>605</v>
      </c>
      <c r="B553" t="s">
        <v>5272</v>
      </c>
      <c r="C553" t="s">
        <v>5088</v>
      </c>
      <c r="D553" t="s">
        <v>5089</v>
      </c>
      <c r="E553" t="s">
        <v>4265</v>
      </c>
      <c r="F553">
        <v>-1</v>
      </c>
      <c r="G553" t="s">
        <v>59</v>
      </c>
      <c r="H553" t="s">
        <v>59</v>
      </c>
      <c r="I553" t="s">
        <v>59</v>
      </c>
      <c r="J553" t="s">
        <v>59</v>
      </c>
      <c r="K553" t="s">
        <v>59</v>
      </c>
      <c r="L553" t="s">
        <v>59</v>
      </c>
      <c r="M553" t="s">
        <v>59</v>
      </c>
      <c r="N553" t="s">
        <v>59</v>
      </c>
      <c r="O553" t="s">
        <v>59</v>
      </c>
      <c r="P553" t="s">
        <v>59</v>
      </c>
      <c r="Q553" t="s">
        <v>59</v>
      </c>
      <c r="R553" t="s">
        <v>59</v>
      </c>
      <c r="S553" t="s">
        <v>59</v>
      </c>
      <c r="T553" t="s">
        <v>59</v>
      </c>
      <c r="U553" t="s">
        <v>59</v>
      </c>
      <c r="V553" t="s">
        <v>59</v>
      </c>
      <c r="W553" t="s">
        <v>59</v>
      </c>
      <c r="X553" t="s">
        <v>59</v>
      </c>
      <c r="Y553" t="s">
        <v>59</v>
      </c>
    </row>
    <row r="554" spans="1:25" x14ac:dyDescent="0.25">
      <c r="A554">
        <v>606</v>
      </c>
      <c r="B554" t="s">
        <v>5272</v>
      </c>
      <c r="C554" t="s">
        <v>1357</v>
      </c>
      <c r="D554" t="s">
        <v>5090</v>
      </c>
      <c r="E554" t="s">
        <v>4265</v>
      </c>
      <c r="F554">
        <v>-1</v>
      </c>
      <c r="G554" t="s">
        <v>59</v>
      </c>
      <c r="H554" t="s">
        <v>59</v>
      </c>
      <c r="I554" t="s">
        <v>59</v>
      </c>
      <c r="J554" t="s">
        <v>59</v>
      </c>
      <c r="K554" t="s">
        <v>59</v>
      </c>
      <c r="L554" t="s">
        <v>59</v>
      </c>
      <c r="M554" t="s">
        <v>59</v>
      </c>
      <c r="N554" t="s">
        <v>59</v>
      </c>
      <c r="O554" t="s">
        <v>59</v>
      </c>
      <c r="P554" t="s">
        <v>59</v>
      </c>
      <c r="Q554" t="s">
        <v>59</v>
      </c>
      <c r="R554" t="s">
        <v>59</v>
      </c>
      <c r="S554" t="s">
        <v>59</v>
      </c>
      <c r="T554" t="s">
        <v>59</v>
      </c>
      <c r="U554" t="s">
        <v>59</v>
      </c>
      <c r="V554" t="s">
        <v>59</v>
      </c>
      <c r="W554" t="s">
        <v>59</v>
      </c>
      <c r="X554" t="s">
        <v>59</v>
      </c>
      <c r="Y554" t="s">
        <v>59</v>
      </c>
    </row>
    <row r="555" spans="1:25" x14ac:dyDescent="0.25">
      <c r="A555">
        <v>607</v>
      </c>
      <c r="B555" t="s">
        <v>5272</v>
      </c>
      <c r="C555" t="s">
        <v>5091</v>
      </c>
      <c r="D555" t="s">
        <v>5092</v>
      </c>
      <c r="E555" t="s">
        <v>4265</v>
      </c>
      <c r="F555">
        <v>-1</v>
      </c>
      <c r="G555" t="s">
        <v>59</v>
      </c>
      <c r="H555" t="s">
        <v>59</v>
      </c>
      <c r="I555" t="s">
        <v>59</v>
      </c>
      <c r="J555" t="s">
        <v>59</v>
      </c>
      <c r="K555" t="s">
        <v>59</v>
      </c>
      <c r="L555" t="s">
        <v>59</v>
      </c>
      <c r="M555" t="s">
        <v>59</v>
      </c>
      <c r="N555" t="s">
        <v>59</v>
      </c>
      <c r="O555" t="s">
        <v>59</v>
      </c>
      <c r="P555" t="s">
        <v>59</v>
      </c>
      <c r="Q555" t="s">
        <v>59</v>
      </c>
      <c r="R555" t="s">
        <v>59</v>
      </c>
      <c r="S555" t="s">
        <v>59</v>
      </c>
      <c r="T555" t="s">
        <v>59</v>
      </c>
      <c r="U555" t="s">
        <v>59</v>
      </c>
      <c r="V555" t="s">
        <v>59</v>
      </c>
      <c r="W555" t="s">
        <v>59</v>
      </c>
      <c r="X555" t="s">
        <v>59</v>
      </c>
      <c r="Y555" t="s">
        <v>59</v>
      </c>
    </row>
    <row r="556" spans="1:25" x14ac:dyDescent="0.25">
      <c r="A556">
        <v>608</v>
      </c>
      <c r="B556" t="s">
        <v>5272</v>
      </c>
      <c r="C556" t="s">
        <v>1361</v>
      </c>
      <c r="D556" t="s">
        <v>5093</v>
      </c>
      <c r="E556" t="s">
        <v>4265</v>
      </c>
      <c r="F556">
        <v>-1</v>
      </c>
      <c r="G556" t="s">
        <v>59</v>
      </c>
      <c r="H556" t="s">
        <v>59</v>
      </c>
      <c r="I556" t="s">
        <v>59</v>
      </c>
      <c r="J556" t="s">
        <v>59</v>
      </c>
      <c r="K556" t="s">
        <v>59</v>
      </c>
      <c r="L556" t="s">
        <v>59</v>
      </c>
      <c r="M556" t="s">
        <v>59</v>
      </c>
      <c r="N556" t="s">
        <v>59</v>
      </c>
      <c r="O556" t="s">
        <v>59</v>
      </c>
      <c r="P556" t="s">
        <v>59</v>
      </c>
      <c r="Q556" t="s">
        <v>59</v>
      </c>
      <c r="R556" t="s">
        <v>59</v>
      </c>
      <c r="S556" t="s">
        <v>59</v>
      </c>
      <c r="T556" t="s">
        <v>59</v>
      </c>
      <c r="U556" t="s">
        <v>59</v>
      </c>
      <c r="V556" t="s">
        <v>59</v>
      </c>
      <c r="W556" t="s">
        <v>59</v>
      </c>
      <c r="X556" t="s">
        <v>59</v>
      </c>
      <c r="Y556" t="s">
        <v>59</v>
      </c>
    </row>
    <row r="557" spans="1:25" x14ac:dyDescent="0.25">
      <c r="A557">
        <v>609</v>
      </c>
      <c r="B557" t="s">
        <v>5272</v>
      </c>
      <c r="C557" t="s">
        <v>5094</v>
      </c>
      <c r="D557" t="s">
        <v>5095</v>
      </c>
      <c r="E557" t="s">
        <v>4265</v>
      </c>
      <c r="F557">
        <v>-1</v>
      </c>
      <c r="G557" t="s">
        <v>59</v>
      </c>
      <c r="H557" t="s">
        <v>59</v>
      </c>
      <c r="I557" t="s">
        <v>59</v>
      </c>
      <c r="J557" t="s">
        <v>59</v>
      </c>
      <c r="K557" t="s">
        <v>59</v>
      </c>
      <c r="L557" t="s">
        <v>59</v>
      </c>
      <c r="M557" t="s">
        <v>59</v>
      </c>
      <c r="N557" t="s">
        <v>59</v>
      </c>
      <c r="O557" t="s">
        <v>59</v>
      </c>
      <c r="P557" t="s">
        <v>59</v>
      </c>
      <c r="Q557" t="s">
        <v>59</v>
      </c>
      <c r="R557" t="s">
        <v>59</v>
      </c>
      <c r="S557" t="s">
        <v>59</v>
      </c>
      <c r="T557" t="s">
        <v>59</v>
      </c>
      <c r="U557" t="s">
        <v>59</v>
      </c>
      <c r="V557" t="s">
        <v>59</v>
      </c>
      <c r="W557" t="s">
        <v>59</v>
      </c>
      <c r="X557" t="s">
        <v>59</v>
      </c>
      <c r="Y557" t="s">
        <v>59</v>
      </c>
    </row>
    <row r="558" spans="1:25" x14ac:dyDescent="0.25">
      <c r="A558">
        <v>234</v>
      </c>
      <c r="B558" t="s">
        <v>5272</v>
      </c>
      <c r="C558" t="s">
        <v>4443</v>
      </c>
      <c r="D558" t="s">
        <v>4444</v>
      </c>
      <c r="E558" t="s">
        <v>4265</v>
      </c>
      <c r="F558">
        <v>-1</v>
      </c>
      <c r="G558" t="s">
        <v>59</v>
      </c>
      <c r="H558" t="s">
        <v>59</v>
      </c>
      <c r="I558" t="s">
        <v>59</v>
      </c>
      <c r="J558" t="s">
        <v>59</v>
      </c>
      <c r="K558" t="s">
        <v>59</v>
      </c>
      <c r="L558" t="s">
        <v>59</v>
      </c>
      <c r="M558" t="s">
        <v>59</v>
      </c>
      <c r="N558" t="s">
        <v>59</v>
      </c>
      <c r="O558" t="s">
        <v>59</v>
      </c>
      <c r="P558" t="s">
        <v>59</v>
      </c>
      <c r="Q558" t="s">
        <v>59</v>
      </c>
      <c r="R558" t="s">
        <v>59</v>
      </c>
      <c r="S558" t="s">
        <v>59</v>
      </c>
      <c r="T558" t="s">
        <v>59</v>
      </c>
      <c r="U558" t="s">
        <v>59</v>
      </c>
      <c r="V558" t="s">
        <v>59</v>
      </c>
      <c r="W558" t="s">
        <v>59</v>
      </c>
      <c r="X558" t="s">
        <v>59</v>
      </c>
      <c r="Y558" t="s">
        <v>59</v>
      </c>
    </row>
    <row r="559" spans="1:25" x14ac:dyDescent="0.25">
      <c r="A559">
        <v>272</v>
      </c>
      <c r="B559" t="s">
        <v>5272</v>
      </c>
      <c r="C559" t="s">
        <v>4516</v>
      </c>
      <c r="D559" t="s">
        <v>4517</v>
      </c>
      <c r="E559" t="s">
        <v>4265</v>
      </c>
      <c r="F559">
        <v>-1</v>
      </c>
      <c r="G559" t="s">
        <v>59</v>
      </c>
      <c r="H559" t="s">
        <v>59</v>
      </c>
      <c r="I559" t="s">
        <v>59</v>
      </c>
      <c r="J559" t="s">
        <v>59</v>
      </c>
      <c r="K559" t="s">
        <v>59</v>
      </c>
      <c r="L559" t="s">
        <v>59</v>
      </c>
      <c r="M559" t="s">
        <v>59</v>
      </c>
      <c r="N559" t="s">
        <v>59</v>
      </c>
      <c r="O559" t="s">
        <v>59</v>
      </c>
      <c r="P559" t="s">
        <v>59</v>
      </c>
      <c r="Q559" t="s">
        <v>59</v>
      </c>
      <c r="R559" t="s">
        <v>59</v>
      </c>
      <c r="S559" t="s">
        <v>59</v>
      </c>
      <c r="T559" t="s">
        <v>59</v>
      </c>
      <c r="U559" t="s">
        <v>59</v>
      </c>
      <c r="V559" t="s">
        <v>59</v>
      </c>
      <c r="W559" t="s">
        <v>59</v>
      </c>
      <c r="X559" t="s">
        <v>59</v>
      </c>
      <c r="Y559" t="s">
        <v>59</v>
      </c>
    </row>
    <row r="560" spans="1:25" x14ac:dyDescent="0.25">
      <c r="A560">
        <v>623</v>
      </c>
      <c r="B560" t="s">
        <v>5272</v>
      </c>
      <c r="C560" t="s">
        <v>5122</v>
      </c>
      <c r="D560" t="s">
        <v>5123</v>
      </c>
      <c r="E560" t="s">
        <v>4265</v>
      </c>
      <c r="F560">
        <v>-1</v>
      </c>
      <c r="G560" t="s">
        <v>59</v>
      </c>
      <c r="H560" t="s">
        <v>59</v>
      </c>
      <c r="I560" t="s">
        <v>59</v>
      </c>
      <c r="J560" t="s">
        <v>59</v>
      </c>
      <c r="K560" t="s">
        <v>59</v>
      </c>
      <c r="L560" t="s">
        <v>59</v>
      </c>
      <c r="M560" t="s">
        <v>59</v>
      </c>
      <c r="N560" t="s">
        <v>59</v>
      </c>
      <c r="O560" t="s">
        <v>59</v>
      </c>
      <c r="P560" t="s">
        <v>59</v>
      </c>
      <c r="Q560" t="s">
        <v>59</v>
      </c>
      <c r="R560" t="s">
        <v>59</v>
      </c>
      <c r="S560" t="s">
        <v>59</v>
      </c>
      <c r="T560" t="s">
        <v>59</v>
      </c>
      <c r="U560" t="s">
        <v>59</v>
      </c>
      <c r="V560" t="s">
        <v>59</v>
      </c>
      <c r="W560" t="s">
        <v>59</v>
      </c>
      <c r="X560" t="s">
        <v>59</v>
      </c>
      <c r="Y560" t="s">
        <v>59</v>
      </c>
    </row>
    <row r="561" spans="1:25" x14ac:dyDescent="0.25">
      <c r="A561">
        <v>632</v>
      </c>
      <c r="B561" t="s">
        <v>5272</v>
      </c>
      <c r="C561" t="s">
        <v>5134</v>
      </c>
      <c r="D561" t="s">
        <v>5135</v>
      </c>
      <c r="E561" t="s">
        <v>4265</v>
      </c>
      <c r="F561">
        <v>-1</v>
      </c>
      <c r="G561" t="s">
        <v>59</v>
      </c>
      <c r="H561" t="s">
        <v>59</v>
      </c>
      <c r="I561" t="s">
        <v>59</v>
      </c>
      <c r="J561" t="s">
        <v>59</v>
      </c>
      <c r="K561" t="s">
        <v>59</v>
      </c>
      <c r="L561" t="s">
        <v>59</v>
      </c>
      <c r="M561" t="s">
        <v>59</v>
      </c>
      <c r="N561" t="s">
        <v>59</v>
      </c>
      <c r="O561" t="s">
        <v>59</v>
      </c>
      <c r="P561" t="s">
        <v>59</v>
      </c>
      <c r="Q561" t="s">
        <v>59</v>
      </c>
      <c r="R561" t="s">
        <v>59</v>
      </c>
      <c r="S561" t="s">
        <v>59</v>
      </c>
      <c r="T561" t="s">
        <v>59</v>
      </c>
      <c r="U561" t="s">
        <v>59</v>
      </c>
      <c r="V561" t="s">
        <v>59</v>
      </c>
      <c r="W561" t="s">
        <v>59</v>
      </c>
      <c r="X561" t="s">
        <v>59</v>
      </c>
      <c r="Y561" t="s">
        <v>59</v>
      </c>
    </row>
    <row r="562" spans="1:25" x14ac:dyDescent="0.25">
      <c r="A562">
        <v>266</v>
      </c>
      <c r="B562" t="s">
        <v>5272</v>
      </c>
      <c r="C562" t="s">
        <v>4504</v>
      </c>
      <c r="D562" t="s">
        <v>4505</v>
      </c>
      <c r="E562" t="s">
        <v>4265</v>
      </c>
      <c r="F562">
        <v>-1</v>
      </c>
      <c r="G562" t="s">
        <v>59</v>
      </c>
      <c r="H562" t="s">
        <v>59</v>
      </c>
      <c r="I562" t="s">
        <v>59</v>
      </c>
      <c r="J562" t="s">
        <v>59</v>
      </c>
      <c r="K562" t="s">
        <v>59</v>
      </c>
      <c r="L562" t="s">
        <v>59</v>
      </c>
      <c r="M562" t="s">
        <v>59</v>
      </c>
      <c r="N562" t="s">
        <v>59</v>
      </c>
      <c r="O562" t="s">
        <v>59</v>
      </c>
      <c r="P562" t="s">
        <v>59</v>
      </c>
      <c r="Q562" t="s">
        <v>59</v>
      </c>
      <c r="R562" t="s">
        <v>59</v>
      </c>
      <c r="S562" t="s">
        <v>59</v>
      </c>
      <c r="T562" t="s">
        <v>59</v>
      </c>
      <c r="U562" t="s">
        <v>59</v>
      </c>
      <c r="V562" t="s">
        <v>59</v>
      </c>
      <c r="W562" t="s">
        <v>59</v>
      </c>
      <c r="X562" t="s">
        <v>59</v>
      </c>
      <c r="Y562" t="s">
        <v>59</v>
      </c>
    </row>
    <row r="563" spans="1:25" x14ac:dyDescent="0.25">
      <c r="A563">
        <v>281</v>
      </c>
      <c r="B563" t="s">
        <v>5272</v>
      </c>
      <c r="C563" t="s">
        <v>4534</v>
      </c>
      <c r="D563" t="s">
        <v>4535</v>
      </c>
      <c r="E563" t="s">
        <v>4265</v>
      </c>
      <c r="F563">
        <v>-1</v>
      </c>
      <c r="G563" t="s">
        <v>59</v>
      </c>
      <c r="H563" t="s">
        <v>59</v>
      </c>
      <c r="I563" t="s">
        <v>59</v>
      </c>
      <c r="J563" t="s">
        <v>59</v>
      </c>
      <c r="K563" t="s">
        <v>59</v>
      </c>
      <c r="L563" t="s">
        <v>59</v>
      </c>
      <c r="M563" t="s">
        <v>59</v>
      </c>
      <c r="N563" t="s">
        <v>59</v>
      </c>
      <c r="O563" t="s">
        <v>59</v>
      </c>
      <c r="P563" t="s">
        <v>59</v>
      </c>
      <c r="Q563" t="s">
        <v>59</v>
      </c>
      <c r="R563" t="s">
        <v>59</v>
      </c>
      <c r="S563" t="s">
        <v>59</v>
      </c>
      <c r="T563" t="s">
        <v>59</v>
      </c>
      <c r="U563" t="s">
        <v>59</v>
      </c>
      <c r="V563" t="s">
        <v>59</v>
      </c>
      <c r="W563" t="s">
        <v>59</v>
      </c>
      <c r="X563" t="s">
        <v>59</v>
      </c>
      <c r="Y563" t="s">
        <v>59</v>
      </c>
    </row>
    <row r="564" spans="1:25" x14ac:dyDescent="0.25">
      <c r="A564">
        <v>282</v>
      </c>
      <c r="B564" t="s">
        <v>5272</v>
      </c>
      <c r="C564" t="s">
        <v>4536</v>
      </c>
      <c r="D564" t="s">
        <v>4537</v>
      </c>
      <c r="E564" t="s">
        <v>4265</v>
      </c>
      <c r="F564">
        <v>-1</v>
      </c>
      <c r="G564" t="s">
        <v>59</v>
      </c>
      <c r="H564" t="s">
        <v>59</v>
      </c>
      <c r="I564" t="s">
        <v>59</v>
      </c>
      <c r="J564" t="s">
        <v>59</v>
      </c>
      <c r="K564" t="s">
        <v>59</v>
      </c>
      <c r="L564" t="s">
        <v>59</v>
      </c>
      <c r="M564" t="s">
        <v>59</v>
      </c>
      <c r="N564" t="s">
        <v>59</v>
      </c>
      <c r="O564" t="s">
        <v>59</v>
      </c>
      <c r="P564" t="s">
        <v>59</v>
      </c>
      <c r="Q564" t="s">
        <v>59</v>
      </c>
      <c r="R564" t="s">
        <v>59</v>
      </c>
      <c r="S564" t="s">
        <v>59</v>
      </c>
      <c r="T564" t="s">
        <v>59</v>
      </c>
      <c r="U564" t="s">
        <v>59</v>
      </c>
      <c r="V564" t="s">
        <v>59</v>
      </c>
      <c r="W564" t="s">
        <v>59</v>
      </c>
      <c r="X564" t="s">
        <v>59</v>
      </c>
      <c r="Y564" t="s">
        <v>59</v>
      </c>
    </row>
    <row r="565" spans="1:25" x14ac:dyDescent="0.25">
      <c r="A565">
        <v>565</v>
      </c>
      <c r="B565" t="s">
        <v>5272</v>
      </c>
      <c r="C565" t="s">
        <v>5010</v>
      </c>
      <c r="D565" t="s">
        <v>5011</v>
      </c>
      <c r="E565" t="s">
        <v>4265</v>
      </c>
      <c r="F565">
        <v>-1</v>
      </c>
      <c r="G565" t="s">
        <v>59</v>
      </c>
      <c r="H565" t="s">
        <v>59</v>
      </c>
      <c r="I565" t="s">
        <v>59</v>
      </c>
      <c r="J565" t="s">
        <v>59</v>
      </c>
      <c r="K565" t="s">
        <v>59</v>
      </c>
      <c r="L565" t="s">
        <v>59</v>
      </c>
      <c r="M565" t="s">
        <v>59</v>
      </c>
      <c r="N565" t="s">
        <v>59</v>
      </c>
      <c r="O565" t="s">
        <v>59</v>
      </c>
      <c r="P565" t="s">
        <v>59</v>
      </c>
      <c r="Q565" t="s">
        <v>59</v>
      </c>
      <c r="R565" t="s">
        <v>59</v>
      </c>
      <c r="S565" t="s">
        <v>59</v>
      </c>
      <c r="T565" t="s">
        <v>59</v>
      </c>
      <c r="U565" t="s">
        <v>59</v>
      </c>
      <c r="V565" t="s">
        <v>59</v>
      </c>
      <c r="W565" t="s">
        <v>59</v>
      </c>
      <c r="X565" t="s">
        <v>59</v>
      </c>
      <c r="Y565" t="s">
        <v>59</v>
      </c>
    </row>
    <row r="566" spans="1:25" x14ac:dyDescent="0.25">
      <c r="A566">
        <v>268</v>
      </c>
      <c r="B566" t="s">
        <v>5272</v>
      </c>
      <c r="C566" t="s">
        <v>4508</v>
      </c>
      <c r="D566" t="s">
        <v>4509</v>
      </c>
      <c r="E566" t="s">
        <v>4265</v>
      </c>
      <c r="F566">
        <v>-1</v>
      </c>
      <c r="G566" t="s">
        <v>59</v>
      </c>
      <c r="H566" t="s">
        <v>59</v>
      </c>
      <c r="I566" t="s">
        <v>59</v>
      </c>
      <c r="J566" t="s">
        <v>59</v>
      </c>
      <c r="K566" t="s">
        <v>59</v>
      </c>
      <c r="L566" t="s">
        <v>59</v>
      </c>
      <c r="M566" t="s">
        <v>59</v>
      </c>
      <c r="N566" t="s">
        <v>59</v>
      </c>
      <c r="O566" t="s">
        <v>59</v>
      </c>
      <c r="P566" t="s">
        <v>59</v>
      </c>
      <c r="Q566" t="s">
        <v>59</v>
      </c>
      <c r="R566" t="s">
        <v>59</v>
      </c>
      <c r="S566" t="s">
        <v>59</v>
      </c>
      <c r="T566" t="s">
        <v>59</v>
      </c>
      <c r="U566" t="s">
        <v>59</v>
      </c>
      <c r="V566" t="s">
        <v>59</v>
      </c>
      <c r="W566" t="s">
        <v>59</v>
      </c>
      <c r="X566" t="s">
        <v>59</v>
      </c>
      <c r="Y566" t="s">
        <v>59</v>
      </c>
    </row>
    <row r="567" spans="1:25" x14ac:dyDescent="0.25">
      <c r="A567">
        <v>566</v>
      </c>
      <c r="B567" t="s">
        <v>5272</v>
      </c>
      <c r="C567" t="s">
        <v>5012</v>
      </c>
      <c r="D567" t="s">
        <v>5013</v>
      </c>
      <c r="E567" t="s">
        <v>4265</v>
      </c>
      <c r="F567">
        <v>-1</v>
      </c>
      <c r="G567" t="s">
        <v>59</v>
      </c>
      <c r="H567" t="s">
        <v>59</v>
      </c>
      <c r="I567" t="s">
        <v>59</v>
      </c>
      <c r="J567" t="s">
        <v>59</v>
      </c>
      <c r="K567" t="s">
        <v>59</v>
      </c>
      <c r="L567" t="s">
        <v>59</v>
      </c>
      <c r="M567" t="s">
        <v>59</v>
      </c>
      <c r="N567" t="s">
        <v>59</v>
      </c>
      <c r="O567" t="s">
        <v>59</v>
      </c>
      <c r="P567" t="s">
        <v>59</v>
      </c>
      <c r="Q567" t="s">
        <v>59</v>
      </c>
      <c r="R567" t="s">
        <v>59</v>
      </c>
      <c r="S567" t="s">
        <v>59</v>
      </c>
      <c r="T567" t="s">
        <v>59</v>
      </c>
      <c r="U567" t="s">
        <v>59</v>
      </c>
      <c r="V567" t="s">
        <v>59</v>
      </c>
      <c r="W567" t="s">
        <v>59</v>
      </c>
      <c r="X567" t="s">
        <v>59</v>
      </c>
      <c r="Y567" t="s">
        <v>59</v>
      </c>
    </row>
    <row r="568" spans="1:25" x14ac:dyDescent="0.25">
      <c r="A568">
        <v>567</v>
      </c>
      <c r="B568" t="s">
        <v>5272</v>
      </c>
      <c r="C568" t="s">
        <v>5014</v>
      </c>
      <c r="D568" t="s">
        <v>5015</v>
      </c>
      <c r="E568" t="s">
        <v>4265</v>
      </c>
      <c r="F568">
        <v>-1</v>
      </c>
      <c r="G568" t="s">
        <v>59</v>
      </c>
      <c r="H568" t="s">
        <v>59</v>
      </c>
      <c r="I568" t="s">
        <v>59</v>
      </c>
      <c r="J568" t="s">
        <v>59</v>
      </c>
      <c r="K568" t="s">
        <v>59</v>
      </c>
      <c r="L568" t="s">
        <v>59</v>
      </c>
      <c r="M568" t="s">
        <v>59</v>
      </c>
      <c r="N568" t="s">
        <v>59</v>
      </c>
      <c r="O568" t="s">
        <v>59</v>
      </c>
      <c r="P568" t="s">
        <v>59</v>
      </c>
      <c r="Q568" t="s">
        <v>59</v>
      </c>
      <c r="R568" t="s">
        <v>59</v>
      </c>
      <c r="S568" t="s">
        <v>59</v>
      </c>
      <c r="T568" t="s">
        <v>59</v>
      </c>
      <c r="U568" t="s">
        <v>59</v>
      </c>
      <c r="V568" t="s">
        <v>59</v>
      </c>
      <c r="W568" t="s">
        <v>59</v>
      </c>
      <c r="X568" t="s">
        <v>59</v>
      </c>
      <c r="Y568" t="s">
        <v>59</v>
      </c>
    </row>
    <row r="569" spans="1:25" x14ac:dyDescent="0.25">
      <c r="A569">
        <v>577</v>
      </c>
      <c r="B569" t="s">
        <v>5272</v>
      </c>
      <c r="C569" t="s">
        <v>5034</v>
      </c>
      <c r="D569" t="s">
        <v>5035</v>
      </c>
      <c r="E569" t="s">
        <v>4265</v>
      </c>
      <c r="F569">
        <v>-1</v>
      </c>
      <c r="G569" t="s">
        <v>59</v>
      </c>
      <c r="H569" t="s">
        <v>59</v>
      </c>
      <c r="I569" t="s">
        <v>59</v>
      </c>
      <c r="J569" t="s">
        <v>59</v>
      </c>
      <c r="K569" t="s">
        <v>59</v>
      </c>
      <c r="L569" t="s">
        <v>59</v>
      </c>
      <c r="M569" t="s">
        <v>59</v>
      </c>
      <c r="N569" t="s">
        <v>59</v>
      </c>
      <c r="O569" t="s">
        <v>59</v>
      </c>
      <c r="P569" t="s">
        <v>59</v>
      </c>
      <c r="Q569" t="s">
        <v>59</v>
      </c>
      <c r="R569" t="s">
        <v>59</v>
      </c>
      <c r="S569" t="s">
        <v>59</v>
      </c>
      <c r="T569" t="s">
        <v>59</v>
      </c>
      <c r="U569" t="s">
        <v>59</v>
      </c>
      <c r="V569" t="s">
        <v>59</v>
      </c>
      <c r="W569" t="s">
        <v>59</v>
      </c>
      <c r="X569" t="s">
        <v>59</v>
      </c>
      <c r="Y569" t="s">
        <v>59</v>
      </c>
    </row>
    <row r="570" spans="1:25" x14ac:dyDescent="0.25">
      <c r="A570">
        <v>578</v>
      </c>
      <c r="B570" t="s">
        <v>5272</v>
      </c>
      <c r="C570" t="s">
        <v>5036</v>
      </c>
      <c r="D570" t="s">
        <v>5037</v>
      </c>
      <c r="E570" t="s">
        <v>4265</v>
      </c>
      <c r="F570">
        <v>-1</v>
      </c>
      <c r="G570" t="s">
        <v>59</v>
      </c>
      <c r="H570" t="s">
        <v>59</v>
      </c>
      <c r="I570" t="s">
        <v>59</v>
      </c>
      <c r="J570" t="s">
        <v>59</v>
      </c>
      <c r="K570" t="s">
        <v>59</v>
      </c>
      <c r="L570" t="s">
        <v>59</v>
      </c>
      <c r="M570" t="s">
        <v>59</v>
      </c>
      <c r="N570" t="s">
        <v>59</v>
      </c>
      <c r="O570" t="s">
        <v>59</v>
      </c>
      <c r="P570" t="s">
        <v>59</v>
      </c>
      <c r="Q570" t="s">
        <v>59</v>
      </c>
      <c r="R570" t="s">
        <v>59</v>
      </c>
      <c r="S570" t="s">
        <v>59</v>
      </c>
      <c r="T570" t="s">
        <v>59</v>
      </c>
      <c r="U570" t="s">
        <v>59</v>
      </c>
      <c r="V570" t="s">
        <v>59</v>
      </c>
      <c r="W570" t="s">
        <v>59</v>
      </c>
      <c r="X570" t="s">
        <v>59</v>
      </c>
      <c r="Y570" t="s">
        <v>59</v>
      </c>
    </row>
    <row r="571" spans="1:25" x14ac:dyDescent="0.25">
      <c r="A571">
        <v>572</v>
      </c>
      <c r="B571" t="s">
        <v>5272</v>
      </c>
      <c r="C571" t="s">
        <v>5024</v>
      </c>
      <c r="D571" t="s">
        <v>5025</v>
      </c>
      <c r="E571" t="s">
        <v>4265</v>
      </c>
      <c r="F571">
        <v>-1</v>
      </c>
      <c r="G571" t="s">
        <v>59</v>
      </c>
      <c r="H571" t="s">
        <v>59</v>
      </c>
      <c r="I571" t="s">
        <v>59</v>
      </c>
      <c r="J571" t="s">
        <v>59</v>
      </c>
      <c r="K571" t="s">
        <v>59</v>
      </c>
      <c r="L571" t="s">
        <v>59</v>
      </c>
      <c r="M571" t="s">
        <v>59</v>
      </c>
      <c r="N571" t="s">
        <v>59</v>
      </c>
      <c r="O571" t="s">
        <v>59</v>
      </c>
      <c r="P571" t="s">
        <v>59</v>
      </c>
      <c r="Q571" t="s">
        <v>59</v>
      </c>
      <c r="R571" t="s">
        <v>59</v>
      </c>
      <c r="S571" t="s">
        <v>59</v>
      </c>
      <c r="T571" t="s">
        <v>59</v>
      </c>
      <c r="U571" t="s">
        <v>59</v>
      </c>
      <c r="V571" t="s">
        <v>59</v>
      </c>
      <c r="W571" t="s">
        <v>59</v>
      </c>
      <c r="X571" t="s">
        <v>59</v>
      </c>
      <c r="Y571" t="s">
        <v>59</v>
      </c>
    </row>
    <row r="572" spans="1:25" x14ac:dyDescent="0.25">
      <c r="A572">
        <v>576</v>
      </c>
      <c r="B572" t="s">
        <v>5272</v>
      </c>
      <c r="C572" t="s">
        <v>5032</v>
      </c>
      <c r="D572" t="s">
        <v>5033</v>
      </c>
      <c r="E572" t="s">
        <v>4265</v>
      </c>
      <c r="F572">
        <v>-1</v>
      </c>
      <c r="G572" t="s">
        <v>59</v>
      </c>
      <c r="H572" t="s">
        <v>59</v>
      </c>
      <c r="I572" t="s">
        <v>59</v>
      </c>
      <c r="J572" t="s">
        <v>59</v>
      </c>
      <c r="K572" t="s">
        <v>59</v>
      </c>
      <c r="L572" t="s">
        <v>59</v>
      </c>
      <c r="M572" t="s">
        <v>59</v>
      </c>
      <c r="N572" t="s">
        <v>59</v>
      </c>
      <c r="O572" t="s">
        <v>59</v>
      </c>
      <c r="P572" t="s">
        <v>59</v>
      </c>
      <c r="Q572" t="s">
        <v>59</v>
      </c>
      <c r="R572" t="s">
        <v>59</v>
      </c>
      <c r="S572" t="s">
        <v>59</v>
      </c>
      <c r="T572" t="s">
        <v>59</v>
      </c>
      <c r="U572" t="s">
        <v>59</v>
      </c>
      <c r="V572" t="s">
        <v>59</v>
      </c>
      <c r="W572" t="s">
        <v>59</v>
      </c>
      <c r="X572" t="s">
        <v>59</v>
      </c>
      <c r="Y572" t="s">
        <v>59</v>
      </c>
    </row>
    <row r="573" spans="1:25" x14ac:dyDescent="0.25">
      <c r="A573">
        <v>580</v>
      </c>
      <c r="B573" t="s">
        <v>5272</v>
      </c>
      <c r="C573" t="s">
        <v>5040</v>
      </c>
      <c r="D573" t="s">
        <v>5041</v>
      </c>
      <c r="E573" t="s">
        <v>4265</v>
      </c>
      <c r="F573">
        <v>-1</v>
      </c>
      <c r="G573" t="s">
        <v>59</v>
      </c>
      <c r="H573" t="s">
        <v>59</v>
      </c>
      <c r="I573" t="s">
        <v>59</v>
      </c>
      <c r="J573" t="s">
        <v>59</v>
      </c>
      <c r="K573" t="s">
        <v>59</v>
      </c>
      <c r="L573" t="s">
        <v>59</v>
      </c>
      <c r="M573" t="s">
        <v>59</v>
      </c>
      <c r="N573" t="s">
        <v>59</v>
      </c>
      <c r="O573" t="s">
        <v>59</v>
      </c>
      <c r="P573" t="s">
        <v>59</v>
      </c>
      <c r="Q573" t="s">
        <v>59</v>
      </c>
      <c r="R573" t="s">
        <v>59</v>
      </c>
      <c r="S573" t="s">
        <v>59</v>
      </c>
      <c r="T573" t="s">
        <v>59</v>
      </c>
      <c r="U573" t="s">
        <v>59</v>
      </c>
      <c r="V573" t="s">
        <v>59</v>
      </c>
      <c r="W573" t="s">
        <v>59</v>
      </c>
      <c r="X573" t="s">
        <v>59</v>
      </c>
      <c r="Y573" t="s">
        <v>59</v>
      </c>
    </row>
    <row r="574" spans="1:25" x14ac:dyDescent="0.25">
      <c r="A574">
        <v>259</v>
      </c>
      <c r="B574" t="s">
        <v>5272</v>
      </c>
      <c r="C574" t="s">
        <v>4491</v>
      </c>
      <c r="D574" t="s">
        <v>4492</v>
      </c>
      <c r="E574" t="s">
        <v>4265</v>
      </c>
      <c r="F574">
        <v>-1</v>
      </c>
      <c r="G574" t="s">
        <v>59</v>
      </c>
      <c r="H574" t="s">
        <v>59</v>
      </c>
      <c r="I574" t="s">
        <v>59</v>
      </c>
      <c r="J574" t="s">
        <v>59</v>
      </c>
      <c r="K574" t="s">
        <v>59</v>
      </c>
      <c r="L574" t="s">
        <v>59</v>
      </c>
      <c r="M574" t="s">
        <v>59</v>
      </c>
      <c r="N574" t="s">
        <v>59</v>
      </c>
      <c r="O574" t="s">
        <v>59</v>
      </c>
      <c r="P574" t="s">
        <v>59</v>
      </c>
      <c r="Q574" t="s">
        <v>59</v>
      </c>
      <c r="R574" t="s">
        <v>59</v>
      </c>
      <c r="S574" t="s">
        <v>59</v>
      </c>
      <c r="T574" t="s">
        <v>59</v>
      </c>
      <c r="U574" t="s">
        <v>59</v>
      </c>
      <c r="V574" t="s">
        <v>59</v>
      </c>
      <c r="W574" t="s">
        <v>59</v>
      </c>
      <c r="X574" t="s">
        <v>59</v>
      </c>
      <c r="Y574" t="s">
        <v>59</v>
      </c>
    </row>
    <row r="575" spans="1:25" x14ac:dyDescent="0.25">
      <c r="A575">
        <v>657</v>
      </c>
      <c r="B575" t="s">
        <v>5272</v>
      </c>
      <c r="C575" t="s">
        <v>5185</v>
      </c>
      <c r="D575" t="s">
        <v>5186</v>
      </c>
      <c r="E575" t="s">
        <v>4265</v>
      </c>
      <c r="F575">
        <v>-1</v>
      </c>
      <c r="G575" t="s">
        <v>59</v>
      </c>
      <c r="H575" t="s">
        <v>59</v>
      </c>
      <c r="I575" t="s">
        <v>59</v>
      </c>
      <c r="J575" t="s">
        <v>59</v>
      </c>
      <c r="K575" t="s">
        <v>59</v>
      </c>
      <c r="L575" t="s">
        <v>59</v>
      </c>
      <c r="M575" t="s">
        <v>59</v>
      </c>
      <c r="N575" t="s">
        <v>59</v>
      </c>
      <c r="O575" t="s">
        <v>59</v>
      </c>
      <c r="P575" t="s">
        <v>59</v>
      </c>
      <c r="Q575" t="s">
        <v>59</v>
      </c>
      <c r="R575" t="s">
        <v>59</v>
      </c>
      <c r="S575" t="s">
        <v>59</v>
      </c>
      <c r="T575" t="s">
        <v>59</v>
      </c>
      <c r="U575" t="s">
        <v>59</v>
      </c>
      <c r="V575" t="s">
        <v>59</v>
      </c>
      <c r="W575" t="s">
        <v>59</v>
      </c>
      <c r="X575" t="s">
        <v>59</v>
      </c>
      <c r="Y575" t="s">
        <v>59</v>
      </c>
    </row>
    <row r="576" spans="1:25" x14ac:dyDescent="0.25">
      <c r="A576">
        <v>230</v>
      </c>
      <c r="B576" t="s">
        <v>5272</v>
      </c>
      <c r="C576" t="s">
        <v>4435</v>
      </c>
      <c r="D576" t="s">
        <v>4436</v>
      </c>
      <c r="E576" t="s">
        <v>4265</v>
      </c>
      <c r="F576">
        <v>-1</v>
      </c>
      <c r="G576" t="s">
        <v>59</v>
      </c>
      <c r="H576" t="s">
        <v>59</v>
      </c>
      <c r="I576" t="s">
        <v>59</v>
      </c>
      <c r="J576" t="s">
        <v>59</v>
      </c>
      <c r="K576" t="s">
        <v>59</v>
      </c>
      <c r="L576" t="s">
        <v>59</v>
      </c>
      <c r="M576" t="s">
        <v>59</v>
      </c>
      <c r="N576" t="s">
        <v>59</v>
      </c>
      <c r="O576" t="s">
        <v>59</v>
      </c>
      <c r="P576" t="s">
        <v>59</v>
      </c>
      <c r="Q576" t="s">
        <v>59</v>
      </c>
      <c r="R576" t="s">
        <v>59</v>
      </c>
      <c r="S576" t="s">
        <v>59</v>
      </c>
      <c r="T576" t="s">
        <v>59</v>
      </c>
      <c r="U576" t="s">
        <v>59</v>
      </c>
      <c r="V576" t="s">
        <v>59</v>
      </c>
      <c r="W576" t="s">
        <v>59</v>
      </c>
      <c r="X576" t="s">
        <v>59</v>
      </c>
      <c r="Y576" t="s">
        <v>59</v>
      </c>
    </row>
    <row r="577" spans="1:25" x14ac:dyDescent="0.25">
      <c r="A577">
        <v>231</v>
      </c>
      <c r="B577" t="s">
        <v>5272</v>
      </c>
      <c r="C577" t="s">
        <v>4437</v>
      </c>
      <c r="D577" t="s">
        <v>4438</v>
      </c>
      <c r="E577" t="s">
        <v>4265</v>
      </c>
      <c r="F577">
        <v>-1</v>
      </c>
      <c r="G577" t="s">
        <v>59</v>
      </c>
      <c r="H577" t="s">
        <v>59</v>
      </c>
      <c r="I577" t="s">
        <v>59</v>
      </c>
      <c r="J577" t="s">
        <v>59</v>
      </c>
      <c r="K577" t="s">
        <v>59</v>
      </c>
      <c r="L577" t="s">
        <v>59</v>
      </c>
      <c r="M577" t="s">
        <v>59</v>
      </c>
      <c r="N577" t="s">
        <v>59</v>
      </c>
      <c r="O577" t="s">
        <v>59</v>
      </c>
      <c r="P577" t="s">
        <v>59</v>
      </c>
      <c r="Q577" t="s">
        <v>59</v>
      </c>
      <c r="R577" t="s">
        <v>59</v>
      </c>
      <c r="S577" t="s">
        <v>59</v>
      </c>
      <c r="T577" t="s">
        <v>59</v>
      </c>
      <c r="U577" t="s">
        <v>59</v>
      </c>
      <c r="V577" t="s">
        <v>59</v>
      </c>
      <c r="W577" t="s">
        <v>59</v>
      </c>
      <c r="X577" t="s">
        <v>59</v>
      </c>
      <c r="Y577" t="s">
        <v>59</v>
      </c>
    </row>
    <row r="578" spans="1:25" x14ac:dyDescent="0.25">
      <c r="A578">
        <v>568</v>
      </c>
      <c r="B578" t="s">
        <v>5272</v>
      </c>
      <c r="C578" t="s">
        <v>5016</v>
      </c>
      <c r="D578" t="s">
        <v>5017</v>
      </c>
      <c r="E578" t="s">
        <v>4265</v>
      </c>
      <c r="F578">
        <v>-1</v>
      </c>
      <c r="G578" t="s">
        <v>59</v>
      </c>
      <c r="H578" t="s">
        <v>59</v>
      </c>
      <c r="I578" t="s">
        <v>59</v>
      </c>
      <c r="J578" t="s">
        <v>59</v>
      </c>
      <c r="K578" t="s">
        <v>59</v>
      </c>
      <c r="L578" t="s">
        <v>59</v>
      </c>
      <c r="M578" t="s">
        <v>59</v>
      </c>
      <c r="N578" t="s">
        <v>59</v>
      </c>
      <c r="O578" t="s">
        <v>59</v>
      </c>
      <c r="P578" t="s">
        <v>59</v>
      </c>
      <c r="Q578" t="s">
        <v>59</v>
      </c>
      <c r="R578" t="s">
        <v>59</v>
      </c>
      <c r="S578" t="s">
        <v>59</v>
      </c>
      <c r="T578" t="s">
        <v>59</v>
      </c>
      <c r="U578" t="s">
        <v>59</v>
      </c>
      <c r="V578" t="s">
        <v>59</v>
      </c>
      <c r="W578" t="s">
        <v>59</v>
      </c>
      <c r="X578" t="s">
        <v>59</v>
      </c>
      <c r="Y578" t="s">
        <v>59</v>
      </c>
    </row>
    <row r="579" spans="1:25" x14ac:dyDescent="0.25">
      <c r="A579">
        <v>569</v>
      </c>
      <c r="B579" t="s">
        <v>5272</v>
      </c>
      <c r="C579" t="s">
        <v>5018</v>
      </c>
      <c r="D579" t="s">
        <v>5019</v>
      </c>
      <c r="E579" t="s">
        <v>4265</v>
      </c>
      <c r="F579">
        <v>-1</v>
      </c>
      <c r="G579" t="s">
        <v>59</v>
      </c>
      <c r="H579" t="s">
        <v>59</v>
      </c>
      <c r="I579" t="s">
        <v>59</v>
      </c>
      <c r="J579" t="s">
        <v>59</v>
      </c>
      <c r="K579" t="s">
        <v>59</v>
      </c>
      <c r="L579" t="s">
        <v>59</v>
      </c>
      <c r="M579" t="s">
        <v>59</v>
      </c>
      <c r="N579" t="s">
        <v>59</v>
      </c>
      <c r="O579" t="s">
        <v>59</v>
      </c>
      <c r="P579" t="s">
        <v>59</v>
      </c>
      <c r="Q579" t="s">
        <v>59</v>
      </c>
      <c r="R579" t="s">
        <v>59</v>
      </c>
      <c r="S579" t="s">
        <v>59</v>
      </c>
      <c r="T579" t="s">
        <v>59</v>
      </c>
      <c r="U579" t="s">
        <v>59</v>
      </c>
      <c r="V579" t="s">
        <v>59</v>
      </c>
      <c r="W579" t="s">
        <v>59</v>
      </c>
      <c r="X579" t="s">
        <v>59</v>
      </c>
      <c r="Y579" t="s">
        <v>59</v>
      </c>
    </row>
    <row r="580" spans="1:25" x14ac:dyDescent="0.25">
      <c r="A580">
        <v>255</v>
      </c>
      <c r="B580" t="s">
        <v>5272</v>
      </c>
      <c r="C580" t="s">
        <v>4483</v>
      </c>
      <c r="D580" t="s">
        <v>4484</v>
      </c>
      <c r="E580" t="s">
        <v>4265</v>
      </c>
      <c r="F580">
        <v>-1</v>
      </c>
      <c r="G580" t="s">
        <v>59</v>
      </c>
      <c r="H580" t="s">
        <v>59</v>
      </c>
      <c r="I580" t="s">
        <v>59</v>
      </c>
      <c r="J580" t="s">
        <v>59</v>
      </c>
      <c r="K580" t="s">
        <v>59</v>
      </c>
      <c r="L580" t="s">
        <v>59</v>
      </c>
      <c r="M580" t="s">
        <v>59</v>
      </c>
      <c r="N580" t="s">
        <v>59</v>
      </c>
      <c r="O580" t="s">
        <v>59</v>
      </c>
      <c r="P580" t="s">
        <v>59</v>
      </c>
      <c r="Q580" t="s">
        <v>59</v>
      </c>
      <c r="R580" t="s">
        <v>59</v>
      </c>
      <c r="S580" t="s">
        <v>59</v>
      </c>
      <c r="T580" t="s">
        <v>59</v>
      </c>
      <c r="U580" t="s">
        <v>59</v>
      </c>
      <c r="V580" t="s">
        <v>59</v>
      </c>
      <c r="W580" t="s">
        <v>59</v>
      </c>
      <c r="X580" t="s">
        <v>59</v>
      </c>
      <c r="Y580" t="s">
        <v>59</v>
      </c>
    </row>
    <row r="581" spans="1:25" x14ac:dyDescent="0.25">
      <c r="A581">
        <v>575</v>
      </c>
      <c r="B581" t="s">
        <v>5272</v>
      </c>
      <c r="C581" t="s">
        <v>5030</v>
      </c>
      <c r="D581" t="s">
        <v>5031</v>
      </c>
      <c r="E581" t="s">
        <v>4265</v>
      </c>
      <c r="F581">
        <v>-1</v>
      </c>
      <c r="G581" t="s">
        <v>59</v>
      </c>
      <c r="H581" t="s">
        <v>59</v>
      </c>
      <c r="I581" t="s">
        <v>59</v>
      </c>
      <c r="J581" t="s">
        <v>59</v>
      </c>
      <c r="K581" t="s">
        <v>59</v>
      </c>
      <c r="L581" t="s">
        <v>59</v>
      </c>
      <c r="M581" t="s">
        <v>59</v>
      </c>
      <c r="N581" t="s">
        <v>59</v>
      </c>
      <c r="O581" t="s">
        <v>59</v>
      </c>
      <c r="P581" t="s">
        <v>59</v>
      </c>
      <c r="Q581" t="s">
        <v>59</v>
      </c>
      <c r="R581" t="s">
        <v>59</v>
      </c>
      <c r="S581" t="s">
        <v>59</v>
      </c>
      <c r="T581" t="s">
        <v>59</v>
      </c>
      <c r="U581" t="s">
        <v>59</v>
      </c>
      <c r="V581" t="s">
        <v>59</v>
      </c>
      <c r="W581" t="s">
        <v>59</v>
      </c>
      <c r="X581" t="s">
        <v>59</v>
      </c>
      <c r="Y581" t="s">
        <v>59</v>
      </c>
    </row>
    <row r="582" spans="1:25" x14ac:dyDescent="0.25">
      <c r="A582">
        <v>574</v>
      </c>
      <c r="B582" t="s">
        <v>5272</v>
      </c>
      <c r="C582" t="s">
        <v>5028</v>
      </c>
      <c r="D582" t="s">
        <v>5029</v>
      </c>
      <c r="E582" t="s">
        <v>4265</v>
      </c>
      <c r="F582">
        <v>-1</v>
      </c>
      <c r="G582" t="s">
        <v>59</v>
      </c>
      <c r="H582" t="s">
        <v>59</v>
      </c>
      <c r="I582" t="s">
        <v>59</v>
      </c>
      <c r="J582" t="s">
        <v>59</v>
      </c>
      <c r="K582" t="s">
        <v>59</v>
      </c>
      <c r="L582" t="s">
        <v>59</v>
      </c>
      <c r="M582" t="s">
        <v>59</v>
      </c>
      <c r="N582" t="s">
        <v>59</v>
      </c>
      <c r="O582" t="s">
        <v>59</v>
      </c>
      <c r="P582" t="s">
        <v>59</v>
      </c>
      <c r="Q582" t="s">
        <v>59</v>
      </c>
      <c r="R582" t="s">
        <v>59</v>
      </c>
      <c r="S582" t="s">
        <v>59</v>
      </c>
      <c r="T582" t="s">
        <v>59</v>
      </c>
      <c r="U582" t="s">
        <v>59</v>
      </c>
      <c r="V582" t="s">
        <v>59</v>
      </c>
      <c r="W582" t="s">
        <v>59</v>
      </c>
      <c r="X582" t="s">
        <v>59</v>
      </c>
      <c r="Y582" t="s">
        <v>59</v>
      </c>
    </row>
    <row r="583" spans="1:25" x14ac:dyDescent="0.25">
      <c r="A583">
        <v>571</v>
      </c>
      <c r="B583" t="s">
        <v>5272</v>
      </c>
      <c r="C583" t="s">
        <v>5022</v>
      </c>
      <c r="D583" t="s">
        <v>5023</v>
      </c>
      <c r="E583" t="s">
        <v>4265</v>
      </c>
      <c r="F583">
        <v>-1</v>
      </c>
      <c r="G583" t="s">
        <v>59</v>
      </c>
      <c r="H583" t="s">
        <v>59</v>
      </c>
      <c r="I583" t="s">
        <v>59</v>
      </c>
      <c r="J583" t="s">
        <v>59</v>
      </c>
      <c r="K583" t="s">
        <v>59</v>
      </c>
      <c r="L583" t="s">
        <v>59</v>
      </c>
      <c r="M583" t="s">
        <v>59</v>
      </c>
      <c r="N583" t="s">
        <v>59</v>
      </c>
      <c r="O583" t="s">
        <v>59</v>
      </c>
      <c r="P583" t="s">
        <v>59</v>
      </c>
      <c r="Q583" t="s">
        <v>59</v>
      </c>
      <c r="R583" t="s">
        <v>59</v>
      </c>
      <c r="S583" t="s">
        <v>59</v>
      </c>
      <c r="T583" t="s">
        <v>59</v>
      </c>
      <c r="U583" t="s">
        <v>59</v>
      </c>
      <c r="V583" t="s">
        <v>59</v>
      </c>
      <c r="W583" t="s">
        <v>59</v>
      </c>
      <c r="X583" t="s">
        <v>59</v>
      </c>
      <c r="Y583" t="s">
        <v>59</v>
      </c>
    </row>
    <row r="584" spans="1:25" x14ac:dyDescent="0.25">
      <c r="A584">
        <v>279</v>
      </c>
      <c r="B584" t="s">
        <v>5272</v>
      </c>
      <c r="C584" t="s">
        <v>4530</v>
      </c>
      <c r="D584" t="s">
        <v>4531</v>
      </c>
      <c r="E584" t="s">
        <v>4265</v>
      </c>
      <c r="F584">
        <v>-1</v>
      </c>
      <c r="G584" t="s">
        <v>59</v>
      </c>
      <c r="H584" t="s">
        <v>59</v>
      </c>
      <c r="I584" t="s">
        <v>59</v>
      </c>
      <c r="J584" t="s">
        <v>59</v>
      </c>
      <c r="K584" t="s">
        <v>59</v>
      </c>
      <c r="L584" t="s">
        <v>59</v>
      </c>
      <c r="M584" t="s">
        <v>59</v>
      </c>
      <c r="N584" t="s">
        <v>59</v>
      </c>
      <c r="O584" t="s">
        <v>59</v>
      </c>
      <c r="P584" t="s">
        <v>59</v>
      </c>
      <c r="Q584" t="s">
        <v>59</v>
      </c>
      <c r="R584" t="s">
        <v>59</v>
      </c>
      <c r="S584" t="s">
        <v>59</v>
      </c>
      <c r="T584" t="s">
        <v>59</v>
      </c>
      <c r="U584" t="s">
        <v>59</v>
      </c>
      <c r="V584" t="s">
        <v>59</v>
      </c>
      <c r="W584" t="s">
        <v>59</v>
      </c>
      <c r="X584" t="s">
        <v>59</v>
      </c>
      <c r="Y584" t="s">
        <v>59</v>
      </c>
    </row>
    <row r="585" spans="1:25" x14ac:dyDescent="0.25">
      <c r="A585">
        <v>273</v>
      </c>
      <c r="B585" t="s">
        <v>5272</v>
      </c>
      <c r="C585" t="s">
        <v>4518</v>
      </c>
      <c r="D585" t="s">
        <v>4519</v>
      </c>
      <c r="E585" t="s">
        <v>4265</v>
      </c>
      <c r="F585">
        <v>-1</v>
      </c>
      <c r="G585" t="s">
        <v>59</v>
      </c>
      <c r="H585" t="s">
        <v>59</v>
      </c>
      <c r="I585" t="s">
        <v>59</v>
      </c>
      <c r="J585" t="s">
        <v>59</v>
      </c>
      <c r="K585" t="s">
        <v>59</v>
      </c>
      <c r="L585" t="s">
        <v>59</v>
      </c>
      <c r="M585" t="s">
        <v>59</v>
      </c>
      <c r="N585" t="s">
        <v>59</v>
      </c>
      <c r="O585" t="s">
        <v>59</v>
      </c>
      <c r="P585" t="s">
        <v>59</v>
      </c>
      <c r="Q585" t="s">
        <v>59</v>
      </c>
      <c r="R585" t="s">
        <v>59</v>
      </c>
      <c r="S585" t="s">
        <v>59</v>
      </c>
      <c r="T585" t="s">
        <v>59</v>
      </c>
      <c r="U585" t="s">
        <v>59</v>
      </c>
      <c r="V585" t="s">
        <v>59</v>
      </c>
      <c r="W585" t="s">
        <v>59</v>
      </c>
      <c r="X585" t="s">
        <v>59</v>
      </c>
      <c r="Y585" t="s">
        <v>59</v>
      </c>
    </row>
    <row r="586" spans="1:25" x14ac:dyDescent="0.25">
      <c r="A586">
        <v>570</v>
      </c>
      <c r="B586" t="s">
        <v>5272</v>
      </c>
      <c r="C586" t="s">
        <v>5020</v>
      </c>
      <c r="D586" t="s">
        <v>5021</v>
      </c>
      <c r="E586" t="s">
        <v>4265</v>
      </c>
      <c r="F586">
        <v>-1</v>
      </c>
      <c r="G586" t="s">
        <v>59</v>
      </c>
      <c r="H586" t="s">
        <v>59</v>
      </c>
      <c r="I586" t="s">
        <v>59</v>
      </c>
      <c r="J586" t="s">
        <v>59</v>
      </c>
      <c r="K586" t="s">
        <v>59</v>
      </c>
      <c r="L586" t="s">
        <v>59</v>
      </c>
      <c r="M586" t="s">
        <v>59</v>
      </c>
      <c r="N586" t="s">
        <v>59</v>
      </c>
      <c r="O586" t="s">
        <v>59</v>
      </c>
      <c r="P586" t="s">
        <v>59</v>
      </c>
      <c r="Q586" t="s">
        <v>59</v>
      </c>
      <c r="R586" t="s">
        <v>59</v>
      </c>
      <c r="S586" t="s">
        <v>59</v>
      </c>
      <c r="T586" t="s">
        <v>59</v>
      </c>
      <c r="U586" t="s">
        <v>59</v>
      </c>
      <c r="V586" t="s">
        <v>59</v>
      </c>
      <c r="W586" t="s">
        <v>59</v>
      </c>
      <c r="X586" t="s">
        <v>59</v>
      </c>
      <c r="Y586" t="s">
        <v>59</v>
      </c>
    </row>
    <row r="587" spans="1:25" x14ac:dyDescent="0.25">
      <c r="A587">
        <v>573</v>
      </c>
      <c r="B587" t="s">
        <v>5272</v>
      </c>
      <c r="C587" t="s">
        <v>5026</v>
      </c>
      <c r="D587" t="s">
        <v>5027</v>
      </c>
      <c r="E587" t="s">
        <v>4265</v>
      </c>
      <c r="F587">
        <v>-1</v>
      </c>
      <c r="G587" t="s">
        <v>59</v>
      </c>
      <c r="H587" t="s">
        <v>59</v>
      </c>
      <c r="I587" t="s">
        <v>59</v>
      </c>
      <c r="J587" t="s">
        <v>59</v>
      </c>
      <c r="K587" t="s">
        <v>59</v>
      </c>
      <c r="L587" t="s">
        <v>59</v>
      </c>
      <c r="M587" t="s">
        <v>59</v>
      </c>
      <c r="N587" t="s">
        <v>59</v>
      </c>
      <c r="O587" t="s">
        <v>59</v>
      </c>
      <c r="P587" t="s">
        <v>59</v>
      </c>
      <c r="Q587" t="s">
        <v>59</v>
      </c>
      <c r="R587" t="s">
        <v>59</v>
      </c>
      <c r="S587" t="s">
        <v>59</v>
      </c>
      <c r="T587" t="s">
        <v>59</v>
      </c>
      <c r="U587" t="s">
        <v>59</v>
      </c>
      <c r="V587" t="s">
        <v>59</v>
      </c>
      <c r="W587" t="s">
        <v>59</v>
      </c>
      <c r="X587" t="s">
        <v>59</v>
      </c>
      <c r="Y587" t="s">
        <v>59</v>
      </c>
    </row>
    <row r="588" spans="1:25" x14ac:dyDescent="0.25">
      <c r="A588">
        <v>679</v>
      </c>
      <c r="B588" t="s">
        <v>5272</v>
      </c>
      <c r="C588" t="s">
        <v>5229</v>
      </c>
      <c r="D588" t="s">
        <v>5230</v>
      </c>
      <c r="E588" t="s">
        <v>4265</v>
      </c>
      <c r="F588">
        <v>-1</v>
      </c>
      <c r="G588" t="s">
        <v>59</v>
      </c>
      <c r="H588" t="s">
        <v>59</v>
      </c>
      <c r="I588" t="s">
        <v>59</v>
      </c>
      <c r="J588" t="s">
        <v>59</v>
      </c>
      <c r="K588" t="s">
        <v>59</v>
      </c>
      <c r="L588" t="s">
        <v>59</v>
      </c>
      <c r="M588" t="s">
        <v>59</v>
      </c>
      <c r="N588" t="s">
        <v>59</v>
      </c>
      <c r="O588" t="s">
        <v>59</v>
      </c>
      <c r="P588" t="s">
        <v>59</v>
      </c>
      <c r="Q588" t="s">
        <v>59</v>
      </c>
      <c r="R588" t="s">
        <v>59</v>
      </c>
      <c r="S588" t="s">
        <v>59</v>
      </c>
      <c r="T588" t="s">
        <v>59</v>
      </c>
      <c r="U588" t="s">
        <v>59</v>
      </c>
      <c r="V588" t="s">
        <v>59</v>
      </c>
      <c r="W588" t="s">
        <v>59</v>
      </c>
      <c r="X588" t="s">
        <v>59</v>
      </c>
      <c r="Y588" t="s">
        <v>59</v>
      </c>
    </row>
    <row r="589" spans="1:25" x14ac:dyDescent="0.25">
      <c r="A589">
        <v>680</v>
      </c>
      <c r="B589" t="s">
        <v>5272</v>
      </c>
      <c r="C589" t="s">
        <v>5231</v>
      </c>
      <c r="D589" t="s">
        <v>5232</v>
      </c>
      <c r="E589" t="s">
        <v>4265</v>
      </c>
      <c r="F589">
        <v>-1</v>
      </c>
      <c r="G589" t="s">
        <v>59</v>
      </c>
      <c r="H589" t="s">
        <v>59</v>
      </c>
      <c r="I589" t="s">
        <v>59</v>
      </c>
      <c r="J589" t="s">
        <v>59</v>
      </c>
      <c r="K589" t="s">
        <v>59</v>
      </c>
      <c r="L589" t="s">
        <v>59</v>
      </c>
      <c r="M589" t="s">
        <v>59</v>
      </c>
      <c r="N589" t="s">
        <v>59</v>
      </c>
      <c r="O589" t="s">
        <v>59</v>
      </c>
      <c r="P589" t="s">
        <v>59</v>
      </c>
      <c r="Q589" t="s">
        <v>59</v>
      </c>
      <c r="R589" t="s">
        <v>59</v>
      </c>
      <c r="S589" t="s">
        <v>59</v>
      </c>
      <c r="T589" t="s">
        <v>59</v>
      </c>
      <c r="U589" t="s">
        <v>59</v>
      </c>
      <c r="V589" t="s">
        <v>59</v>
      </c>
      <c r="W589" t="s">
        <v>59</v>
      </c>
      <c r="X589" t="s">
        <v>59</v>
      </c>
      <c r="Y589" t="s">
        <v>59</v>
      </c>
    </row>
    <row r="590" spans="1:25" x14ac:dyDescent="0.25">
      <c r="A590">
        <v>663</v>
      </c>
      <c r="B590" t="s">
        <v>5272</v>
      </c>
      <c r="C590" t="s">
        <v>5197</v>
      </c>
      <c r="D590" t="s">
        <v>5198</v>
      </c>
      <c r="E590" t="s">
        <v>4265</v>
      </c>
      <c r="F590">
        <v>-1</v>
      </c>
      <c r="G590" t="s">
        <v>59</v>
      </c>
      <c r="H590" t="s">
        <v>59</v>
      </c>
      <c r="I590" t="s">
        <v>59</v>
      </c>
      <c r="J590" t="s">
        <v>59</v>
      </c>
      <c r="K590" t="s">
        <v>59</v>
      </c>
      <c r="L590" t="s">
        <v>59</v>
      </c>
      <c r="M590" t="s">
        <v>59</v>
      </c>
      <c r="N590" t="s">
        <v>59</v>
      </c>
      <c r="O590" t="s">
        <v>59</v>
      </c>
      <c r="P590" t="s">
        <v>59</v>
      </c>
      <c r="Q590" t="s">
        <v>59</v>
      </c>
      <c r="R590" t="s">
        <v>59</v>
      </c>
      <c r="S590" t="s">
        <v>59</v>
      </c>
      <c r="T590" t="s">
        <v>59</v>
      </c>
      <c r="U590" t="s">
        <v>59</v>
      </c>
      <c r="V590" t="s">
        <v>59</v>
      </c>
      <c r="W590" t="s">
        <v>59</v>
      </c>
      <c r="X590" t="s">
        <v>59</v>
      </c>
      <c r="Y590" t="s">
        <v>59</v>
      </c>
    </row>
    <row r="591" spans="1:25" x14ac:dyDescent="0.25">
      <c r="A591">
        <v>635</v>
      </c>
      <c r="B591" t="s">
        <v>5272</v>
      </c>
      <c r="C591" t="s">
        <v>5140</v>
      </c>
      <c r="D591" t="s">
        <v>5141</v>
      </c>
      <c r="E591" t="s">
        <v>4265</v>
      </c>
      <c r="F591">
        <v>-1</v>
      </c>
      <c r="G591" t="s">
        <v>59</v>
      </c>
      <c r="H591" t="s">
        <v>59</v>
      </c>
      <c r="I591" t="s">
        <v>59</v>
      </c>
      <c r="J591" t="s">
        <v>59</v>
      </c>
      <c r="K591" t="s">
        <v>59</v>
      </c>
      <c r="L591" t="s">
        <v>59</v>
      </c>
      <c r="M591" t="s">
        <v>59</v>
      </c>
      <c r="N591" t="s">
        <v>59</v>
      </c>
      <c r="O591" t="s">
        <v>59</v>
      </c>
      <c r="P591" t="s">
        <v>59</v>
      </c>
      <c r="Q591" t="s">
        <v>59</v>
      </c>
      <c r="R591" t="s">
        <v>59</v>
      </c>
      <c r="S591" t="s">
        <v>59</v>
      </c>
      <c r="T591" t="s">
        <v>59</v>
      </c>
      <c r="U591" t="s">
        <v>59</v>
      </c>
      <c r="V591" t="s">
        <v>59</v>
      </c>
      <c r="W591" t="s">
        <v>59</v>
      </c>
      <c r="X591" t="s">
        <v>59</v>
      </c>
      <c r="Y591" t="s">
        <v>59</v>
      </c>
    </row>
    <row r="592" spans="1:25" x14ac:dyDescent="0.25">
      <c r="A592">
        <v>677</v>
      </c>
      <c r="B592" t="s">
        <v>5272</v>
      </c>
      <c r="C592" t="s">
        <v>5225</v>
      </c>
      <c r="D592" t="s">
        <v>5226</v>
      </c>
      <c r="E592" t="s">
        <v>4265</v>
      </c>
      <c r="F592">
        <v>-1</v>
      </c>
      <c r="G592" t="s">
        <v>59</v>
      </c>
      <c r="H592" t="s">
        <v>59</v>
      </c>
      <c r="I592" t="s">
        <v>59</v>
      </c>
      <c r="J592" t="s">
        <v>59</v>
      </c>
      <c r="K592" t="s">
        <v>59</v>
      </c>
      <c r="L592" t="s">
        <v>59</v>
      </c>
      <c r="M592" t="s">
        <v>59</v>
      </c>
      <c r="N592" t="s">
        <v>59</v>
      </c>
      <c r="O592" t="s">
        <v>59</v>
      </c>
      <c r="P592" t="s">
        <v>59</v>
      </c>
      <c r="Q592" t="s">
        <v>59</v>
      </c>
      <c r="R592" t="s">
        <v>59</v>
      </c>
      <c r="S592" t="s">
        <v>59</v>
      </c>
      <c r="T592" t="s">
        <v>59</v>
      </c>
      <c r="U592" t="s">
        <v>59</v>
      </c>
      <c r="V592" t="s">
        <v>59</v>
      </c>
      <c r="W592" t="s">
        <v>59</v>
      </c>
      <c r="X592" t="s">
        <v>59</v>
      </c>
      <c r="Y592" t="s">
        <v>59</v>
      </c>
    </row>
    <row r="593" spans="1:25" x14ac:dyDescent="0.25">
      <c r="A593">
        <v>645</v>
      </c>
      <c r="B593" t="s">
        <v>5272</v>
      </c>
      <c r="C593" t="s">
        <v>5161</v>
      </c>
      <c r="D593" t="s">
        <v>5162</v>
      </c>
      <c r="E593" t="s">
        <v>4265</v>
      </c>
      <c r="F593">
        <v>-1</v>
      </c>
      <c r="G593" t="s">
        <v>59</v>
      </c>
      <c r="H593" t="s">
        <v>59</v>
      </c>
      <c r="I593" t="s">
        <v>59</v>
      </c>
      <c r="J593" t="s">
        <v>59</v>
      </c>
      <c r="K593" t="s">
        <v>59</v>
      </c>
      <c r="L593" t="s">
        <v>59</v>
      </c>
      <c r="M593" t="s">
        <v>59</v>
      </c>
      <c r="N593" t="s">
        <v>59</v>
      </c>
      <c r="O593" t="s">
        <v>59</v>
      </c>
      <c r="P593" t="s">
        <v>59</v>
      </c>
      <c r="Q593" t="s">
        <v>59</v>
      </c>
      <c r="R593" t="s">
        <v>59</v>
      </c>
      <c r="S593" t="s">
        <v>59</v>
      </c>
      <c r="T593" t="s">
        <v>59</v>
      </c>
      <c r="U593" t="s">
        <v>59</v>
      </c>
      <c r="V593" t="s">
        <v>59</v>
      </c>
      <c r="W593" t="s">
        <v>59</v>
      </c>
      <c r="X593" t="s">
        <v>59</v>
      </c>
      <c r="Y593" t="s">
        <v>59</v>
      </c>
    </row>
    <row r="594" spans="1:25" x14ac:dyDescent="0.25">
      <c r="A594">
        <v>639</v>
      </c>
      <c r="B594" t="s">
        <v>5272</v>
      </c>
      <c r="C594" t="s">
        <v>5149</v>
      </c>
      <c r="D594" t="s">
        <v>5150</v>
      </c>
      <c r="E594" t="s">
        <v>4265</v>
      </c>
      <c r="F594">
        <v>-1</v>
      </c>
      <c r="G594" t="s">
        <v>59</v>
      </c>
      <c r="H594" t="s">
        <v>59</v>
      </c>
      <c r="I594" t="s">
        <v>59</v>
      </c>
      <c r="J594" t="s">
        <v>59</v>
      </c>
      <c r="K594" t="s">
        <v>59</v>
      </c>
      <c r="L594" t="s">
        <v>59</v>
      </c>
      <c r="M594" t="s">
        <v>59</v>
      </c>
      <c r="N594" t="s">
        <v>59</v>
      </c>
      <c r="O594" t="s">
        <v>59</v>
      </c>
      <c r="P594" t="s">
        <v>59</v>
      </c>
      <c r="Q594" t="s">
        <v>59</v>
      </c>
      <c r="R594" t="s">
        <v>59</v>
      </c>
      <c r="S594" t="s">
        <v>59</v>
      </c>
      <c r="T594" t="s">
        <v>59</v>
      </c>
      <c r="U594" t="s">
        <v>59</v>
      </c>
      <c r="V594" t="s">
        <v>59</v>
      </c>
      <c r="W594" t="s">
        <v>59</v>
      </c>
      <c r="X594" t="s">
        <v>59</v>
      </c>
      <c r="Y594" t="s">
        <v>59</v>
      </c>
    </row>
    <row r="595" spans="1:25" x14ac:dyDescent="0.25">
      <c r="A595">
        <v>687</v>
      </c>
      <c r="B595" t="s">
        <v>5272</v>
      </c>
      <c r="C595" t="s">
        <v>5245</v>
      </c>
      <c r="D595" t="s">
        <v>5246</v>
      </c>
      <c r="E595" t="s">
        <v>4265</v>
      </c>
      <c r="F595">
        <v>-1</v>
      </c>
      <c r="G595" t="s">
        <v>59</v>
      </c>
      <c r="H595" t="s">
        <v>59</v>
      </c>
      <c r="I595" t="s">
        <v>59</v>
      </c>
      <c r="J595" t="s">
        <v>59</v>
      </c>
      <c r="K595" t="s">
        <v>59</v>
      </c>
      <c r="L595" t="s">
        <v>59</v>
      </c>
      <c r="M595" t="s">
        <v>59</v>
      </c>
      <c r="N595" t="s">
        <v>59</v>
      </c>
      <c r="O595" t="s">
        <v>59</v>
      </c>
      <c r="P595" t="s">
        <v>59</v>
      </c>
      <c r="Q595" t="s">
        <v>59</v>
      </c>
      <c r="R595" t="s">
        <v>59</v>
      </c>
      <c r="S595" t="s">
        <v>59</v>
      </c>
      <c r="T595" t="s">
        <v>59</v>
      </c>
      <c r="U595" t="s">
        <v>59</v>
      </c>
      <c r="V595" t="s">
        <v>59</v>
      </c>
      <c r="W595" t="s">
        <v>59</v>
      </c>
      <c r="X595" t="s">
        <v>59</v>
      </c>
      <c r="Y595" t="s">
        <v>59</v>
      </c>
    </row>
    <row r="596" spans="1:25" x14ac:dyDescent="0.25">
      <c r="A596">
        <v>659</v>
      </c>
      <c r="B596" t="s">
        <v>5272</v>
      </c>
      <c r="C596" t="s">
        <v>5189</v>
      </c>
      <c r="D596" t="s">
        <v>5190</v>
      </c>
      <c r="E596" t="s">
        <v>4265</v>
      </c>
      <c r="F596">
        <v>-1</v>
      </c>
      <c r="G596" t="s">
        <v>59</v>
      </c>
      <c r="H596" t="s">
        <v>59</v>
      </c>
      <c r="I596" t="s">
        <v>59</v>
      </c>
      <c r="J596" t="s">
        <v>59</v>
      </c>
      <c r="K596" t="s">
        <v>59</v>
      </c>
      <c r="L596" t="s">
        <v>59</v>
      </c>
      <c r="M596" t="s">
        <v>59</v>
      </c>
      <c r="N596" t="s">
        <v>59</v>
      </c>
      <c r="O596" t="s">
        <v>59</v>
      </c>
      <c r="P596" t="s">
        <v>59</v>
      </c>
      <c r="Q596" t="s">
        <v>59</v>
      </c>
      <c r="R596" t="s">
        <v>59</v>
      </c>
      <c r="S596" t="s">
        <v>59</v>
      </c>
      <c r="T596" t="s">
        <v>59</v>
      </c>
      <c r="U596" t="s">
        <v>59</v>
      </c>
      <c r="V596" t="s">
        <v>59</v>
      </c>
      <c r="W596" t="s">
        <v>59</v>
      </c>
      <c r="X596" t="s">
        <v>59</v>
      </c>
      <c r="Y596" t="s">
        <v>59</v>
      </c>
    </row>
    <row r="597" spans="1:25" x14ac:dyDescent="0.25">
      <c r="A597">
        <v>661</v>
      </c>
      <c r="B597" t="s">
        <v>5272</v>
      </c>
      <c r="C597" t="s">
        <v>5193</v>
      </c>
      <c r="D597" t="s">
        <v>5194</v>
      </c>
      <c r="E597" t="s">
        <v>4265</v>
      </c>
      <c r="F597">
        <v>-1</v>
      </c>
      <c r="G597" t="s">
        <v>59</v>
      </c>
      <c r="H597" t="s">
        <v>59</v>
      </c>
      <c r="I597" t="s">
        <v>59</v>
      </c>
      <c r="J597" t="s">
        <v>59</v>
      </c>
      <c r="K597" t="s">
        <v>59</v>
      </c>
      <c r="L597" t="s">
        <v>59</v>
      </c>
      <c r="M597" t="s">
        <v>59</v>
      </c>
      <c r="N597" t="s">
        <v>59</v>
      </c>
      <c r="O597" t="s">
        <v>59</v>
      </c>
      <c r="P597" t="s">
        <v>59</v>
      </c>
      <c r="Q597" t="s">
        <v>59</v>
      </c>
      <c r="R597" t="s">
        <v>59</v>
      </c>
      <c r="S597" t="s">
        <v>59</v>
      </c>
      <c r="T597" t="s">
        <v>59</v>
      </c>
      <c r="U597" t="s">
        <v>59</v>
      </c>
      <c r="V597" t="s">
        <v>59</v>
      </c>
      <c r="W597" t="s">
        <v>59</v>
      </c>
      <c r="X597" t="s">
        <v>59</v>
      </c>
      <c r="Y597" t="s">
        <v>59</v>
      </c>
    </row>
    <row r="598" spans="1:25" x14ac:dyDescent="0.25">
      <c r="A598">
        <v>271</v>
      </c>
      <c r="B598" t="s">
        <v>5272</v>
      </c>
      <c r="C598" t="s">
        <v>4514</v>
      </c>
      <c r="D598" t="s">
        <v>4515</v>
      </c>
      <c r="E598" t="s">
        <v>4265</v>
      </c>
      <c r="F598">
        <v>-1</v>
      </c>
      <c r="G598" t="s">
        <v>59</v>
      </c>
      <c r="H598" t="s">
        <v>59</v>
      </c>
      <c r="I598" t="s">
        <v>59</v>
      </c>
      <c r="J598" t="s">
        <v>59</v>
      </c>
      <c r="K598" t="s">
        <v>59</v>
      </c>
      <c r="L598" t="s">
        <v>59</v>
      </c>
      <c r="M598" t="s">
        <v>59</v>
      </c>
      <c r="N598" t="s">
        <v>59</v>
      </c>
      <c r="O598" t="s">
        <v>59</v>
      </c>
      <c r="P598" t="s">
        <v>59</v>
      </c>
      <c r="Q598" t="s">
        <v>59</v>
      </c>
      <c r="R598" t="s">
        <v>59</v>
      </c>
      <c r="S598" t="s">
        <v>59</v>
      </c>
      <c r="T598" t="s">
        <v>59</v>
      </c>
      <c r="U598" t="s">
        <v>59</v>
      </c>
      <c r="V598" t="s">
        <v>59</v>
      </c>
      <c r="W598" t="s">
        <v>59</v>
      </c>
      <c r="X598" t="s">
        <v>59</v>
      </c>
      <c r="Y598" t="s">
        <v>59</v>
      </c>
    </row>
    <row r="599" spans="1:25" x14ac:dyDescent="0.25">
      <c r="A599">
        <v>671</v>
      </c>
      <c r="B599" t="s">
        <v>5272</v>
      </c>
      <c r="C599" t="s">
        <v>5213</v>
      </c>
      <c r="D599" t="s">
        <v>5214</v>
      </c>
      <c r="E599" t="s">
        <v>4265</v>
      </c>
      <c r="F599">
        <v>-1</v>
      </c>
      <c r="G599" t="s">
        <v>59</v>
      </c>
      <c r="H599" t="s">
        <v>59</v>
      </c>
      <c r="I599" t="s">
        <v>59</v>
      </c>
      <c r="J599" t="s">
        <v>59</v>
      </c>
      <c r="K599" t="s">
        <v>59</v>
      </c>
      <c r="L599" t="s">
        <v>59</v>
      </c>
      <c r="M599" t="s">
        <v>59</v>
      </c>
      <c r="N599" t="s">
        <v>59</v>
      </c>
      <c r="O599" t="s">
        <v>59</v>
      </c>
      <c r="P599" t="s">
        <v>59</v>
      </c>
      <c r="Q599" t="s">
        <v>59</v>
      </c>
      <c r="R599" t="s">
        <v>59</v>
      </c>
      <c r="S599" t="s">
        <v>59</v>
      </c>
      <c r="T599" t="s">
        <v>59</v>
      </c>
      <c r="U599" t="s">
        <v>59</v>
      </c>
      <c r="V599" t="s">
        <v>59</v>
      </c>
      <c r="W599" t="s">
        <v>59</v>
      </c>
      <c r="X599" t="s">
        <v>59</v>
      </c>
      <c r="Y599" t="s">
        <v>59</v>
      </c>
    </row>
    <row r="600" spans="1:25" x14ac:dyDescent="0.25">
      <c r="A600">
        <v>675</v>
      </c>
      <c r="B600" t="s">
        <v>5272</v>
      </c>
      <c r="C600" t="s">
        <v>5221</v>
      </c>
      <c r="D600" t="s">
        <v>5222</v>
      </c>
      <c r="E600" t="s">
        <v>4265</v>
      </c>
      <c r="F600">
        <v>-1</v>
      </c>
      <c r="G600" t="s">
        <v>59</v>
      </c>
      <c r="H600" t="s">
        <v>59</v>
      </c>
      <c r="I600" t="s">
        <v>59</v>
      </c>
      <c r="J600" t="s">
        <v>59</v>
      </c>
      <c r="K600" t="s">
        <v>59</v>
      </c>
      <c r="L600" t="s">
        <v>59</v>
      </c>
      <c r="M600" t="s">
        <v>59</v>
      </c>
      <c r="N600" t="s">
        <v>59</v>
      </c>
      <c r="O600" t="s">
        <v>59</v>
      </c>
      <c r="P600" t="s">
        <v>59</v>
      </c>
      <c r="Q600" t="s">
        <v>59</v>
      </c>
      <c r="R600" t="s">
        <v>59</v>
      </c>
      <c r="S600" t="s">
        <v>59</v>
      </c>
      <c r="T600" t="s">
        <v>59</v>
      </c>
      <c r="U600" t="s">
        <v>59</v>
      </c>
      <c r="V600" t="s">
        <v>59</v>
      </c>
      <c r="W600" t="s">
        <v>59</v>
      </c>
      <c r="X600" t="s">
        <v>59</v>
      </c>
      <c r="Y600" t="s">
        <v>59</v>
      </c>
    </row>
    <row r="601" spans="1:25" x14ac:dyDescent="0.25">
      <c r="A601">
        <v>642</v>
      </c>
      <c r="B601" t="s">
        <v>5272</v>
      </c>
      <c r="C601" t="s">
        <v>5155</v>
      </c>
      <c r="D601" t="s">
        <v>5156</v>
      </c>
      <c r="E601" t="s">
        <v>4265</v>
      </c>
      <c r="F601">
        <v>-1</v>
      </c>
      <c r="G601" t="s">
        <v>59</v>
      </c>
      <c r="H601" t="s">
        <v>59</v>
      </c>
      <c r="I601" t="s">
        <v>59</v>
      </c>
      <c r="J601" t="s">
        <v>59</v>
      </c>
      <c r="K601" t="s">
        <v>59</v>
      </c>
      <c r="L601" t="s">
        <v>59</v>
      </c>
      <c r="M601" t="s">
        <v>59</v>
      </c>
      <c r="N601" t="s">
        <v>59</v>
      </c>
      <c r="O601" t="s">
        <v>59</v>
      </c>
      <c r="P601" t="s">
        <v>59</v>
      </c>
      <c r="Q601" t="s">
        <v>59</v>
      </c>
      <c r="R601" t="s">
        <v>59</v>
      </c>
      <c r="S601" t="s">
        <v>59</v>
      </c>
      <c r="T601" t="s">
        <v>59</v>
      </c>
      <c r="U601" t="s">
        <v>59</v>
      </c>
      <c r="V601" t="s">
        <v>59</v>
      </c>
      <c r="W601" t="s">
        <v>59</v>
      </c>
      <c r="X601" t="s">
        <v>59</v>
      </c>
      <c r="Y601" t="s">
        <v>59</v>
      </c>
    </row>
    <row r="602" spans="1:25" x14ac:dyDescent="0.25">
      <c r="A602">
        <v>644</v>
      </c>
      <c r="B602" t="s">
        <v>5272</v>
      </c>
      <c r="C602" t="s">
        <v>5159</v>
      </c>
      <c r="D602" t="s">
        <v>5160</v>
      </c>
      <c r="E602" t="s">
        <v>4265</v>
      </c>
      <c r="F602">
        <v>-1</v>
      </c>
      <c r="G602" t="s">
        <v>59</v>
      </c>
      <c r="H602" t="s">
        <v>59</v>
      </c>
      <c r="I602" t="s">
        <v>59</v>
      </c>
      <c r="J602" t="s">
        <v>59</v>
      </c>
      <c r="K602" t="s">
        <v>59</v>
      </c>
      <c r="L602" t="s">
        <v>59</v>
      </c>
      <c r="M602" t="s">
        <v>59</v>
      </c>
      <c r="N602" t="s">
        <v>59</v>
      </c>
      <c r="O602" t="s">
        <v>59</v>
      </c>
      <c r="P602" t="s">
        <v>59</v>
      </c>
      <c r="Q602" t="s">
        <v>59</v>
      </c>
      <c r="R602" t="s">
        <v>59</v>
      </c>
      <c r="S602" t="s">
        <v>59</v>
      </c>
      <c r="T602" t="s">
        <v>59</v>
      </c>
      <c r="U602" t="s">
        <v>59</v>
      </c>
      <c r="V602" t="s">
        <v>59</v>
      </c>
      <c r="W602" t="s">
        <v>59</v>
      </c>
      <c r="X602" t="s">
        <v>59</v>
      </c>
      <c r="Y602" t="s">
        <v>59</v>
      </c>
    </row>
    <row r="603" spans="1:25" x14ac:dyDescent="0.25">
      <c r="A603">
        <v>245</v>
      </c>
      <c r="B603" t="s">
        <v>5272</v>
      </c>
      <c r="C603" t="s">
        <v>4465</v>
      </c>
      <c r="D603" t="s">
        <v>4466</v>
      </c>
      <c r="E603" t="s">
        <v>4265</v>
      </c>
      <c r="F603">
        <v>-1</v>
      </c>
      <c r="G603" t="s">
        <v>59</v>
      </c>
      <c r="H603" t="s">
        <v>59</v>
      </c>
      <c r="I603" t="s">
        <v>59</v>
      </c>
      <c r="J603" t="s">
        <v>59</v>
      </c>
      <c r="K603" t="s">
        <v>59</v>
      </c>
      <c r="L603" t="s">
        <v>59</v>
      </c>
      <c r="M603" t="s">
        <v>59</v>
      </c>
      <c r="N603" t="s">
        <v>59</v>
      </c>
      <c r="O603" t="s">
        <v>59</v>
      </c>
      <c r="P603" t="s">
        <v>59</v>
      </c>
      <c r="Q603" t="s">
        <v>59</v>
      </c>
      <c r="R603" t="s">
        <v>59</v>
      </c>
      <c r="S603" t="s">
        <v>59</v>
      </c>
      <c r="T603" t="s">
        <v>59</v>
      </c>
      <c r="U603" t="s">
        <v>59</v>
      </c>
      <c r="V603" t="s">
        <v>59</v>
      </c>
      <c r="W603" t="s">
        <v>59</v>
      </c>
      <c r="X603" t="s">
        <v>59</v>
      </c>
      <c r="Y603" t="s">
        <v>59</v>
      </c>
    </row>
    <row r="604" spans="1:25" x14ac:dyDescent="0.25">
      <c r="A604">
        <v>243</v>
      </c>
      <c r="B604" t="s">
        <v>5272</v>
      </c>
      <c r="C604" t="s">
        <v>4461</v>
      </c>
      <c r="D604" t="s">
        <v>4462</v>
      </c>
      <c r="E604" t="s">
        <v>4265</v>
      </c>
      <c r="F604">
        <v>-1</v>
      </c>
      <c r="G604" t="s">
        <v>59</v>
      </c>
      <c r="H604" t="s">
        <v>59</v>
      </c>
      <c r="I604" t="s">
        <v>59</v>
      </c>
      <c r="J604" t="s">
        <v>59</v>
      </c>
      <c r="K604" t="s">
        <v>59</v>
      </c>
      <c r="L604" t="s">
        <v>59</v>
      </c>
      <c r="M604" t="s">
        <v>59</v>
      </c>
      <c r="N604" t="s">
        <v>59</v>
      </c>
      <c r="O604" t="s">
        <v>59</v>
      </c>
      <c r="P604" t="s">
        <v>59</v>
      </c>
      <c r="Q604" t="s">
        <v>59</v>
      </c>
      <c r="R604" t="s">
        <v>59</v>
      </c>
      <c r="S604" t="s">
        <v>59</v>
      </c>
      <c r="T604" t="s">
        <v>59</v>
      </c>
      <c r="U604" t="s">
        <v>59</v>
      </c>
      <c r="V604" t="s">
        <v>59</v>
      </c>
      <c r="W604" t="s">
        <v>59</v>
      </c>
      <c r="X604" t="s">
        <v>59</v>
      </c>
      <c r="Y604" t="s">
        <v>59</v>
      </c>
    </row>
    <row r="605" spans="1:25" x14ac:dyDescent="0.25">
      <c r="A605">
        <v>678</v>
      </c>
      <c r="B605" t="s">
        <v>5272</v>
      </c>
      <c r="C605" t="s">
        <v>5227</v>
      </c>
      <c r="D605" t="s">
        <v>5228</v>
      </c>
      <c r="E605" t="s">
        <v>4265</v>
      </c>
      <c r="F605">
        <v>-1</v>
      </c>
      <c r="G605" t="s">
        <v>59</v>
      </c>
      <c r="H605" t="s">
        <v>59</v>
      </c>
      <c r="I605" t="s">
        <v>59</v>
      </c>
      <c r="J605" t="s">
        <v>59</v>
      </c>
      <c r="K605" t="s">
        <v>59</v>
      </c>
      <c r="L605" t="s">
        <v>59</v>
      </c>
      <c r="M605" t="s">
        <v>59</v>
      </c>
      <c r="N605" t="s">
        <v>59</v>
      </c>
      <c r="O605" t="s">
        <v>59</v>
      </c>
      <c r="P605" t="s">
        <v>59</v>
      </c>
      <c r="Q605" t="s">
        <v>59</v>
      </c>
      <c r="R605" t="s">
        <v>59</v>
      </c>
      <c r="S605" t="s">
        <v>59</v>
      </c>
      <c r="T605" t="s">
        <v>59</v>
      </c>
      <c r="U605" t="s">
        <v>59</v>
      </c>
      <c r="V605" t="s">
        <v>59</v>
      </c>
      <c r="W605" t="s">
        <v>59</v>
      </c>
      <c r="X605" t="s">
        <v>59</v>
      </c>
      <c r="Y605" t="s">
        <v>59</v>
      </c>
    </row>
    <row r="606" spans="1:25" x14ac:dyDescent="0.25">
      <c r="A606">
        <v>650</v>
      </c>
      <c r="B606" t="s">
        <v>5272</v>
      </c>
      <c r="C606" t="s">
        <v>5171</v>
      </c>
      <c r="D606" t="s">
        <v>5172</v>
      </c>
      <c r="E606" t="s">
        <v>4265</v>
      </c>
      <c r="F606">
        <v>-1</v>
      </c>
      <c r="G606" t="s">
        <v>59</v>
      </c>
      <c r="H606" t="s">
        <v>59</v>
      </c>
      <c r="I606" t="s">
        <v>59</v>
      </c>
      <c r="J606" t="s">
        <v>59</v>
      </c>
      <c r="K606" t="s">
        <v>59</v>
      </c>
      <c r="L606" t="s">
        <v>59</v>
      </c>
      <c r="M606" t="s">
        <v>59</v>
      </c>
      <c r="N606" t="s">
        <v>59</v>
      </c>
      <c r="O606" t="s">
        <v>59</v>
      </c>
      <c r="P606" t="s">
        <v>59</v>
      </c>
      <c r="Q606" t="s">
        <v>59</v>
      </c>
      <c r="R606" t="s">
        <v>59</v>
      </c>
      <c r="S606" t="s">
        <v>59</v>
      </c>
      <c r="T606" t="s">
        <v>59</v>
      </c>
      <c r="U606" t="s">
        <v>59</v>
      </c>
      <c r="V606" t="s">
        <v>59</v>
      </c>
      <c r="W606" t="s">
        <v>59</v>
      </c>
      <c r="X606" t="s">
        <v>59</v>
      </c>
      <c r="Y606" t="s">
        <v>59</v>
      </c>
    </row>
    <row r="607" spans="1:25" x14ac:dyDescent="0.25">
      <c r="A607">
        <v>643</v>
      </c>
      <c r="B607" t="s">
        <v>5272</v>
      </c>
      <c r="C607" t="s">
        <v>5157</v>
      </c>
      <c r="D607" t="s">
        <v>5158</v>
      </c>
      <c r="E607" t="s">
        <v>4265</v>
      </c>
      <c r="F607">
        <v>-1</v>
      </c>
      <c r="G607" t="s">
        <v>59</v>
      </c>
      <c r="H607" t="s">
        <v>59</v>
      </c>
      <c r="I607" t="s">
        <v>59</v>
      </c>
      <c r="J607" t="s">
        <v>59</v>
      </c>
      <c r="K607" t="s">
        <v>59</v>
      </c>
      <c r="L607" t="s">
        <v>59</v>
      </c>
      <c r="M607" t="s">
        <v>59</v>
      </c>
      <c r="N607" t="s">
        <v>59</v>
      </c>
      <c r="O607" t="s">
        <v>59</v>
      </c>
      <c r="P607" t="s">
        <v>59</v>
      </c>
      <c r="Q607" t="s">
        <v>59</v>
      </c>
      <c r="R607" t="s">
        <v>59</v>
      </c>
      <c r="S607" t="s">
        <v>59</v>
      </c>
      <c r="T607" t="s">
        <v>59</v>
      </c>
      <c r="U607" t="s">
        <v>59</v>
      </c>
      <c r="V607" t="s">
        <v>59</v>
      </c>
      <c r="W607" t="s">
        <v>59</v>
      </c>
      <c r="X607" t="s">
        <v>59</v>
      </c>
      <c r="Y607" t="s">
        <v>59</v>
      </c>
    </row>
    <row r="608" spans="1:25" x14ac:dyDescent="0.25">
      <c r="A608">
        <v>686</v>
      </c>
      <c r="B608" t="s">
        <v>5272</v>
      </c>
      <c r="C608" t="s">
        <v>5243</v>
      </c>
      <c r="D608" t="s">
        <v>5244</v>
      </c>
      <c r="E608" t="s">
        <v>4265</v>
      </c>
      <c r="F608">
        <v>-1</v>
      </c>
      <c r="G608" t="s">
        <v>59</v>
      </c>
      <c r="H608" t="s">
        <v>59</v>
      </c>
      <c r="I608" t="s">
        <v>59</v>
      </c>
      <c r="J608" t="s">
        <v>59</v>
      </c>
      <c r="K608" t="s">
        <v>59</v>
      </c>
      <c r="L608" t="s">
        <v>59</v>
      </c>
      <c r="M608" t="s">
        <v>59</v>
      </c>
      <c r="N608" t="s">
        <v>59</v>
      </c>
      <c r="O608" t="s">
        <v>59</v>
      </c>
      <c r="P608" t="s">
        <v>59</v>
      </c>
      <c r="Q608" t="s">
        <v>59</v>
      </c>
      <c r="R608" t="s">
        <v>59</v>
      </c>
      <c r="S608" t="s">
        <v>59</v>
      </c>
      <c r="T608" t="s">
        <v>59</v>
      </c>
      <c r="U608" t="s">
        <v>59</v>
      </c>
      <c r="V608" t="s">
        <v>59</v>
      </c>
      <c r="W608" t="s">
        <v>59</v>
      </c>
      <c r="X608" t="s">
        <v>59</v>
      </c>
      <c r="Y608" t="s">
        <v>59</v>
      </c>
    </row>
    <row r="609" spans="1:25" x14ac:dyDescent="0.25">
      <c r="A609">
        <v>244</v>
      </c>
      <c r="B609" t="s">
        <v>5272</v>
      </c>
      <c r="C609" t="s">
        <v>4463</v>
      </c>
      <c r="D609" t="s">
        <v>4464</v>
      </c>
      <c r="E609" t="s">
        <v>4265</v>
      </c>
      <c r="F609">
        <v>-1</v>
      </c>
      <c r="G609" t="s">
        <v>59</v>
      </c>
      <c r="H609" t="s">
        <v>59</v>
      </c>
      <c r="I609" t="s">
        <v>59</v>
      </c>
      <c r="J609" t="s">
        <v>59</v>
      </c>
      <c r="K609" t="s">
        <v>59</v>
      </c>
      <c r="L609" t="s">
        <v>59</v>
      </c>
      <c r="M609" t="s">
        <v>59</v>
      </c>
      <c r="N609" t="s">
        <v>59</v>
      </c>
      <c r="O609" t="s">
        <v>59</v>
      </c>
      <c r="P609" t="s">
        <v>59</v>
      </c>
      <c r="Q609" t="s">
        <v>59</v>
      </c>
      <c r="R609" t="s">
        <v>59</v>
      </c>
      <c r="S609" t="s">
        <v>59</v>
      </c>
      <c r="T609" t="s">
        <v>59</v>
      </c>
      <c r="U609" t="s">
        <v>59</v>
      </c>
      <c r="V609" t="s">
        <v>59</v>
      </c>
      <c r="W609" t="s">
        <v>59</v>
      </c>
      <c r="X609" t="s">
        <v>59</v>
      </c>
      <c r="Y609" t="s">
        <v>59</v>
      </c>
    </row>
    <row r="610" spans="1:25" x14ac:dyDescent="0.25">
      <c r="A610">
        <v>667</v>
      </c>
      <c r="B610" t="s">
        <v>5272</v>
      </c>
      <c r="C610" t="s">
        <v>5205</v>
      </c>
      <c r="D610" t="s">
        <v>5206</v>
      </c>
      <c r="E610" t="s">
        <v>4265</v>
      </c>
      <c r="F610">
        <v>-1</v>
      </c>
      <c r="G610" t="s">
        <v>59</v>
      </c>
      <c r="H610" t="s">
        <v>59</v>
      </c>
      <c r="I610" t="s">
        <v>59</v>
      </c>
      <c r="J610" t="s">
        <v>59</v>
      </c>
      <c r="K610" t="s">
        <v>59</v>
      </c>
      <c r="L610" t="s">
        <v>59</v>
      </c>
      <c r="M610" t="s">
        <v>59</v>
      </c>
      <c r="N610" t="s">
        <v>59</v>
      </c>
      <c r="O610" t="s">
        <v>59</v>
      </c>
      <c r="P610" t="s">
        <v>59</v>
      </c>
      <c r="Q610" t="s">
        <v>59</v>
      </c>
      <c r="R610" t="s">
        <v>59</v>
      </c>
      <c r="S610" t="s">
        <v>59</v>
      </c>
      <c r="T610" t="s">
        <v>59</v>
      </c>
      <c r="U610" t="s">
        <v>59</v>
      </c>
      <c r="V610" t="s">
        <v>59</v>
      </c>
      <c r="W610" t="s">
        <v>59</v>
      </c>
      <c r="X610" t="s">
        <v>59</v>
      </c>
      <c r="Y610" t="s">
        <v>59</v>
      </c>
    </row>
    <row r="611" spans="1:25" x14ac:dyDescent="0.25">
      <c r="A611">
        <v>665</v>
      </c>
      <c r="B611" t="s">
        <v>5272</v>
      </c>
      <c r="C611" t="s">
        <v>5201</v>
      </c>
      <c r="D611" t="s">
        <v>5202</v>
      </c>
      <c r="E611" t="s">
        <v>4265</v>
      </c>
      <c r="F611">
        <v>-1</v>
      </c>
      <c r="G611" t="s">
        <v>59</v>
      </c>
      <c r="H611" t="s">
        <v>59</v>
      </c>
      <c r="I611" t="s">
        <v>59</v>
      </c>
      <c r="J611" t="s">
        <v>59</v>
      </c>
      <c r="K611" t="s">
        <v>59</v>
      </c>
      <c r="L611" t="s">
        <v>59</v>
      </c>
      <c r="M611" t="s">
        <v>59</v>
      </c>
      <c r="N611" t="s">
        <v>59</v>
      </c>
      <c r="O611" t="s">
        <v>59</v>
      </c>
      <c r="P611" t="s">
        <v>59</v>
      </c>
      <c r="Q611" t="s">
        <v>59</v>
      </c>
      <c r="R611" t="s">
        <v>59</v>
      </c>
      <c r="S611" t="s">
        <v>59</v>
      </c>
      <c r="T611" t="s">
        <v>59</v>
      </c>
      <c r="U611" t="s">
        <v>59</v>
      </c>
      <c r="V611" t="s">
        <v>59</v>
      </c>
      <c r="W611" t="s">
        <v>59</v>
      </c>
      <c r="X611" t="s">
        <v>59</v>
      </c>
      <c r="Y611" t="s">
        <v>59</v>
      </c>
    </row>
    <row r="612" spans="1:25" x14ac:dyDescent="0.25">
      <c r="A612">
        <v>130</v>
      </c>
      <c r="B612" t="s">
        <v>5272</v>
      </c>
      <c r="C612" t="s">
        <v>4263</v>
      </c>
      <c r="D612" t="s">
        <v>4264</v>
      </c>
      <c r="E612" t="s">
        <v>4265</v>
      </c>
      <c r="F612">
        <v>-1</v>
      </c>
      <c r="G612" t="s">
        <v>59</v>
      </c>
      <c r="H612" t="s">
        <v>59</v>
      </c>
      <c r="I612" t="s">
        <v>59</v>
      </c>
      <c r="J612" t="s">
        <v>59</v>
      </c>
      <c r="K612" t="s">
        <v>59</v>
      </c>
      <c r="L612" t="s">
        <v>59</v>
      </c>
      <c r="M612" t="s">
        <v>59</v>
      </c>
      <c r="N612" t="s">
        <v>59</v>
      </c>
      <c r="O612" t="s">
        <v>59</v>
      </c>
      <c r="P612" t="s">
        <v>59</v>
      </c>
      <c r="Q612" t="s">
        <v>59</v>
      </c>
      <c r="R612" t="s">
        <v>59</v>
      </c>
      <c r="S612" t="s">
        <v>59</v>
      </c>
      <c r="T612" t="s">
        <v>59</v>
      </c>
      <c r="U612" t="s">
        <v>59</v>
      </c>
      <c r="V612" t="s">
        <v>59</v>
      </c>
      <c r="W612" t="s">
        <v>59</v>
      </c>
      <c r="X612" t="s">
        <v>59</v>
      </c>
      <c r="Y612" t="s">
        <v>59</v>
      </c>
    </row>
    <row r="613" spans="1:25" x14ac:dyDescent="0.25">
      <c r="A613">
        <v>169</v>
      </c>
      <c r="B613" t="s">
        <v>5272</v>
      </c>
      <c r="C613" t="s">
        <v>4319</v>
      </c>
      <c r="D613" t="s">
        <v>4320</v>
      </c>
      <c r="E613" t="s">
        <v>4265</v>
      </c>
      <c r="F613">
        <v>-1</v>
      </c>
      <c r="G613" t="s">
        <v>59</v>
      </c>
      <c r="H613" t="s">
        <v>59</v>
      </c>
      <c r="I613" t="s">
        <v>59</v>
      </c>
      <c r="J613" t="s">
        <v>59</v>
      </c>
      <c r="K613" t="s">
        <v>59</v>
      </c>
      <c r="L613" t="s">
        <v>59</v>
      </c>
      <c r="M613" t="s">
        <v>59</v>
      </c>
      <c r="N613" t="s">
        <v>59</v>
      </c>
      <c r="O613" t="s">
        <v>59</v>
      </c>
      <c r="P613" t="s">
        <v>59</v>
      </c>
      <c r="Q613" t="s">
        <v>59</v>
      </c>
      <c r="R613" t="s">
        <v>59</v>
      </c>
      <c r="S613" t="s">
        <v>59</v>
      </c>
      <c r="T613" t="s">
        <v>59</v>
      </c>
      <c r="U613" t="s">
        <v>59</v>
      </c>
      <c r="V613" t="s">
        <v>59</v>
      </c>
      <c r="W613" t="s">
        <v>59</v>
      </c>
      <c r="X613" t="s">
        <v>59</v>
      </c>
      <c r="Y613" t="s">
        <v>59</v>
      </c>
    </row>
    <row r="614" spans="1:25" x14ac:dyDescent="0.25">
      <c r="A614">
        <v>170</v>
      </c>
      <c r="B614" t="s">
        <v>5272</v>
      </c>
      <c r="C614" t="s">
        <v>4321</v>
      </c>
      <c r="D614" t="s">
        <v>4322</v>
      </c>
      <c r="E614" t="s">
        <v>4265</v>
      </c>
      <c r="F614">
        <v>-1</v>
      </c>
      <c r="G614" t="s">
        <v>59</v>
      </c>
      <c r="H614" t="s">
        <v>59</v>
      </c>
      <c r="I614" t="s">
        <v>59</v>
      </c>
      <c r="J614" t="s">
        <v>59</v>
      </c>
      <c r="K614" t="s">
        <v>59</v>
      </c>
      <c r="L614" t="s">
        <v>59</v>
      </c>
      <c r="M614" t="s">
        <v>59</v>
      </c>
      <c r="N614" t="s">
        <v>59</v>
      </c>
      <c r="O614" t="s">
        <v>59</v>
      </c>
      <c r="P614" t="s">
        <v>59</v>
      </c>
      <c r="Q614" t="s">
        <v>59</v>
      </c>
      <c r="R614" t="s">
        <v>59</v>
      </c>
      <c r="S614" t="s">
        <v>59</v>
      </c>
      <c r="T614" t="s">
        <v>59</v>
      </c>
      <c r="U614" t="s">
        <v>59</v>
      </c>
      <c r="V614" t="s">
        <v>59</v>
      </c>
      <c r="W614" t="s">
        <v>59</v>
      </c>
      <c r="X614" t="s">
        <v>59</v>
      </c>
      <c r="Y614" t="s">
        <v>59</v>
      </c>
    </row>
    <row r="615" spans="1:25" x14ac:dyDescent="0.25">
      <c r="A615">
        <v>676</v>
      </c>
      <c r="B615" t="s">
        <v>5272</v>
      </c>
      <c r="C615" t="s">
        <v>5223</v>
      </c>
      <c r="D615" t="s">
        <v>5224</v>
      </c>
      <c r="E615" t="s">
        <v>4265</v>
      </c>
      <c r="F615">
        <v>-1</v>
      </c>
      <c r="G615" t="s">
        <v>59</v>
      </c>
      <c r="H615" t="s">
        <v>59</v>
      </c>
      <c r="I615" t="s">
        <v>59</v>
      </c>
      <c r="J615" t="s">
        <v>59</v>
      </c>
      <c r="K615" t="s">
        <v>59</v>
      </c>
      <c r="L615" t="s">
        <v>59</v>
      </c>
      <c r="M615" t="s">
        <v>59</v>
      </c>
      <c r="N615" t="s">
        <v>59</v>
      </c>
      <c r="O615" t="s">
        <v>59</v>
      </c>
      <c r="P615" t="s">
        <v>59</v>
      </c>
      <c r="Q615" t="s">
        <v>59</v>
      </c>
      <c r="R615" t="s">
        <v>59</v>
      </c>
      <c r="S615" t="s">
        <v>59</v>
      </c>
      <c r="T615" t="s">
        <v>59</v>
      </c>
      <c r="U615" t="s">
        <v>59</v>
      </c>
      <c r="V615" t="s">
        <v>59</v>
      </c>
      <c r="W615" t="s">
        <v>59</v>
      </c>
      <c r="X615" t="s">
        <v>59</v>
      </c>
      <c r="Y615" t="s">
        <v>59</v>
      </c>
    </row>
    <row r="616" spans="1:25" x14ac:dyDescent="0.25">
      <c r="A616">
        <v>494</v>
      </c>
      <c r="B616" t="s">
        <v>5272</v>
      </c>
      <c r="C616" t="s">
        <v>4880</v>
      </c>
      <c r="D616" t="s">
        <v>4881</v>
      </c>
      <c r="E616" t="s">
        <v>4326</v>
      </c>
      <c r="F616">
        <v>-1</v>
      </c>
      <c r="G616" t="s">
        <v>59</v>
      </c>
      <c r="H616" t="s">
        <v>59</v>
      </c>
      <c r="I616" t="s">
        <v>59</v>
      </c>
      <c r="J616" t="s">
        <v>59</v>
      </c>
      <c r="K616" t="s">
        <v>59</v>
      </c>
      <c r="L616" t="s">
        <v>59</v>
      </c>
      <c r="M616" t="s">
        <v>59</v>
      </c>
      <c r="N616" t="s">
        <v>59</v>
      </c>
      <c r="O616" t="s">
        <v>59</v>
      </c>
      <c r="P616" t="s">
        <v>59</v>
      </c>
      <c r="Q616" t="s">
        <v>59</v>
      </c>
      <c r="R616" t="s">
        <v>59</v>
      </c>
      <c r="S616" t="s">
        <v>59</v>
      </c>
      <c r="T616" t="s">
        <v>59</v>
      </c>
      <c r="U616" t="s">
        <v>59</v>
      </c>
      <c r="V616" t="s">
        <v>59</v>
      </c>
      <c r="W616" t="s">
        <v>59</v>
      </c>
      <c r="X616" t="s">
        <v>59</v>
      </c>
      <c r="Y616" t="s">
        <v>59</v>
      </c>
    </row>
    <row r="617" spans="1:25" x14ac:dyDescent="0.25">
      <c r="A617">
        <v>495</v>
      </c>
      <c r="B617" t="s">
        <v>5272</v>
      </c>
      <c r="C617" t="s">
        <v>4882</v>
      </c>
      <c r="D617" t="s">
        <v>4883</v>
      </c>
      <c r="E617" t="s">
        <v>4326</v>
      </c>
      <c r="F617">
        <v>-1</v>
      </c>
      <c r="G617" t="s">
        <v>59</v>
      </c>
      <c r="H617" t="s">
        <v>59</v>
      </c>
      <c r="I617" t="s">
        <v>59</v>
      </c>
      <c r="J617" t="s">
        <v>59</v>
      </c>
      <c r="K617" t="s">
        <v>59</v>
      </c>
      <c r="L617" t="s">
        <v>59</v>
      </c>
      <c r="M617" t="s">
        <v>59</v>
      </c>
      <c r="N617" t="s">
        <v>59</v>
      </c>
      <c r="O617" t="s">
        <v>59</v>
      </c>
      <c r="P617" t="s">
        <v>59</v>
      </c>
      <c r="Q617" t="s">
        <v>59</v>
      </c>
      <c r="R617" t="s">
        <v>59</v>
      </c>
      <c r="S617" t="s">
        <v>59</v>
      </c>
      <c r="T617" t="s">
        <v>59</v>
      </c>
      <c r="U617" t="s">
        <v>59</v>
      </c>
      <c r="V617" t="s">
        <v>59</v>
      </c>
      <c r="W617" t="s">
        <v>59</v>
      </c>
      <c r="X617" t="s">
        <v>59</v>
      </c>
      <c r="Y617" t="s">
        <v>59</v>
      </c>
    </row>
    <row r="618" spans="1:25" x14ac:dyDescent="0.25">
      <c r="A618">
        <v>489</v>
      </c>
      <c r="B618" t="s">
        <v>5272</v>
      </c>
      <c r="C618" t="s">
        <v>4870</v>
      </c>
      <c r="D618" t="s">
        <v>4871</v>
      </c>
      <c r="E618" t="s">
        <v>4326</v>
      </c>
      <c r="F618">
        <v>-1</v>
      </c>
      <c r="G618" t="s">
        <v>59</v>
      </c>
      <c r="H618" t="s">
        <v>59</v>
      </c>
      <c r="I618" t="s">
        <v>59</v>
      </c>
      <c r="J618" t="s">
        <v>59</v>
      </c>
      <c r="K618" t="s">
        <v>59</v>
      </c>
      <c r="L618" t="s">
        <v>59</v>
      </c>
      <c r="M618" t="s">
        <v>59</v>
      </c>
      <c r="N618" t="s">
        <v>59</v>
      </c>
      <c r="O618" t="s">
        <v>59</v>
      </c>
      <c r="P618" t="s">
        <v>59</v>
      </c>
      <c r="Q618" t="s">
        <v>59</v>
      </c>
      <c r="R618" t="s">
        <v>59</v>
      </c>
      <c r="S618" t="s">
        <v>59</v>
      </c>
      <c r="T618" t="s">
        <v>59</v>
      </c>
      <c r="U618" t="s">
        <v>59</v>
      </c>
      <c r="V618" t="s">
        <v>59</v>
      </c>
      <c r="W618" t="s">
        <v>59</v>
      </c>
      <c r="X618" t="s">
        <v>59</v>
      </c>
      <c r="Y618" t="s">
        <v>59</v>
      </c>
    </row>
    <row r="619" spans="1:25" x14ac:dyDescent="0.25">
      <c r="A619">
        <v>483</v>
      </c>
      <c r="B619" t="s">
        <v>5272</v>
      </c>
      <c r="C619" t="s">
        <v>4859</v>
      </c>
      <c r="D619" t="s">
        <v>4860</v>
      </c>
      <c r="E619" t="s">
        <v>4326</v>
      </c>
      <c r="F619">
        <v>-1</v>
      </c>
      <c r="G619" t="s">
        <v>59</v>
      </c>
      <c r="H619" t="s">
        <v>59</v>
      </c>
      <c r="I619" t="s">
        <v>59</v>
      </c>
      <c r="J619" t="s">
        <v>59</v>
      </c>
      <c r="K619" t="s">
        <v>59</v>
      </c>
      <c r="L619" t="s">
        <v>59</v>
      </c>
      <c r="M619" t="s">
        <v>59</v>
      </c>
      <c r="N619" t="s">
        <v>59</v>
      </c>
      <c r="O619" t="s">
        <v>59</v>
      </c>
      <c r="P619" t="s">
        <v>59</v>
      </c>
      <c r="Q619" t="s">
        <v>59</v>
      </c>
      <c r="R619" t="s">
        <v>59</v>
      </c>
      <c r="S619" t="s">
        <v>59</v>
      </c>
      <c r="T619" t="s">
        <v>59</v>
      </c>
      <c r="U619" t="s">
        <v>59</v>
      </c>
      <c r="V619" t="s">
        <v>59</v>
      </c>
      <c r="W619" t="s">
        <v>59</v>
      </c>
      <c r="X619" t="s">
        <v>59</v>
      </c>
      <c r="Y619" t="s">
        <v>59</v>
      </c>
    </row>
    <row r="620" spans="1:25" x14ac:dyDescent="0.25">
      <c r="A620">
        <v>484</v>
      </c>
      <c r="B620" t="s">
        <v>5272</v>
      </c>
      <c r="C620" t="s">
        <v>4861</v>
      </c>
      <c r="D620" t="s">
        <v>4862</v>
      </c>
      <c r="E620" t="s">
        <v>4326</v>
      </c>
      <c r="F620">
        <v>-1</v>
      </c>
      <c r="G620" t="s">
        <v>59</v>
      </c>
      <c r="H620" t="s">
        <v>59</v>
      </c>
      <c r="I620" t="s">
        <v>59</v>
      </c>
      <c r="J620" t="s">
        <v>59</v>
      </c>
      <c r="K620" t="s">
        <v>59</v>
      </c>
      <c r="L620" t="s">
        <v>59</v>
      </c>
      <c r="M620" t="s">
        <v>59</v>
      </c>
      <c r="N620" t="s">
        <v>59</v>
      </c>
      <c r="O620" t="s">
        <v>59</v>
      </c>
      <c r="P620" t="s">
        <v>59</v>
      </c>
      <c r="Q620" t="s">
        <v>59</v>
      </c>
      <c r="R620" t="s">
        <v>59</v>
      </c>
      <c r="S620" t="s">
        <v>59</v>
      </c>
      <c r="T620" t="s">
        <v>59</v>
      </c>
      <c r="U620" t="s">
        <v>59</v>
      </c>
      <c r="V620" t="s">
        <v>59</v>
      </c>
      <c r="W620" t="s">
        <v>59</v>
      </c>
      <c r="X620" t="s">
        <v>59</v>
      </c>
      <c r="Y620" t="s">
        <v>59</v>
      </c>
    </row>
    <row r="621" spans="1:25" x14ac:dyDescent="0.25">
      <c r="A621">
        <v>486</v>
      </c>
      <c r="B621" t="s">
        <v>5272</v>
      </c>
      <c r="C621" t="s">
        <v>4865</v>
      </c>
      <c r="D621" t="s">
        <v>4864</v>
      </c>
      <c r="E621" t="s">
        <v>4326</v>
      </c>
      <c r="F621">
        <v>-1</v>
      </c>
      <c r="G621" t="s">
        <v>59</v>
      </c>
      <c r="H621" t="s">
        <v>59</v>
      </c>
      <c r="I621" t="s">
        <v>59</v>
      </c>
      <c r="J621" t="s">
        <v>59</v>
      </c>
      <c r="K621" t="s">
        <v>59</v>
      </c>
      <c r="L621" t="s">
        <v>59</v>
      </c>
      <c r="M621" t="s">
        <v>59</v>
      </c>
      <c r="N621" t="s">
        <v>59</v>
      </c>
      <c r="O621" t="s">
        <v>59</v>
      </c>
      <c r="P621" t="s">
        <v>59</v>
      </c>
      <c r="Q621" t="s">
        <v>59</v>
      </c>
      <c r="R621" t="s">
        <v>59</v>
      </c>
      <c r="S621" t="s">
        <v>59</v>
      </c>
      <c r="T621" t="s">
        <v>59</v>
      </c>
      <c r="U621" t="s">
        <v>59</v>
      </c>
      <c r="V621" t="s">
        <v>59</v>
      </c>
      <c r="W621" t="s">
        <v>59</v>
      </c>
      <c r="X621" t="s">
        <v>59</v>
      </c>
      <c r="Y621" t="s">
        <v>59</v>
      </c>
    </row>
    <row r="622" spans="1:25" x14ac:dyDescent="0.25">
      <c r="A622">
        <v>485</v>
      </c>
      <c r="B622" t="s">
        <v>5272</v>
      </c>
      <c r="C622" t="s">
        <v>4863</v>
      </c>
      <c r="D622" t="s">
        <v>4864</v>
      </c>
      <c r="E622" t="s">
        <v>4326</v>
      </c>
      <c r="F622">
        <v>-1</v>
      </c>
      <c r="G622" t="s">
        <v>59</v>
      </c>
      <c r="H622" t="s">
        <v>59</v>
      </c>
      <c r="I622" t="s">
        <v>59</v>
      </c>
      <c r="J622" t="s">
        <v>59</v>
      </c>
      <c r="K622" t="s">
        <v>59</v>
      </c>
      <c r="L622" t="s">
        <v>59</v>
      </c>
      <c r="M622" t="s">
        <v>59</v>
      </c>
      <c r="N622" t="s">
        <v>59</v>
      </c>
      <c r="O622" t="s">
        <v>59</v>
      </c>
      <c r="P622" t="s">
        <v>59</v>
      </c>
      <c r="Q622" t="s">
        <v>59</v>
      </c>
      <c r="R622" t="s">
        <v>59</v>
      </c>
      <c r="S622" t="s">
        <v>59</v>
      </c>
      <c r="T622" t="s">
        <v>59</v>
      </c>
      <c r="U622" t="s">
        <v>59</v>
      </c>
      <c r="V622" t="s">
        <v>59</v>
      </c>
      <c r="W622" t="s">
        <v>59</v>
      </c>
      <c r="X622" t="s">
        <v>59</v>
      </c>
      <c r="Y622" t="s">
        <v>59</v>
      </c>
    </row>
    <row r="623" spans="1:25" x14ac:dyDescent="0.25">
      <c r="A623">
        <v>487</v>
      </c>
      <c r="B623" t="s">
        <v>5272</v>
      </c>
      <c r="C623" t="s">
        <v>4866</v>
      </c>
      <c r="D623" t="s">
        <v>4867</v>
      </c>
      <c r="E623" t="s">
        <v>4326</v>
      </c>
      <c r="F623">
        <v>-1</v>
      </c>
      <c r="G623" t="s">
        <v>59</v>
      </c>
      <c r="H623" t="s">
        <v>59</v>
      </c>
      <c r="I623" t="s">
        <v>59</v>
      </c>
      <c r="J623" t="s">
        <v>59</v>
      </c>
      <c r="K623" t="s">
        <v>59</v>
      </c>
      <c r="L623" t="s">
        <v>59</v>
      </c>
      <c r="M623" t="s">
        <v>59</v>
      </c>
      <c r="N623" t="s">
        <v>59</v>
      </c>
      <c r="O623" t="s">
        <v>59</v>
      </c>
      <c r="P623" t="s">
        <v>59</v>
      </c>
      <c r="Q623" t="s">
        <v>59</v>
      </c>
      <c r="R623" t="s">
        <v>59</v>
      </c>
      <c r="S623" t="s">
        <v>59</v>
      </c>
      <c r="T623" t="s">
        <v>59</v>
      </c>
      <c r="U623" t="s">
        <v>59</v>
      </c>
      <c r="V623" t="s">
        <v>59</v>
      </c>
      <c r="W623" t="s">
        <v>59</v>
      </c>
      <c r="X623" t="s">
        <v>59</v>
      </c>
      <c r="Y623" t="s">
        <v>59</v>
      </c>
    </row>
    <row r="624" spans="1:25" x14ac:dyDescent="0.25">
      <c r="A624">
        <v>488</v>
      </c>
      <c r="B624" t="s">
        <v>5272</v>
      </c>
      <c r="C624" t="s">
        <v>4868</v>
      </c>
      <c r="D624" t="s">
        <v>4869</v>
      </c>
      <c r="E624" t="s">
        <v>4326</v>
      </c>
      <c r="F624">
        <v>-1</v>
      </c>
      <c r="G624" t="s">
        <v>59</v>
      </c>
      <c r="H624" t="s">
        <v>59</v>
      </c>
      <c r="I624" t="s">
        <v>59</v>
      </c>
      <c r="J624" t="s">
        <v>59</v>
      </c>
      <c r="K624" t="s">
        <v>59</v>
      </c>
      <c r="L624" t="s">
        <v>59</v>
      </c>
      <c r="M624" t="s">
        <v>59</v>
      </c>
      <c r="N624" t="s">
        <v>59</v>
      </c>
      <c r="O624" t="s">
        <v>59</v>
      </c>
      <c r="P624" t="s">
        <v>59</v>
      </c>
      <c r="Q624" t="s">
        <v>59</v>
      </c>
      <c r="R624" t="s">
        <v>59</v>
      </c>
      <c r="S624" t="s">
        <v>59</v>
      </c>
      <c r="T624" t="s">
        <v>59</v>
      </c>
      <c r="U624" t="s">
        <v>59</v>
      </c>
      <c r="V624" t="s">
        <v>59</v>
      </c>
      <c r="W624" t="s">
        <v>59</v>
      </c>
      <c r="X624" t="s">
        <v>59</v>
      </c>
      <c r="Y624" t="s">
        <v>59</v>
      </c>
    </row>
    <row r="625" spans="1:25" x14ac:dyDescent="0.25">
      <c r="A625">
        <v>490</v>
      </c>
      <c r="B625" t="s">
        <v>5272</v>
      </c>
      <c r="C625" t="s">
        <v>4872</v>
      </c>
      <c r="D625" t="s">
        <v>4873</v>
      </c>
      <c r="E625" t="s">
        <v>4326</v>
      </c>
      <c r="F625">
        <v>-1</v>
      </c>
      <c r="G625" t="s">
        <v>59</v>
      </c>
      <c r="H625" t="s">
        <v>59</v>
      </c>
      <c r="I625" t="s">
        <v>59</v>
      </c>
      <c r="J625" t="s">
        <v>59</v>
      </c>
      <c r="K625" t="s">
        <v>59</v>
      </c>
      <c r="L625" t="s">
        <v>59</v>
      </c>
      <c r="M625" t="s">
        <v>59</v>
      </c>
      <c r="N625" t="s">
        <v>59</v>
      </c>
      <c r="O625" t="s">
        <v>59</v>
      </c>
      <c r="P625" t="s">
        <v>59</v>
      </c>
      <c r="Q625" t="s">
        <v>59</v>
      </c>
      <c r="R625" t="s">
        <v>59</v>
      </c>
      <c r="S625" t="s">
        <v>59</v>
      </c>
      <c r="T625" t="s">
        <v>59</v>
      </c>
      <c r="U625" t="s">
        <v>59</v>
      </c>
      <c r="V625" t="s">
        <v>59</v>
      </c>
      <c r="W625" t="s">
        <v>59</v>
      </c>
      <c r="X625" t="s">
        <v>59</v>
      </c>
      <c r="Y625" t="s">
        <v>59</v>
      </c>
    </row>
    <row r="626" spans="1:25" x14ac:dyDescent="0.25">
      <c r="A626">
        <v>491</v>
      </c>
      <c r="B626" t="s">
        <v>5272</v>
      </c>
      <c r="C626" t="s">
        <v>4874</v>
      </c>
      <c r="D626" t="s">
        <v>4875</v>
      </c>
      <c r="E626" t="s">
        <v>4326</v>
      </c>
      <c r="F626">
        <v>-1</v>
      </c>
      <c r="G626" t="s">
        <v>59</v>
      </c>
      <c r="H626" t="s">
        <v>59</v>
      </c>
      <c r="I626" t="s">
        <v>59</v>
      </c>
      <c r="J626" t="s">
        <v>59</v>
      </c>
      <c r="K626" t="s">
        <v>59</v>
      </c>
      <c r="L626" t="s">
        <v>59</v>
      </c>
      <c r="M626" t="s">
        <v>59</v>
      </c>
      <c r="N626" t="s">
        <v>59</v>
      </c>
      <c r="O626" t="s">
        <v>59</v>
      </c>
      <c r="P626" t="s">
        <v>59</v>
      </c>
      <c r="Q626" t="s">
        <v>59</v>
      </c>
      <c r="R626" t="s">
        <v>59</v>
      </c>
      <c r="S626" t="s">
        <v>59</v>
      </c>
      <c r="T626" t="s">
        <v>59</v>
      </c>
      <c r="U626" t="s">
        <v>59</v>
      </c>
      <c r="V626" t="s">
        <v>59</v>
      </c>
      <c r="W626" t="s">
        <v>59</v>
      </c>
      <c r="X626" t="s">
        <v>59</v>
      </c>
      <c r="Y626" t="s">
        <v>59</v>
      </c>
    </row>
    <row r="627" spans="1:25" x14ac:dyDescent="0.25">
      <c r="A627">
        <v>492</v>
      </c>
      <c r="B627" t="s">
        <v>5272</v>
      </c>
      <c r="C627" t="s">
        <v>4876</v>
      </c>
      <c r="D627" t="s">
        <v>4877</v>
      </c>
      <c r="E627" t="s">
        <v>4326</v>
      </c>
      <c r="F627">
        <v>-1</v>
      </c>
      <c r="G627" t="s">
        <v>59</v>
      </c>
      <c r="H627" t="s">
        <v>59</v>
      </c>
      <c r="I627" t="s">
        <v>59</v>
      </c>
      <c r="J627" t="s">
        <v>59</v>
      </c>
      <c r="K627" t="s">
        <v>59</v>
      </c>
      <c r="L627" t="s">
        <v>59</v>
      </c>
      <c r="M627" t="s">
        <v>59</v>
      </c>
      <c r="N627" t="s">
        <v>59</v>
      </c>
      <c r="O627" t="s">
        <v>59</v>
      </c>
      <c r="P627" t="s">
        <v>59</v>
      </c>
      <c r="Q627" t="s">
        <v>59</v>
      </c>
      <c r="R627" t="s">
        <v>59</v>
      </c>
      <c r="S627" t="s">
        <v>59</v>
      </c>
      <c r="T627" t="s">
        <v>59</v>
      </c>
      <c r="U627" t="s">
        <v>59</v>
      </c>
      <c r="V627" t="s">
        <v>59</v>
      </c>
      <c r="W627" t="s">
        <v>59</v>
      </c>
      <c r="X627" t="s">
        <v>59</v>
      </c>
      <c r="Y627" t="s">
        <v>59</v>
      </c>
    </row>
    <row r="628" spans="1:25" x14ac:dyDescent="0.25">
      <c r="A628">
        <v>493</v>
      </c>
      <c r="B628" t="s">
        <v>5272</v>
      </c>
      <c r="C628" t="s">
        <v>4878</v>
      </c>
      <c r="D628" t="s">
        <v>4879</v>
      </c>
      <c r="E628" t="s">
        <v>4326</v>
      </c>
      <c r="F628">
        <v>-1</v>
      </c>
      <c r="G628" t="s">
        <v>59</v>
      </c>
      <c r="H628" t="s">
        <v>59</v>
      </c>
      <c r="I628" t="s">
        <v>59</v>
      </c>
      <c r="J628" t="s">
        <v>59</v>
      </c>
      <c r="K628" t="s">
        <v>59</v>
      </c>
      <c r="L628" t="s">
        <v>59</v>
      </c>
      <c r="M628" t="s">
        <v>59</v>
      </c>
      <c r="N628" t="s">
        <v>59</v>
      </c>
      <c r="O628" t="s">
        <v>59</v>
      </c>
      <c r="P628" t="s">
        <v>59</v>
      </c>
      <c r="Q628" t="s">
        <v>59</v>
      </c>
      <c r="R628" t="s">
        <v>59</v>
      </c>
      <c r="S628" t="s">
        <v>59</v>
      </c>
      <c r="T628" t="s">
        <v>59</v>
      </c>
      <c r="U628" t="s">
        <v>59</v>
      </c>
      <c r="V628" t="s">
        <v>59</v>
      </c>
      <c r="W628" t="s">
        <v>59</v>
      </c>
      <c r="X628" t="s">
        <v>59</v>
      </c>
      <c r="Y628" t="s">
        <v>59</v>
      </c>
    </row>
    <row r="629" spans="1:25" x14ac:dyDescent="0.25">
      <c r="A629">
        <v>172</v>
      </c>
      <c r="B629" t="s">
        <v>5272</v>
      </c>
      <c r="C629" t="s">
        <v>4324</v>
      </c>
      <c r="D629" t="s">
        <v>4325</v>
      </c>
      <c r="E629" t="s">
        <v>4326</v>
      </c>
      <c r="F629">
        <v>-1</v>
      </c>
      <c r="G629" t="s">
        <v>59</v>
      </c>
      <c r="H629" t="s">
        <v>59</v>
      </c>
      <c r="I629" t="s">
        <v>59</v>
      </c>
      <c r="J629" t="s">
        <v>59</v>
      </c>
      <c r="K629" t="s">
        <v>59</v>
      </c>
      <c r="L629" t="s">
        <v>59</v>
      </c>
      <c r="M629" t="s">
        <v>59</v>
      </c>
      <c r="N629" t="s">
        <v>59</v>
      </c>
      <c r="O629" t="s">
        <v>59</v>
      </c>
      <c r="P629" t="s">
        <v>59</v>
      </c>
      <c r="Q629" t="s">
        <v>59</v>
      </c>
      <c r="R629" t="s">
        <v>59</v>
      </c>
      <c r="S629" t="s">
        <v>59</v>
      </c>
      <c r="T629" t="s">
        <v>59</v>
      </c>
      <c r="U629" t="s">
        <v>59</v>
      </c>
      <c r="V629" t="s">
        <v>59</v>
      </c>
      <c r="W629" t="s">
        <v>59</v>
      </c>
      <c r="X629" t="s">
        <v>59</v>
      </c>
      <c r="Y629" t="s">
        <v>59</v>
      </c>
    </row>
    <row r="630" spans="1:25" x14ac:dyDescent="0.25">
      <c r="A630">
        <v>173</v>
      </c>
      <c r="B630" t="s">
        <v>5272</v>
      </c>
      <c r="C630" t="s">
        <v>4327</v>
      </c>
      <c r="D630" t="s">
        <v>4325</v>
      </c>
      <c r="E630" t="s">
        <v>4326</v>
      </c>
      <c r="F630">
        <v>-1</v>
      </c>
      <c r="G630" t="s">
        <v>59</v>
      </c>
      <c r="H630" t="s">
        <v>59</v>
      </c>
      <c r="I630" t="s">
        <v>59</v>
      </c>
      <c r="J630" t="s">
        <v>59</v>
      </c>
      <c r="K630" t="s">
        <v>59</v>
      </c>
      <c r="L630" t="s">
        <v>59</v>
      </c>
      <c r="M630" t="s">
        <v>59</v>
      </c>
      <c r="N630" t="s">
        <v>59</v>
      </c>
      <c r="O630" t="s">
        <v>59</v>
      </c>
      <c r="P630" t="s">
        <v>59</v>
      </c>
      <c r="Q630" t="s">
        <v>59</v>
      </c>
      <c r="R630" t="s">
        <v>59</v>
      </c>
      <c r="S630" t="s">
        <v>59</v>
      </c>
      <c r="T630" t="s">
        <v>59</v>
      </c>
      <c r="U630" t="s">
        <v>59</v>
      </c>
      <c r="V630" t="s">
        <v>59</v>
      </c>
      <c r="W630" t="s">
        <v>59</v>
      </c>
      <c r="X630" t="s">
        <v>59</v>
      </c>
      <c r="Y630" t="s">
        <v>59</v>
      </c>
    </row>
    <row r="631" spans="1:25" x14ac:dyDescent="0.25">
      <c r="A631">
        <v>199</v>
      </c>
      <c r="B631" t="s">
        <v>5272</v>
      </c>
      <c r="C631" t="s">
        <v>4370</v>
      </c>
      <c r="D631" t="s">
        <v>4325</v>
      </c>
      <c r="E631" t="s">
        <v>4326</v>
      </c>
      <c r="F631">
        <v>-1</v>
      </c>
      <c r="G631" t="s">
        <v>59</v>
      </c>
      <c r="H631" t="s">
        <v>59</v>
      </c>
      <c r="I631" t="s">
        <v>59</v>
      </c>
      <c r="J631" t="s">
        <v>59</v>
      </c>
      <c r="K631" t="s">
        <v>59</v>
      </c>
      <c r="L631" t="s">
        <v>59</v>
      </c>
      <c r="M631" t="s">
        <v>59</v>
      </c>
      <c r="N631" t="s">
        <v>59</v>
      </c>
      <c r="O631" t="s">
        <v>59</v>
      </c>
      <c r="P631" t="s">
        <v>59</v>
      </c>
      <c r="Q631" t="s">
        <v>59</v>
      </c>
      <c r="R631" t="s">
        <v>59</v>
      </c>
      <c r="S631" t="s">
        <v>59</v>
      </c>
      <c r="T631" t="s">
        <v>59</v>
      </c>
      <c r="U631" t="s">
        <v>59</v>
      </c>
      <c r="V631" t="s">
        <v>59</v>
      </c>
      <c r="W631" t="s">
        <v>59</v>
      </c>
      <c r="X631" t="s">
        <v>59</v>
      </c>
      <c r="Y631" t="s">
        <v>59</v>
      </c>
    </row>
    <row r="632" spans="1:25" x14ac:dyDescent="0.25">
      <c r="A632">
        <v>198</v>
      </c>
      <c r="B632" t="s">
        <v>5272</v>
      </c>
      <c r="C632" t="s">
        <v>4368</v>
      </c>
      <c r="D632" t="s">
        <v>4369</v>
      </c>
      <c r="E632" t="s">
        <v>4326</v>
      </c>
      <c r="F632">
        <v>-1</v>
      </c>
      <c r="G632" t="s">
        <v>59</v>
      </c>
      <c r="H632" t="s">
        <v>59</v>
      </c>
      <c r="I632" t="s">
        <v>59</v>
      </c>
      <c r="J632" t="s">
        <v>59</v>
      </c>
      <c r="K632" t="s">
        <v>59</v>
      </c>
      <c r="L632" t="s">
        <v>59</v>
      </c>
      <c r="M632" t="s">
        <v>59</v>
      </c>
      <c r="N632" t="s">
        <v>59</v>
      </c>
      <c r="O632" t="s">
        <v>59</v>
      </c>
      <c r="P632" t="s">
        <v>59</v>
      </c>
      <c r="Q632" t="s">
        <v>59</v>
      </c>
      <c r="R632" t="s">
        <v>59</v>
      </c>
      <c r="S632" t="s">
        <v>59</v>
      </c>
      <c r="T632" t="s">
        <v>59</v>
      </c>
      <c r="U632" t="s">
        <v>59</v>
      </c>
      <c r="V632" t="s">
        <v>59</v>
      </c>
      <c r="W632" t="s">
        <v>59</v>
      </c>
      <c r="X632" t="s">
        <v>59</v>
      </c>
      <c r="Y632" t="s">
        <v>59</v>
      </c>
    </row>
    <row r="633" spans="1:25" x14ac:dyDescent="0.25">
      <c r="A633">
        <v>203</v>
      </c>
      <c r="B633" t="s">
        <v>5272</v>
      </c>
      <c r="C633" t="s">
        <v>4377</v>
      </c>
      <c r="D633" t="s">
        <v>4378</v>
      </c>
      <c r="E633" t="s">
        <v>4326</v>
      </c>
      <c r="F633">
        <v>-1</v>
      </c>
      <c r="G633" t="s">
        <v>59</v>
      </c>
      <c r="H633" t="s">
        <v>59</v>
      </c>
      <c r="I633" t="s">
        <v>59</v>
      </c>
      <c r="J633" t="s">
        <v>59</v>
      </c>
      <c r="K633" t="s">
        <v>59</v>
      </c>
      <c r="L633" t="s">
        <v>59</v>
      </c>
      <c r="M633" t="s">
        <v>59</v>
      </c>
      <c r="N633" t="s">
        <v>59</v>
      </c>
      <c r="O633" t="s">
        <v>59</v>
      </c>
      <c r="P633" t="s">
        <v>59</v>
      </c>
      <c r="Q633" t="s">
        <v>59</v>
      </c>
      <c r="R633" t="s">
        <v>59</v>
      </c>
      <c r="S633" t="s">
        <v>59</v>
      </c>
      <c r="T633" t="s">
        <v>59</v>
      </c>
      <c r="U633" t="s">
        <v>59</v>
      </c>
      <c r="V633" t="s">
        <v>59</v>
      </c>
      <c r="W633" t="s">
        <v>59</v>
      </c>
      <c r="X633" t="s">
        <v>59</v>
      </c>
      <c r="Y633" t="s">
        <v>59</v>
      </c>
    </row>
    <row r="634" spans="1:25" x14ac:dyDescent="0.25">
      <c r="A634">
        <v>200</v>
      </c>
      <c r="B634" t="s">
        <v>5272</v>
      </c>
      <c r="C634" t="s">
        <v>4371</v>
      </c>
      <c r="D634" t="s">
        <v>4372</v>
      </c>
      <c r="E634" t="s">
        <v>4326</v>
      </c>
      <c r="F634">
        <v>-1</v>
      </c>
      <c r="G634" t="s">
        <v>59</v>
      </c>
      <c r="H634" t="s">
        <v>59</v>
      </c>
      <c r="I634" t="s">
        <v>59</v>
      </c>
      <c r="J634" t="s">
        <v>59</v>
      </c>
      <c r="K634" t="s">
        <v>59</v>
      </c>
      <c r="L634" t="s">
        <v>59</v>
      </c>
      <c r="M634" t="s">
        <v>59</v>
      </c>
      <c r="N634" t="s">
        <v>59</v>
      </c>
      <c r="O634" t="s">
        <v>59</v>
      </c>
      <c r="P634" t="s">
        <v>59</v>
      </c>
      <c r="Q634" t="s">
        <v>59</v>
      </c>
      <c r="R634" t="s">
        <v>59</v>
      </c>
      <c r="S634" t="s">
        <v>59</v>
      </c>
      <c r="T634" t="s">
        <v>59</v>
      </c>
      <c r="U634" t="s">
        <v>59</v>
      </c>
      <c r="V634" t="s">
        <v>59</v>
      </c>
      <c r="W634" t="s">
        <v>59</v>
      </c>
      <c r="X634" t="s">
        <v>59</v>
      </c>
      <c r="Y634" t="s">
        <v>59</v>
      </c>
    </row>
    <row r="635" spans="1:25" x14ac:dyDescent="0.25">
      <c r="A635">
        <v>201</v>
      </c>
      <c r="B635" t="s">
        <v>5272</v>
      </c>
      <c r="C635" t="s">
        <v>4373</v>
      </c>
      <c r="D635" t="s">
        <v>4374</v>
      </c>
      <c r="E635" t="s">
        <v>4326</v>
      </c>
      <c r="F635">
        <v>-1</v>
      </c>
      <c r="G635" t="s">
        <v>59</v>
      </c>
      <c r="H635" t="s">
        <v>59</v>
      </c>
      <c r="I635" t="s">
        <v>59</v>
      </c>
      <c r="J635" t="s">
        <v>59</v>
      </c>
      <c r="K635" t="s">
        <v>59</v>
      </c>
      <c r="L635" t="s">
        <v>59</v>
      </c>
      <c r="M635" t="s">
        <v>59</v>
      </c>
      <c r="N635" t="s">
        <v>59</v>
      </c>
      <c r="O635" t="s">
        <v>59</v>
      </c>
      <c r="P635" t="s">
        <v>59</v>
      </c>
      <c r="Q635" t="s">
        <v>59</v>
      </c>
      <c r="R635" t="s">
        <v>59</v>
      </c>
      <c r="S635" t="s">
        <v>59</v>
      </c>
      <c r="T635" t="s">
        <v>59</v>
      </c>
      <c r="U635" t="s">
        <v>59</v>
      </c>
      <c r="V635" t="s">
        <v>59</v>
      </c>
      <c r="W635" t="s">
        <v>59</v>
      </c>
      <c r="X635" t="s">
        <v>59</v>
      </c>
      <c r="Y635" t="s">
        <v>59</v>
      </c>
    </row>
    <row r="636" spans="1:25" x14ac:dyDescent="0.25">
      <c r="A636">
        <v>202</v>
      </c>
      <c r="B636" t="s">
        <v>5272</v>
      </c>
      <c r="C636" t="s">
        <v>4375</v>
      </c>
      <c r="D636" t="s">
        <v>4376</v>
      </c>
      <c r="E636" t="s">
        <v>4326</v>
      </c>
      <c r="F636">
        <v>-1</v>
      </c>
      <c r="G636" t="s">
        <v>59</v>
      </c>
      <c r="H636" t="s">
        <v>59</v>
      </c>
      <c r="I636" t="s">
        <v>59</v>
      </c>
      <c r="J636" t="s">
        <v>59</v>
      </c>
      <c r="K636" t="s">
        <v>59</v>
      </c>
      <c r="L636" t="s">
        <v>59</v>
      </c>
      <c r="M636" t="s">
        <v>59</v>
      </c>
      <c r="N636" t="s">
        <v>59</v>
      </c>
      <c r="O636" t="s">
        <v>59</v>
      </c>
      <c r="P636" t="s">
        <v>59</v>
      </c>
      <c r="Q636" t="s">
        <v>59</v>
      </c>
      <c r="R636" t="s">
        <v>59</v>
      </c>
      <c r="S636" t="s">
        <v>59</v>
      </c>
      <c r="T636" t="s">
        <v>59</v>
      </c>
      <c r="U636" t="s">
        <v>59</v>
      </c>
      <c r="V636" t="s">
        <v>59</v>
      </c>
      <c r="W636" t="s">
        <v>59</v>
      </c>
      <c r="X636" t="s">
        <v>59</v>
      </c>
      <c r="Y636" t="s">
        <v>59</v>
      </c>
    </row>
    <row r="637" spans="1:25" x14ac:dyDescent="0.25">
      <c r="A637">
        <v>204</v>
      </c>
      <c r="B637" t="s">
        <v>5272</v>
      </c>
      <c r="C637" t="s">
        <v>4379</v>
      </c>
      <c r="D637" t="s">
        <v>4380</v>
      </c>
      <c r="E637" t="s">
        <v>4326</v>
      </c>
      <c r="F637">
        <v>-1</v>
      </c>
      <c r="G637" t="s">
        <v>59</v>
      </c>
      <c r="H637" t="s">
        <v>59</v>
      </c>
      <c r="I637" t="s">
        <v>59</v>
      </c>
      <c r="J637" t="s">
        <v>59</v>
      </c>
      <c r="K637" t="s">
        <v>59</v>
      </c>
      <c r="L637" t="s">
        <v>59</v>
      </c>
      <c r="M637" t="s">
        <v>59</v>
      </c>
      <c r="N637" t="s">
        <v>59</v>
      </c>
      <c r="O637" t="s">
        <v>59</v>
      </c>
      <c r="P637" t="s">
        <v>59</v>
      </c>
      <c r="Q637" t="s">
        <v>59</v>
      </c>
      <c r="R637" t="s">
        <v>59</v>
      </c>
      <c r="S637" t="s">
        <v>59</v>
      </c>
      <c r="T637" t="s">
        <v>59</v>
      </c>
      <c r="U637" t="s">
        <v>59</v>
      </c>
      <c r="V637" t="s">
        <v>59</v>
      </c>
      <c r="W637" t="s">
        <v>59</v>
      </c>
      <c r="X637" t="s">
        <v>59</v>
      </c>
      <c r="Y637" t="s">
        <v>59</v>
      </c>
    </row>
    <row r="638" spans="1:25" x14ac:dyDescent="0.25">
      <c r="A638">
        <v>469</v>
      </c>
      <c r="B638" t="s">
        <v>5272</v>
      </c>
      <c r="C638" t="s">
        <v>4835</v>
      </c>
      <c r="D638" t="s">
        <v>4836</v>
      </c>
      <c r="E638" t="s">
        <v>4837</v>
      </c>
      <c r="F638">
        <v>-1</v>
      </c>
      <c r="G638" t="s">
        <v>59</v>
      </c>
      <c r="H638" t="s">
        <v>59</v>
      </c>
      <c r="I638" t="s">
        <v>59</v>
      </c>
      <c r="J638" t="s">
        <v>59</v>
      </c>
      <c r="K638" t="s">
        <v>59</v>
      </c>
      <c r="L638" t="s">
        <v>59</v>
      </c>
      <c r="M638" t="s">
        <v>59</v>
      </c>
      <c r="N638" t="s">
        <v>59</v>
      </c>
      <c r="O638" t="s">
        <v>59</v>
      </c>
      <c r="P638" t="s">
        <v>59</v>
      </c>
      <c r="Q638" t="s">
        <v>59</v>
      </c>
      <c r="R638" t="s">
        <v>59</v>
      </c>
      <c r="S638" t="s">
        <v>59</v>
      </c>
      <c r="T638" t="s">
        <v>59</v>
      </c>
      <c r="U638" t="s">
        <v>59</v>
      </c>
      <c r="V638" t="s">
        <v>59</v>
      </c>
      <c r="W638" t="s">
        <v>59</v>
      </c>
      <c r="X638" t="s">
        <v>59</v>
      </c>
      <c r="Y638" t="s">
        <v>59</v>
      </c>
    </row>
    <row r="639" spans="1:25" x14ac:dyDescent="0.25">
      <c r="A639">
        <v>470</v>
      </c>
      <c r="B639" t="s">
        <v>5272</v>
      </c>
      <c r="C639" t="s">
        <v>4838</v>
      </c>
      <c r="D639" t="s">
        <v>4839</v>
      </c>
      <c r="E639" t="s">
        <v>4837</v>
      </c>
      <c r="F639">
        <v>-1</v>
      </c>
      <c r="G639" t="s">
        <v>59</v>
      </c>
      <c r="H639" t="s">
        <v>59</v>
      </c>
      <c r="I639" t="s">
        <v>59</v>
      </c>
      <c r="J639" t="s">
        <v>59</v>
      </c>
      <c r="K639" t="s">
        <v>59</v>
      </c>
      <c r="L639" t="s">
        <v>59</v>
      </c>
      <c r="M639" t="s">
        <v>59</v>
      </c>
      <c r="N639" t="s">
        <v>59</v>
      </c>
      <c r="O639" t="s">
        <v>59</v>
      </c>
      <c r="P639" t="s">
        <v>59</v>
      </c>
      <c r="Q639" t="s">
        <v>59</v>
      </c>
      <c r="R639" t="s">
        <v>59</v>
      </c>
      <c r="S639" t="s">
        <v>59</v>
      </c>
      <c r="T639" t="s">
        <v>59</v>
      </c>
      <c r="U639" t="s">
        <v>59</v>
      </c>
      <c r="V639" t="s">
        <v>59</v>
      </c>
      <c r="W639" t="s">
        <v>59</v>
      </c>
      <c r="X639" t="s">
        <v>59</v>
      </c>
      <c r="Y639" t="s">
        <v>59</v>
      </c>
    </row>
    <row r="640" spans="1:25" x14ac:dyDescent="0.25">
      <c r="A640">
        <v>471</v>
      </c>
      <c r="B640" t="s">
        <v>5272</v>
      </c>
      <c r="C640" t="s">
        <v>4840</v>
      </c>
      <c r="D640" t="s">
        <v>4841</v>
      </c>
      <c r="E640" t="s">
        <v>4837</v>
      </c>
      <c r="F640">
        <v>-1</v>
      </c>
      <c r="G640" t="s">
        <v>59</v>
      </c>
      <c r="H640" t="s">
        <v>59</v>
      </c>
      <c r="I640" t="s">
        <v>59</v>
      </c>
      <c r="J640" t="s">
        <v>59</v>
      </c>
      <c r="K640" t="s">
        <v>59</v>
      </c>
      <c r="L640" t="s">
        <v>59</v>
      </c>
      <c r="M640" t="s">
        <v>59</v>
      </c>
      <c r="N640" t="s">
        <v>59</v>
      </c>
      <c r="O640" t="s">
        <v>59</v>
      </c>
      <c r="P640" t="s">
        <v>59</v>
      </c>
      <c r="Q640" t="s">
        <v>59</v>
      </c>
      <c r="R640" t="s">
        <v>59</v>
      </c>
      <c r="S640" t="s">
        <v>59</v>
      </c>
      <c r="T640" t="s">
        <v>59</v>
      </c>
      <c r="U640" t="s">
        <v>59</v>
      </c>
      <c r="V640" t="s">
        <v>59</v>
      </c>
      <c r="W640" t="s">
        <v>59</v>
      </c>
      <c r="X640" t="s">
        <v>59</v>
      </c>
      <c r="Y640" t="s">
        <v>59</v>
      </c>
    </row>
    <row r="641" spans="1:25" x14ac:dyDescent="0.25">
      <c r="A641">
        <v>472</v>
      </c>
      <c r="B641" t="s">
        <v>5272</v>
      </c>
      <c r="C641" t="s">
        <v>4842</v>
      </c>
      <c r="D641" t="s">
        <v>4843</v>
      </c>
      <c r="E641" t="s">
        <v>4837</v>
      </c>
      <c r="F641">
        <v>-1</v>
      </c>
      <c r="G641" t="s">
        <v>59</v>
      </c>
      <c r="H641" t="s">
        <v>59</v>
      </c>
      <c r="I641" t="s">
        <v>59</v>
      </c>
      <c r="J641" t="s">
        <v>59</v>
      </c>
      <c r="K641" t="s">
        <v>59</v>
      </c>
      <c r="L641" t="s">
        <v>59</v>
      </c>
      <c r="M641" t="s">
        <v>59</v>
      </c>
      <c r="N641" t="s">
        <v>59</v>
      </c>
      <c r="O641" t="s">
        <v>59</v>
      </c>
      <c r="P641" t="s">
        <v>59</v>
      </c>
      <c r="Q641" t="s">
        <v>59</v>
      </c>
      <c r="R641" t="s">
        <v>59</v>
      </c>
      <c r="S641" t="s">
        <v>59</v>
      </c>
      <c r="T641" t="s">
        <v>59</v>
      </c>
      <c r="U641" t="s">
        <v>59</v>
      </c>
      <c r="V641" t="s">
        <v>59</v>
      </c>
      <c r="W641" t="s">
        <v>59</v>
      </c>
      <c r="X641" t="s">
        <v>59</v>
      </c>
      <c r="Y641" t="s">
        <v>59</v>
      </c>
    </row>
    <row r="642" spans="1:25" x14ac:dyDescent="0.25">
      <c r="A642">
        <v>473</v>
      </c>
      <c r="B642" t="s">
        <v>5272</v>
      </c>
      <c r="C642" t="s">
        <v>4844</v>
      </c>
      <c r="D642" t="s">
        <v>4845</v>
      </c>
      <c r="E642" t="s">
        <v>4837</v>
      </c>
      <c r="F642">
        <v>-1</v>
      </c>
      <c r="G642" t="s">
        <v>59</v>
      </c>
      <c r="H642" t="s">
        <v>59</v>
      </c>
      <c r="I642" t="s">
        <v>59</v>
      </c>
      <c r="J642" t="s">
        <v>59</v>
      </c>
      <c r="K642" t="s">
        <v>59</v>
      </c>
      <c r="L642" t="s">
        <v>59</v>
      </c>
      <c r="M642" t="s">
        <v>59</v>
      </c>
      <c r="N642" t="s">
        <v>59</v>
      </c>
      <c r="O642" t="s">
        <v>59</v>
      </c>
      <c r="P642" t="s">
        <v>59</v>
      </c>
      <c r="Q642" t="s">
        <v>59</v>
      </c>
      <c r="R642" t="s">
        <v>59</v>
      </c>
      <c r="S642" t="s">
        <v>59</v>
      </c>
      <c r="T642" t="s">
        <v>59</v>
      </c>
      <c r="U642" t="s">
        <v>59</v>
      </c>
      <c r="V642" t="s">
        <v>59</v>
      </c>
      <c r="W642" t="s">
        <v>59</v>
      </c>
      <c r="X642" t="s">
        <v>59</v>
      </c>
      <c r="Y642" t="s">
        <v>59</v>
      </c>
    </row>
    <row r="643" spans="1:25" x14ac:dyDescent="0.25">
      <c r="A643">
        <v>474</v>
      </c>
      <c r="B643" t="s">
        <v>5272</v>
      </c>
      <c r="C643" t="s">
        <v>4846</v>
      </c>
      <c r="D643" t="s">
        <v>4847</v>
      </c>
      <c r="E643" t="s">
        <v>4837</v>
      </c>
      <c r="F643">
        <v>-1</v>
      </c>
      <c r="G643" t="s">
        <v>59</v>
      </c>
      <c r="H643" t="s">
        <v>59</v>
      </c>
      <c r="I643" t="s">
        <v>59</v>
      </c>
      <c r="J643" t="s">
        <v>59</v>
      </c>
      <c r="K643" t="s">
        <v>59</v>
      </c>
      <c r="L643" t="s">
        <v>59</v>
      </c>
      <c r="M643" t="s">
        <v>59</v>
      </c>
      <c r="N643" t="s">
        <v>59</v>
      </c>
      <c r="O643" t="s">
        <v>59</v>
      </c>
      <c r="P643" t="s">
        <v>59</v>
      </c>
      <c r="Q643" t="s">
        <v>59</v>
      </c>
      <c r="R643" t="s">
        <v>59</v>
      </c>
      <c r="S643" t="s">
        <v>59</v>
      </c>
      <c r="T643" t="s">
        <v>59</v>
      </c>
      <c r="U643" t="s">
        <v>59</v>
      </c>
      <c r="V643" t="s">
        <v>59</v>
      </c>
      <c r="W643" t="s">
        <v>59</v>
      </c>
      <c r="X643" t="s">
        <v>59</v>
      </c>
      <c r="Y643" t="s">
        <v>59</v>
      </c>
    </row>
    <row r="644" spans="1:25" x14ac:dyDescent="0.25">
      <c r="A644">
        <v>475</v>
      </c>
      <c r="B644" t="s">
        <v>5272</v>
      </c>
      <c r="C644" t="s">
        <v>4848</v>
      </c>
      <c r="D644" t="s">
        <v>4849</v>
      </c>
      <c r="E644" t="s">
        <v>4837</v>
      </c>
      <c r="F644">
        <v>-1</v>
      </c>
      <c r="G644" t="s">
        <v>59</v>
      </c>
      <c r="H644" t="s">
        <v>59</v>
      </c>
      <c r="I644" t="s">
        <v>59</v>
      </c>
      <c r="J644" t="s">
        <v>59</v>
      </c>
      <c r="K644" t="s">
        <v>59</v>
      </c>
      <c r="L644" t="s">
        <v>59</v>
      </c>
      <c r="M644" t="s">
        <v>59</v>
      </c>
      <c r="N644" t="s">
        <v>59</v>
      </c>
      <c r="O644" t="s">
        <v>59</v>
      </c>
      <c r="P644" t="s">
        <v>59</v>
      </c>
      <c r="Q644" t="s">
        <v>59</v>
      </c>
      <c r="R644" t="s">
        <v>59</v>
      </c>
      <c r="S644" t="s">
        <v>59</v>
      </c>
      <c r="T644" t="s">
        <v>59</v>
      </c>
      <c r="U644" t="s">
        <v>59</v>
      </c>
      <c r="V644" t="s">
        <v>59</v>
      </c>
      <c r="W644" t="s">
        <v>59</v>
      </c>
      <c r="X644" t="s">
        <v>59</v>
      </c>
      <c r="Y644" t="s">
        <v>59</v>
      </c>
    </row>
    <row r="645" spans="1:25" x14ac:dyDescent="0.25">
      <c r="A645">
        <v>476</v>
      </c>
      <c r="B645" t="s">
        <v>5272</v>
      </c>
      <c r="C645" t="s">
        <v>4850</v>
      </c>
      <c r="D645" t="s">
        <v>4851</v>
      </c>
      <c r="E645" t="s">
        <v>4837</v>
      </c>
      <c r="F645">
        <v>-1</v>
      </c>
      <c r="G645" t="s">
        <v>59</v>
      </c>
      <c r="H645" t="s">
        <v>59</v>
      </c>
      <c r="I645" t="s">
        <v>59</v>
      </c>
      <c r="J645" t="s">
        <v>59</v>
      </c>
      <c r="K645" t="s">
        <v>59</v>
      </c>
      <c r="L645" t="s">
        <v>59</v>
      </c>
      <c r="M645" t="s">
        <v>59</v>
      </c>
      <c r="N645" t="s">
        <v>59</v>
      </c>
      <c r="O645" t="s">
        <v>59</v>
      </c>
      <c r="P645" t="s">
        <v>59</v>
      </c>
      <c r="Q645" t="s">
        <v>59</v>
      </c>
      <c r="R645" t="s">
        <v>59</v>
      </c>
      <c r="S645" t="s">
        <v>59</v>
      </c>
      <c r="T645" t="s">
        <v>59</v>
      </c>
      <c r="U645" t="s">
        <v>59</v>
      </c>
      <c r="V645" t="s">
        <v>59</v>
      </c>
      <c r="W645" t="s">
        <v>59</v>
      </c>
      <c r="X645" t="s">
        <v>59</v>
      </c>
      <c r="Y645" t="s">
        <v>59</v>
      </c>
    </row>
    <row r="646" spans="1:25" x14ac:dyDescent="0.25">
      <c r="A646">
        <v>477</v>
      </c>
      <c r="B646" t="s">
        <v>5272</v>
      </c>
      <c r="C646" t="s">
        <v>4852</v>
      </c>
      <c r="D646" t="s">
        <v>4853</v>
      </c>
      <c r="E646" t="s">
        <v>4837</v>
      </c>
      <c r="F646">
        <v>-1</v>
      </c>
      <c r="G646" t="s">
        <v>59</v>
      </c>
      <c r="H646" t="s">
        <v>59</v>
      </c>
      <c r="I646" t="s">
        <v>59</v>
      </c>
      <c r="J646" t="s">
        <v>59</v>
      </c>
      <c r="K646" t="s">
        <v>59</v>
      </c>
      <c r="L646" t="s">
        <v>59</v>
      </c>
      <c r="M646" t="s">
        <v>59</v>
      </c>
      <c r="N646" t="s">
        <v>59</v>
      </c>
      <c r="O646" t="s">
        <v>59</v>
      </c>
      <c r="P646" t="s">
        <v>59</v>
      </c>
      <c r="Q646" t="s">
        <v>59</v>
      </c>
      <c r="R646" t="s">
        <v>59</v>
      </c>
      <c r="S646" t="s">
        <v>59</v>
      </c>
      <c r="T646" t="s">
        <v>59</v>
      </c>
      <c r="U646" t="s">
        <v>59</v>
      </c>
      <c r="V646" t="s">
        <v>59</v>
      </c>
      <c r="W646" t="s">
        <v>59</v>
      </c>
      <c r="X646" t="s">
        <v>59</v>
      </c>
      <c r="Y646" t="s">
        <v>59</v>
      </c>
    </row>
    <row r="647" spans="1:25" x14ac:dyDescent="0.25">
      <c r="A647">
        <v>478</v>
      </c>
      <c r="B647" t="s">
        <v>5272</v>
      </c>
      <c r="C647" t="s">
        <v>4854</v>
      </c>
      <c r="D647" t="s">
        <v>4855</v>
      </c>
      <c r="E647" t="s">
        <v>4837</v>
      </c>
      <c r="F647">
        <v>-1</v>
      </c>
      <c r="G647" t="s">
        <v>59</v>
      </c>
      <c r="H647" t="s">
        <v>59</v>
      </c>
      <c r="I647" t="s">
        <v>59</v>
      </c>
      <c r="J647" t="s">
        <v>59</v>
      </c>
      <c r="K647" t="s">
        <v>59</v>
      </c>
      <c r="L647" t="s">
        <v>59</v>
      </c>
      <c r="M647" t="s">
        <v>59</v>
      </c>
      <c r="N647" t="s">
        <v>59</v>
      </c>
      <c r="O647" t="s">
        <v>59</v>
      </c>
      <c r="P647" t="s">
        <v>59</v>
      </c>
      <c r="Q647" t="s">
        <v>59</v>
      </c>
      <c r="R647" t="s">
        <v>59</v>
      </c>
      <c r="S647" t="s">
        <v>59</v>
      </c>
      <c r="T647" t="s">
        <v>59</v>
      </c>
      <c r="U647" t="s">
        <v>59</v>
      </c>
      <c r="V647" t="s">
        <v>59</v>
      </c>
      <c r="W647" t="s">
        <v>59</v>
      </c>
      <c r="X647" t="s">
        <v>59</v>
      </c>
      <c r="Y647" t="s">
        <v>59</v>
      </c>
    </row>
    <row r="648" spans="1:25" x14ac:dyDescent="0.25">
      <c r="A648">
        <v>479</v>
      </c>
      <c r="B648" t="s">
        <v>5272</v>
      </c>
      <c r="C648" t="s">
        <v>4856</v>
      </c>
      <c r="D648" t="s">
        <v>4857</v>
      </c>
      <c r="E648" t="s">
        <v>4837</v>
      </c>
      <c r="F648">
        <v>-1</v>
      </c>
      <c r="G648" t="s">
        <v>59</v>
      </c>
      <c r="H648" t="s">
        <v>59</v>
      </c>
      <c r="I648" t="s">
        <v>59</v>
      </c>
      <c r="J648" t="s">
        <v>59</v>
      </c>
      <c r="K648" t="s">
        <v>59</v>
      </c>
      <c r="L648" t="s">
        <v>59</v>
      </c>
      <c r="M648" t="s">
        <v>59</v>
      </c>
      <c r="N648" t="s">
        <v>59</v>
      </c>
      <c r="O648" t="s">
        <v>59</v>
      </c>
      <c r="P648" t="s">
        <v>59</v>
      </c>
      <c r="Q648" t="s">
        <v>59</v>
      </c>
      <c r="R648" t="s">
        <v>59</v>
      </c>
      <c r="S648" t="s">
        <v>59</v>
      </c>
      <c r="T648" t="s">
        <v>59</v>
      </c>
      <c r="U648" t="s">
        <v>59</v>
      </c>
      <c r="V648" t="s">
        <v>59</v>
      </c>
      <c r="W648" t="s">
        <v>59</v>
      </c>
      <c r="X648" t="s">
        <v>59</v>
      </c>
      <c r="Y648" t="s">
        <v>59</v>
      </c>
    </row>
    <row r="649" spans="1:25" x14ac:dyDescent="0.25">
      <c r="A649">
        <v>303</v>
      </c>
      <c r="B649" t="s">
        <v>5272</v>
      </c>
      <c r="C649" t="s">
        <v>1577</v>
      </c>
      <c r="D649" t="s">
        <v>59</v>
      </c>
      <c r="E649" t="s">
        <v>59</v>
      </c>
      <c r="F649">
        <v>-1</v>
      </c>
      <c r="G649" t="s">
        <v>4576</v>
      </c>
      <c r="H649" t="s">
        <v>59</v>
      </c>
      <c r="I649" t="s">
        <v>59</v>
      </c>
      <c r="J649" t="s">
        <v>59</v>
      </c>
      <c r="K649" t="s">
        <v>59</v>
      </c>
      <c r="L649" t="s">
        <v>59</v>
      </c>
      <c r="M649" t="s">
        <v>59</v>
      </c>
      <c r="N649" t="s">
        <v>59</v>
      </c>
      <c r="O649" t="s">
        <v>59</v>
      </c>
      <c r="P649" t="s">
        <v>59</v>
      </c>
      <c r="Q649" t="s">
        <v>59</v>
      </c>
      <c r="R649" t="s">
        <v>59</v>
      </c>
      <c r="S649" t="s">
        <v>59</v>
      </c>
      <c r="T649" t="s">
        <v>59</v>
      </c>
      <c r="U649" t="s">
        <v>59</v>
      </c>
      <c r="V649" t="s">
        <v>59</v>
      </c>
      <c r="W649" t="s">
        <v>59</v>
      </c>
      <c r="X649" t="s">
        <v>59</v>
      </c>
      <c r="Y649" t="s">
        <v>59</v>
      </c>
    </row>
    <row r="650" spans="1:25" x14ac:dyDescent="0.25">
      <c r="A650">
        <v>397</v>
      </c>
      <c r="B650" t="s">
        <v>5272</v>
      </c>
      <c r="C650" t="s">
        <v>1974</v>
      </c>
      <c r="D650" t="s">
        <v>59</v>
      </c>
      <c r="E650" t="s">
        <v>59</v>
      </c>
      <c r="F650">
        <v>-1</v>
      </c>
      <c r="G650" t="s">
        <v>4586</v>
      </c>
      <c r="H650" t="s">
        <v>4602</v>
      </c>
      <c r="I650" t="s">
        <v>4588</v>
      </c>
      <c r="J650" t="s">
        <v>4604</v>
      </c>
      <c r="K650" t="s">
        <v>4590</v>
      </c>
      <c r="L650" t="s">
        <v>4592</v>
      </c>
      <c r="M650" t="s">
        <v>4594</v>
      </c>
      <c r="N650" t="s">
        <v>4596</v>
      </c>
      <c r="O650" t="s">
        <v>4600</v>
      </c>
      <c r="P650" t="s">
        <v>4606</v>
      </c>
      <c r="Q650" t="s">
        <v>4608</v>
      </c>
      <c r="R650" t="s">
        <v>4610</v>
      </c>
      <c r="S650" t="s">
        <v>4612</v>
      </c>
      <c r="T650" t="s">
        <v>59</v>
      </c>
      <c r="U650" t="s">
        <v>59</v>
      </c>
      <c r="V650" t="s">
        <v>59</v>
      </c>
      <c r="W650" t="s">
        <v>59</v>
      </c>
      <c r="X650" t="s">
        <v>59</v>
      </c>
      <c r="Y650" t="s">
        <v>59</v>
      </c>
    </row>
    <row r="651" spans="1:25" x14ac:dyDescent="0.25">
      <c r="A651">
        <v>299</v>
      </c>
      <c r="B651" t="s">
        <v>5272</v>
      </c>
      <c r="C651" t="s">
        <v>1428</v>
      </c>
      <c r="D651" t="s">
        <v>59</v>
      </c>
      <c r="E651" t="s">
        <v>59</v>
      </c>
      <c r="F651">
        <v>-1</v>
      </c>
      <c r="G651" t="s">
        <v>4194</v>
      </c>
      <c r="H651" t="s">
        <v>59</v>
      </c>
      <c r="I651" t="s">
        <v>59</v>
      </c>
      <c r="J651" t="s">
        <v>59</v>
      </c>
      <c r="K651" t="s">
        <v>59</v>
      </c>
      <c r="L651" t="s">
        <v>59</v>
      </c>
      <c r="M651" t="s">
        <v>59</v>
      </c>
      <c r="N651" t="s">
        <v>59</v>
      </c>
      <c r="O651" t="s">
        <v>59</v>
      </c>
      <c r="P651" t="s">
        <v>59</v>
      </c>
      <c r="Q651" t="s">
        <v>59</v>
      </c>
      <c r="R651" t="s">
        <v>59</v>
      </c>
      <c r="S651" t="s">
        <v>59</v>
      </c>
      <c r="T651" t="s">
        <v>59</v>
      </c>
      <c r="U651" t="s">
        <v>59</v>
      </c>
      <c r="V651" t="s">
        <v>59</v>
      </c>
      <c r="W651" t="s">
        <v>59</v>
      </c>
      <c r="X651" t="s">
        <v>59</v>
      </c>
      <c r="Y651" t="s">
        <v>59</v>
      </c>
    </row>
    <row r="652" spans="1:25" x14ac:dyDescent="0.25">
      <c r="A652">
        <v>295</v>
      </c>
      <c r="B652" t="s">
        <v>5272</v>
      </c>
      <c r="C652" t="s">
        <v>1555</v>
      </c>
      <c r="D652" t="s">
        <v>59</v>
      </c>
      <c r="E652" t="s">
        <v>59</v>
      </c>
      <c r="F652">
        <v>-1</v>
      </c>
      <c r="G652" t="s">
        <v>4203</v>
      </c>
      <c r="H652" t="s">
        <v>59</v>
      </c>
      <c r="I652" t="s">
        <v>59</v>
      </c>
      <c r="J652" t="s">
        <v>59</v>
      </c>
      <c r="K652" t="s">
        <v>59</v>
      </c>
      <c r="L652" t="s">
        <v>59</v>
      </c>
      <c r="M652" t="s">
        <v>59</v>
      </c>
      <c r="N652" t="s">
        <v>59</v>
      </c>
      <c r="O652" t="s">
        <v>59</v>
      </c>
      <c r="P652" t="s">
        <v>59</v>
      </c>
      <c r="Q652" t="s">
        <v>59</v>
      </c>
      <c r="R652" t="s">
        <v>59</v>
      </c>
      <c r="S652" t="s">
        <v>59</v>
      </c>
      <c r="T652" t="s">
        <v>59</v>
      </c>
      <c r="U652" t="s">
        <v>59</v>
      </c>
      <c r="V652" t="s">
        <v>59</v>
      </c>
      <c r="W652" t="s">
        <v>59</v>
      </c>
      <c r="X652" t="s">
        <v>59</v>
      </c>
      <c r="Y652" t="s">
        <v>59</v>
      </c>
    </row>
    <row r="653" spans="1:25" x14ac:dyDescent="0.25">
      <c r="A653">
        <v>118</v>
      </c>
      <c r="B653" t="s">
        <v>5272</v>
      </c>
      <c r="C653" t="s">
        <v>52</v>
      </c>
      <c r="D653" t="s">
        <v>59</v>
      </c>
      <c r="E653" t="s">
        <v>59</v>
      </c>
      <c r="F653">
        <v>-1</v>
      </c>
      <c r="G653" t="s">
        <v>4190</v>
      </c>
      <c r="H653" t="s">
        <v>59</v>
      </c>
      <c r="I653" t="s">
        <v>59</v>
      </c>
      <c r="J653" t="s">
        <v>59</v>
      </c>
      <c r="K653" t="s">
        <v>59</v>
      </c>
      <c r="L653" t="s">
        <v>59</v>
      </c>
      <c r="M653" t="s">
        <v>59</v>
      </c>
      <c r="N653" t="s">
        <v>59</v>
      </c>
      <c r="O653" t="s">
        <v>59</v>
      </c>
      <c r="P653" t="s">
        <v>59</v>
      </c>
      <c r="Q653" t="s">
        <v>59</v>
      </c>
      <c r="R653" t="s">
        <v>59</v>
      </c>
      <c r="S653" t="s">
        <v>59</v>
      </c>
      <c r="T653" t="s">
        <v>59</v>
      </c>
      <c r="U653" t="s">
        <v>59</v>
      </c>
      <c r="V653" t="s">
        <v>59</v>
      </c>
      <c r="W653" t="s">
        <v>59</v>
      </c>
      <c r="X653" t="s">
        <v>59</v>
      </c>
      <c r="Y653" t="s">
        <v>59</v>
      </c>
    </row>
    <row r="654" spans="1:25" x14ac:dyDescent="0.25">
      <c r="A654">
        <v>121</v>
      </c>
      <c r="B654" t="s">
        <v>5272</v>
      </c>
      <c r="C654" t="s">
        <v>784</v>
      </c>
      <c r="D654" t="s">
        <v>59</v>
      </c>
      <c r="E654" t="s">
        <v>59</v>
      </c>
      <c r="F654">
        <v>-1</v>
      </c>
      <c r="G654" t="s">
        <v>4190</v>
      </c>
      <c r="H654" t="s">
        <v>59</v>
      </c>
      <c r="I654" t="s">
        <v>59</v>
      </c>
      <c r="J654" t="s">
        <v>59</v>
      </c>
      <c r="K654" t="s">
        <v>59</v>
      </c>
      <c r="L654" t="s">
        <v>59</v>
      </c>
      <c r="M654" t="s">
        <v>59</v>
      </c>
      <c r="N654" t="s">
        <v>59</v>
      </c>
      <c r="O654" t="s">
        <v>59</v>
      </c>
      <c r="P654" t="s">
        <v>59</v>
      </c>
      <c r="Q654" t="s">
        <v>59</v>
      </c>
      <c r="R654" t="s">
        <v>59</v>
      </c>
      <c r="S654" t="s">
        <v>59</v>
      </c>
      <c r="T654" t="s">
        <v>59</v>
      </c>
      <c r="U654" t="s">
        <v>59</v>
      </c>
      <c r="V654" t="s">
        <v>59</v>
      </c>
      <c r="W654" t="s">
        <v>59</v>
      </c>
      <c r="X654" t="s">
        <v>59</v>
      </c>
      <c r="Y654" t="s">
        <v>59</v>
      </c>
    </row>
    <row r="655" spans="1:25" x14ac:dyDescent="0.25">
      <c r="A655">
        <v>124</v>
      </c>
      <c r="B655" t="s">
        <v>5272</v>
      </c>
      <c r="C655" t="s">
        <v>855</v>
      </c>
      <c r="D655" t="s">
        <v>59</v>
      </c>
      <c r="E655" t="s">
        <v>59</v>
      </c>
      <c r="F655">
        <v>-1</v>
      </c>
      <c r="G655" t="s">
        <v>4190</v>
      </c>
      <c r="H655" t="s">
        <v>59</v>
      </c>
      <c r="I655" t="s">
        <v>59</v>
      </c>
      <c r="J655" t="s">
        <v>59</v>
      </c>
      <c r="K655" t="s">
        <v>59</v>
      </c>
      <c r="L655" t="s">
        <v>59</v>
      </c>
      <c r="M655" t="s">
        <v>59</v>
      </c>
      <c r="N655" t="s">
        <v>59</v>
      </c>
      <c r="O655" t="s">
        <v>59</v>
      </c>
      <c r="P655" t="s">
        <v>59</v>
      </c>
      <c r="Q655" t="s">
        <v>59</v>
      </c>
      <c r="R655" t="s">
        <v>59</v>
      </c>
      <c r="S655" t="s">
        <v>59</v>
      </c>
      <c r="T655" t="s">
        <v>59</v>
      </c>
      <c r="U655" t="s">
        <v>59</v>
      </c>
      <c r="V655" t="s">
        <v>59</v>
      </c>
      <c r="W655" t="s">
        <v>59</v>
      </c>
      <c r="X655" t="s">
        <v>59</v>
      </c>
      <c r="Y655" t="s">
        <v>59</v>
      </c>
    </row>
    <row r="656" spans="1:25" x14ac:dyDescent="0.25">
      <c r="A656">
        <v>127</v>
      </c>
      <c r="B656" t="s">
        <v>5272</v>
      </c>
      <c r="C656" t="s">
        <v>787</v>
      </c>
      <c r="D656" t="s">
        <v>59</v>
      </c>
      <c r="E656" t="s">
        <v>59</v>
      </c>
      <c r="F656">
        <v>-1</v>
      </c>
      <c r="G656" t="s">
        <v>4190</v>
      </c>
      <c r="H656" t="s">
        <v>59</v>
      </c>
      <c r="I656" t="s">
        <v>59</v>
      </c>
      <c r="J656" t="s">
        <v>59</v>
      </c>
      <c r="K656" t="s">
        <v>59</v>
      </c>
      <c r="L656" t="s">
        <v>59</v>
      </c>
      <c r="M656" t="s">
        <v>59</v>
      </c>
      <c r="N656" t="s">
        <v>59</v>
      </c>
      <c r="O656" t="s">
        <v>59</v>
      </c>
      <c r="P656" t="s">
        <v>59</v>
      </c>
      <c r="Q656" t="s">
        <v>59</v>
      </c>
      <c r="R656" t="s">
        <v>59</v>
      </c>
      <c r="S656" t="s">
        <v>59</v>
      </c>
      <c r="T656" t="s">
        <v>59</v>
      </c>
      <c r="U656" t="s">
        <v>59</v>
      </c>
      <c r="V656" t="s">
        <v>59</v>
      </c>
      <c r="W656" t="s">
        <v>59</v>
      </c>
      <c r="X656" t="s">
        <v>59</v>
      </c>
      <c r="Y656" t="s">
        <v>59</v>
      </c>
    </row>
    <row r="657" spans="1:25" x14ac:dyDescent="0.25">
      <c r="A657">
        <v>111</v>
      </c>
      <c r="B657" t="s">
        <v>5272</v>
      </c>
      <c r="C657" t="s">
        <v>790</v>
      </c>
      <c r="D657" t="s">
        <v>59</v>
      </c>
      <c r="E657" t="s">
        <v>59</v>
      </c>
      <c r="F657">
        <v>-1</v>
      </c>
      <c r="G657" t="s">
        <v>4190</v>
      </c>
      <c r="H657" t="s">
        <v>59</v>
      </c>
      <c r="I657" t="s">
        <v>59</v>
      </c>
      <c r="J657" t="s">
        <v>59</v>
      </c>
      <c r="K657" t="s">
        <v>59</v>
      </c>
      <c r="L657" t="s">
        <v>59</v>
      </c>
      <c r="M657" t="s">
        <v>59</v>
      </c>
      <c r="N657" t="s">
        <v>59</v>
      </c>
      <c r="O657" t="s">
        <v>59</v>
      </c>
      <c r="P657" t="s">
        <v>59</v>
      </c>
      <c r="Q657" t="s">
        <v>59</v>
      </c>
      <c r="R657" t="s">
        <v>59</v>
      </c>
      <c r="S657" t="s">
        <v>59</v>
      </c>
      <c r="T657" t="s">
        <v>59</v>
      </c>
      <c r="U657" t="s">
        <v>59</v>
      </c>
      <c r="V657" t="s">
        <v>59</v>
      </c>
      <c r="W657" t="s">
        <v>59</v>
      </c>
      <c r="X657" t="s">
        <v>59</v>
      </c>
      <c r="Y657" t="s">
        <v>59</v>
      </c>
    </row>
    <row r="658" spans="1:25" x14ac:dyDescent="0.25">
      <c r="A658">
        <v>296</v>
      </c>
      <c r="B658" t="s">
        <v>5272</v>
      </c>
      <c r="C658" t="s">
        <v>1433</v>
      </c>
      <c r="D658" t="s">
        <v>59</v>
      </c>
      <c r="E658" t="s">
        <v>59</v>
      </c>
      <c r="F658">
        <v>-1</v>
      </c>
      <c r="G658" t="s">
        <v>4549</v>
      </c>
      <c r="H658" t="s">
        <v>59</v>
      </c>
      <c r="I658" t="s">
        <v>59</v>
      </c>
      <c r="J658" t="s">
        <v>59</v>
      </c>
      <c r="K658" t="s">
        <v>59</v>
      </c>
      <c r="L658" t="s">
        <v>59</v>
      </c>
      <c r="M658" t="s">
        <v>59</v>
      </c>
      <c r="N658" t="s">
        <v>59</v>
      </c>
      <c r="O658" t="s">
        <v>59</v>
      </c>
      <c r="P658" t="s">
        <v>59</v>
      </c>
      <c r="Q658" t="s">
        <v>59</v>
      </c>
      <c r="R658" t="s">
        <v>59</v>
      </c>
      <c r="S658" t="s">
        <v>59</v>
      </c>
      <c r="T658" t="s">
        <v>59</v>
      </c>
      <c r="U658" t="s">
        <v>59</v>
      </c>
      <c r="V658" t="s">
        <v>59</v>
      </c>
      <c r="W658" t="s">
        <v>59</v>
      </c>
      <c r="X658" t="s">
        <v>59</v>
      </c>
      <c r="Y658" t="s">
        <v>59</v>
      </c>
    </row>
    <row r="659" spans="1:25" x14ac:dyDescent="0.25">
      <c r="A659">
        <v>311</v>
      </c>
      <c r="B659" t="s">
        <v>5272</v>
      </c>
      <c r="C659" t="s">
        <v>1522</v>
      </c>
      <c r="D659" t="s">
        <v>59</v>
      </c>
      <c r="E659" t="s">
        <v>59</v>
      </c>
      <c r="F659">
        <v>-1</v>
      </c>
      <c r="G659" t="s">
        <v>4543</v>
      </c>
      <c r="H659" t="s">
        <v>59</v>
      </c>
      <c r="I659" t="s">
        <v>59</v>
      </c>
      <c r="J659" t="s">
        <v>59</v>
      </c>
      <c r="K659" t="s">
        <v>59</v>
      </c>
      <c r="L659" t="s">
        <v>59</v>
      </c>
      <c r="M659" t="s">
        <v>59</v>
      </c>
      <c r="N659" t="s">
        <v>59</v>
      </c>
      <c r="O659" t="s">
        <v>59</v>
      </c>
      <c r="P659" t="s">
        <v>59</v>
      </c>
      <c r="Q659" t="s">
        <v>59</v>
      </c>
      <c r="R659" t="s">
        <v>59</v>
      </c>
      <c r="S659" t="s">
        <v>59</v>
      </c>
      <c r="T659" t="s">
        <v>59</v>
      </c>
      <c r="U659" t="s">
        <v>59</v>
      </c>
      <c r="V659" t="s">
        <v>59</v>
      </c>
      <c r="W659" t="s">
        <v>59</v>
      </c>
      <c r="X659" t="s">
        <v>59</v>
      </c>
      <c r="Y659" t="s">
        <v>59</v>
      </c>
    </row>
    <row r="660" spans="1:25" x14ac:dyDescent="0.25">
      <c r="A660">
        <v>313</v>
      </c>
      <c r="B660" t="s">
        <v>5272</v>
      </c>
      <c r="C660" t="s">
        <v>1527</v>
      </c>
      <c r="D660" t="s">
        <v>59</v>
      </c>
      <c r="E660" t="s">
        <v>59</v>
      </c>
      <c r="F660">
        <v>-1</v>
      </c>
      <c r="G660" t="s">
        <v>4543</v>
      </c>
      <c r="H660" t="s">
        <v>59</v>
      </c>
      <c r="I660" t="s">
        <v>59</v>
      </c>
      <c r="J660" t="s">
        <v>59</v>
      </c>
      <c r="K660" t="s">
        <v>59</v>
      </c>
      <c r="L660" t="s">
        <v>59</v>
      </c>
      <c r="M660" t="s">
        <v>59</v>
      </c>
      <c r="N660" t="s">
        <v>59</v>
      </c>
      <c r="O660" t="s">
        <v>59</v>
      </c>
      <c r="P660" t="s">
        <v>59</v>
      </c>
      <c r="Q660" t="s">
        <v>59</v>
      </c>
      <c r="R660" t="s">
        <v>59</v>
      </c>
      <c r="S660" t="s">
        <v>59</v>
      </c>
      <c r="T660" t="s">
        <v>59</v>
      </c>
      <c r="U660" t="s">
        <v>59</v>
      </c>
      <c r="V660" t="s">
        <v>59</v>
      </c>
      <c r="W660" t="s">
        <v>59</v>
      </c>
      <c r="X660" t="s">
        <v>59</v>
      </c>
      <c r="Y660" t="s">
        <v>59</v>
      </c>
    </row>
    <row r="661" spans="1:25" x14ac:dyDescent="0.25">
      <c r="A661">
        <v>312</v>
      </c>
      <c r="B661" t="s">
        <v>5272</v>
      </c>
      <c r="C661" t="s">
        <v>1572</v>
      </c>
      <c r="D661" t="s">
        <v>59</v>
      </c>
      <c r="E661" t="s">
        <v>59</v>
      </c>
      <c r="F661">
        <v>-1</v>
      </c>
      <c r="G661" t="s">
        <v>4567</v>
      </c>
      <c r="H661" t="s">
        <v>59</v>
      </c>
      <c r="I661" t="s">
        <v>59</v>
      </c>
      <c r="J661" t="s">
        <v>59</v>
      </c>
      <c r="K661" t="s">
        <v>59</v>
      </c>
      <c r="L661" t="s">
        <v>59</v>
      </c>
      <c r="M661" t="s">
        <v>59</v>
      </c>
      <c r="N661" t="s">
        <v>59</v>
      </c>
      <c r="O661" t="s">
        <v>59</v>
      </c>
      <c r="P661" t="s">
        <v>59</v>
      </c>
      <c r="Q661" t="s">
        <v>59</v>
      </c>
      <c r="R661" t="s">
        <v>59</v>
      </c>
      <c r="S661" t="s">
        <v>59</v>
      </c>
      <c r="T661" t="s">
        <v>59</v>
      </c>
      <c r="U661" t="s">
        <v>59</v>
      </c>
      <c r="V661" t="s">
        <v>59</v>
      </c>
      <c r="W661" t="s">
        <v>59</v>
      </c>
      <c r="X661" t="s">
        <v>59</v>
      </c>
      <c r="Y661" t="s">
        <v>59</v>
      </c>
    </row>
    <row r="662" spans="1:25" x14ac:dyDescent="0.25">
      <c r="A662">
        <v>161</v>
      </c>
      <c r="B662" t="s">
        <v>5272</v>
      </c>
      <c r="C662" t="s">
        <v>4305</v>
      </c>
      <c r="D662" t="s">
        <v>59</v>
      </c>
      <c r="E662" t="s">
        <v>59</v>
      </c>
      <c r="F662">
        <v>-1</v>
      </c>
      <c r="G662" t="s">
        <v>5275</v>
      </c>
      <c r="H662" t="s">
        <v>5276</v>
      </c>
      <c r="I662" t="s">
        <v>5277</v>
      </c>
      <c r="J662" t="s">
        <v>5278</v>
      </c>
      <c r="K662" t="s">
        <v>59</v>
      </c>
      <c r="L662" t="s">
        <v>59</v>
      </c>
      <c r="M662" t="s">
        <v>59</v>
      </c>
      <c r="N662" t="s">
        <v>59</v>
      </c>
      <c r="O662" t="s">
        <v>59</v>
      </c>
      <c r="P662" t="s">
        <v>59</v>
      </c>
      <c r="Q662" t="s">
        <v>59</v>
      </c>
      <c r="R662" t="s">
        <v>59</v>
      </c>
      <c r="S662" t="s">
        <v>59</v>
      </c>
      <c r="T662" t="s">
        <v>59</v>
      </c>
      <c r="U662" t="s">
        <v>59</v>
      </c>
      <c r="V662" t="s">
        <v>59</v>
      </c>
      <c r="W662" t="s">
        <v>59</v>
      </c>
      <c r="X662" t="s">
        <v>59</v>
      </c>
      <c r="Y662" t="s">
        <v>59</v>
      </c>
    </row>
    <row r="663" spans="1:25" x14ac:dyDescent="0.25">
      <c r="A663">
        <v>395</v>
      </c>
      <c r="B663" t="s">
        <v>5272</v>
      </c>
      <c r="C663" t="s">
        <v>1982</v>
      </c>
      <c r="D663" t="s">
        <v>59</v>
      </c>
      <c r="E663" t="s">
        <v>59</v>
      </c>
      <c r="F663">
        <v>-1</v>
      </c>
      <c r="G663" t="s">
        <v>4709</v>
      </c>
      <c r="H663" t="s">
        <v>4705</v>
      </c>
      <c r="I663" t="s">
        <v>4707</v>
      </c>
      <c r="J663" t="s">
        <v>4703</v>
      </c>
      <c r="K663" t="s">
        <v>4711</v>
      </c>
      <c r="L663" t="s">
        <v>4713</v>
      </c>
      <c r="M663" t="s">
        <v>4715</v>
      </c>
      <c r="N663" t="s">
        <v>4717</v>
      </c>
      <c r="O663" t="s">
        <v>4719</v>
      </c>
      <c r="P663" t="s">
        <v>4721</v>
      </c>
      <c r="Q663" t="s">
        <v>59</v>
      </c>
      <c r="R663" t="s">
        <v>59</v>
      </c>
      <c r="S663" t="s">
        <v>59</v>
      </c>
      <c r="T663" t="s">
        <v>59</v>
      </c>
      <c r="U663" t="s">
        <v>59</v>
      </c>
      <c r="V663" t="s">
        <v>59</v>
      </c>
      <c r="W663" t="s">
        <v>59</v>
      </c>
      <c r="X663" t="s">
        <v>59</v>
      </c>
      <c r="Y663" t="s">
        <v>59</v>
      </c>
    </row>
    <row r="664" spans="1:25" x14ac:dyDescent="0.25">
      <c r="A664">
        <v>307</v>
      </c>
      <c r="B664" t="s">
        <v>5272</v>
      </c>
      <c r="C664" t="s">
        <v>1461</v>
      </c>
      <c r="D664" t="s">
        <v>59</v>
      </c>
      <c r="E664" t="s">
        <v>59</v>
      </c>
      <c r="F664">
        <v>-1</v>
      </c>
      <c r="G664" t="s">
        <v>4196</v>
      </c>
      <c r="H664" t="s">
        <v>59</v>
      </c>
      <c r="I664" t="s">
        <v>59</v>
      </c>
      <c r="J664" t="s">
        <v>59</v>
      </c>
      <c r="K664" t="s">
        <v>59</v>
      </c>
      <c r="L664" t="s">
        <v>59</v>
      </c>
      <c r="M664" t="s">
        <v>59</v>
      </c>
      <c r="N664" t="s">
        <v>59</v>
      </c>
      <c r="O664" t="s">
        <v>59</v>
      </c>
      <c r="P664" t="s">
        <v>59</v>
      </c>
      <c r="Q664" t="s">
        <v>59</v>
      </c>
      <c r="R664" t="s">
        <v>59</v>
      </c>
      <c r="S664" t="s">
        <v>59</v>
      </c>
      <c r="T664" t="s">
        <v>59</v>
      </c>
      <c r="U664" t="s">
        <v>59</v>
      </c>
      <c r="V664" t="s">
        <v>59</v>
      </c>
      <c r="W664" t="s">
        <v>59</v>
      </c>
      <c r="X664" t="s">
        <v>59</v>
      </c>
      <c r="Y664" t="s">
        <v>59</v>
      </c>
    </row>
    <row r="665" spans="1:25" x14ac:dyDescent="0.25">
      <c r="A665">
        <v>390</v>
      </c>
      <c r="B665" t="s">
        <v>5272</v>
      </c>
      <c r="C665" t="s">
        <v>840</v>
      </c>
      <c r="D665" t="s">
        <v>59</v>
      </c>
      <c r="E665" t="s">
        <v>59</v>
      </c>
      <c r="F665">
        <v>-1</v>
      </c>
      <c r="G665" t="s">
        <v>4196</v>
      </c>
      <c r="H665" t="s">
        <v>59</v>
      </c>
      <c r="I665" t="s">
        <v>59</v>
      </c>
      <c r="J665" t="s">
        <v>59</v>
      </c>
      <c r="K665" t="s">
        <v>59</v>
      </c>
      <c r="L665" t="s">
        <v>59</v>
      </c>
      <c r="M665" t="s">
        <v>59</v>
      </c>
      <c r="N665" t="s">
        <v>59</v>
      </c>
      <c r="O665" t="s">
        <v>59</v>
      </c>
      <c r="P665" t="s">
        <v>59</v>
      </c>
      <c r="Q665" t="s">
        <v>59</v>
      </c>
      <c r="R665" t="s">
        <v>59</v>
      </c>
      <c r="S665" t="s">
        <v>59</v>
      </c>
      <c r="T665" t="s">
        <v>59</v>
      </c>
      <c r="U665" t="s">
        <v>59</v>
      </c>
      <c r="V665" t="s">
        <v>59</v>
      </c>
      <c r="W665" t="s">
        <v>59</v>
      </c>
      <c r="X665" t="s">
        <v>59</v>
      </c>
      <c r="Y665" t="s">
        <v>59</v>
      </c>
    </row>
    <row r="666" spans="1:25" x14ac:dyDescent="0.25">
      <c r="A666">
        <v>310</v>
      </c>
      <c r="B666" t="s">
        <v>5272</v>
      </c>
      <c r="C666" t="s">
        <v>1496</v>
      </c>
      <c r="D666" t="s">
        <v>59</v>
      </c>
      <c r="E666" t="s">
        <v>59</v>
      </c>
      <c r="F666">
        <v>-1</v>
      </c>
      <c r="G666" t="s">
        <v>4569</v>
      </c>
      <c r="H666" t="s">
        <v>59</v>
      </c>
      <c r="I666" t="s">
        <v>59</v>
      </c>
      <c r="J666" t="s">
        <v>59</v>
      </c>
      <c r="K666" t="s">
        <v>59</v>
      </c>
      <c r="L666" t="s">
        <v>59</v>
      </c>
      <c r="M666" t="s">
        <v>59</v>
      </c>
      <c r="N666" t="s">
        <v>59</v>
      </c>
      <c r="O666" t="s">
        <v>59</v>
      </c>
      <c r="P666" t="s">
        <v>59</v>
      </c>
      <c r="Q666" t="s">
        <v>59</v>
      </c>
      <c r="R666" t="s">
        <v>59</v>
      </c>
      <c r="S666" t="s">
        <v>59</v>
      </c>
      <c r="T666" t="s">
        <v>59</v>
      </c>
      <c r="U666" t="s">
        <v>59</v>
      </c>
      <c r="V666" t="s">
        <v>59</v>
      </c>
      <c r="W666" t="s">
        <v>59</v>
      </c>
      <c r="X666" t="s">
        <v>59</v>
      </c>
      <c r="Y666" t="s">
        <v>59</v>
      </c>
    </row>
    <row r="667" spans="1:25" x14ac:dyDescent="0.25">
      <c r="A667">
        <v>301</v>
      </c>
      <c r="B667" t="s">
        <v>5272</v>
      </c>
      <c r="C667" t="s">
        <v>1504</v>
      </c>
      <c r="D667" t="s">
        <v>59</v>
      </c>
      <c r="E667" t="s">
        <v>59</v>
      </c>
      <c r="F667">
        <v>-1</v>
      </c>
      <c r="G667" t="s">
        <v>4582</v>
      </c>
      <c r="H667" t="s">
        <v>59</v>
      </c>
      <c r="I667" t="s">
        <v>59</v>
      </c>
      <c r="J667" t="s">
        <v>59</v>
      </c>
      <c r="K667" t="s">
        <v>59</v>
      </c>
      <c r="L667" t="s">
        <v>59</v>
      </c>
      <c r="M667" t="s">
        <v>59</v>
      </c>
      <c r="N667" t="s">
        <v>59</v>
      </c>
      <c r="O667" t="s">
        <v>59</v>
      </c>
      <c r="P667" t="s">
        <v>59</v>
      </c>
      <c r="Q667" t="s">
        <v>59</v>
      </c>
      <c r="R667" t="s">
        <v>59</v>
      </c>
      <c r="S667" t="s">
        <v>59</v>
      </c>
      <c r="T667" t="s">
        <v>59</v>
      </c>
      <c r="U667" t="s">
        <v>59</v>
      </c>
      <c r="V667" t="s">
        <v>59</v>
      </c>
      <c r="W667" t="s">
        <v>59</v>
      </c>
      <c r="X667" t="s">
        <v>59</v>
      </c>
      <c r="Y667" t="s">
        <v>59</v>
      </c>
    </row>
    <row r="668" spans="1:25" x14ac:dyDescent="0.25">
      <c r="A668">
        <v>315</v>
      </c>
      <c r="B668" t="s">
        <v>5272</v>
      </c>
      <c r="C668" t="s">
        <v>1509</v>
      </c>
      <c r="D668" t="s">
        <v>59</v>
      </c>
      <c r="E668" t="s">
        <v>59</v>
      </c>
      <c r="F668">
        <v>-1</v>
      </c>
      <c r="G668" t="s">
        <v>4563</v>
      </c>
      <c r="H668" t="s">
        <v>59</v>
      </c>
      <c r="I668" t="s">
        <v>59</v>
      </c>
      <c r="J668" t="s">
        <v>59</v>
      </c>
      <c r="K668" t="s">
        <v>59</v>
      </c>
      <c r="L668" t="s">
        <v>59</v>
      </c>
      <c r="M668" t="s">
        <v>59</v>
      </c>
      <c r="N668" t="s">
        <v>59</v>
      </c>
      <c r="O668" t="s">
        <v>59</v>
      </c>
      <c r="P668" t="s">
        <v>59</v>
      </c>
      <c r="Q668" t="s">
        <v>59</v>
      </c>
      <c r="R668" t="s">
        <v>59</v>
      </c>
      <c r="S668" t="s">
        <v>59</v>
      </c>
      <c r="T668" t="s">
        <v>59</v>
      </c>
      <c r="U668" t="s">
        <v>59</v>
      </c>
      <c r="V668" t="s">
        <v>59</v>
      </c>
      <c r="W668" t="s">
        <v>59</v>
      </c>
      <c r="X668" t="s">
        <v>59</v>
      </c>
      <c r="Y668" t="s">
        <v>59</v>
      </c>
    </row>
    <row r="669" spans="1:25" x14ac:dyDescent="0.25">
      <c r="A669">
        <v>396</v>
      </c>
      <c r="B669" t="s">
        <v>5272</v>
      </c>
      <c r="C669" t="s">
        <v>1984</v>
      </c>
      <c r="D669" t="s">
        <v>59</v>
      </c>
      <c r="E669" t="s">
        <v>59</v>
      </c>
      <c r="F669">
        <v>-1</v>
      </c>
      <c r="G669" t="s">
        <v>4723</v>
      </c>
      <c r="H669" t="s">
        <v>4725</v>
      </c>
      <c r="I669" t="s">
        <v>4727</v>
      </c>
      <c r="J669" t="s">
        <v>4729</v>
      </c>
      <c r="K669" t="s">
        <v>4731</v>
      </c>
      <c r="L669" t="s">
        <v>4733</v>
      </c>
      <c r="M669" t="s">
        <v>4735</v>
      </c>
      <c r="N669" t="s">
        <v>4737</v>
      </c>
      <c r="O669" t="s">
        <v>4741</v>
      </c>
      <c r="P669" t="s">
        <v>4743</v>
      </c>
      <c r="Q669" t="s">
        <v>4745</v>
      </c>
      <c r="R669" t="s">
        <v>4739</v>
      </c>
      <c r="S669" t="s">
        <v>59</v>
      </c>
      <c r="T669" t="s">
        <v>59</v>
      </c>
      <c r="U669" t="s">
        <v>59</v>
      </c>
      <c r="V669" t="s">
        <v>59</v>
      </c>
      <c r="W669" t="s">
        <v>59</v>
      </c>
      <c r="X669" t="s">
        <v>59</v>
      </c>
      <c r="Y669" t="s">
        <v>59</v>
      </c>
    </row>
    <row r="670" spans="1:25" x14ac:dyDescent="0.25">
      <c r="A670">
        <v>435</v>
      </c>
      <c r="B670" t="s">
        <v>5272</v>
      </c>
      <c r="C670" t="s">
        <v>1988</v>
      </c>
      <c r="D670" t="s">
        <v>59</v>
      </c>
      <c r="E670" t="s">
        <v>59</v>
      </c>
      <c r="F670">
        <v>-1</v>
      </c>
      <c r="G670" t="s">
        <v>4622</v>
      </c>
      <c r="H670" t="s">
        <v>4624</v>
      </c>
      <c r="I670" t="s">
        <v>4626</v>
      </c>
      <c r="J670" t="s">
        <v>4628</v>
      </c>
      <c r="K670" t="s">
        <v>4630</v>
      </c>
      <c r="L670" t="s">
        <v>4632</v>
      </c>
      <c r="M670" t="s">
        <v>4634</v>
      </c>
      <c r="N670" t="s">
        <v>4636</v>
      </c>
      <c r="O670" t="s">
        <v>4638</v>
      </c>
      <c r="P670" t="s">
        <v>4640</v>
      </c>
      <c r="Q670" t="s">
        <v>4642</v>
      </c>
      <c r="R670" t="s">
        <v>4644</v>
      </c>
      <c r="S670" t="s">
        <v>59</v>
      </c>
      <c r="T670" t="s">
        <v>59</v>
      </c>
      <c r="U670" t="s">
        <v>59</v>
      </c>
      <c r="V670" t="s">
        <v>59</v>
      </c>
      <c r="W670" t="s">
        <v>59</v>
      </c>
      <c r="X670" t="s">
        <v>59</v>
      </c>
      <c r="Y670" t="s">
        <v>59</v>
      </c>
    </row>
    <row r="671" spans="1:25" x14ac:dyDescent="0.25">
      <c r="A671">
        <v>316</v>
      </c>
      <c r="B671" t="s">
        <v>5272</v>
      </c>
      <c r="C671" t="s">
        <v>4560</v>
      </c>
      <c r="D671" t="s">
        <v>59</v>
      </c>
      <c r="E671" t="s">
        <v>59</v>
      </c>
      <c r="F671">
        <v>-1</v>
      </c>
      <c r="G671" t="s">
        <v>4561</v>
      </c>
      <c r="H671" t="s">
        <v>59</v>
      </c>
      <c r="I671" t="s">
        <v>59</v>
      </c>
      <c r="J671" t="s">
        <v>59</v>
      </c>
      <c r="K671" t="s">
        <v>59</v>
      </c>
      <c r="L671" t="s">
        <v>59</v>
      </c>
      <c r="M671" t="s">
        <v>59</v>
      </c>
      <c r="N671" t="s">
        <v>59</v>
      </c>
      <c r="O671" t="s">
        <v>59</v>
      </c>
      <c r="P671" t="s">
        <v>59</v>
      </c>
      <c r="Q671" t="s">
        <v>59</v>
      </c>
      <c r="R671" t="s">
        <v>59</v>
      </c>
      <c r="S671" t="s">
        <v>59</v>
      </c>
      <c r="T671" t="s">
        <v>59</v>
      </c>
      <c r="U671" t="s">
        <v>59</v>
      </c>
      <c r="V671" t="s">
        <v>59</v>
      </c>
      <c r="W671" t="s">
        <v>59</v>
      </c>
      <c r="X671" t="s">
        <v>59</v>
      </c>
      <c r="Y671" t="s">
        <v>59</v>
      </c>
    </row>
    <row r="672" spans="1:25" x14ac:dyDescent="0.25">
      <c r="A672">
        <v>436</v>
      </c>
      <c r="B672" t="s">
        <v>5272</v>
      </c>
      <c r="C672" t="s">
        <v>1994</v>
      </c>
      <c r="D672" t="s">
        <v>59</v>
      </c>
      <c r="E672" t="s">
        <v>59</v>
      </c>
      <c r="F672">
        <v>-1</v>
      </c>
      <c r="G672" t="s">
        <v>4773</v>
      </c>
      <c r="H672" t="s">
        <v>4775</v>
      </c>
      <c r="I672" t="s">
        <v>4777</v>
      </c>
      <c r="J672" t="s">
        <v>4781</v>
      </c>
      <c r="K672" t="s">
        <v>4783</v>
      </c>
      <c r="L672" t="s">
        <v>4785</v>
      </c>
      <c r="M672" t="s">
        <v>4787</v>
      </c>
      <c r="N672" t="s">
        <v>4789</v>
      </c>
      <c r="O672" t="s">
        <v>4791</v>
      </c>
      <c r="P672" t="s">
        <v>4779</v>
      </c>
      <c r="Q672" t="s">
        <v>4771</v>
      </c>
      <c r="R672" t="s">
        <v>4771</v>
      </c>
      <c r="S672" t="s">
        <v>4771</v>
      </c>
      <c r="T672" t="s">
        <v>4771</v>
      </c>
      <c r="U672" t="s">
        <v>4771</v>
      </c>
      <c r="V672" t="s">
        <v>59</v>
      </c>
      <c r="W672" t="s">
        <v>59</v>
      </c>
      <c r="X672" t="s">
        <v>59</v>
      </c>
      <c r="Y672" t="s">
        <v>59</v>
      </c>
    </row>
    <row r="673" spans="1:25" x14ac:dyDescent="0.25">
      <c r="A673">
        <v>393</v>
      </c>
      <c r="B673" t="s">
        <v>5272</v>
      </c>
      <c r="C673" t="s">
        <v>1992</v>
      </c>
      <c r="D673" t="s">
        <v>59</v>
      </c>
      <c r="E673" t="s">
        <v>59</v>
      </c>
      <c r="F673">
        <v>-1</v>
      </c>
      <c r="G673" t="s">
        <v>4656</v>
      </c>
      <c r="H673" t="s">
        <v>4650</v>
      </c>
      <c r="I673" t="s">
        <v>4652</v>
      </c>
      <c r="J673" t="s">
        <v>4654</v>
      </c>
      <c r="K673" t="s">
        <v>4658</v>
      </c>
      <c r="L673" t="s">
        <v>4660</v>
      </c>
      <c r="M673" t="s">
        <v>4662</v>
      </c>
      <c r="N673" t="s">
        <v>4666</v>
      </c>
      <c r="O673" t="s">
        <v>4668</v>
      </c>
      <c r="P673" t="s">
        <v>4664</v>
      </c>
      <c r="Q673" t="s">
        <v>59</v>
      </c>
      <c r="R673" t="s">
        <v>59</v>
      </c>
      <c r="S673" t="s">
        <v>59</v>
      </c>
      <c r="T673" t="s">
        <v>59</v>
      </c>
      <c r="U673" t="s">
        <v>59</v>
      </c>
      <c r="V673" t="s">
        <v>59</v>
      </c>
      <c r="W673" t="s">
        <v>59</v>
      </c>
      <c r="X673" t="s">
        <v>59</v>
      </c>
      <c r="Y673" t="s">
        <v>59</v>
      </c>
    </row>
    <row r="674" spans="1:25" x14ac:dyDescent="0.25">
      <c r="A674">
        <v>306</v>
      </c>
      <c r="B674" t="s">
        <v>5272</v>
      </c>
      <c r="C674" t="s">
        <v>1547</v>
      </c>
      <c r="D674" t="s">
        <v>59</v>
      </c>
      <c r="E674" t="s">
        <v>59</v>
      </c>
      <c r="F674">
        <v>-1</v>
      </c>
      <c r="G674" t="s">
        <v>4573</v>
      </c>
      <c r="H674" t="s">
        <v>59</v>
      </c>
      <c r="I674" t="s">
        <v>59</v>
      </c>
      <c r="J674" t="s">
        <v>59</v>
      </c>
      <c r="K674" t="s">
        <v>59</v>
      </c>
      <c r="L674" t="s">
        <v>59</v>
      </c>
      <c r="M674" t="s">
        <v>59</v>
      </c>
      <c r="N674" t="s">
        <v>59</v>
      </c>
      <c r="O674" t="s">
        <v>59</v>
      </c>
      <c r="P674" t="s">
        <v>59</v>
      </c>
      <c r="Q674" t="s">
        <v>59</v>
      </c>
      <c r="R674" t="s">
        <v>59</v>
      </c>
      <c r="S674" t="s">
        <v>59</v>
      </c>
      <c r="T674" t="s">
        <v>59</v>
      </c>
      <c r="U674" t="s">
        <v>59</v>
      </c>
      <c r="V674" t="s">
        <v>59</v>
      </c>
      <c r="W674" t="s">
        <v>59</v>
      </c>
      <c r="X674" t="s">
        <v>59</v>
      </c>
      <c r="Y674" t="s">
        <v>59</v>
      </c>
    </row>
    <row r="675" spans="1:25" x14ac:dyDescent="0.25">
      <c r="A675">
        <v>392</v>
      </c>
      <c r="B675" t="s">
        <v>5272</v>
      </c>
      <c r="C675" t="s">
        <v>1990</v>
      </c>
      <c r="D675" t="s">
        <v>59</v>
      </c>
      <c r="E675" t="s">
        <v>59</v>
      </c>
      <c r="F675">
        <v>-1</v>
      </c>
      <c r="G675" t="s">
        <v>4672</v>
      </c>
      <c r="H675" t="s">
        <v>4674</v>
      </c>
      <c r="I675" t="s">
        <v>4676</v>
      </c>
      <c r="J675" t="s">
        <v>4680</v>
      </c>
      <c r="K675" t="s">
        <v>4682</v>
      </c>
      <c r="L675" t="s">
        <v>4684</v>
      </c>
      <c r="M675" t="s">
        <v>4686</v>
      </c>
      <c r="N675" t="s">
        <v>4688</v>
      </c>
      <c r="O675" t="s">
        <v>4690</v>
      </c>
      <c r="P675" t="s">
        <v>4692</v>
      </c>
      <c r="Q675" t="s">
        <v>4694</v>
      </c>
      <c r="R675" t="s">
        <v>59</v>
      </c>
      <c r="S675" t="s">
        <v>59</v>
      </c>
      <c r="T675" t="s">
        <v>59</v>
      </c>
      <c r="U675" t="s">
        <v>59</v>
      </c>
      <c r="V675" t="s">
        <v>59</v>
      </c>
      <c r="W675" t="s">
        <v>59</v>
      </c>
      <c r="X675" t="s">
        <v>59</v>
      </c>
      <c r="Y675" t="s">
        <v>59</v>
      </c>
    </row>
    <row r="676" spans="1:25" x14ac:dyDescent="0.25">
      <c r="A676">
        <v>394</v>
      </c>
      <c r="B676" t="s">
        <v>5272</v>
      </c>
      <c r="C676" t="s">
        <v>1986</v>
      </c>
      <c r="D676" t="s">
        <v>59</v>
      </c>
      <c r="E676" t="s">
        <v>59</v>
      </c>
      <c r="F676">
        <v>-1</v>
      </c>
      <c r="G676" t="s">
        <v>4751</v>
      </c>
      <c r="H676" t="s">
        <v>4747</v>
      </c>
      <c r="I676" t="s">
        <v>4749</v>
      </c>
      <c r="J676" t="s">
        <v>4753</v>
      </c>
      <c r="K676" t="s">
        <v>4755</v>
      </c>
      <c r="L676" t="s">
        <v>4757</v>
      </c>
      <c r="M676" t="s">
        <v>4759</v>
      </c>
      <c r="N676" t="s">
        <v>59</v>
      </c>
      <c r="O676" t="s">
        <v>59</v>
      </c>
      <c r="P676" t="s">
        <v>59</v>
      </c>
      <c r="Q676" t="s">
        <v>59</v>
      </c>
      <c r="R676" t="s">
        <v>59</v>
      </c>
      <c r="S676" t="s">
        <v>59</v>
      </c>
      <c r="T676" t="s">
        <v>59</v>
      </c>
      <c r="U676" t="s">
        <v>59</v>
      </c>
      <c r="V676" t="s">
        <v>59</v>
      </c>
      <c r="W676" t="s">
        <v>59</v>
      </c>
      <c r="X676" t="s">
        <v>59</v>
      </c>
      <c r="Y676" t="s">
        <v>59</v>
      </c>
    </row>
    <row r="677" spans="1:25" x14ac:dyDescent="0.25">
      <c r="A677">
        <v>498</v>
      </c>
      <c r="B677" t="s">
        <v>5272</v>
      </c>
      <c r="C677" t="s">
        <v>1998</v>
      </c>
      <c r="D677" t="s">
        <v>59</v>
      </c>
      <c r="E677" t="s">
        <v>59</v>
      </c>
      <c r="F677">
        <v>-1</v>
      </c>
      <c r="G677" t="s">
        <v>4926</v>
      </c>
      <c r="H677" t="s">
        <v>4930</v>
      </c>
      <c r="I677" t="s">
        <v>4928</v>
      </c>
      <c r="J677" t="s">
        <v>4932</v>
      </c>
      <c r="K677" t="s">
        <v>4934</v>
      </c>
      <c r="L677" t="s">
        <v>4936</v>
      </c>
      <c r="M677" t="s">
        <v>4938</v>
      </c>
      <c r="N677" t="s">
        <v>4940</v>
      </c>
      <c r="O677" t="s">
        <v>4942</v>
      </c>
      <c r="P677" t="s">
        <v>4944</v>
      </c>
      <c r="Q677" t="s">
        <v>4946</v>
      </c>
      <c r="R677" t="s">
        <v>4948</v>
      </c>
      <c r="S677" t="s">
        <v>4950</v>
      </c>
      <c r="T677" t="s">
        <v>4952</v>
      </c>
      <c r="U677" t="s">
        <v>59</v>
      </c>
      <c r="V677" t="s">
        <v>59</v>
      </c>
      <c r="W677" t="s">
        <v>59</v>
      </c>
      <c r="X677" t="s">
        <v>59</v>
      </c>
      <c r="Y677" t="s">
        <v>59</v>
      </c>
    </row>
    <row r="678" spans="1:25" x14ac:dyDescent="0.25">
      <c r="A678">
        <v>294</v>
      </c>
      <c r="B678" t="s">
        <v>5272</v>
      </c>
      <c r="C678" t="s">
        <v>1517</v>
      </c>
      <c r="D678" t="s">
        <v>59</v>
      </c>
      <c r="E678" t="s">
        <v>59</v>
      </c>
      <c r="F678">
        <v>-1</v>
      </c>
      <c r="G678" t="s">
        <v>5247</v>
      </c>
      <c r="H678" t="s">
        <v>59</v>
      </c>
      <c r="I678" t="s">
        <v>59</v>
      </c>
      <c r="J678" t="s">
        <v>59</v>
      </c>
      <c r="K678" t="s">
        <v>59</v>
      </c>
      <c r="L678" t="s">
        <v>59</v>
      </c>
      <c r="M678" t="s">
        <v>59</v>
      </c>
      <c r="N678" t="s">
        <v>59</v>
      </c>
      <c r="O678" t="s">
        <v>59</v>
      </c>
      <c r="P678" t="s">
        <v>59</v>
      </c>
      <c r="Q678" t="s">
        <v>59</v>
      </c>
      <c r="R678" t="s">
        <v>59</v>
      </c>
      <c r="S678" t="s">
        <v>59</v>
      </c>
      <c r="T678" t="s">
        <v>59</v>
      </c>
      <c r="U678" t="s">
        <v>59</v>
      </c>
      <c r="V678" t="s">
        <v>59</v>
      </c>
      <c r="W678" t="s">
        <v>59</v>
      </c>
      <c r="X678" t="s">
        <v>59</v>
      </c>
      <c r="Y678" t="s">
        <v>59</v>
      </c>
    </row>
    <row r="679" spans="1:25" x14ac:dyDescent="0.25">
      <c r="A679">
        <v>497</v>
      </c>
      <c r="B679" t="s">
        <v>5272</v>
      </c>
      <c r="C679" t="s">
        <v>2000</v>
      </c>
      <c r="D679" t="s">
        <v>59</v>
      </c>
      <c r="E679" t="s">
        <v>59</v>
      </c>
      <c r="F679">
        <v>-1</v>
      </c>
      <c r="G679" t="s">
        <v>4956</v>
      </c>
      <c r="H679" t="s">
        <v>4958</v>
      </c>
      <c r="I679" t="s">
        <v>4960</v>
      </c>
      <c r="J679" t="s">
        <v>4962</v>
      </c>
      <c r="K679" t="s">
        <v>4964</v>
      </c>
      <c r="L679" t="s">
        <v>4966</v>
      </c>
      <c r="M679" t="s">
        <v>4968</v>
      </c>
      <c r="N679" t="s">
        <v>4970</v>
      </c>
      <c r="O679" t="s">
        <v>4974</v>
      </c>
      <c r="P679" t="s">
        <v>4976</v>
      </c>
      <c r="Q679" t="s">
        <v>4972</v>
      </c>
      <c r="R679" t="s">
        <v>59</v>
      </c>
      <c r="S679" t="s">
        <v>59</v>
      </c>
      <c r="T679" t="s">
        <v>59</v>
      </c>
      <c r="U679" t="s">
        <v>59</v>
      </c>
      <c r="V679" t="s">
        <v>59</v>
      </c>
      <c r="W679" t="s">
        <v>59</v>
      </c>
      <c r="X679" t="s">
        <v>59</v>
      </c>
      <c r="Y679" t="s">
        <v>59</v>
      </c>
    </row>
    <row r="680" spans="1:25" x14ac:dyDescent="0.25">
      <c r="A680">
        <v>499</v>
      </c>
      <c r="B680" t="s">
        <v>5272</v>
      </c>
      <c r="C680" t="s">
        <v>4884</v>
      </c>
      <c r="D680" t="s">
        <v>59</v>
      </c>
      <c r="E680" t="s">
        <v>59</v>
      </c>
      <c r="F680">
        <v>-1</v>
      </c>
      <c r="G680" t="s">
        <v>4887</v>
      </c>
      <c r="H680" t="s">
        <v>4889</v>
      </c>
      <c r="I680" t="s">
        <v>4891</v>
      </c>
      <c r="J680" t="s">
        <v>4893</v>
      </c>
      <c r="K680" t="s">
        <v>4895</v>
      </c>
      <c r="L680" t="s">
        <v>4897</v>
      </c>
      <c r="M680" t="s">
        <v>4899</v>
      </c>
      <c r="N680" t="s">
        <v>4901</v>
      </c>
      <c r="O680" t="s">
        <v>4903</v>
      </c>
      <c r="P680" t="s">
        <v>4905</v>
      </c>
      <c r="Q680" t="s">
        <v>4907</v>
      </c>
      <c r="R680" t="s">
        <v>4909</v>
      </c>
      <c r="S680" t="s">
        <v>4911</v>
      </c>
      <c r="T680" t="s">
        <v>4913</v>
      </c>
      <c r="U680" t="s">
        <v>4915</v>
      </c>
      <c r="V680" t="s">
        <v>4917</v>
      </c>
      <c r="W680" t="s">
        <v>4919</v>
      </c>
      <c r="X680" t="s">
        <v>4921</v>
      </c>
      <c r="Y680" t="s">
        <v>4923</v>
      </c>
    </row>
    <row r="681" spans="1:25" x14ac:dyDescent="0.25">
      <c r="A681">
        <v>302</v>
      </c>
      <c r="B681" t="s">
        <v>5272</v>
      </c>
      <c r="C681" t="s">
        <v>1543</v>
      </c>
      <c r="D681" t="s">
        <v>59</v>
      </c>
      <c r="E681" t="s">
        <v>59</v>
      </c>
      <c r="F681">
        <v>-1</v>
      </c>
      <c r="G681" t="s">
        <v>4580</v>
      </c>
      <c r="H681" t="s">
        <v>59</v>
      </c>
      <c r="I681" t="s">
        <v>59</v>
      </c>
      <c r="J681" t="s">
        <v>59</v>
      </c>
      <c r="K681" t="s">
        <v>59</v>
      </c>
      <c r="L681" t="s">
        <v>59</v>
      </c>
      <c r="M681" t="s">
        <v>59</v>
      </c>
      <c r="N681" t="s">
        <v>59</v>
      </c>
      <c r="O681" t="s">
        <v>59</v>
      </c>
      <c r="P681" t="s">
        <v>59</v>
      </c>
      <c r="Q681" t="s">
        <v>59</v>
      </c>
      <c r="R681" t="s">
        <v>59</v>
      </c>
      <c r="S681" t="s">
        <v>59</v>
      </c>
      <c r="T681" t="s">
        <v>59</v>
      </c>
      <c r="U681" t="s">
        <v>59</v>
      </c>
      <c r="V681" t="s">
        <v>59</v>
      </c>
      <c r="W681" t="s">
        <v>59</v>
      </c>
      <c r="X681" t="s">
        <v>59</v>
      </c>
      <c r="Y681" t="s">
        <v>59</v>
      </c>
    </row>
    <row r="682" spans="1:25" x14ac:dyDescent="0.25">
      <c r="A682">
        <v>308</v>
      </c>
      <c r="B682" t="s">
        <v>5272</v>
      </c>
      <c r="C682" t="s">
        <v>4558</v>
      </c>
      <c r="D682" t="s">
        <v>59</v>
      </c>
      <c r="E682" t="s">
        <v>59</v>
      </c>
      <c r="F682">
        <v>-1</v>
      </c>
      <c r="G682" t="s">
        <v>4571</v>
      </c>
      <c r="H682" t="s">
        <v>59</v>
      </c>
      <c r="I682" t="s">
        <v>59</v>
      </c>
      <c r="J682" t="s">
        <v>59</v>
      </c>
      <c r="K682" t="s">
        <v>59</v>
      </c>
      <c r="L682" t="s">
        <v>59</v>
      </c>
      <c r="M682" t="s">
        <v>59</v>
      </c>
      <c r="N682" t="s">
        <v>59</v>
      </c>
      <c r="O682" t="s">
        <v>59</v>
      </c>
      <c r="P682" t="s">
        <v>59</v>
      </c>
      <c r="Q682" t="s">
        <v>59</v>
      </c>
      <c r="R682" t="s">
        <v>59</v>
      </c>
      <c r="S682" t="s">
        <v>59</v>
      </c>
      <c r="T682" t="s">
        <v>59</v>
      </c>
      <c r="U682" t="s">
        <v>59</v>
      </c>
      <c r="V682" t="s">
        <v>59</v>
      </c>
      <c r="W682" t="s">
        <v>59</v>
      </c>
      <c r="X682" t="s">
        <v>59</v>
      </c>
      <c r="Y682" t="s">
        <v>59</v>
      </c>
    </row>
    <row r="683" spans="1:25" x14ac:dyDescent="0.25">
      <c r="A683">
        <v>547</v>
      </c>
      <c r="B683" t="s">
        <v>5272</v>
      </c>
      <c r="C683" t="s">
        <v>2003</v>
      </c>
      <c r="D683" t="s">
        <v>59</v>
      </c>
      <c r="E683" t="s">
        <v>59</v>
      </c>
      <c r="F683">
        <v>-1</v>
      </c>
      <c r="G683" t="s">
        <v>4986</v>
      </c>
      <c r="H683" t="s">
        <v>4979</v>
      </c>
      <c r="I683" t="s">
        <v>4982</v>
      </c>
      <c r="J683" t="s">
        <v>4984</v>
      </c>
      <c r="K683" t="s">
        <v>4988</v>
      </c>
      <c r="L683" t="s">
        <v>4990</v>
      </c>
      <c r="M683" t="s">
        <v>4994</v>
      </c>
      <c r="N683" t="s">
        <v>4998</v>
      </c>
      <c r="O683" t="s">
        <v>5000</v>
      </c>
      <c r="P683" t="s">
        <v>4992</v>
      </c>
      <c r="Q683" t="s">
        <v>4996</v>
      </c>
      <c r="R683" t="s">
        <v>5004</v>
      </c>
      <c r="S683" t="s">
        <v>5002</v>
      </c>
      <c r="T683" t="s">
        <v>59</v>
      </c>
      <c r="U683" t="s">
        <v>59</v>
      </c>
      <c r="V683" t="s">
        <v>59</v>
      </c>
      <c r="W683" t="s">
        <v>59</v>
      </c>
      <c r="X683" t="s">
        <v>59</v>
      </c>
      <c r="Y683" t="s">
        <v>59</v>
      </c>
    </row>
    <row r="684" spans="1:25" x14ac:dyDescent="0.25">
      <c r="A684">
        <v>314</v>
      </c>
      <c r="B684" t="s">
        <v>5272</v>
      </c>
      <c r="C684" t="s">
        <v>1563</v>
      </c>
      <c r="D684" t="s">
        <v>59</v>
      </c>
      <c r="E684" t="s">
        <v>59</v>
      </c>
      <c r="F684">
        <v>-1</v>
      </c>
      <c r="G684" t="s">
        <v>4565</v>
      </c>
      <c r="H684" t="s">
        <v>59</v>
      </c>
      <c r="I684" t="s">
        <v>59</v>
      </c>
      <c r="J684" t="s">
        <v>59</v>
      </c>
      <c r="K684" t="s">
        <v>59</v>
      </c>
      <c r="L684" t="s">
        <v>59</v>
      </c>
      <c r="M684" t="s">
        <v>59</v>
      </c>
      <c r="N684" t="s">
        <v>59</v>
      </c>
      <c r="O684" t="s">
        <v>59</v>
      </c>
      <c r="P684" t="s">
        <v>59</v>
      </c>
      <c r="Q684" t="s">
        <v>59</v>
      </c>
      <c r="R684" t="s">
        <v>59</v>
      </c>
      <c r="S684" t="s">
        <v>59</v>
      </c>
      <c r="T684" t="s">
        <v>59</v>
      </c>
      <c r="U684" t="s">
        <v>59</v>
      </c>
      <c r="V684" t="s">
        <v>59</v>
      </c>
      <c r="W684" t="s">
        <v>59</v>
      </c>
      <c r="X684" t="s">
        <v>59</v>
      </c>
      <c r="Y684" t="s">
        <v>59</v>
      </c>
    </row>
    <row r="685" spans="1:25" x14ac:dyDescent="0.25">
      <c r="A685">
        <v>480</v>
      </c>
      <c r="B685" t="s">
        <v>5272</v>
      </c>
      <c r="C685" t="s">
        <v>2005</v>
      </c>
      <c r="D685" t="s">
        <v>59</v>
      </c>
      <c r="E685" t="s">
        <v>59</v>
      </c>
      <c r="F685">
        <v>-1</v>
      </c>
      <c r="G685" t="s">
        <v>4813</v>
      </c>
      <c r="H685" t="s">
        <v>4807</v>
      </c>
      <c r="I685" t="s">
        <v>4809</v>
      </c>
      <c r="J685" t="s">
        <v>4811</v>
      </c>
      <c r="K685" t="s">
        <v>4815</v>
      </c>
      <c r="L685" t="s">
        <v>4817</v>
      </c>
      <c r="M685" t="s">
        <v>4819</v>
      </c>
      <c r="N685" t="s">
        <v>4821</v>
      </c>
      <c r="O685" t="s">
        <v>4823</v>
      </c>
      <c r="P685" t="s">
        <v>4825</v>
      </c>
      <c r="Q685" t="s">
        <v>4827</v>
      </c>
      <c r="R685" t="s">
        <v>4829</v>
      </c>
      <c r="S685" t="s">
        <v>4831</v>
      </c>
      <c r="T685" t="s">
        <v>4833</v>
      </c>
      <c r="U685" t="s">
        <v>59</v>
      </c>
      <c r="V685" t="s">
        <v>59</v>
      </c>
      <c r="W685" t="s">
        <v>59</v>
      </c>
      <c r="X685" t="s">
        <v>59</v>
      </c>
      <c r="Y685" t="s">
        <v>59</v>
      </c>
    </row>
    <row r="686" spans="1:25" x14ac:dyDescent="0.25">
      <c r="A686">
        <v>166</v>
      </c>
      <c r="B686" t="s">
        <v>5272</v>
      </c>
      <c r="C686" t="s">
        <v>4314</v>
      </c>
      <c r="D686" t="s">
        <v>59</v>
      </c>
      <c r="E686" t="s">
        <v>59</v>
      </c>
      <c r="F686">
        <v>-1</v>
      </c>
      <c r="G686" t="s">
        <v>4315</v>
      </c>
      <c r="H686" t="s">
        <v>4319</v>
      </c>
      <c r="I686" t="s">
        <v>4321</v>
      </c>
      <c r="J686" t="s">
        <v>4317</v>
      </c>
      <c r="K686" t="s">
        <v>59</v>
      </c>
      <c r="L686" t="s">
        <v>59</v>
      </c>
      <c r="M686" t="s">
        <v>59</v>
      </c>
      <c r="N686" t="s">
        <v>59</v>
      </c>
      <c r="O686" t="s">
        <v>59</v>
      </c>
      <c r="P686" t="s">
        <v>59</v>
      </c>
      <c r="Q686" t="s">
        <v>59</v>
      </c>
      <c r="R686" t="s">
        <v>59</v>
      </c>
      <c r="S686" t="s">
        <v>59</v>
      </c>
      <c r="T686" t="s">
        <v>59</v>
      </c>
      <c r="U686" t="s">
        <v>59</v>
      </c>
      <c r="V686" t="s">
        <v>59</v>
      </c>
      <c r="W686" t="s">
        <v>59</v>
      </c>
      <c r="X686" t="s">
        <v>59</v>
      </c>
      <c r="Y686" t="s">
        <v>59</v>
      </c>
    </row>
    <row r="687" spans="1:25" x14ac:dyDescent="0.25">
      <c r="A687">
        <v>119</v>
      </c>
      <c r="B687" t="s">
        <v>5272</v>
      </c>
      <c r="C687" t="s">
        <v>53</v>
      </c>
      <c r="D687" t="s">
        <v>59</v>
      </c>
      <c r="E687" t="s">
        <v>59</v>
      </c>
      <c r="F687">
        <v>-1</v>
      </c>
      <c r="G687" t="s">
        <v>4263</v>
      </c>
      <c r="H687" t="s">
        <v>5061</v>
      </c>
      <c r="I687" t="s">
        <v>5077</v>
      </c>
      <c r="J687" t="s">
        <v>5075</v>
      </c>
      <c r="K687" t="s">
        <v>59</v>
      </c>
      <c r="L687" t="s">
        <v>59</v>
      </c>
      <c r="M687" t="s">
        <v>59</v>
      </c>
      <c r="N687" t="s">
        <v>59</v>
      </c>
      <c r="O687" t="s">
        <v>59</v>
      </c>
      <c r="P687" t="s">
        <v>59</v>
      </c>
      <c r="Q687" t="s">
        <v>59</v>
      </c>
      <c r="R687" t="s">
        <v>59</v>
      </c>
      <c r="S687" t="s">
        <v>59</v>
      </c>
      <c r="T687" t="s">
        <v>59</v>
      </c>
      <c r="U687" t="s">
        <v>59</v>
      </c>
      <c r="V687" t="s">
        <v>59</v>
      </c>
      <c r="W687" t="s">
        <v>59</v>
      </c>
      <c r="X687" t="s">
        <v>59</v>
      </c>
      <c r="Y687" t="s">
        <v>59</v>
      </c>
    </row>
    <row r="688" spans="1:25" x14ac:dyDescent="0.25">
      <c r="A688">
        <v>110</v>
      </c>
      <c r="B688" t="s">
        <v>5272</v>
      </c>
      <c r="C688" t="s">
        <v>869</v>
      </c>
      <c r="D688" t="s">
        <v>59</v>
      </c>
      <c r="E688" t="s">
        <v>59</v>
      </c>
      <c r="F688">
        <v>-1</v>
      </c>
      <c r="G688" t="s">
        <v>5071</v>
      </c>
      <c r="H688" t="s">
        <v>5069</v>
      </c>
      <c r="I688" t="s">
        <v>5067</v>
      </c>
      <c r="J688" t="s">
        <v>5065</v>
      </c>
      <c r="K688" t="s">
        <v>5086</v>
      </c>
      <c r="L688" t="s">
        <v>59</v>
      </c>
      <c r="M688" t="s">
        <v>59</v>
      </c>
      <c r="N688" t="s">
        <v>59</v>
      </c>
      <c r="O688" t="s">
        <v>59</v>
      </c>
      <c r="P688" t="s">
        <v>59</v>
      </c>
      <c r="Q688" t="s">
        <v>59</v>
      </c>
      <c r="R688" t="s">
        <v>59</v>
      </c>
      <c r="S688" t="s">
        <v>59</v>
      </c>
      <c r="T688" t="s">
        <v>59</v>
      </c>
      <c r="U688" t="s">
        <v>59</v>
      </c>
      <c r="V688" t="s">
        <v>59</v>
      </c>
      <c r="W688" t="s">
        <v>59</v>
      </c>
      <c r="X688" t="s">
        <v>59</v>
      </c>
      <c r="Y688" t="s">
        <v>59</v>
      </c>
    </row>
    <row r="689" spans="1:25" x14ac:dyDescent="0.25">
      <c r="A689">
        <v>389</v>
      </c>
      <c r="B689" t="s">
        <v>5272</v>
      </c>
      <c r="C689" t="s">
        <v>779</v>
      </c>
      <c r="D689" t="s">
        <v>59</v>
      </c>
      <c r="E689" t="s">
        <v>59</v>
      </c>
      <c r="F689">
        <v>-1</v>
      </c>
      <c r="G689" t="s">
        <v>5063</v>
      </c>
      <c r="H689" t="s">
        <v>5071</v>
      </c>
      <c r="I689" t="s">
        <v>5069</v>
      </c>
      <c r="J689" t="s">
        <v>5067</v>
      </c>
      <c r="K689" t="s">
        <v>5065</v>
      </c>
      <c r="L689" t="s">
        <v>5086</v>
      </c>
      <c r="M689" t="s">
        <v>59</v>
      </c>
      <c r="N689" t="s">
        <v>59</v>
      </c>
      <c r="O689" t="s">
        <v>59</v>
      </c>
      <c r="P689" t="s">
        <v>59</v>
      </c>
      <c r="Q689" t="s">
        <v>59</v>
      </c>
      <c r="R689" t="s">
        <v>59</v>
      </c>
      <c r="S689" t="s">
        <v>59</v>
      </c>
      <c r="T689" t="s">
        <v>59</v>
      </c>
      <c r="U689" t="s">
        <v>59</v>
      </c>
      <c r="V689" t="s">
        <v>59</v>
      </c>
      <c r="W689" t="s">
        <v>59</v>
      </c>
      <c r="X689" t="s">
        <v>59</v>
      </c>
      <c r="Y689" t="s">
        <v>59</v>
      </c>
    </row>
    <row r="690" spans="1:25" x14ac:dyDescent="0.25">
      <c r="A690">
        <v>128</v>
      </c>
      <c r="B690" t="s">
        <v>5272</v>
      </c>
      <c r="C690" t="s">
        <v>788</v>
      </c>
      <c r="D690" t="s">
        <v>59</v>
      </c>
      <c r="E690" t="s">
        <v>59</v>
      </c>
      <c r="F690">
        <v>-1</v>
      </c>
      <c r="G690" t="s">
        <v>4530</v>
      </c>
      <c r="H690" t="s">
        <v>59</v>
      </c>
      <c r="I690" t="s">
        <v>59</v>
      </c>
      <c r="J690" t="s">
        <v>59</v>
      </c>
      <c r="K690" t="s">
        <v>59</v>
      </c>
      <c r="L690" t="s">
        <v>59</v>
      </c>
      <c r="M690" t="s">
        <v>59</v>
      </c>
      <c r="N690" t="s">
        <v>59</v>
      </c>
      <c r="O690" t="s">
        <v>59</v>
      </c>
      <c r="P690" t="s">
        <v>59</v>
      </c>
      <c r="Q690" t="s">
        <v>59</v>
      </c>
      <c r="R690" t="s">
        <v>59</v>
      </c>
      <c r="S690" t="s">
        <v>59</v>
      </c>
      <c r="T690" t="s">
        <v>59</v>
      </c>
      <c r="U690" t="s">
        <v>59</v>
      </c>
      <c r="V690" t="s">
        <v>59</v>
      </c>
      <c r="W690" t="s">
        <v>59</v>
      </c>
      <c r="X690" t="s">
        <v>59</v>
      </c>
      <c r="Y690" t="s">
        <v>59</v>
      </c>
    </row>
    <row r="691" spans="1:25" x14ac:dyDescent="0.25">
      <c r="A691">
        <v>391</v>
      </c>
      <c r="B691" t="s">
        <v>5272</v>
      </c>
      <c r="C691" t="s">
        <v>780</v>
      </c>
      <c r="D691" t="s">
        <v>59</v>
      </c>
      <c r="E691" t="s">
        <v>59</v>
      </c>
      <c r="F691">
        <v>-1</v>
      </c>
      <c r="G691" t="s">
        <v>5052</v>
      </c>
      <c r="H691" t="s">
        <v>5054</v>
      </c>
      <c r="I691" t="s">
        <v>5050</v>
      </c>
      <c r="J691" t="s">
        <v>4495</v>
      </c>
      <c r="K691" t="s">
        <v>5059</v>
      </c>
      <c r="L691" t="s">
        <v>5061</v>
      </c>
      <c r="M691" t="s">
        <v>5077</v>
      </c>
      <c r="N691" t="s">
        <v>5075</v>
      </c>
      <c r="O691" t="s">
        <v>59</v>
      </c>
      <c r="P691" t="s">
        <v>59</v>
      </c>
      <c r="Q691" t="s">
        <v>59</v>
      </c>
      <c r="R691" t="s">
        <v>59</v>
      </c>
      <c r="S691" t="s">
        <v>59</v>
      </c>
      <c r="T691" t="s">
        <v>59</v>
      </c>
      <c r="U691" t="s">
        <v>59</v>
      </c>
      <c r="V691" t="s">
        <v>59</v>
      </c>
      <c r="W691" t="s">
        <v>59</v>
      </c>
      <c r="X691" t="s">
        <v>59</v>
      </c>
      <c r="Y691" t="s">
        <v>59</v>
      </c>
    </row>
    <row r="692" spans="1:25" x14ac:dyDescent="0.25">
      <c r="A692">
        <v>388</v>
      </c>
      <c r="B692" t="s">
        <v>5272</v>
      </c>
      <c r="C692" t="s">
        <v>841</v>
      </c>
      <c r="D692" t="s">
        <v>59</v>
      </c>
      <c r="E692" t="s">
        <v>59</v>
      </c>
      <c r="F692">
        <v>-1</v>
      </c>
      <c r="G692" t="s">
        <v>5052</v>
      </c>
      <c r="H692" t="s">
        <v>5054</v>
      </c>
      <c r="I692" t="s">
        <v>5050</v>
      </c>
      <c r="J692" t="s">
        <v>4495</v>
      </c>
      <c r="K692" t="s">
        <v>842</v>
      </c>
      <c r="L692" t="s">
        <v>5059</v>
      </c>
      <c r="M692" t="s">
        <v>5057</v>
      </c>
      <c r="N692" t="s">
        <v>5061</v>
      </c>
      <c r="O692" t="s">
        <v>5084</v>
      </c>
      <c r="P692" t="s">
        <v>5077</v>
      </c>
      <c r="Q692" t="s">
        <v>5075</v>
      </c>
      <c r="R692" t="s">
        <v>59</v>
      </c>
      <c r="S692" t="s">
        <v>59</v>
      </c>
      <c r="T692" t="s">
        <v>59</v>
      </c>
      <c r="U692" t="s">
        <v>59</v>
      </c>
      <c r="V692" t="s">
        <v>59</v>
      </c>
      <c r="W692" t="s">
        <v>59</v>
      </c>
      <c r="X692" t="s">
        <v>59</v>
      </c>
      <c r="Y692" t="s">
        <v>59</v>
      </c>
    </row>
    <row r="693" spans="1:25" x14ac:dyDescent="0.25">
      <c r="A693">
        <v>151</v>
      </c>
      <c r="B693" t="s">
        <v>5272</v>
      </c>
      <c r="C693" t="s">
        <v>4290</v>
      </c>
      <c r="D693" t="s">
        <v>59</v>
      </c>
      <c r="E693" t="s">
        <v>59</v>
      </c>
      <c r="F693">
        <v>-1</v>
      </c>
      <c r="G693" t="s">
        <v>4512</v>
      </c>
      <c r="H693" t="s">
        <v>4443</v>
      </c>
      <c r="I693" t="s">
        <v>4433</v>
      </c>
      <c r="J693" t="s">
        <v>4435</v>
      </c>
      <c r="K693" t="s">
        <v>4437</v>
      </c>
      <c r="L693" t="s">
        <v>4516</v>
      </c>
      <c r="M693" t="s">
        <v>4518</v>
      </c>
      <c r="N693" t="s">
        <v>4514</v>
      </c>
      <c r="O693" t="s">
        <v>59</v>
      </c>
      <c r="P693" t="s">
        <v>59</v>
      </c>
      <c r="Q693" t="s">
        <v>59</v>
      </c>
      <c r="R693" t="s">
        <v>59</v>
      </c>
      <c r="S693" t="s">
        <v>59</v>
      </c>
      <c r="T693" t="s">
        <v>59</v>
      </c>
      <c r="U693" t="s">
        <v>59</v>
      </c>
      <c r="V693" t="s">
        <v>59</v>
      </c>
      <c r="W693" t="s">
        <v>59</v>
      </c>
      <c r="X693" t="s">
        <v>59</v>
      </c>
      <c r="Y693" t="s">
        <v>59</v>
      </c>
    </row>
    <row r="694" spans="1:25" x14ac:dyDescent="0.25">
      <c r="A694">
        <v>79</v>
      </c>
      <c r="B694" t="s">
        <v>5272</v>
      </c>
      <c r="C694" t="s">
        <v>4236</v>
      </c>
      <c r="D694" t="s">
        <v>59</v>
      </c>
      <c r="E694" t="s">
        <v>59</v>
      </c>
      <c r="F694">
        <v>-1</v>
      </c>
      <c r="G694" t="s">
        <v>5235</v>
      </c>
      <c r="H694" t="s">
        <v>5237</v>
      </c>
      <c r="I694" t="s">
        <v>5239</v>
      </c>
      <c r="J694" t="s">
        <v>5241</v>
      </c>
      <c r="K694" t="s">
        <v>59</v>
      </c>
      <c r="L694" t="s">
        <v>59</v>
      </c>
      <c r="M694" t="s">
        <v>59</v>
      </c>
      <c r="N694" t="s">
        <v>59</v>
      </c>
      <c r="O694" t="s">
        <v>59</v>
      </c>
      <c r="P694" t="s">
        <v>59</v>
      </c>
      <c r="Q694" t="s">
        <v>59</v>
      </c>
      <c r="R694" t="s">
        <v>59</v>
      </c>
      <c r="S694" t="s">
        <v>59</v>
      </c>
      <c r="T694" t="s">
        <v>59</v>
      </c>
      <c r="U694" t="s">
        <v>59</v>
      </c>
      <c r="V694" t="s">
        <v>59</v>
      </c>
      <c r="W694" t="s">
        <v>59</v>
      </c>
      <c r="X694" t="s">
        <v>59</v>
      </c>
      <c r="Y694" t="s">
        <v>59</v>
      </c>
    </row>
    <row r="695" spans="1:25" x14ac:dyDescent="0.25">
      <c r="A695">
        <v>293</v>
      </c>
      <c r="B695" t="s">
        <v>5272</v>
      </c>
      <c r="C695" t="s">
        <v>1538</v>
      </c>
      <c r="D695" t="s">
        <v>59</v>
      </c>
      <c r="E695" t="s">
        <v>59</v>
      </c>
      <c r="F695">
        <v>-1</v>
      </c>
      <c r="G695" t="s">
        <v>4536</v>
      </c>
      <c r="H695" t="s">
        <v>4538</v>
      </c>
      <c r="I695" t="s">
        <v>4429</v>
      </c>
      <c r="J695" t="s">
        <v>5038</v>
      </c>
      <c r="K695" t="s">
        <v>5079</v>
      </c>
      <c r="L695" t="s">
        <v>5091</v>
      </c>
      <c r="M695" t="s">
        <v>4543</v>
      </c>
      <c r="N695" t="s">
        <v>59</v>
      </c>
      <c r="O695" t="s">
        <v>59</v>
      </c>
      <c r="P695" t="s">
        <v>59</v>
      </c>
      <c r="Q695" t="s">
        <v>59</v>
      </c>
      <c r="R695" t="s">
        <v>59</v>
      </c>
      <c r="S695" t="s">
        <v>59</v>
      </c>
      <c r="T695" t="s">
        <v>59</v>
      </c>
      <c r="U695" t="s">
        <v>59</v>
      </c>
      <c r="V695" t="s">
        <v>59</v>
      </c>
      <c r="W695" t="s">
        <v>59</v>
      </c>
      <c r="X695" t="s">
        <v>59</v>
      </c>
      <c r="Y695" t="s">
        <v>59</v>
      </c>
    </row>
    <row r="696" spans="1:25" x14ac:dyDescent="0.25">
      <c r="A696">
        <v>122</v>
      </c>
      <c r="B696" t="s">
        <v>5272</v>
      </c>
      <c r="C696" t="s">
        <v>785</v>
      </c>
      <c r="D696" t="s">
        <v>59</v>
      </c>
      <c r="E696" t="s">
        <v>59</v>
      </c>
      <c r="F696">
        <v>-1</v>
      </c>
      <c r="G696" t="s">
        <v>4266</v>
      </c>
      <c r="H696" t="s">
        <v>4268</v>
      </c>
      <c r="I696" t="s">
        <v>4270</v>
      </c>
      <c r="J696" t="s">
        <v>4272</v>
      </c>
      <c r="K696" t="s">
        <v>1436</v>
      </c>
      <c r="L696" t="s">
        <v>59</v>
      </c>
      <c r="M696" t="s">
        <v>59</v>
      </c>
      <c r="N696" t="s">
        <v>59</v>
      </c>
      <c r="O696" t="s">
        <v>59</v>
      </c>
      <c r="P696" t="s">
        <v>59</v>
      </c>
      <c r="Q696" t="s">
        <v>59</v>
      </c>
      <c r="R696" t="s">
        <v>59</v>
      </c>
      <c r="S696" t="s">
        <v>59</v>
      </c>
      <c r="T696" t="s">
        <v>59</v>
      </c>
      <c r="U696" t="s">
        <v>59</v>
      </c>
      <c r="V696" t="s">
        <v>59</v>
      </c>
      <c r="W696" t="s">
        <v>59</v>
      </c>
      <c r="X696" t="s">
        <v>59</v>
      </c>
      <c r="Y696" t="s">
        <v>59</v>
      </c>
    </row>
    <row r="697" spans="1:25" x14ac:dyDescent="0.25">
      <c r="A697">
        <v>125</v>
      </c>
      <c r="B697" t="s">
        <v>5272</v>
      </c>
      <c r="C697" t="s">
        <v>856</v>
      </c>
      <c r="D697" t="s">
        <v>59</v>
      </c>
      <c r="E697" t="s">
        <v>59</v>
      </c>
      <c r="F697">
        <v>-1</v>
      </c>
      <c r="G697" t="s">
        <v>4266</v>
      </c>
      <c r="H697" t="s">
        <v>4268</v>
      </c>
      <c r="I697" t="s">
        <v>4272</v>
      </c>
      <c r="J697" t="s">
        <v>1436</v>
      </c>
      <c r="K697" t="s">
        <v>59</v>
      </c>
      <c r="L697" t="s">
        <v>59</v>
      </c>
      <c r="M697" t="s">
        <v>59</v>
      </c>
      <c r="N697" t="s">
        <v>59</v>
      </c>
      <c r="O697" t="s">
        <v>59</v>
      </c>
      <c r="P697" t="s">
        <v>59</v>
      </c>
      <c r="Q697" t="s">
        <v>59</v>
      </c>
      <c r="R697" t="s">
        <v>59</v>
      </c>
      <c r="S697" t="s">
        <v>59</v>
      </c>
      <c r="T697" t="s">
        <v>59</v>
      </c>
      <c r="U697" t="s">
        <v>59</v>
      </c>
      <c r="V697" t="s">
        <v>59</v>
      </c>
      <c r="W697" t="s">
        <v>59</v>
      </c>
      <c r="X697" t="s">
        <v>59</v>
      </c>
      <c r="Y697" t="s">
        <v>59</v>
      </c>
    </row>
    <row r="698" spans="1:25" x14ac:dyDescent="0.25">
      <c r="A698">
        <v>398</v>
      </c>
      <c r="B698" t="s">
        <v>5272</v>
      </c>
      <c r="C698" t="s">
        <v>2007</v>
      </c>
      <c r="D698" t="s">
        <v>59</v>
      </c>
      <c r="E698" t="s">
        <v>59</v>
      </c>
      <c r="F698">
        <v>-1</v>
      </c>
      <c r="G698" t="s">
        <v>5010</v>
      </c>
      <c r="H698" t="s">
        <v>4508</v>
      </c>
      <c r="I698" t="s">
        <v>5012</v>
      </c>
      <c r="J698" t="s">
        <v>5014</v>
      </c>
      <c r="K698" t="s">
        <v>5022</v>
      </c>
      <c r="L698" t="s">
        <v>5024</v>
      </c>
      <c r="M698" t="s">
        <v>5032</v>
      </c>
      <c r="N698" t="s">
        <v>5028</v>
      </c>
      <c r="O698" t="s">
        <v>5026</v>
      </c>
      <c r="P698" t="s">
        <v>5034</v>
      </c>
      <c r="Q698" t="s">
        <v>5036</v>
      </c>
      <c r="R698" t="s">
        <v>5030</v>
      </c>
      <c r="S698" t="s">
        <v>4530</v>
      </c>
      <c r="T698" t="s">
        <v>4441</v>
      </c>
      <c r="U698" t="s">
        <v>5008</v>
      </c>
      <c r="V698" t="s">
        <v>5016</v>
      </c>
      <c r="W698" t="s">
        <v>5018</v>
      </c>
      <c r="X698" t="s">
        <v>5020</v>
      </c>
      <c r="Y698" t="s">
        <v>59</v>
      </c>
    </row>
    <row r="699" spans="1:25" x14ac:dyDescent="0.25">
      <c r="A699">
        <v>300</v>
      </c>
      <c r="B699" t="s">
        <v>5272</v>
      </c>
      <c r="C699" t="s">
        <v>1491</v>
      </c>
      <c r="D699" t="s">
        <v>59</v>
      </c>
      <c r="E699" t="s">
        <v>59</v>
      </c>
      <c r="F699">
        <v>-1</v>
      </c>
      <c r="G699" t="s">
        <v>4545</v>
      </c>
      <c r="H699" t="s">
        <v>59</v>
      </c>
      <c r="I699" t="s">
        <v>59</v>
      </c>
      <c r="J699" t="s">
        <v>59</v>
      </c>
      <c r="K699" t="s">
        <v>59</v>
      </c>
      <c r="L699" t="s">
        <v>59</v>
      </c>
      <c r="M699" t="s">
        <v>59</v>
      </c>
      <c r="N699" t="s">
        <v>59</v>
      </c>
      <c r="O699" t="s">
        <v>59</v>
      </c>
      <c r="P699" t="s">
        <v>59</v>
      </c>
      <c r="Q699" t="s">
        <v>59</v>
      </c>
      <c r="R699" t="s">
        <v>59</v>
      </c>
      <c r="S699" t="s">
        <v>59</v>
      </c>
      <c r="T699" t="s">
        <v>59</v>
      </c>
      <c r="U699" t="s">
        <v>59</v>
      </c>
      <c r="V699" t="s">
        <v>59</v>
      </c>
      <c r="W699" t="s">
        <v>59</v>
      </c>
      <c r="X699" t="s">
        <v>59</v>
      </c>
      <c r="Y699" t="s">
        <v>59</v>
      </c>
    </row>
    <row r="700" spans="1:25" x14ac:dyDescent="0.25">
      <c r="A700">
        <v>155</v>
      </c>
      <c r="B700" t="s">
        <v>5272</v>
      </c>
      <c r="C700" t="s">
        <v>4295</v>
      </c>
      <c r="D700" t="s">
        <v>59</v>
      </c>
      <c r="E700" t="s">
        <v>59</v>
      </c>
      <c r="F700">
        <v>-1</v>
      </c>
      <c r="G700" t="s">
        <v>843</v>
      </c>
      <c r="H700" t="s">
        <v>59</v>
      </c>
      <c r="I700" t="s">
        <v>59</v>
      </c>
      <c r="J700" t="s">
        <v>59</v>
      </c>
      <c r="K700" t="s">
        <v>59</v>
      </c>
      <c r="L700" t="s">
        <v>59</v>
      </c>
      <c r="M700" t="s">
        <v>59</v>
      </c>
      <c r="N700" t="s">
        <v>59</v>
      </c>
      <c r="O700" t="s">
        <v>59</v>
      </c>
      <c r="P700" t="s">
        <v>59</v>
      </c>
      <c r="Q700" t="s">
        <v>59</v>
      </c>
      <c r="R700" t="s">
        <v>59</v>
      </c>
      <c r="S700" t="s">
        <v>59</v>
      </c>
      <c r="T700" t="s">
        <v>59</v>
      </c>
      <c r="U700" t="s">
        <v>59</v>
      </c>
      <c r="V700" t="s">
        <v>59</v>
      </c>
      <c r="W700" t="s">
        <v>59</v>
      </c>
      <c r="X700" t="s">
        <v>59</v>
      </c>
      <c r="Y700" t="s">
        <v>59</v>
      </c>
    </row>
    <row r="701" spans="1:25" x14ac:dyDescent="0.25">
      <c r="A701">
        <v>400</v>
      </c>
      <c r="B701" t="s">
        <v>5272</v>
      </c>
      <c r="C701" t="s">
        <v>1976</v>
      </c>
      <c r="D701" t="s">
        <v>59</v>
      </c>
      <c r="E701" t="s">
        <v>59</v>
      </c>
      <c r="F701">
        <v>-1</v>
      </c>
      <c r="G701" t="s">
        <v>843</v>
      </c>
      <c r="H701" t="s">
        <v>59</v>
      </c>
      <c r="I701" t="s">
        <v>59</v>
      </c>
      <c r="J701" t="s">
        <v>59</v>
      </c>
      <c r="K701" t="s">
        <v>59</v>
      </c>
      <c r="L701" t="s">
        <v>59</v>
      </c>
      <c r="M701" t="s">
        <v>59</v>
      </c>
      <c r="N701" t="s">
        <v>59</v>
      </c>
      <c r="O701" t="s">
        <v>59</v>
      </c>
      <c r="P701" t="s">
        <v>59</v>
      </c>
      <c r="Q701" t="s">
        <v>59</v>
      </c>
      <c r="R701" t="s">
        <v>59</v>
      </c>
      <c r="S701" t="s">
        <v>59</v>
      </c>
      <c r="T701" t="s">
        <v>59</v>
      </c>
      <c r="U701" t="s">
        <v>59</v>
      </c>
      <c r="V701" t="s">
        <v>59</v>
      </c>
      <c r="W701" t="s">
        <v>59</v>
      </c>
      <c r="X701" t="s">
        <v>59</v>
      </c>
      <c r="Y701" t="s">
        <v>59</v>
      </c>
    </row>
    <row r="702" spans="1:25" x14ac:dyDescent="0.25">
      <c r="A702">
        <v>399</v>
      </c>
      <c r="B702" t="s">
        <v>5272</v>
      </c>
      <c r="C702" t="s">
        <v>1996</v>
      </c>
      <c r="D702" t="s">
        <v>59</v>
      </c>
      <c r="E702" t="s">
        <v>59</v>
      </c>
      <c r="F702">
        <v>-1</v>
      </c>
      <c r="G702" t="s">
        <v>843</v>
      </c>
      <c r="H702" t="s">
        <v>59</v>
      </c>
      <c r="I702" t="s">
        <v>59</v>
      </c>
      <c r="J702" t="s">
        <v>59</v>
      </c>
      <c r="K702" t="s">
        <v>59</v>
      </c>
      <c r="L702" t="s">
        <v>59</v>
      </c>
      <c r="M702" t="s">
        <v>59</v>
      </c>
      <c r="N702" t="s">
        <v>59</v>
      </c>
      <c r="O702" t="s">
        <v>59</v>
      </c>
      <c r="P702" t="s">
        <v>59</v>
      </c>
      <c r="Q702" t="s">
        <v>59</v>
      </c>
      <c r="R702" t="s">
        <v>59</v>
      </c>
      <c r="S702" t="s">
        <v>59</v>
      </c>
      <c r="T702" t="s">
        <v>59</v>
      </c>
      <c r="U702" t="s">
        <v>59</v>
      </c>
      <c r="V702" t="s">
        <v>59</v>
      </c>
      <c r="W702" t="s">
        <v>59</v>
      </c>
      <c r="X702" t="s">
        <v>59</v>
      </c>
      <c r="Y702" t="s">
        <v>59</v>
      </c>
    </row>
    <row r="703" spans="1:25" x14ac:dyDescent="0.25">
      <c r="A703">
        <v>305</v>
      </c>
      <c r="B703" t="s">
        <v>5272</v>
      </c>
      <c r="C703" t="s">
        <v>1552</v>
      </c>
      <c r="D703" t="s">
        <v>59</v>
      </c>
      <c r="E703" t="s">
        <v>59</v>
      </c>
      <c r="F703">
        <v>-1</v>
      </c>
      <c r="G703" t="s">
        <v>4574</v>
      </c>
      <c r="H703" t="s">
        <v>59</v>
      </c>
      <c r="I703" t="s">
        <v>59</v>
      </c>
      <c r="J703" t="s">
        <v>59</v>
      </c>
      <c r="K703" t="s">
        <v>59</v>
      </c>
      <c r="L703" t="s">
        <v>59</v>
      </c>
      <c r="M703" t="s">
        <v>59</v>
      </c>
      <c r="N703" t="s">
        <v>59</v>
      </c>
      <c r="O703" t="s">
        <v>59</v>
      </c>
      <c r="P703" t="s">
        <v>59</v>
      </c>
      <c r="Q703" t="s">
        <v>59</v>
      </c>
      <c r="R703" t="s">
        <v>59</v>
      </c>
      <c r="S703" t="s">
        <v>59</v>
      </c>
      <c r="T703" t="s">
        <v>59</v>
      </c>
      <c r="U703" t="s">
        <v>59</v>
      </c>
      <c r="V703" t="s">
        <v>59</v>
      </c>
      <c r="W703" t="s">
        <v>59</v>
      </c>
      <c r="X703" t="s">
        <v>59</v>
      </c>
      <c r="Y703" t="s">
        <v>59</v>
      </c>
    </row>
    <row r="704" spans="1:25" x14ac:dyDescent="0.25">
      <c r="A704">
        <v>496</v>
      </c>
      <c r="B704" t="s">
        <v>5272</v>
      </c>
      <c r="C704" t="s">
        <v>2009</v>
      </c>
      <c r="D704" t="s">
        <v>59</v>
      </c>
      <c r="E704" t="s">
        <v>59</v>
      </c>
      <c r="F704">
        <v>-1</v>
      </c>
      <c r="G704" t="s">
        <v>4866</v>
      </c>
      <c r="H704" t="s">
        <v>4859</v>
      </c>
      <c r="I704" t="s">
        <v>4861</v>
      </c>
      <c r="J704" t="s">
        <v>4863</v>
      </c>
      <c r="K704" t="s">
        <v>4865</v>
      </c>
      <c r="L704" t="s">
        <v>4868</v>
      </c>
      <c r="M704" t="s">
        <v>4872</v>
      </c>
      <c r="N704" t="s">
        <v>4874</v>
      </c>
      <c r="O704" t="s">
        <v>4876</v>
      </c>
      <c r="P704" t="s">
        <v>4878</v>
      </c>
      <c r="Q704" t="s">
        <v>4880</v>
      </c>
      <c r="R704" t="s">
        <v>4882</v>
      </c>
      <c r="S704" t="s">
        <v>59</v>
      </c>
      <c r="T704" t="s">
        <v>59</v>
      </c>
      <c r="U704" t="s">
        <v>59</v>
      </c>
      <c r="V704" t="s">
        <v>59</v>
      </c>
      <c r="W704" t="s">
        <v>59</v>
      </c>
      <c r="X704" t="s">
        <v>59</v>
      </c>
      <c r="Y704" t="s">
        <v>59</v>
      </c>
    </row>
    <row r="705" spans="1:25" x14ac:dyDescent="0.25">
      <c r="A705">
        <v>481</v>
      </c>
      <c r="B705" t="s">
        <v>5272</v>
      </c>
      <c r="C705" t="s">
        <v>2011</v>
      </c>
      <c r="D705" t="s">
        <v>59</v>
      </c>
      <c r="E705" t="s">
        <v>59</v>
      </c>
      <c r="F705">
        <v>-1</v>
      </c>
      <c r="G705" t="s">
        <v>4835</v>
      </c>
      <c r="H705" t="s">
        <v>4838</v>
      </c>
      <c r="I705" t="s">
        <v>4840</v>
      </c>
      <c r="J705" t="s">
        <v>4842</v>
      </c>
      <c r="K705" t="s">
        <v>4844</v>
      </c>
      <c r="L705" t="s">
        <v>4846</v>
      </c>
      <c r="M705" t="s">
        <v>4848</v>
      </c>
      <c r="N705" t="s">
        <v>4850</v>
      </c>
      <c r="O705" t="s">
        <v>4852</v>
      </c>
      <c r="P705" t="s">
        <v>4854</v>
      </c>
      <c r="Q705" t="s">
        <v>4856</v>
      </c>
      <c r="R705" t="s">
        <v>59</v>
      </c>
      <c r="S705" t="s">
        <v>59</v>
      </c>
      <c r="T705" t="s">
        <v>59</v>
      </c>
      <c r="U705" t="s">
        <v>59</v>
      </c>
      <c r="V705" t="s">
        <v>59</v>
      </c>
      <c r="W705" t="s">
        <v>59</v>
      </c>
      <c r="X705" t="s">
        <v>59</v>
      </c>
      <c r="Y705" t="s">
        <v>59</v>
      </c>
    </row>
    <row r="706" spans="1:25" x14ac:dyDescent="0.25">
      <c r="A706">
        <v>304</v>
      </c>
      <c r="B706" t="s">
        <v>5272</v>
      </c>
      <c r="C706" t="s">
        <v>1471</v>
      </c>
      <c r="D706" t="s">
        <v>59</v>
      </c>
      <c r="E706" t="s">
        <v>59</v>
      </c>
      <c r="F706">
        <v>-1</v>
      </c>
      <c r="G706" t="s">
        <v>4578</v>
      </c>
      <c r="H706" t="s">
        <v>59</v>
      </c>
      <c r="I706" t="s">
        <v>59</v>
      </c>
      <c r="J706" t="s">
        <v>59</v>
      </c>
      <c r="K706" t="s">
        <v>59</v>
      </c>
      <c r="L706" t="s">
        <v>59</v>
      </c>
      <c r="M706" t="s">
        <v>59</v>
      </c>
      <c r="N706" t="s">
        <v>59</v>
      </c>
      <c r="O706" t="s">
        <v>59</v>
      </c>
      <c r="P706" t="s">
        <v>59</v>
      </c>
      <c r="Q706" t="s">
        <v>59</v>
      </c>
      <c r="R706" t="s">
        <v>59</v>
      </c>
      <c r="S706" t="s">
        <v>59</v>
      </c>
      <c r="T706" t="s">
        <v>59</v>
      </c>
      <c r="U706" t="s">
        <v>59</v>
      </c>
      <c r="V706" t="s">
        <v>59</v>
      </c>
      <c r="W706" t="s">
        <v>59</v>
      </c>
      <c r="X706" t="s">
        <v>59</v>
      </c>
      <c r="Y706" t="s">
        <v>59</v>
      </c>
    </row>
    <row r="707" spans="1:25" x14ac:dyDescent="0.25">
      <c r="A707">
        <v>309</v>
      </c>
      <c r="B707" t="s">
        <v>5272</v>
      </c>
      <c r="C707" t="s">
        <v>4559</v>
      </c>
      <c r="D707" t="s">
        <v>59</v>
      </c>
      <c r="E707" t="s">
        <v>59</v>
      </c>
      <c r="F707">
        <v>-1</v>
      </c>
      <c r="G707" t="s">
        <v>4554</v>
      </c>
      <c r="H707" t="s">
        <v>59</v>
      </c>
      <c r="I707" t="s">
        <v>59</v>
      </c>
      <c r="J707" t="s">
        <v>59</v>
      </c>
      <c r="K707" t="s">
        <v>59</v>
      </c>
      <c r="L707" t="s">
        <v>59</v>
      </c>
      <c r="M707" t="s">
        <v>59</v>
      </c>
      <c r="N707" t="s">
        <v>59</v>
      </c>
      <c r="O707" t="s">
        <v>59</v>
      </c>
      <c r="P707" t="s">
        <v>59</v>
      </c>
      <c r="Q707" t="s">
        <v>59</v>
      </c>
      <c r="R707" t="s">
        <v>59</v>
      </c>
      <c r="S707" t="s">
        <v>59</v>
      </c>
      <c r="T707" t="s">
        <v>59</v>
      </c>
      <c r="U707" t="s">
        <v>59</v>
      </c>
      <c r="V707" t="s">
        <v>59</v>
      </c>
      <c r="W707" t="s">
        <v>59</v>
      </c>
      <c r="X707" t="s">
        <v>59</v>
      </c>
      <c r="Y707" t="s">
        <v>59</v>
      </c>
    </row>
  </sheetData>
  <sortState ref="A2:AW707">
    <sortCondition ref="B2:B707"/>
    <sortCondition ref="E2:E707"/>
    <sortCondition ref="D2:D707"/>
  </sortState>
  <conditionalFormatting sqref="A1:Y707">
    <cfRule type="containsText" dxfId="1" priority="1" operator="containsText" text="n/a">
      <formula>NOT(ISERROR(SEARCH("n/a",A1)))</formula>
    </cfRule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7" sqref="C7"/>
    </sheetView>
  </sheetViews>
  <sheetFormatPr defaultRowHeight="15" x14ac:dyDescent="0.25"/>
  <cols>
    <col min="1" max="1" width="4" bestFit="1" customWidth="1"/>
    <col min="2" max="2" width="5.28515625" bestFit="1" customWidth="1"/>
    <col min="3" max="4" width="26.5703125" bestFit="1" customWidth="1"/>
    <col min="5" max="5" width="29.7109375" bestFit="1" customWidth="1"/>
    <col min="6" max="6" width="23.7109375" bestFit="1" customWidth="1"/>
    <col min="7" max="7" width="29.42578125" bestFit="1" customWidth="1"/>
  </cols>
  <sheetData>
    <row r="1" spans="1:7" x14ac:dyDescent="0.25">
      <c r="A1" t="s">
        <v>2142</v>
      </c>
      <c r="B1" t="s">
        <v>66</v>
      </c>
      <c r="C1" t="s">
        <v>723</v>
      </c>
      <c r="D1" t="s">
        <v>1133</v>
      </c>
      <c r="E1" t="s">
        <v>5328</v>
      </c>
      <c r="F1" t="s">
        <v>5329</v>
      </c>
      <c r="G1" t="s">
        <v>724</v>
      </c>
    </row>
    <row r="3" spans="1:7" x14ac:dyDescent="0.25">
      <c r="A3">
        <v>1</v>
      </c>
      <c r="B3" s="2">
        <v>1</v>
      </c>
      <c r="C3" t="s">
        <v>5299</v>
      </c>
      <c r="D3" t="s">
        <v>5300</v>
      </c>
      <c r="E3" t="s">
        <v>5301</v>
      </c>
      <c r="F3" t="s">
        <v>5302</v>
      </c>
      <c r="G3" t="s">
        <v>1535</v>
      </c>
    </row>
    <row r="4" spans="1:7" x14ac:dyDescent="0.25">
      <c r="A4">
        <v>2</v>
      </c>
      <c r="B4" s="2">
        <v>2</v>
      </c>
      <c r="C4" t="s">
        <v>5303</v>
      </c>
      <c r="D4" t="s">
        <v>5304</v>
      </c>
      <c r="E4" t="s">
        <v>5305</v>
      </c>
      <c r="F4" t="s">
        <v>5306</v>
      </c>
      <c r="G4" t="s">
        <v>1513</v>
      </c>
    </row>
    <row r="5" spans="1:7" x14ac:dyDescent="0.25">
      <c r="A5">
        <v>3</v>
      </c>
      <c r="B5" s="2">
        <v>3</v>
      </c>
      <c r="C5" t="s">
        <v>5307</v>
      </c>
      <c r="D5" t="s">
        <v>5308</v>
      </c>
      <c r="E5" t="s">
        <v>5309</v>
      </c>
      <c r="F5" t="s">
        <v>5310</v>
      </c>
      <c r="G5" t="s">
        <v>1528</v>
      </c>
    </row>
    <row r="6" spans="1:7" x14ac:dyDescent="0.25">
      <c r="A6">
        <v>4</v>
      </c>
      <c r="B6" s="2">
        <v>4</v>
      </c>
      <c r="C6" t="s">
        <v>5316</v>
      </c>
      <c r="D6" t="s">
        <v>5317</v>
      </c>
      <c r="E6" t="s">
        <v>5318</v>
      </c>
      <c r="F6" t="s">
        <v>5319</v>
      </c>
      <c r="G6" t="s">
        <v>1573</v>
      </c>
    </row>
    <row r="7" spans="1:7" x14ac:dyDescent="0.25">
      <c r="A7">
        <v>5</v>
      </c>
      <c r="B7" s="2">
        <v>5</v>
      </c>
      <c r="C7" t="s">
        <v>5311</v>
      </c>
      <c r="D7" t="s">
        <v>5312</v>
      </c>
      <c r="E7" t="s">
        <v>5313</v>
      </c>
      <c r="F7" t="s">
        <v>5314</v>
      </c>
      <c r="G7" t="s">
        <v>5315</v>
      </c>
    </row>
    <row r="8" spans="1:7" x14ac:dyDescent="0.25">
      <c r="A8">
        <v>6</v>
      </c>
      <c r="B8">
        <v>6</v>
      </c>
      <c r="C8" t="s">
        <v>5324</v>
      </c>
      <c r="D8" t="s">
        <v>5325</v>
      </c>
      <c r="E8" t="s">
        <v>5326</v>
      </c>
      <c r="F8" t="s">
        <v>5327</v>
      </c>
      <c r="G8" t="s">
        <v>1564</v>
      </c>
    </row>
    <row r="9" spans="1:7" x14ac:dyDescent="0.25">
      <c r="A9">
        <v>7</v>
      </c>
      <c r="B9" s="2">
        <v>7</v>
      </c>
      <c r="C9" t="s">
        <v>5320</v>
      </c>
      <c r="D9" t="s">
        <v>5321</v>
      </c>
      <c r="E9" t="s">
        <v>5322</v>
      </c>
      <c r="F9" t="s">
        <v>5323</v>
      </c>
      <c r="G9" t="s">
        <v>1535</v>
      </c>
    </row>
  </sheetData>
  <sortState ref="A2:H14">
    <sortCondition ref="B2:B14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2"/>
  <sheetViews>
    <sheetView topLeftCell="A7" workbookViewId="0">
      <selection activeCell="C2" sqref="C2"/>
    </sheetView>
  </sheetViews>
  <sheetFormatPr defaultRowHeight="15" x14ac:dyDescent="0.25"/>
  <cols>
    <col min="2" max="2" width="10.7109375" bestFit="1" customWidth="1"/>
    <col min="3" max="3" width="12.85546875" bestFit="1" customWidth="1"/>
  </cols>
  <sheetData>
    <row r="1" spans="1:15" ht="39" x14ac:dyDescent="0.25">
      <c r="A1" s="8" t="s">
        <v>2142</v>
      </c>
      <c r="B1" s="8" t="s">
        <v>63</v>
      </c>
      <c r="C1" s="8" t="s">
        <v>723</v>
      </c>
      <c r="D1" s="8" t="s">
        <v>5330</v>
      </c>
      <c r="E1" s="8" t="s">
        <v>5331</v>
      </c>
      <c r="F1" s="8" t="s">
        <v>5332</v>
      </c>
      <c r="G1" s="8" t="s">
        <v>5333</v>
      </c>
      <c r="H1" s="8" t="s">
        <v>5334</v>
      </c>
      <c r="I1" s="8" t="s">
        <v>5335</v>
      </c>
      <c r="J1" s="8" t="s">
        <v>5336</v>
      </c>
      <c r="K1" s="8" t="s">
        <v>5337</v>
      </c>
      <c r="L1" s="8" t="s">
        <v>5338</v>
      </c>
      <c r="M1" s="8" t="s">
        <v>5339</v>
      </c>
      <c r="N1" s="8" t="s">
        <v>5340</v>
      </c>
      <c r="O1" s="8" t="s">
        <v>5341</v>
      </c>
    </row>
    <row r="2" spans="1:15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x14ac:dyDescent="0.25">
      <c r="A3">
        <v>1</v>
      </c>
      <c r="B3" t="s">
        <v>5352</v>
      </c>
      <c r="C3" t="s">
        <v>5342</v>
      </c>
      <c r="D3" s="2">
        <v>15.77</v>
      </c>
      <c r="E3" s="2">
        <v>22.25</v>
      </c>
      <c r="F3" s="2">
        <v>0</v>
      </c>
      <c r="G3" s="2">
        <v>0</v>
      </c>
      <c r="H3" s="2">
        <v>0</v>
      </c>
      <c r="I3" s="2">
        <v>27</v>
      </c>
      <c r="J3" s="2">
        <v>0</v>
      </c>
      <c r="K3">
        <v>0</v>
      </c>
      <c r="L3" s="2">
        <v>0</v>
      </c>
      <c r="M3">
        <v>1</v>
      </c>
      <c r="N3">
        <v>1</v>
      </c>
      <c r="O3">
        <v>1</v>
      </c>
    </row>
    <row r="4" spans="1:15" x14ac:dyDescent="0.25">
      <c r="A4">
        <v>2</v>
      </c>
      <c r="B4" t="s">
        <v>5352</v>
      </c>
      <c r="C4" t="s">
        <v>5343</v>
      </c>
      <c r="D4" s="2">
        <v>10.69</v>
      </c>
      <c r="E4" s="2">
        <v>22.03</v>
      </c>
      <c r="F4" s="2">
        <v>1</v>
      </c>
      <c r="G4" s="2">
        <v>6</v>
      </c>
      <c r="H4" s="2">
        <v>0</v>
      </c>
      <c r="I4" s="2">
        <v>17</v>
      </c>
      <c r="J4" s="2">
        <v>0</v>
      </c>
      <c r="K4">
        <v>0</v>
      </c>
      <c r="L4" s="2">
        <v>0</v>
      </c>
      <c r="M4">
        <v>1</v>
      </c>
      <c r="N4">
        <v>1</v>
      </c>
      <c r="O4">
        <v>1</v>
      </c>
    </row>
    <row r="5" spans="1:15" x14ac:dyDescent="0.25">
      <c r="A5">
        <v>3</v>
      </c>
      <c r="B5" t="s">
        <v>5352</v>
      </c>
      <c r="C5" t="s">
        <v>5344</v>
      </c>
      <c r="D5" s="2">
        <v>15.66</v>
      </c>
      <c r="E5" s="2">
        <v>25.49</v>
      </c>
      <c r="F5" s="2">
        <v>0</v>
      </c>
      <c r="G5" s="2">
        <v>-22.5</v>
      </c>
      <c r="H5" s="2">
        <v>0</v>
      </c>
      <c r="I5" s="2">
        <v>24</v>
      </c>
      <c r="J5" s="2">
        <v>0</v>
      </c>
      <c r="K5" s="2">
        <v>-22</v>
      </c>
      <c r="L5" s="2">
        <v>0</v>
      </c>
      <c r="M5">
        <v>1</v>
      </c>
      <c r="N5">
        <v>1</v>
      </c>
      <c r="O5">
        <v>1</v>
      </c>
    </row>
    <row r="6" spans="1:15" x14ac:dyDescent="0.25">
      <c r="A6">
        <v>4</v>
      </c>
      <c r="B6" t="s">
        <v>5352</v>
      </c>
      <c r="C6" t="s">
        <v>5345</v>
      </c>
      <c r="D6" s="2">
        <v>9.5</v>
      </c>
      <c r="E6" s="2">
        <v>21.82</v>
      </c>
      <c r="F6" s="2">
        <v>7</v>
      </c>
      <c r="G6" s="2">
        <v>2</v>
      </c>
      <c r="H6" s="2">
        <v>0</v>
      </c>
      <c r="I6" s="2">
        <v>17</v>
      </c>
      <c r="J6" s="2">
        <v>0</v>
      </c>
      <c r="K6">
        <v>0</v>
      </c>
      <c r="L6" s="2">
        <v>0</v>
      </c>
      <c r="M6">
        <v>1</v>
      </c>
      <c r="N6">
        <v>1</v>
      </c>
      <c r="O6">
        <v>1</v>
      </c>
    </row>
    <row r="7" spans="1:15" x14ac:dyDescent="0.25">
      <c r="A7">
        <v>5</v>
      </c>
      <c r="B7" t="s">
        <v>5352</v>
      </c>
      <c r="C7" t="s">
        <v>5346</v>
      </c>
      <c r="D7" s="2">
        <v>15.98</v>
      </c>
      <c r="E7" s="2">
        <v>25.6</v>
      </c>
      <c r="F7" s="2">
        <v>-18</v>
      </c>
      <c r="G7" s="2">
        <v>1</v>
      </c>
      <c r="H7" s="2">
        <v>0</v>
      </c>
      <c r="I7" s="2">
        <v>25</v>
      </c>
      <c r="J7" s="2">
        <v>-21</v>
      </c>
      <c r="K7">
        <v>0</v>
      </c>
      <c r="L7" s="2">
        <v>0</v>
      </c>
      <c r="M7">
        <v>1</v>
      </c>
      <c r="N7">
        <v>1</v>
      </c>
      <c r="O7">
        <v>1</v>
      </c>
    </row>
    <row r="8" spans="1:15" x14ac:dyDescent="0.25">
      <c r="A8">
        <v>6</v>
      </c>
      <c r="B8" t="s">
        <v>5352</v>
      </c>
      <c r="C8" t="s">
        <v>5347</v>
      </c>
      <c r="D8" s="2">
        <v>17.39</v>
      </c>
      <c r="E8" s="2">
        <v>24.19</v>
      </c>
      <c r="F8" s="2">
        <v>0</v>
      </c>
      <c r="G8" s="2">
        <v>0</v>
      </c>
      <c r="H8" s="2">
        <v>0</v>
      </c>
      <c r="I8" s="2">
        <v>15</v>
      </c>
      <c r="J8" s="2">
        <v>0</v>
      </c>
      <c r="K8">
        <v>0</v>
      </c>
      <c r="L8" s="2">
        <v>0</v>
      </c>
      <c r="M8">
        <v>1</v>
      </c>
      <c r="N8">
        <v>1</v>
      </c>
      <c r="O8">
        <v>1</v>
      </c>
    </row>
    <row r="9" spans="1:15" x14ac:dyDescent="0.25">
      <c r="A9">
        <v>7</v>
      </c>
      <c r="B9" t="s">
        <v>5352</v>
      </c>
      <c r="C9" t="s">
        <v>5348</v>
      </c>
      <c r="D9" s="2">
        <v>16.309999999999999</v>
      </c>
      <c r="E9" s="2">
        <v>23.11</v>
      </c>
      <c r="F9" s="2">
        <v>-1</v>
      </c>
      <c r="G9" s="2">
        <v>-3.3</v>
      </c>
      <c r="H9" s="2">
        <v>0</v>
      </c>
      <c r="I9" s="2">
        <v>17</v>
      </c>
      <c r="J9" s="2">
        <v>0</v>
      </c>
      <c r="K9">
        <v>0</v>
      </c>
      <c r="L9" s="2">
        <v>0</v>
      </c>
      <c r="M9">
        <v>1</v>
      </c>
      <c r="N9">
        <v>1</v>
      </c>
      <c r="O9">
        <v>1</v>
      </c>
    </row>
    <row r="10" spans="1:15" x14ac:dyDescent="0.25">
      <c r="A10">
        <v>8</v>
      </c>
      <c r="B10" t="s">
        <v>5352</v>
      </c>
      <c r="C10" t="s">
        <v>5349</v>
      </c>
      <c r="D10" s="2">
        <v>16.52</v>
      </c>
      <c r="E10" s="2">
        <v>28.94</v>
      </c>
      <c r="F10" s="2">
        <v>23.9</v>
      </c>
      <c r="G10" s="2">
        <v>0</v>
      </c>
      <c r="H10" s="2">
        <v>0</v>
      </c>
      <c r="I10" s="2">
        <v>50</v>
      </c>
      <c r="J10" s="2">
        <v>23.5</v>
      </c>
      <c r="K10">
        <v>0</v>
      </c>
      <c r="L10" s="2">
        <v>0</v>
      </c>
      <c r="M10">
        <v>1</v>
      </c>
      <c r="N10">
        <v>1</v>
      </c>
      <c r="O10">
        <v>1</v>
      </c>
    </row>
    <row r="11" spans="1:15" x14ac:dyDescent="0.25">
      <c r="A11">
        <v>9</v>
      </c>
      <c r="B11" t="s">
        <v>5352</v>
      </c>
      <c r="C11" t="s">
        <v>5350</v>
      </c>
      <c r="D11" s="2">
        <v>16.739999999999998</v>
      </c>
      <c r="E11" s="2">
        <v>25.6</v>
      </c>
      <c r="F11" s="2">
        <v>-1</v>
      </c>
      <c r="G11" s="2">
        <v>0</v>
      </c>
      <c r="H11" s="2">
        <v>0</v>
      </c>
      <c r="I11" s="2">
        <v>40</v>
      </c>
      <c r="J11" s="2">
        <v>0</v>
      </c>
      <c r="K11">
        <v>0</v>
      </c>
      <c r="L11" s="2">
        <v>0</v>
      </c>
      <c r="M11">
        <v>1</v>
      </c>
      <c r="N11">
        <v>1</v>
      </c>
      <c r="O11">
        <v>1</v>
      </c>
    </row>
    <row r="12" spans="1:15" x14ac:dyDescent="0.25">
      <c r="A12">
        <v>10</v>
      </c>
      <c r="B12" t="s">
        <v>5352</v>
      </c>
      <c r="C12" t="s">
        <v>5351</v>
      </c>
      <c r="D12" s="2">
        <v>16.850000000000001</v>
      </c>
      <c r="E12" s="2">
        <v>28.62</v>
      </c>
      <c r="F12" s="2">
        <v>-5</v>
      </c>
      <c r="G12" s="2">
        <v>19</v>
      </c>
      <c r="H12" s="2">
        <v>0</v>
      </c>
      <c r="I12" s="2">
        <v>30</v>
      </c>
      <c r="J12" s="2">
        <v>0</v>
      </c>
      <c r="K12" s="2">
        <v>23.5</v>
      </c>
      <c r="L12" s="2">
        <v>0</v>
      </c>
      <c r="M12" s="2">
        <v>1.3</v>
      </c>
      <c r="N12" s="2">
        <v>1</v>
      </c>
      <c r="O12" s="2">
        <v>1</v>
      </c>
    </row>
    <row r="13" spans="1:15" x14ac:dyDescent="0.25">
      <c r="A13">
        <v>11</v>
      </c>
      <c r="B13" t="s">
        <v>5353</v>
      </c>
      <c r="C13" t="s">
        <v>5342</v>
      </c>
      <c r="D13" s="2">
        <v>16.52</v>
      </c>
      <c r="E13" s="2">
        <v>19.66</v>
      </c>
      <c r="F13" s="2">
        <v>0</v>
      </c>
      <c r="G13" s="2">
        <v>0</v>
      </c>
      <c r="H13" s="2">
        <v>0</v>
      </c>
      <c r="I13" s="2">
        <v>15</v>
      </c>
      <c r="J13" s="2">
        <v>0</v>
      </c>
      <c r="K13" s="2">
        <v>0</v>
      </c>
      <c r="L13" s="2">
        <v>0</v>
      </c>
      <c r="M13" s="2">
        <v>1</v>
      </c>
      <c r="N13" s="2">
        <v>1</v>
      </c>
      <c r="O13" s="2">
        <v>1</v>
      </c>
    </row>
    <row r="14" spans="1:15" x14ac:dyDescent="0.25">
      <c r="A14">
        <v>12</v>
      </c>
      <c r="B14" t="s">
        <v>5353</v>
      </c>
      <c r="C14" t="s">
        <v>5343</v>
      </c>
      <c r="D14" s="2">
        <v>9.7200000000000006</v>
      </c>
      <c r="E14" s="2">
        <v>21.17</v>
      </c>
      <c r="F14" s="2">
        <v>1</v>
      </c>
      <c r="G14" s="2">
        <v>5</v>
      </c>
      <c r="H14" s="2">
        <v>0</v>
      </c>
      <c r="I14" s="2">
        <v>15</v>
      </c>
      <c r="J14" s="2">
        <v>0</v>
      </c>
      <c r="K14" s="2">
        <v>0</v>
      </c>
      <c r="L14" s="2">
        <v>0</v>
      </c>
      <c r="M14" s="2">
        <v>1</v>
      </c>
      <c r="N14" s="2">
        <v>1</v>
      </c>
      <c r="O14" s="2">
        <v>1</v>
      </c>
    </row>
    <row r="15" spans="1:15" x14ac:dyDescent="0.25">
      <c r="A15">
        <v>13</v>
      </c>
      <c r="B15" t="s">
        <v>5353</v>
      </c>
      <c r="C15" t="s">
        <v>5344</v>
      </c>
      <c r="D15" s="2">
        <v>15.77</v>
      </c>
      <c r="E15" s="2">
        <v>24.19</v>
      </c>
      <c r="F15" s="2">
        <v>0</v>
      </c>
      <c r="G15" s="2">
        <v>-23</v>
      </c>
      <c r="H15" s="2">
        <v>0</v>
      </c>
      <c r="I15" s="2">
        <v>15</v>
      </c>
      <c r="J15" s="2">
        <v>0</v>
      </c>
      <c r="K15" s="2">
        <v>-22</v>
      </c>
      <c r="L15" s="2">
        <v>0</v>
      </c>
      <c r="M15" s="2">
        <v>1</v>
      </c>
      <c r="N15" s="2">
        <v>1</v>
      </c>
      <c r="O15" s="2">
        <v>1</v>
      </c>
    </row>
    <row r="16" spans="1:15" x14ac:dyDescent="0.25">
      <c r="A16">
        <v>14</v>
      </c>
      <c r="B16" t="s">
        <v>5353</v>
      </c>
      <c r="C16" t="s">
        <v>5345</v>
      </c>
      <c r="D16" s="2">
        <v>9.07</v>
      </c>
      <c r="E16" s="2">
        <v>20.95</v>
      </c>
      <c r="F16" s="2">
        <v>6</v>
      </c>
      <c r="G16" s="2">
        <v>0</v>
      </c>
      <c r="H16" s="2">
        <v>0</v>
      </c>
      <c r="I16" s="2">
        <v>15</v>
      </c>
      <c r="J16" s="2">
        <v>0</v>
      </c>
      <c r="K16" s="2">
        <v>0</v>
      </c>
      <c r="L16" s="2">
        <v>0</v>
      </c>
      <c r="M16" s="2">
        <v>1</v>
      </c>
      <c r="N16" s="2">
        <v>1</v>
      </c>
      <c r="O16" s="2">
        <v>1</v>
      </c>
    </row>
    <row r="17" spans="1:15" x14ac:dyDescent="0.25">
      <c r="A17">
        <v>15</v>
      </c>
      <c r="B17" t="s">
        <v>5353</v>
      </c>
      <c r="C17" t="s">
        <v>5346</v>
      </c>
      <c r="D17" s="2">
        <v>17.28</v>
      </c>
      <c r="E17" s="2">
        <v>23.65</v>
      </c>
      <c r="F17" s="2">
        <v>-19</v>
      </c>
      <c r="G17" s="2">
        <v>0</v>
      </c>
      <c r="H17" s="2">
        <v>0</v>
      </c>
      <c r="I17" s="2">
        <v>15</v>
      </c>
      <c r="J17" s="2">
        <v>-21</v>
      </c>
      <c r="K17" s="2">
        <v>0</v>
      </c>
      <c r="L17" s="2">
        <v>0</v>
      </c>
      <c r="M17" s="2">
        <v>1</v>
      </c>
      <c r="N17" s="2">
        <v>1</v>
      </c>
      <c r="O17" s="2">
        <v>1</v>
      </c>
    </row>
    <row r="18" spans="1:15" x14ac:dyDescent="0.25">
      <c r="A18">
        <v>16</v>
      </c>
      <c r="B18" t="s">
        <v>5353</v>
      </c>
      <c r="C18" t="s">
        <v>5347</v>
      </c>
      <c r="D18" s="2">
        <v>17.5</v>
      </c>
      <c r="E18" s="2">
        <v>21.38</v>
      </c>
      <c r="F18" s="2">
        <v>1</v>
      </c>
      <c r="G18" s="2">
        <v>0</v>
      </c>
      <c r="H18" s="2">
        <v>0</v>
      </c>
      <c r="I18" s="2">
        <v>15</v>
      </c>
      <c r="J18" s="2">
        <v>0</v>
      </c>
      <c r="K18" s="2">
        <v>0</v>
      </c>
      <c r="L18" s="2">
        <v>0</v>
      </c>
      <c r="M18" s="2">
        <v>1</v>
      </c>
      <c r="N18" s="2">
        <v>1</v>
      </c>
      <c r="O18" s="2">
        <v>1</v>
      </c>
    </row>
    <row r="19" spans="1:15" x14ac:dyDescent="0.25">
      <c r="A19">
        <v>17</v>
      </c>
      <c r="B19" t="s">
        <v>5353</v>
      </c>
      <c r="C19" t="s">
        <v>5348</v>
      </c>
      <c r="D19" s="2">
        <v>7.13</v>
      </c>
      <c r="E19" s="2">
        <v>19.66</v>
      </c>
      <c r="F19" s="2">
        <v>1</v>
      </c>
      <c r="G19" s="2">
        <v>3</v>
      </c>
      <c r="H19" s="2">
        <v>0</v>
      </c>
      <c r="I19" s="2">
        <v>15</v>
      </c>
      <c r="J19" s="2">
        <v>0</v>
      </c>
      <c r="K19" s="2">
        <v>0</v>
      </c>
      <c r="L19" s="2">
        <v>0</v>
      </c>
      <c r="M19" s="2">
        <v>1</v>
      </c>
      <c r="N19" s="2">
        <v>1</v>
      </c>
      <c r="O19" s="2">
        <v>1</v>
      </c>
    </row>
    <row r="20" spans="1:15" x14ac:dyDescent="0.25">
      <c r="A20">
        <v>18</v>
      </c>
      <c r="B20" t="s">
        <v>5353</v>
      </c>
      <c r="C20" t="s">
        <v>5349</v>
      </c>
      <c r="D20" s="2">
        <v>16.739999999999998</v>
      </c>
      <c r="E20" s="2">
        <v>24.95</v>
      </c>
      <c r="F20" s="2">
        <v>24.1</v>
      </c>
      <c r="G20" s="2">
        <v>0</v>
      </c>
      <c r="H20" s="2">
        <v>0</v>
      </c>
      <c r="I20" s="2">
        <v>32</v>
      </c>
      <c r="J20" s="2">
        <v>23.5</v>
      </c>
      <c r="K20" s="2">
        <v>0</v>
      </c>
      <c r="L20" s="2">
        <v>0</v>
      </c>
      <c r="M20" s="2">
        <v>1</v>
      </c>
      <c r="N20" s="2">
        <v>1</v>
      </c>
      <c r="O20" s="2">
        <v>1</v>
      </c>
    </row>
    <row r="21" spans="1:15" x14ac:dyDescent="0.25">
      <c r="A21">
        <v>19</v>
      </c>
      <c r="B21" t="s">
        <v>5353</v>
      </c>
      <c r="C21" t="s">
        <v>5350</v>
      </c>
      <c r="D21" s="2">
        <v>7.13</v>
      </c>
      <c r="E21" s="2">
        <v>18.899999999999999</v>
      </c>
      <c r="F21" s="2">
        <v>1</v>
      </c>
      <c r="G21" s="2">
        <v>-1</v>
      </c>
      <c r="H21" s="2">
        <v>0</v>
      </c>
      <c r="I21" s="2">
        <v>20</v>
      </c>
      <c r="J21" s="2">
        <v>0</v>
      </c>
      <c r="K21" s="2">
        <v>0</v>
      </c>
      <c r="L21" s="2">
        <v>0</v>
      </c>
      <c r="M21" s="2">
        <v>1</v>
      </c>
      <c r="N21" s="2">
        <v>1</v>
      </c>
      <c r="O21" s="2">
        <v>1</v>
      </c>
    </row>
    <row r="22" spans="1:15" x14ac:dyDescent="0.25">
      <c r="A22">
        <v>20</v>
      </c>
      <c r="B22" t="s">
        <v>5353</v>
      </c>
      <c r="C22" t="s">
        <v>5351</v>
      </c>
      <c r="D22" s="2">
        <v>16.850000000000001</v>
      </c>
      <c r="E22" s="2">
        <v>24.19</v>
      </c>
      <c r="F22" s="2">
        <v>-4</v>
      </c>
      <c r="G22" s="2">
        <v>19</v>
      </c>
      <c r="H22" s="2">
        <v>0</v>
      </c>
      <c r="I22" s="2">
        <v>16</v>
      </c>
      <c r="J22" s="2">
        <v>0</v>
      </c>
      <c r="K22" s="2">
        <v>23.5</v>
      </c>
      <c r="L22" s="2">
        <v>0</v>
      </c>
      <c r="M22" s="2">
        <v>1.3</v>
      </c>
      <c r="N22" s="2">
        <v>1</v>
      </c>
      <c r="O22" s="2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activeCell="I1" sqref="I1"/>
    </sheetView>
  </sheetViews>
  <sheetFormatPr defaultRowHeight="15" x14ac:dyDescent="0.25"/>
  <cols>
    <col min="1" max="1" width="4" bestFit="1" customWidth="1"/>
    <col min="2" max="2" width="6.5703125" bestFit="1" customWidth="1"/>
    <col min="3" max="5" width="9.42578125" customWidth="1"/>
    <col min="6" max="7" width="6.42578125" customWidth="1"/>
  </cols>
  <sheetData>
    <row r="1" spans="1:7" s="1" customFormat="1" ht="45" x14ac:dyDescent="0.25">
      <c r="A1" s="1" t="s">
        <v>2142</v>
      </c>
      <c r="B1" s="1" t="s">
        <v>5354</v>
      </c>
      <c r="C1" s="1" t="s">
        <v>5355</v>
      </c>
      <c r="D1" s="1" t="s">
        <v>5356</v>
      </c>
      <c r="E1" s="1" t="s">
        <v>5357</v>
      </c>
      <c r="F1" s="1" t="s">
        <v>5358</v>
      </c>
      <c r="G1" s="1" t="s">
        <v>5359</v>
      </c>
    </row>
    <row r="2" spans="1:7" x14ac:dyDescent="0.25">
      <c r="A2">
        <v>1</v>
      </c>
      <c r="B2" s="2">
        <v>0</v>
      </c>
      <c r="C2" s="2">
        <v>0</v>
      </c>
      <c r="D2" s="2">
        <v>0</v>
      </c>
      <c r="E2" s="2">
        <v>-1</v>
      </c>
      <c r="F2" s="2">
        <v>0.1</v>
      </c>
      <c r="G2" s="2">
        <v>0.1</v>
      </c>
    </row>
    <row r="3" spans="1:7" x14ac:dyDescent="0.25">
      <c r="A3">
        <v>2</v>
      </c>
      <c r="B3" s="2">
        <v>0.3</v>
      </c>
      <c r="C3" s="2">
        <v>0</v>
      </c>
      <c r="D3" s="2">
        <v>0</v>
      </c>
      <c r="E3" s="2">
        <v>0.4</v>
      </c>
      <c r="F3" s="2">
        <v>0.1</v>
      </c>
      <c r="G3" s="2">
        <v>0.1</v>
      </c>
    </row>
    <row r="4" spans="1:7" x14ac:dyDescent="0.25">
      <c r="A4">
        <v>3</v>
      </c>
      <c r="B4" s="2">
        <v>0.5</v>
      </c>
      <c r="C4" s="2">
        <v>0</v>
      </c>
      <c r="D4" s="2">
        <v>0</v>
      </c>
      <c r="E4" s="2">
        <v>-0.2</v>
      </c>
      <c r="F4" s="2">
        <v>0.1</v>
      </c>
      <c r="G4" s="2">
        <v>0.1</v>
      </c>
    </row>
    <row r="5" spans="1:7" x14ac:dyDescent="0.25">
      <c r="A5">
        <v>4</v>
      </c>
      <c r="B5" s="2">
        <v>0.65</v>
      </c>
      <c r="C5" s="2">
        <v>0</v>
      </c>
      <c r="D5" s="2">
        <v>0</v>
      </c>
      <c r="E5" s="2">
        <v>0.2</v>
      </c>
      <c r="F5" s="2">
        <v>0.1</v>
      </c>
      <c r="G5" s="2">
        <v>0.1</v>
      </c>
    </row>
    <row r="6" spans="1:7" x14ac:dyDescent="0.25">
      <c r="A6">
        <v>5</v>
      </c>
      <c r="B6" s="2">
        <v>0.75</v>
      </c>
      <c r="C6" s="2">
        <v>0</v>
      </c>
      <c r="D6" s="2">
        <v>0</v>
      </c>
      <c r="E6" s="2">
        <v>-0.1</v>
      </c>
      <c r="F6" s="2">
        <v>0.1</v>
      </c>
      <c r="G6" s="2">
        <v>0.1</v>
      </c>
    </row>
    <row r="7" spans="1:7" x14ac:dyDescent="0.25">
      <c r="A7">
        <v>6</v>
      </c>
      <c r="B7" s="2">
        <v>0.8</v>
      </c>
      <c r="C7" s="2">
        <v>0</v>
      </c>
      <c r="D7" s="2">
        <v>0</v>
      </c>
      <c r="E7" s="2">
        <v>0.1</v>
      </c>
      <c r="F7" s="2">
        <v>0.1</v>
      </c>
      <c r="G7" s="2">
        <v>0.1</v>
      </c>
    </row>
    <row r="8" spans="1:7" x14ac:dyDescent="0.25">
      <c r="A8">
        <v>7</v>
      </c>
      <c r="B8" s="2">
        <v>0.85</v>
      </c>
      <c r="C8" s="2">
        <v>0</v>
      </c>
      <c r="D8" s="2">
        <v>0</v>
      </c>
      <c r="E8" s="2">
        <v>0</v>
      </c>
      <c r="F8" s="2">
        <v>0.1</v>
      </c>
      <c r="G8" s="2">
        <v>0.1</v>
      </c>
    </row>
    <row r="9" spans="1:7" x14ac:dyDescent="0.25">
      <c r="A9">
        <v>8</v>
      </c>
      <c r="B9" s="2">
        <v>0.9</v>
      </c>
      <c r="C9" s="2">
        <v>0</v>
      </c>
      <c r="D9" s="2">
        <v>0</v>
      </c>
      <c r="E9" s="2">
        <v>0</v>
      </c>
      <c r="F9" s="2">
        <v>0.1</v>
      </c>
      <c r="G9" s="2">
        <v>0.1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5"/>
  <sheetViews>
    <sheetView zoomScale="70" zoomScaleNormal="70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G26" sqref="G25:G26"/>
    </sheetView>
  </sheetViews>
  <sheetFormatPr defaultRowHeight="15" x14ac:dyDescent="0.25"/>
  <cols>
    <col min="1" max="1" width="2.85546875" bestFit="1" customWidth="1"/>
    <col min="2" max="2" width="5.7109375" bestFit="1" customWidth="1"/>
    <col min="3" max="3" width="42.85546875" bestFit="1" customWidth="1"/>
    <col min="4" max="4" width="13.42578125" bestFit="1" customWidth="1"/>
    <col min="5" max="5" width="9.140625" bestFit="1" customWidth="1"/>
    <col min="6" max="6" width="8.5703125" bestFit="1" customWidth="1"/>
    <col min="7" max="7" width="21" customWidth="1"/>
    <col min="8" max="8" width="9.42578125" customWidth="1"/>
    <col min="9" max="9" width="10.28515625" bestFit="1" customWidth="1"/>
    <col min="10" max="10" width="7.28515625" customWidth="1"/>
    <col min="11" max="12" width="10" customWidth="1"/>
    <col min="13" max="13" width="15.42578125" customWidth="1"/>
    <col min="14" max="14" width="24" bestFit="1" customWidth="1"/>
    <col min="15" max="15" width="13.28515625" customWidth="1"/>
    <col min="16" max="16" width="12.140625" customWidth="1"/>
    <col min="17" max="17" width="11.42578125" bestFit="1" customWidth="1"/>
  </cols>
  <sheetData>
    <row r="1" spans="1:17" s="1" customFormat="1" ht="45" x14ac:dyDescent="0.25">
      <c r="A1" s="1" t="s">
        <v>2142</v>
      </c>
      <c r="B1" s="1" t="s">
        <v>66</v>
      </c>
      <c r="C1" s="1" t="s">
        <v>723</v>
      </c>
      <c r="D1" s="1" t="s">
        <v>5473</v>
      </c>
      <c r="E1" s="1" t="s">
        <v>5475</v>
      </c>
      <c r="F1" s="1" t="s">
        <v>5474</v>
      </c>
      <c r="G1" s="1" t="s">
        <v>5476</v>
      </c>
      <c r="H1" s="1" t="s">
        <v>5477</v>
      </c>
      <c r="I1" s="1" t="s">
        <v>5478</v>
      </c>
      <c r="J1" s="1" t="s">
        <v>1138</v>
      </c>
      <c r="K1" s="1" t="s">
        <v>2539</v>
      </c>
      <c r="L1" s="1" t="s">
        <v>2540</v>
      </c>
      <c r="M1" s="1" t="s">
        <v>5479</v>
      </c>
      <c r="N1" s="1" t="s">
        <v>5480</v>
      </c>
      <c r="O1" s="1" t="s">
        <v>5481</v>
      </c>
      <c r="P1" s="1" t="s">
        <v>5482</v>
      </c>
      <c r="Q1" s="1" t="s">
        <v>5483</v>
      </c>
    </row>
    <row r="3" spans="1:17" x14ac:dyDescent="0.25">
      <c r="A3">
        <v>0</v>
      </c>
      <c r="B3">
        <v>63</v>
      </c>
      <c r="C3" t="s">
        <v>5361</v>
      </c>
      <c r="D3">
        <v>3008</v>
      </c>
      <c r="E3" t="s">
        <v>59</v>
      </c>
      <c r="F3">
        <v>-1</v>
      </c>
      <c r="G3" t="s">
        <v>5362</v>
      </c>
      <c r="H3" t="s">
        <v>1355</v>
      </c>
      <c r="I3">
        <v>300</v>
      </c>
      <c r="J3">
        <v>30</v>
      </c>
      <c r="K3">
        <v>2</v>
      </c>
      <c r="L3">
        <v>10</v>
      </c>
      <c r="M3" t="s">
        <v>130</v>
      </c>
      <c r="N3" t="s">
        <v>5363</v>
      </c>
      <c r="O3" t="s">
        <v>59</v>
      </c>
      <c r="P3">
        <v>-1</v>
      </c>
      <c r="Q3" t="s">
        <v>59</v>
      </c>
    </row>
    <row r="4" spans="1:17" x14ac:dyDescent="0.25">
      <c r="A4">
        <v>0</v>
      </c>
      <c r="B4">
        <v>44</v>
      </c>
      <c r="C4" t="s">
        <v>5364</v>
      </c>
      <c r="D4">
        <v>3008</v>
      </c>
      <c r="E4" t="s">
        <v>59</v>
      </c>
      <c r="F4">
        <v>-1</v>
      </c>
      <c r="G4" t="s">
        <v>5365</v>
      </c>
      <c r="H4" t="s">
        <v>1355</v>
      </c>
      <c r="I4">
        <v>300</v>
      </c>
      <c r="J4">
        <v>30</v>
      </c>
      <c r="K4">
        <v>2</v>
      </c>
      <c r="L4">
        <v>10</v>
      </c>
      <c r="M4" t="s">
        <v>130</v>
      </c>
      <c r="N4" t="s">
        <v>1561</v>
      </c>
      <c r="O4" t="s">
        <v>5366</v>
      </c>
      <c r="P4">
        <v>12</v>
      </c>
      <c r="Q4" t="s">
        <v>59</v>
      </c>
    </row>
    <row r="5" spans="1:17" x14ac:dyDescent="0.25">
      <c r="A5">
        <v>0</v>
      </c>
      <c r="B5">
        <v>43</v>
      </c>
      <c r="C5" t="s">
        <v>5360</v>
      </c>
      <c r="D5">
        <v>3008</v>
      </c>
      <c r="E5" t="s">
        <v>1248</v>
      </c>
      <c r="F5">
        <v>1026</v>
      </c>
      <c r="G5" t="s">
        <v>59</v>
      </c>
      <c r="H5" t="s">
        <v>1355</v>
      </c>
      <c r="I5">
        <v>30</v>
      </c>
      <c r="J5">
        <v>30</v>
      </c>
      <c r="K5">
        <v>0</v>
      </c>
      <c r="L5">
        <v>3</v>
      </c>
      <c r="M5" t="s">
        <v>130</v>
      </c>
      <c r="N5" t="s">
        <v>1561</v>
      </c>
      <c r="O5" t="s">
        <v>59</v>
      </c>
      <c r="P5">
        <v>-1</v>
      </c>
      <c r="Q5" t="s">
        <v>59</v>
      </c>
    </row>
    <row r="6" spans="1:17" x14ac:dyDescent="0.25">
      <c r="A6">
        <v>0</v>
      </c>
      <c r="B6">
        <v>118</v>
      </c>
      <c r="C6" t="s">
        <v>5367</v>
      </c>
      <c r="D6">
        <v>23</v>
      </c>
      <c r="E6" t="s">
        <v>1248</v>
      </c>
      <c r="F6">
        <v>1006</v>
      </c>
      <c r="G6" t="s">
        <v>59</v>
      </c>
      <c r="H6" t="s">
        <v>1355</v>
      </c>
      <c r="I6">
        <v>30</v>
      </c>
      <c r="J6">
        <v>34</v>
      </c>
      <c r="K6">
        <v>0</v>
      </c>
      <c r="L6">
        <v>3</v>
      </c>
      <c r="M6" t="s">
        <v>130</v>
      </c>
      <c r="N6" t="s">
        <v>1459</v>
      </c>
      <c r="O6" t="s">
        <v>59</v>
      </c>
      <c r="P6">
        <v>-1</v>
      </c>
      <c r="Q6" t="s">
        <v>59</v>
      </c>
    </row>
    <row r="7" spans="1:17" x14ac:dyDescent="0.25">
      <c r="A7">
        <v>0</v>
      </c>
      <c r="B7">
        <v>120</v>
      </c>
      <c r="C7" t="s">
        <v>5370</v>
      </c>
      <c r="D7">
        <v>23</v>
      </c>
      <c r="E7" t="s">
        <v>1248</v>
      </c>
      <c r="F7">
        <v>1022</v>
      </c>
      <c r="G7" t="s">
        <v>59</v>
      </c>
      <c r="H7" t="s">
        <v>1355</v>
      </c>
      <c r="I7">
        <v>30</v>
      </c>
      <c r="J7">
        <v>2</v>
      </c>
      <c r="K7">
        <v>0</v>
      </c>
      <c r="L7">
        <v>3</v>
      </c>
      <c r="M7" t="s">
        <v>130</v>
      </c>
      <c r="N7" t="s">
        <v>1354</v>
      </c>
      <c r="O7" t="s">
        <v>59</v>
      </c>
      <c r="P7">
        <v>-1</v>
      </c>
      <c r="Q7" t="s">
        <v>59</v>
      </c>
    </row>
    <row r="8" spans="1:17" x14ac:dyDescent="0.25">
      <c r="A8">
        <v>0</v>
      </c>
      <c r="B8">
        <v>139</v>
      </c>
      <c r="C8" t="s">
        <v>5370</v>
      </c>
      <c r="D8">
        <v>3019</v>
      </c>
      <c r="E8" t="s">
        <v>1248</v>
      </c>
      <c r="F8">
        <v>1023</v>
      </c>
      <c r="G8" t="s">
        <v>59</v>
      </c>
      <c r="H8" t="s">
        <v>1355</v>
      </c>
      <c r="I8">
        <v>30</v>
      </c>
      <c r="J8">
        <v>2</v>
      </c>
      <c r="K8">
        <v>0</v>
      </c>
      <c r="L8">
        <v>3</v>
      </c>
      <c r="M8" t="s">
        <v>130</v>
      </c>
      <c r="N8" t="s">
        <v>1364</v>
      </c>
      <c r="O8" t="s">
        <v>59</v>
      </c>
      <c r="P8">
        <v>-1</v>
      </c>
      <c r="Q8" t="s">
        <v>59</v>
      </c>
    </row>
    <row r="9" spans="1:17" x14ac:dyDescent="0.25">
      <c r="A9">
        <v>0</v>
      </c>
      <c r="B9">
        <v>140</v>
      </c>
      <c r="C9" t="s">
        <v>5370</v>
      </c>
      <c r="D9">
        <v>3020</v>
      </c>
      <c r="E9" t="s">
        <v>1248</v>
      </c>
      <c r="F9">
        <v>1023</v>
      </c>
      <c r="G9" t="s">
        <v>59</v>
      </c>
      <c r="H9" t="s">
        <v>1355</v>
      </c>
      <c r="I9">
        <v>30</v>
      </c>
      <c r="J9">
        <v>2</v>
      </c>
      <c r="K9">
        <v>0</v>
      </c>
      <c r="L9">
        <v>3</v>
      </c>
      <c r="M9" t="s">
        <v>130</v>
      </c>
      <c r="N9" t="s">
        <v>1354</v>
      </c>
      <c r="O9" t="s">
        <v>59</v>
      </c>
      <c r="P9">
        <v>-1</v>
      </c>
      <c r="Q9" t="s">
        <v>59</v>
      </c>
    </row>
    <row r="10" spans="1:17" x14ac:dyDescent="0.25">
      <c r="A10">
        <v>0</v>
      </c>
      <c r="B10">
        <v>117</v>
      </c>
      <c r="C10" t="s">
        <v>5368</v>
      </c>
      <c r="D10">
        <v>23</v>
      </c>
      <c r="E10" t="s">
        <v>1248</v>
      </c>
      <c r="F10">
        <v>1010</v>
      </c>
      <c r="G10" t="s">
        <v>59</v>
      </c>
      <c r="H10" t="s">
        <v>1355</v>
      </c>
      <c r="I10">
        <v>180</v>
      </c>
      <c r="J10">
        <v>29</v>
      </c>
      <c r="K10">
        <v>1</v>
      </c>
      <c r="L10">
        <v>7</v>
      </c>
      <c r="M10" t="s">
        <v>130</v>
      </c>
      <c r="N10" t="s">
        <v>1494</v>
      </c>
      <c r="O10" t="s">
        <v>59</v>
      </c>
      <c r="P10">
        <v>-1</v>
      </c>
      <c r="Q10" t="s">
        <v>59</v>
      </c>
    </row>
    <row r="11" spans="1:17" x14ac:dyDescent="0.25">
      <c r="A11">
        <v>0</v>
      </c>
      <c r="B11">
        <v>1</v>
      </c>
      <c r="C11" t="s">
        <v>5369</v>
      </c>
      <c r="D11">
        <v>23</v>
      </c>
      <c r="E11" t="s">
        <v>1248</v>
      </c>
      <c r="F11">
        <v>1021</v>
      </c>
      <c r="G11" t="s">
        <v>59</v>
      </c>
      <c r="H11" t="s">
        <v>1355</v>
      </c>
      <c r="I11">
        <v>30</v>
      </c>
      <c r="J11">
        <v>3</v>
      </c>
      <c r="K11">
        <v>0</v>
      </c>
      <c r="L11">
        <v>3</v>
      </c>
      <c r="M11" t="s">
        <v>130</v>
      </c>
      <c r="N11" t="s">
        <v>1431</v>
      </c>
      <c r="O11" t="s">
        <v>59</v>
      </c>
      <c r="P11">
        <v>-1</v>
      </c>
      <c r="Q11" t="s">
        <v>59</v>
      </c>
    </row>
    <row r="12" spans="1:17" x14ac:dyDescent="0.25">
      <c r="A12">
        <v>0</v>
      </c>
      <c r="B12">
        <v>79</v>
      </c>
      <c r="C12" t="s">
        <v>5371</v>
      </c>
      <c r="D12">
        <v>3018</v>
      </c>
      <c r="E12" t="s">
        <v>59</v>
      </c>
      <c r="F12">
        <v>-1</v>
      </c>
      <c r="G12" t="s">
        <v>5372</v>
      </c>
      <c r="H12" t="s">
        <v>1355</v>
      </c>
      <c r="I12">
        <v>300</v>
      </c>
      <c r="J12">
        <v>10</v>
      </c>
      <c r="K12">
        <v>2</v>
      </c>
      <c r="L12">
        <v>10</v>
      </c>
      <c r="M12" t="s">
        <v>130</v>
      </c>
      <c r="N12" t="s">
        <v>1622</v>
      </c>
      <c r="O12" t="s">
        <v>59</v>
      </c>
      <c r="P12">
        <v>-1</v>
      </c>
      <c r="Q12" t="s">
        <v>59</v>
      </c>
    </row>
    <row r="13" spans="1:17" x14ac:dyDescent="0.25">
      <c r="A13">
        <v>0</v>
      </c>
      <c r="B13">
        <v>86</v>
      </c>
      <c r="C13" t="s">
        <v>5373</v>
      </c>
      <c r="D13">
        <v>3011</v>
      </c>
      <c r="E13" t="s">
        <v>1248</v>
      </c>
      <c r="F13">
        <v>1010</v>
      </c>
      <c r="G13" t="s">
        <v>59</v>
      </c>
      <c r="H13" t="s">
        <v>1355</v>
      </c>
      <c r="I13">
        <v>180</v>
      </c>
      <c r="J13">
        <v>29</v>
      </c>
      <c r="K13">
        <v>1</v>
      </c>
      <c r="L13">
        <v>7</v>
      </c>
      <c r="M13" t="s">
        <v>130</v>
      </c>
      <c r="N13" t="s">
        <v>1494</v>
      </c>
      <c r="O13" t="s">
        <v>59</v>
      </c>
      <c r="P13">
        <v>-1</v>
      </c>
      <c r="Q13" t="s">
        <v>59</v>
      </c>
    </row>
    <row r="14" spans="1:17" x14ac:dyDescent="0.25">
      <c r="A14">
        <v>0</v>
      </c>
      <c r="B14">
        <v>91</v>
      </c>
      <c r="C14" t="s">
        <v>5377</v>
      </c>
      <c r="D14">
        <v>3012</v>
      </c>
      <c r="E14" t="s">
        <v>1248</v>
      </c>
      <c r="F14">
        <v>1021</v>
      </c>
      <c r="G14" t="s">
        <v>59</v>
      </c>
      <c r="H14" t="s">
        <v>1355</v>
      </c>
      <c r="I14">
        <v>30</v>
      </c>
      <c r="J14">
        <v>33</v>
      </c>
      <c r="K14">
        <v>0</v>
      </c>
      <c r="L14">
        <v>3</v>
      </c>
      <c r="M14" t="s">
        <v>130</v>
      </c>
      <c r="N14" t="s">
        <v>1431</v>
      </c>
      <c r="O14" t="s">
        <v>59</v>
      </c>
      <c r="P14">
        <v>-1</v>
      </c>
      <c r="Q14" t="s">
        <v>59</v>
      </c>
    </row>
    <row r="15" spans="1:17" x14ac:dyDescent="0.25">
      <c r="A15">
        <v>0</v>
      </c>
      <c r="B15">
        <v>114</v>
      </c>
      <c r="C15" t="s">
        <v>5374</v>
      </c>
      <c r="D15">
        <v>3012</v>
      </c>
      <c r="E15" t="s">
        <v>1248</v>
      </c>
      <c r="F15">
        <v>1012</v>
      </c>
      <c r="G15" t="s">
        <v>59</v>
      </c>
      <c r="H15" t="s">
        <v>1355</v>
      </c>
      <c r="I15">
        <v>30</v>
      </c>
      <c r="J15">
        <v>33</v>
      </c>
      <c r="K15">
        <v>0</v>
      </c>
      <c r="L15">
        <v>3</v>
      </c>
      <c r="M15" t="s">
        <v>130</v>
      </c>
      <c r="N15" t="s">
        <v>1507</v>
      </c>
      <c r="O15" t="s">
        <v>59</v>
      </c>
      <c r="P15">
        <v>-1</v>
      </c>
      <c r="Q15" t="s">
        <v>59</v>
      </c>
    </row>
    <row r="16" spans="1:17" x14ac:dyDescent="0.25">
      <c r="A16">
        <v>0</v>
      </c>
      <c r="B16">
        <v>116</v>
      </c>
      <c r="C16" t="s">
        <v>5375</v>
      </c>
      <c r="D16">
        <v>3012</v>
      </c>
      <c r="E16" t="s">
        <v>1248</v>
      </c>
      <c r="F16">
        <v>1001</v>
      </c>
      <c r="G16" t="s">
        <v>59</v>
      </c>
      <c r="H16" t="s">
        <v>1355</v>
      </c>
      <c r="I16">
        <v>60</v>
      </c>
      <c r="J16">
        <v>33</v>
      </c>
      <c r="K16">
        <v>0</v>
      </c>
      <c r="L16">
        <v>5</v>
      </c>
      <c r="M16" t="s">
        <v>130</v>
      </c>
      <c r="N16" t="s">
        <v>1489</v>
      </c>
      <c r="O16" t="s">
        <v>59</v>
      </c>
      <c r="P16">
        <v>-1</v>
      </c>
      <c r="Q16" t="s">
        <v>59</v>
      </c>
    </row>
    <row r="17" spans="1:17" x14ac:dyDescent="0.25">
      <c r="A17">
        <v>0</v>
      </c>
      <c r="B17">
        <v>90</v>
      </c>
      <c r="C17" t="s">
        <v>5376</v>
      </c>
      <c r="D17">
        <v>3012</v>
      </c>
      <c r="E17" t="s">
        <v>1248</v>
      </c>
      <c r="F17">
        <v>1012</v>
      </c>
      <c r="G17" t="s">
        <v>5372</v>
      </c>
      <c r="H17" t="s">
        <v>1355</v>
      </c>
      <c r="I17">
        <v>180</v>
      </c>
      <c r="J17">
        <v>33</v>
      </c>
      <c r="K17">
        <v>1</v>
      </c>
      <c r="L17">
        <v>7</v>
      </c>
      <c r="M17" t="s">
        <v>130</v>
      </c>
      <c r="N17" t="s">
        <v>1507</v>
      </c>
      <c r="O17" t="s">
        <v>59</v>
      </c>
      <c r="P17">
        <v>-1</v>
      </c>
      <c r="Q17" t="s">
        <v>59</v>
      </c>
    </row>
    <row r="18" spans="1:17" x14ac:dyDescent="0.25">
      <c r="A18">
        <v>0</v>
      </c>
      <c r="B18">
        <v>81</v>
      </c>
      <c r="C18" t="s">
        <v>5378</v>
      </c>
      <c r="D18">
        <v>3001</v>
      </c>
      <c r="E18" t="s">
        <v>1248</v>
      </c>
      <c r="F18">
        <v>1021</v>
      </c>
      <c r="G18" t="s">
        <v>59</v>
      </c>
      <c r="H18" t="s">
        <v>1355</v>
      </c>
      <c r="I18">
        <v>30</v>
      </c>
      <c r="J18">
        <v>34</v>
      </c>
      <c r="K18">
        <v>0</v>
      </c>
      <c r="L18">
        <v>3</v>
      </c>
      <c r="M18" t="s">
        <v>130</v>
      </c>
      <c r="N18" t="s">
        <v>1431</v>
      </c>
      <c r="O18" t="s">
        <v>59</v>
      </c>
      <c r="P18">
        <v>-1</v>
      </c>
      <c r="Q18" t="s">
        <v>59</v>
      </c>
    </row>
    <row r="19" spans="1:17" x14ac:dyDescent="0.25">
      <c r="A19">
        <v>0</v>
      </c>
      <c r="B19">
        <v>82</v>
      </c>
      <c r="C19" t="s">
        <v>5379</v>
      </c>
      <c r="D19">
        <v>3001</v>
      </c>
      <c r="E19" t="s">
        <v>1248</v>
      </c>
      <c r="F19">
        <v>1006</v>
      </c>
      <c r="G19" t="s">
        <v>59</v>
      </c>
      <c r="H19" t="s">
        <v>1355</v>
      </c>
      <c r="I19">
        <v>60</v>
      </c>
      <c r="J19">
        <v>34</v>
      </c>
      <c r="K19">
        <v>0</v>
      </c>
      <c r="L19">
        <v>5</v>
      </c>
      <c r="M19" t="s">
        <v>130</v>
      </c>
      <c r="N19" t="s">
        <v>1459</v>
      </c>
      <c r="O19" t="s">
        <v>59</v>
      </c>
      <c r="P19">
        <v>-1</v>
      </c>
      <c r="Q19" t="s">
        <v>59</v>
      </c>
    </row>
    <row r="20" spans="1:17" x14ac:dyDescent="0.25">
      <c r="A20">
        <v>0</v>
      </c>
      <c r="B20">
        <v>70</v>
      </c>
      <c r="C20" t="s">
        <v>5383</v>
      </c>
      <c r="D20">
        <v>3013</v>
      </c>
      <c r="E20" t="s">
        <v>1248</v>
      </c>
      <c r="F20">
        <v>1021</v>
      </c>
      <c r="G20" t="s">
        <v>59</v>
      </c>
      <c r="H20" t="s">
        <v>1355</v>
      </c>
      <c r="I20">
        <v>30</v>
      </c>
      <c r="J20">
        <v>19</v>
      </c>
      <c r="K20">
        <v>0</v>
      </c>
      <c r="L20">
        <v>3</v>
      </c>
      <c r="M20" t="s">
        <v>130</v>
      </c>
      <c r="N20" t="s">
        <v>1431</v>
      </c>
      <c r="O20" t="s">
        <v>59</v>
      </c>
      <c r="P20">
        <v>-1</v>
      </c>
      <c r="Q20" t="s">
        <v>59</v>
      </c>
    </row>
    <row r="21" spans="1:17" x14ac:dyDescent="0.25">
      <c r="A21">
        <v>0</v>
      </c>
      <c r="B21">
        <v>71</v>
      </c>
      <c r="C21" t="s">
        <v>5381</v>
      </c>
      <c r="D21">
        <v>3013</v>
      </c>
      <c r="E21" t="s">
        <v>1248</v>
      </c>
      <c r="F21">
        <v>1001</v>
      </c>
      <c r="G21" t="s">
        <v>59</v>
      </c>
      <c r="H21" t="s">
        <v>1355</v>
      </c>
      <c r="I21">
        <v>180</v>
      </c>
      <c r="J21">
        <v>19</v>
      </c>
      <c r="K21">
        <v>1</v>
      </c>
      <c r="L21">
        <v>7</v>
      </c>
      <c r="M21" t="s">
        <v>130</v>
      </c>
      <c r="N21" t="s">
        <v>1489</v>
      </c>
      <c r="O21" t="s">
        <v>59</v>
      </c>
      <c r="P21">
        <v>-1</v>
      </c>
      <c r="Q21" t="s">
        <v>59</v>
      </c>
    </row>
    <row r="22" spans="1:17" x14ac:dyDescent="0.25">
      <c r="A22">
        <v>0</v>
      </c>
      <c r="B22">
        <v>72</v>
      </c>
      <c r="C22" t="s">
        <v>5380</v>
      </c>
      <c r="D22">
        <v>3013</v>
      </c>
      <c r="E22" t="s">
        <v>1248</v>
      </c>
      <c r="F22">
        <v>1010</v>
      </c>
      <c r="G22" t="s">
        <v>59</v>
      </c>
      <c r="H22" t="s">
        <v>1355</v>
      </c>
      <c r="I22">
        <v>60</v>
      </c>
      <c r="J22">
        <v>29</v>
      </c>
      <c r="K22">
        <v>0</v>
      </c>
      <c r="L22">
        <v>5</v>
      </c>
      <c r="M22" t="s">
        <v>130</v>
      </c>
      <c r="N22" t="s">
        <v>1494</v>
      </c>
      <c r="O22" t="s">
        <v>59</v>
      </c>
      <c r="P22">
        <v>-1</v>
      </c>
      <c r="Q22" t="s">
        <v>59</v>
      </c>
    </row>
    <row r="23" spans="1:17" x14ac:dyDescent="0.25">
      <c r="A23">
        <v>0</v>
      </c>
      <c r="B23">
        <v>69</v>
      </c>
      <c r="C23" t="s">
        <v>5382</v>
      </c>
      <c r="D23">
        <v>3013</v>
      </c>
      <c r="E23" t="s">
        <v>1248</v>
      </c>
      <c r="F23">
        <v>1009</v>
      </c>
      <c r="G23" t="s">
        <v>59</v>
      </c>
      <c r="H23" t="s">
        <v>1355</v>
      </c>
      <c r="I23">
        <v>60</v>
      </c>
      <c r="J23">
        <v>19</v>
      </c>
      <c r="K23">
        <v>0</v>
      </c>
      <c r="L23">
        <v>5</v>
      </c>
      <c r="M23" t="s">
        <v>130</v>
      </c>
      <c r="N23" t="s">
        <v>1469</v>
      </c>
      <c r="O23" t="s">
        <v>59</v>
      </c>
      <c r="P23">
        <v>-1</v>
      </c>
      <c r="Q23" t="s">
        <v>59</v>
      </c>
    </row>
    <row r="24" spans="1:17" x14ac:dyDescent="0.25">
      <c r="A24">
        <v>0</v>
      </c>
      <c r="B24">
        <v>73</v>
      </c>
      <c r="C24" t="s">
        <v>5384</v>
      </c>
      <c r="D24">
        <v>3013</v>
      </c>
      <c r="E24" t="s">
        <v>1248</v>
      </c>
      <c r="F24">
        <v>1026</v>
      </c>
      <c r="G24" t="s">
        <v>59</v>
      </c>
      <c r="H24" t="s">
        <v>1355</v>
      </c>
      <c r="I24">
        <v>30</v>
      </c>
      <c r="J24">
        <v>30</v>
      </c>
      <c r="K24">
        <v>0</v>
      </c>
      <c r="L24">
        <v>3</v>
      </c>
      <c r="M24" t="s">
        <v>130</v>
      </c>
      <c r="N24" t="s">
        <v>1561</v>
      </c>
      <c r="O24" t="s">
        <v>59</v>
      </c>
      <c r="P24">
        <v>-1</v>
      </c>
      <c r="Q24" t="s">
        <v>59</v>
      </c>
    </row>
    <row r="25" spans="1:17" x14ac:dyDescent="0.25">
      <c r="A25">
        <v>0</v>
      </c>
      <c r="B25">
        <v>105</v>
      </c>
      <c r="C25" t="s">
        <v>5385</v>
      </c>
      <c r="D25">
        <v>3010</v>
      </c>
      <c r="E25" t="s">
        <v>1248</v>
      </c>
      <c r="F25">
        <v>1002</v>
      </c>
      <c r="G25" t="s">
        <v>59</v>
      </c>
      <c r="H25" t="s">
        <v>1355</v>
      </c>
      <c r="I25">
        <v>30</v>
      </c>
      <c r="J25">
        <v>31</v>
      </c>
      <c r="K25">
        <v>0</v>
      </c>
      <c r="L25">
        <v>3</v>
      </c>
      <c r="M25" t="s">
        <v>130</v>
      </c>
      <c r="N25" t="s">
        <v>1502</v>
      </c>
      <c r="O25" t="s">
        <v>59</v>
      </c>
      <c r="P25">
        <v>-1</v>
      </c>
      <c r="Q25" t="s">
        <v>59</v>
      </c>
    </row>
    <row r="26" spans="1:17" x14ac:dyDescent="0.25">
      <c r="A26">
        <v>0</v>
      </c>
      <c r="B26">
        <v>108</v>
      </c>
      <c r="C26" t="s">
        <v>5386</v>
      </c>
      <c r="D26">
        <v>3010</v>
      </c>
      <c r="E26" t="s">
        <v>1248</v>
      </c>
      <c r="F26">
        <v>1004</v>
      </c>
      <c r="G26" t="s">
        <v>59</v>
      </c>
      <c r="H26" t="s">
        <v>1355</v>
      </c>
      <c r="I26">
        <v>60</v>
      </c>
      <c r="J26">
        <v>31</v>
      </c>
      <c r="K26">
        <v>0</v>
      </c>
      <c r="L26">
        <v>5</v>
      </c>
      <c r="M26" t="s">
        <v>130</v>
      </c>
      <c r="N26" t="s">
        <v>1541</v>
      </c>
      <c r="O26" t="s">
        <v>59</v>
      </c>
      <c r="P26">
        <v>-1</v>
      </c>
      <c r="Q26" t="s">
        <v>59</v>
      </c>
    </row>
    <row r="27" spans="1:17" x14ac:dyDescent="0.25">
      <c r="A27">
        <v>0</v>
      </c>
      <c r="B27">
        <v>106</v>
      </c>
      <c r="C27" t="s">
        <v>5387</v>
      </c>
      <c r="D27">
        <v>3010</v>
      </c>
      <c r="E27" t="s">
        <v>1248</v>
      </c>
      <c r="F27">
        <v>1014</v>
      </c>
      <c r="G27" t="s">
        <v>59</v>
      </c>
      <c r="H27" t="s">
        <v>1355</v>
      </c>
      <c r="I27">
        <v>30</v>
      </c>
      <c r="J27">
        <v>31</v>
      </c>
      <c r="K27">
        <v>0</v>
      </c>
      <c r="L27">
        <v>3</v>
      </c>
      <c r="M27" t="s">
        <v>130</v>
      </c>
      <c r="N27" t="s">
        <v>1550</v>
      </c>
      <c r="O27" t="s">
        <v>59</v>
      </c>
      <c r="P27">
        <v>-1</v>
      </c>
      <c r="Q27" t="s">
        <v>59</v>
      </c>
    </row>
    <row r="28" spans="1:17" x14ac:dyDescent="0.25">
      <c r="A28">
        <v>0</v>
      </c>
      <c r="B28">
        <v>97</v>
      </c>
      <c r="C28" t="s">
        <v>5388</v>
      </c>
      <c r="D28">
        <v>3010</v>
      </c>
      <c r="E28" t="s">
        <v>1248</v>
      </c>
      <c r="F28">
        <v>1026</v>
      </c>
      <c r="G28" t="s">
        <v>59</v>
      </c>
      <c r="H28" t="s">
        <v>1355</v>
      </c>
      <c r="I28">
        <v>180</v>
      </c>
      <c r="J28">
        <v>31</v>
      </c>
      <c r="K28">
        <v>1</v>
      </c>
      <c r="L28">
        <v>7</v>
      </c>
      <c r="M28" t="s">
        <v>130</v>
      </c>
      <c r="N28" t="s">
        <v>1561</v>
      </c>
      <c r="O28" t="s">
        <v>59</v>
      </c>
      <c r="P28">
        <v>-1</v>
      </c>
      <c r="Q28" t="s">
        <v>59</v>
      </c>
    </row>
    <row r="29" spans="1:17" x14ac:dyDescent="0.25">
      <c r="A29">
        <v>0</v>
      </c>
      <c r="B29">
        <v>62</v>
      </c>
      <c r="C29" t="s">
        <v>5390</v>
      </c>
      <c r="D29">
        <v>3009</v>
      </c>
      <c r="E29" t="s">
        <v>59</v>
      </c>
      <c r="F29">
        <v>-1</v>
      </c>
      <c r="G29" t="s">
        <v>5362</v>
      </c>
      <c r="H29" t="s">
        <v>1355</v>
      </c>
      <c r="I29">
        <v>300</v>
      </c>
      <c r="J29">
        <v>29</v>
      </c>
      <c r="K29">
        <v>2</v>
      </c>
      <c r="L29">
        <v>10</v>
      </c>
      <c r="M29" t="s">
        <v>130</v>
      </c>
      <c r="N29" t="s">
        <v>5363</v>
      </c>
      <c r="O29" t="s">
        <v>59</v>
      </c>
      <c r="P29">
        <v>-1</v>
      </c>
      <c r="Q29" t="s">
        <v>59</v>
      </c>
    </row>
    <row r="30" spans="1:17" x14ac:dyDescent="0.25">
      <c r="A30">
        <v>0</v>
      </c>
      <c r="B30">
        <v>40</v>
      </c>
      <c r="C30" t="s">
        <v>5391</v>
      </c>
      <c r="D30">
        <v>3009</v>
      </c>
      <c r="E30" t="s">
        <v>59</v>
      </c>
      <c r="F30">
        <v>-1</v>
      </c>
      <c r="G30" t="s">
        <v>5365</v>
      </c>
      <c r="H30" t="s">
        <v>1355</v>
      </c>
      <c r="I30">
        <v>300</v>
      </c>
      <c r="J30">
        <v>29</v>
      </c>
      <c r="K30">
        <v>2</v>
      </c>
      <c r="L30">
        <v>10</v>
      </c>
      <c r="M30" t="s">
        <v>130</v>
      </c>
      <c r="N30" t="s">
        <v>1561</v>
      </c>
      <c r="O30" t="s">
        <v>5366</v>
      </c>
      <c r="P30">
        <v>12</v>
      </c>
      <c r="Q30" t="s">
        <v>59</v>
      </c>
    </row>
    <row r="31" spans="1:17" x14ac:dyDescent="0.25">
      <c r="A31">
        <v>0</v>
      </c>
      <c r="B31">
        <v>39</v>
      </c>
      <c r="C31" t="s">
        <v>5389</v>
      </c>
      <c r="D31">
        <v>3009</v>
      </c>
      <c r="E31" t="s">
        <v>1248</v>
      </c>
      <c r="F31">
        <v>1026</v>
      </c>
      <c r="G31" t="s">
        <v>59</v>
      </c>
      <c r="H31" t="s">
        <v>1355</v>
      </c>
      <c r="I31">
        <v>30</v>
      </c>
      <c r="J31">
        <v>30</v>
      </c>
      <c r="K31">
        <v>0</v>
      </c>
      <c r="L31">
        <v>3</v>
      </c>
      <c r="M31" t="s">
        <v>130</v>
      </c>
      <c r="N31" t="s">
        <v>1561</v>
      </c>
      <c r="O31" t="s">
        <v>59</v>
      </c>
      <c r="P31">
        <v>-1</v>
      </c>
      <c r="Q31" t="s">
        <v>59</v>
      </c>
    </row>
    <row r="32" spans="1:17" x14ac:dyDescent="0.25">
      <c r="A32">
        <v>0</v>
      </c>
      <c r="B32">
        <v>27</v>
      </c>
      <c r="C32" t="s">
        <v>5392</v>
      </c>
      <c r="D32">
        <v>3005</v>
      </c>
      <c r="E32" t="s">
        <v>1248</v>
      </c>
      <c r="F32">
        <v>1013</v>
      </c>
      <c r="G32" t="s">
        <v>59</v>
      </c>
      <c r="H32" t="s">
        <v>1355</v>
      </c>
      <c r="I32">
        <v>180</v>
      </c>
      <c r="J32">
        <v>7</v>
      </c>
      <c r="K32">
        <v>1</v>
      </c>
      <c r="L32">
        <v>7</v>
      </c>
      <c r="M32" t="s">
        <v>130</v>
      </c>
      <c r="N32" t="s">
        <v>1520</v>
      </c>
      <c r="O32" t="s">
        <v>59</v>
      </c>
      <c r="P32">
        <v>-1</v>
      </c>
      <c r="Q32" t="s">
        <v>59</v>
      </c>
    </row>
    <row r="33" spans="1:17" x14ac:dyDescent="0.25">
      <c r="A33">
        <v>0</v>
      </c>
      <c r="B33">
        <v>26</v>
      </c>
      <c r="C33" t="s">
        <v>5393</v>
      </c>
      <c r="D33">
        <v>3005</v>
      </c>
      <c r="E33" t="s">
        <v>59</v>
      </c>
      <c r="F33">
        <v>-1</v>
      </c>
      <c r="G33" t="s">
        <v>5394</v>
      </c>
      <c r="H33" t="s">
        <v>1355</v>
      </c>
      <c r="I33">
        <v>60</v>
      </c>
      <c r="J33">
        <v>2</v>
      </c>
      <c r="K33">
        <v>2</v>
      </c>
      <c r="L33">
        <v>10</v>
      </c>
      <c r="M33" t="s">
        <v>130</v>
      </c>
      <c r="N33" t="s">
        <v>121</v>
      </c>
      <c r="O33" t="s">
        <v>5366</v>
      </c>
      <c r="P33">
        <v>12</v>
      </c>
      <c r="Q33" t="s">
        <v>59</v>
      </c>
    </row>
    <row r="34" spans="1:17" x14ac:dyDescent="0.25">
      <c r="A34">
        <v>0</v>
      </c>
      <c r="B34">
        <v>31</v>
      </c>
      <c r="C34" t="s">
        <v>2013</v>
      </c>
      <c r="D34">
        <v>3005</v>
      </c>
      <c r="E34" t="s">
        <v>1248</v>
      </c>
      <c r="F34">
        <v>1011</v>
      </c>
      <c r="G34" t="s">
        <v>5397</v>
      </c>
      <c r="H34" t="s">
        <v>1355</v>
      </c>
      <c r="I34">
        <v>300</v>
      </c>
      <c r="J34">
        <v>14</v>
      </c>
      <c r="K34">
        <v>2</v>
      </c>
      <c r="L34">
        <v>10</v>
      </c>
      <c r="M34" t="s">
        <v>130</v>
      </c>
      <c r="N34" t="s">
        <v>5398</v>
      </c>
      <c r="O34" t="s">
        <v>59</v>
      </c>
      <c r="P34">
        <v>-1</v>
      </c>
      <c r="Q34" t="s">
        <v>59</v>
      </c>
    </row>
    <row r="35" spans="1:17" x14ac:dyDescent="0.25">
      <c r="A35">
        <v>0</v>
      </c>
      <c r="B35">
        <v>29</v>
      </c>
      <c r="C35" t="s">
        <v>5395</v>
      </c>
      <c r="D35">
        <v>3005</v>
      </c>
      <c r="E35" t="s">
        <v>1248</v>
      </c>
      <c r="F35">
        <v>1001</v>
      </c>
      <c r="G35" t="s">
        <v>59</v>
      </c>
      <c r="H35" t="s">
        <v>1355</v>
      </c>
      <c r="I35">
        <v>60</v>
      </c>
      <c r="J35">
        <v>18</v>
      </c>
      <c r="K35">
        <v>0</v>
      </c>
      <c r="L35">
        <v>5</v>
      </c>
      <c r="M35" t="s">
        <v>130</v>
      </c>
      <c r="N35" t="s">
        <v>1489</v>
      </c>
      <c r="O35" t="s">
        <v>59</v>
      </c>
      <c r="P35">
        <v>-1</v>
      </c>
      <c r="Q35" t="s">
        <v>59</v>
      </c>
    </row>
    <row r="36" spans="1:17" x14ac:dyDescent="0.25">
      <c r="A36">
        <v>0</v>
      </c>
      <c r="B36">
        <v>30</v>
      </c>
      <c r="C36" t="s">
        <v>5396</v>
      </c>
      <c r="D36">
        <v>3005</v>
      </c>
      <c r="E36" t="s">
        <v>1248</v>
      </c>
      <c r="F36">
        <v>1021</v>
      </c>
      <c r="G36" t="s">
        <v>59</v>
      </c>
      <c r="H36" t="s">
        <v>1355</v>
      </c>
      <c r="I36">
        <v>30</v>
      </c>
      <c r="J36">
        <v>5</v>
      </c>
      <c r="K36">
        <v>0</v>
      </c>
      <c r="L36">
        <v>3</v>
      </c>
      <c r="M36" t="s">
        <v>130</v>
      </c>
      <c r="N36" t="s">
        <v>1431</v>
      </c>
      <c r="O36" t="s">
        <v>59</v>
      </c>
      <c r="P36">
        <v>-1</v>
      </c>
      <c r="Q36" t="s">
        <v>59</v>
      </c>
    </row>
    <row r="37" spans="1:17" x14ac:dyDescent="0.25">
      <c r="A37">
        <v>0</v>
      </c>
      <c r="B37">
        <v>74</v>
      </c>
      <c r="C37" t="s">
        <v>5399</v>
      </c>
      <c r="D37">
        <v>3014</v>
      </c>
      <c r="E37" t="s">
        <v>1248</v>
      </c>
      <c r="F37">
        <v>1003</v>
      </c>
      <c r="G37" t="s">
        <v>59</v>
      </c>
      <c r="H37" t="s">
        <v>1355</v>
      </c>
      <c r="I37">
        <v>180</v>
      </c>
      <c r="J37">
        <v>13</v>
      </c>
      <c r="K37">
        <v>1</v>
      </c>
      <c r="L37">
        <v>7</v>
      </c>
      <c r="M37" t="s">
        <v>130</v>
      </c>
      <c r="N37" t="s">
        <v>1525</v>
      </c>
      <c r="O37" t="s">
        <v>59</v>
      </c>
      <c r="P37">
        <v>-1</v>
      </c>
      <c r="Q37" t="s">
        <v>59</v>
      </c>
    </row>
    <row r="38" spans="1:17" x14ac:dyDescent="0.25">
      <c r="A38">
        <v>0</v>
      </c>
      <c r="B38">
        <v>77</v>
      </c>
      <c r="C38" t="s">
        <v>5400</v>
      </c>
      <c r="D38">
        <v>3014</v>
      </c>
      <c r="E38" t="s">
        <v>1248</v>
      </c>
      <c r="F38">
        <v>1001</v>
      </c>
      <c r="G38" t="s">
        <v>59</v>
      </c>
      <c r="H38" t="s">
        <v>1355</v>
      </c>
      <c r="I38">
        <v>60</v>
      </c>
      <c r="J38">
        <v>18</v>
      </c>
      <c r="K38">
        <v>0</v>
      </c>
      <c r="L38">
        <v>5</v>
      </c>
      <c r="M38" t="s">
        <v>130</v>
      </c>
      <c r="N38" t="s">
        <v>1489</v>
      </c>
      <c r="O38" t="s">
        <v>59</v>
      </c>
      <c r="P38">
        <v>-1</v>
      </c>
      <c r="Q38" t="s">
        <v>59</v>
      </c>
    </row>
    <row r="39" spans="1:17" x14ac:dyDescent="0.25">
      <c r="A39">
        <v>0</v>
      </c>
      <c r="B39">
        <v>75</v>
      </c>
      <c r="C39" t="s">
        <v>5401</v>
      </c>
      <c r="D39">
        <v>3014</v>
      </c>
      <c r="E39" t="s">
        <v>1248</v>
      </c>
      <c r="F39">
        <v>1006</v>
      </c>
      <c r="G39" t="s">
        <v>59</v>
      </c>
      <c r="H39" t="s">
        <v>1355</v>
      </c>
      <c r="I39">
        <v>60</v>
      </c>
      <c r="J39">
        <v>34</v>
      </c>
      <c r="K39">
        <v>0</v>
      </c>
      <c r="L39">
        <v>5</v>
      </c>
      <c r="M39" t="s">
        <v>130</v>
      </c>
      <c r="N39" t="s">
        <v>1459</v>
      </c>
      <c r="O39" t="s">
        <v>59</v>
      </c>
      <c r="P39">
        <v>-1</v>
      </c>
      <c r="Q39" t="s">
        <v>59</v>
      </c>
    </row>
    <row r="40" spans="1:17" x14ac:dyDescent="0.25">
      <c r="A40">
        <v>0</v>
      </c>
      <c r="B40">
        <v>12</v>
      </c>
      <c r="C40" t="s">
        <v>5402</v>
      </c>
      <c r="D40">
        <v>2</v>
      </c>
      <c r="E40" t="s">
        <v>1248</v>
      </c>
      <c r="F40">
        <v>1008</v>
      </c>
      <c r="G40" t="s">
        <v>5403</v>
      </c>
      <c r="H40" t="s">
        <v>1355</v>
      </c>
      <c r="I40">
        <v>600</v>
      </c>
      <c r="J40">
        <v>27</v>
      </c>
      <c r="K40">
        <v>2</v>
      </c>
      <c r="L40">
        <v>10</v>
      </c>
      <c r="M40" t="s">
        <v>130</v>
      </c>
      <c r="N40" t="s">
        <v>5404</v>
      </c>
      <c r="O40" t="s">
        <v>59</v>
      </c>
      <c r="P40">
        <v>-1</v>
      </c>
      <c r="Q40" t="s">
        <v>59</v>
      </c>
    </row>
    <row r="41" spans="1:17" x14ac:dyDescent="0.25">
      <c r="A41">
        <v>0</v>
      </c>
      <c r="B41">
        <v>3</v>
      </c>
      <c r="C41" t="s">
        <v>5408</v>
      </c>
      <c r="D41">
        <v>2</v>
      </c>
      <c r="E41" t="s">
        <v>1248</v>
      </c>
      <c r="F41">
        <v>1017</v>
      </c>
      <c r="G41" t="s">
        <v>59</v>
      </c>
      <c r="H41" t="s">
        <v>1355</v>
      </c>
      <c r="I41">
        <v>300</v>
      </c>
      <c r="J41">
        <v>29</v>
      </c>
      <c r="K41">
        <v>2</v>
      </c>
      <c r="L41">
        <v>10</v>
      </c>
      <c r="M41" t="s">
        <v>130</v>
      </c>
      <c r="N41" t="s">
        <v>1530</v>
      </c>
      <c r="O41" t="s">
        <v>59</v>
      </c>
      <c r="P41">
        <v>-1</v>
      </c>
      <c r="Q41" t="s">
        <v>59</v>
      </c>
    </row>
    <row r="42" spans="1:17" x14ac:dyDescent="0.25">
      <c r="A42">
        <v>0</v>
      </c>
      <c r="B42">
        <v>13</v>
      </c>
      <c r="C42" t="s">
        <v>5409</v>
      </c>
      <c r="D42">
        <v>2</v>
      </c>
      <c r="E42" t="s">
        <v>1248</v>
      </c>
      <c r="F42">
        <v>2047</v>
      </c>
      <c r="G42" t="s">
        <v>2466</v>
      </c>
      <c r="H42" t="s">
        <v>1355</v>
      </c>
      <c r="I42">
        <v>1800</v>
      </c>
      <c r="J42">
        <v>12</v>
      </c>
      <c r="K42">
        <v>2</v>
      </c>
      <c r="L42">
        <v>10</v>
      </c>
      <c r="M42" t="s">
        <v>130</v>
      </c>
      <c r="N42" t="s">
        <v>5410</v>
      </c>
      <c r="O42" t="s">
        <v>59</v>
      </c>
      <c r="P42">
        <v>-1</v>
      </c>
      <c r="Q42" t="s">
        <v>59</v>
      </c>
    </row>
    <row r="43" spans="1:17" x14ac:dyDescent="0.25">
      <c r="A43">
        <v>0</v>
      </c>
      <c r="B43">
        <v>17</v>
      </c>
      <c r="C43" t="s">
        <v>5415</v>
      </c>
      <c r="D43">
        <v>2</v>
      </c>
      <c r="E43" t="s">
        <v>1248</v>
      </c>
      <c r="F43">
        <v>1006</v>
      </c>
      <c r="G43" t="s">
        <v>59</v>
      </c>
      <c r="H43" t="s">
        <v>1355</v>
      </c>
      <c r="I43">
        <v>30</v>
      </c>
      <c r="J43">
        <v>34</v>
      </c>
      <c r="K43">
        <v>0</v>
      </c>
      <c r="L43">
        <v>3</v>
      </c>
      <c r="M43" t="s">
        <v>130</v>
      </c>
      <c r="N43" t="s">
        <v>1459</v>
      </c>
      <c r="O43" t="s">
        <v>59</v>
      </c>
      <c r="P43">
        <v>-1</v>
      </c>
      <c r="Q43" t="s">
        <v>59</v>
      </c>
    </row>
    <row r="44" spans="1:17" x14ac:dyDescent="0.25">
      <c r="A44">
        <v>0</v>
      </c>
      <c r="B44">
        <v>16</v>
      </c>
      <c r="C44" t="s">
        <v>5405</v>
      </c>
      <c r="D44">
        <v>2</v>
      </c>
      <c r="E44" t="s">
        <v>59</v>
      </c>
      <c r="F44">
        <v>-1</v>
      </c>
      <c r="G44" t="s">
        <v>5406</v>
      </c>
      <c r="H44" t="s">
        <v>1355</v>
      </c>
      <c r="I44">
        <v>600</v>
      </c>
      <c r="J44">
        <v>27</v>
      </c>
      <c r="K44">
        <v>2</v>
      </c>
      <c r="L44">
        <v>10</v>
      </c>
      <c r="M44" t="s">
        <v>130</v>
      </c>
      <c r="N44" t="s">
        <v>5407</v>
      </c>
      <c r="O44" t="s">
        <v>59</v>
      </c>
      <c r="P44">
        <v>-1</v>
      </c>
      <c r="Q44" t="s">
        <v>59</v>
      </c>
    </row>
    <row r="45" spans="1:17" x14ac:dyDescent="0.25">
      <c r="A45">
        <v>0</v>
      </c>
      <c r="B45">
        <v>14</v>
      </c>
      <c r="C45" t="s">
        <v>5411</v>
      </c>
      <c r="D45">
        <v>2</v>
      </c>
      <c r="E45" t="s">
        <v>1248</v>
      </c>
      <c r="F45">
        <v>1012</v>
      </c>
      <c r="G45" t="s">
        <v>5412</v>
      </c>
      <c r="H45" t="s">
        <v>1355</v>
      </c>
      <c r="I45">
        <v>300</v>
      </c>
      <c r="J45">
        <v>27</v>
      </c>
      <c r="K45">
        <v>2</v>
      </c>
      <c r="L45">
        <v>10</v>
      </c>
      <c r="M45" t="s">
        <v>130</v>
      </c>
      <c r="N45" t="s">
        <v>5413</v>
      </c>
      <c r="O45" t="s">
        <v>5366</v>
      </c>
      <c r="P45">
        <v>18</v>
      </c>
      <c r="Q45" t="s">
        <v>59</v>
      </c>
    </row>
    <row r="46" spans="1:17" x14ac:dyDescent="0.25">
      <c r="A46">
        <v>0</v>
      </c>
      <c r="B46">
        <v>15</v>
      </c>
      <c r="C46" t="s">
        <v>5414</v>
      </c>
      <c r="D46">
        <v>2</v>
      </c>
      <c r="E46" t="s">
        <v>1248</v>
      </c>
      <c r="F46">
        <v>1017</v>
      </c>
      <c r="G46" t="s">
        <v>59</v>
      </c>
      <c r="H46" t="s">
        <v>1355</v>
      </c>
      <c r="I46">
        <v>30</v>
      </c>
      <c r="J46">
        <v>27</v>
      </c>
      <c r="K46">
        <v>0</v>
      </c>
      <c r="L46">
        <v>3</v>
      </c>
      <c r="M46" t="s">
        <v>130</v>
      </c>
      <c r="N46" t="s">
        <v>1530</v>
      </c>
      <c r="O46" t="s">
        <v>59</v>
      </c>
      <c r="P46">
        <v>-1</v>
      </c>
      <c r="Q46" t="s">
        <v>59</v>
      </c>
    </row>
    <row r="47" spans="1:17" x14ac:dyDescent="0.25">
      <c r="A47">
        <v>0</v>
      </c>
      <c r="B47">
        <v>65</v>
      </c>
      <c r="C47" t="s">
        <v>5418</v>
      </c>
      <c r="D47">
        <v>3004</v>
      </c>
      <c r="E47" t="s">
        <v>1248</v>
      </c>
      <c r="F47">
        <v>1021</v>
      </c>
      <c r="G47" t="s">
        <v>59</v>
      </c>
      <c r="H47" t="s">
        <v>1355</v>
      </c>
      <c r="I47">
        <v>30</v>
      </c>
      <c r="J47">
        <v>7</v>
      </c>
      <c r="K47">
        <v>0</v>
      </c>
      <c r="L47">
        <v>3</v>
      </c>
      <c r="M47" t="s">
        <v>130</v>
      </c>
      <c r="N47" t="s">
        <v>1431</v>
      </c>
      <c r="O47" t="s">
        <v>59</v>
      </c>
      <c r="P47">
        <v>-1</v>
      </c>
      <c r="Q47" t="s">
        <v>59</v>
      </c>
    </row>
    <row r="48" spans="1:17" x14ac:dyDescent="0.25">
      <c r="A48">
        <v>0</v>
      </c>
      <c r="B48">
        <v>67</v>
      </c>
      <c r="C48" t="s">
        <v>5417</v>
      </c>
      <c r="D48">
        <v>3004</v>
      </c>
      <c r="E48" t="s">
        <v>1248</v>
      </c>
      <c r="F48">
        <v>1001</v>
      </c>
      <c r="G48" t="s">
        <v>59</v>
      </c>
      <c r="H48" t="s">
        <v>1355</v>
      </c>
      <c r="I48">
        <v>60</v>
      </c>
      <c r="J48">
        <v>18</v>
      </c>
      <c r="K48">
        <v>0</v>
      </c>
      <c r="L48">
        <v>5</v>
      </c>
      <c r="M48" t="s">
        <v>130</v>
      </c>
      <c r="N48" t="s">
        <v>1489</v>
      </c>
      <c r="O48" t="s">
        <v>59</v>
      </c>
      <c r="P48">
        <v>-1</v>
      </c>
      <c r="Q48" t="s">
        <v>59</v>
      </c>
    </row>
    <row r="49" spans="1:17" x14ac:dyDescent="0.25">
      <c r="A49">
        <v>0</v>
      </c>
      <c r="B49">
        <v>64</v>
      </c>
      <c r="C49" t="s">
        <v>5416</v>
      </c>
      <c r="D49">
        <v>3004</v>
      </c>
      <c r="E49" t="s">
        <v>1248</v>
      </c>
      <c r="F49">
        <v>1013</v>
      </c>
      <c r="G49" t="s">
        <v>59</v>
      </c>
      <c r="H49" t="s">
        <v>1355</v>
      </c>
      <c r="I49">
        <v>60</v>
      </c>
      <c r="J49">
        <v>7</v>
      </c>
      <c r="K49">
        <v>0</v>
      </c>
      <c r="L49">
        <v>5</v>
      </c>
      <c r="M49" t="s">
        <v>130</v>
      </c>
      <c r="N49" t="s">
        <v>1520</v>
      </c>
      <c r="O49" t="s">
        <v>59</v>
      </c>
      <c r="P49">
        <v>-1</v>
      </c>
      <c r="Q49" t="s">
        <v>59</v>
      </c>
    </row>
    <row r="50" spans="1:17" x14ac:dyDescent="0.25">
      <c r="A50">
        <v>0</v>
      </c>
      <c r="B50">
        <v>36</v>
      </c>
      <c r="C50" t="s">
        <v>5424</v>
      </c>
      <c r="D50">
        <v>3002</v>
      </c>
      <c r="E50" t="s">
        <v>1248</v>
      </c>
      <c r="F50">
        <v>1021</v>
      </c>
      <c r="G50" t="s">
        <v>59</v>
      </c>
      <c r="H50" t="s">
        <v>1355</v>
      </c>
      <c r="I50">
        <v>30</v>
      </c>
      <c r="J50">
        <v>32</v>
      </c>
      <c r="K50">
        <v>0</v>
      </c>
      <c r="L50">
        <v>3</v>
      </c>
      <c r="M50" t="s">
        <v>130</v>
      </c>
      <c r="N50" t="s">
        <v>1431</v>
      </c>
      <c r="O50" t="s">
        <v>59</v>
      </c>
      <c r="P50">
        <v>-1</v>
      </c>
      <c r="Q50" t="s">
        <v>59</v>
      </c>
    </row>
    <row r="51" spans="1:17" x14ac:dyDescent="0.25">
      <c r="A51">
        <v>0</v>
      </c>
      <c r="B51">
        <v>61</v>
      </c>
      <c r="C51" t="s">
        <v>5419</v>
      </c>
      <c r="D51">
        <v>3002</v>
      </c>
      <c r="E51" t="s">
        <v>1248</v>
      </c>
      <c r="F51">
        <v>1014</v>
      </c>
      <c r="G51" t="s">
        <v>5420</v>
      </c>
      <c r="H51" t="s">
        <v>1355</v>
      </c>
      <c r="I51">
        <v>300</v>
      </c>
      <c r="J51">
        <v>32</v>
      </c>
      <c r="K51">
        <v>2</v>
      </c>
      <c r="L51">
        <v>10</v>
      </c>
      <c r="M51" t="s">
        <v>130</v>
      </c>
      <c r="N51" t="s">
        <v>1550</v>
      </c>
      <c r="O51" t="s">
        <v>59</v>
      </c>
      <c r="P51">
        <v>-1</v>
      </c>
      <c r="Q51" t="s">
        <v>59</v>
      </c>
    </row>
    <row r="52" spans="1:17" x14ac:dyDescent="0.25">
      <c r="A52">
        <v>0</v>
      </c>
      <c r="B52">
        <v>32</v>
      </c>
      <c r="C52" t="s">
        <v>5421</v>
      </c>
      <c r="D52">
        <v>3002</v>
      </c>
      <c r="E52" t="s">
        <v>1248</v>
      </c>
      <c r="F52">
        <v>1030</v>
      </c>
      <c r="G52" t="s">
        <v>5422</v>
      </c>
      <c r="H52" t="s">
        <v>1355</v>
      </c>
      <c r="I52">
        <v>300</v>
      </c>
      <c r="J52">
        <v>32</v>
      </c>
      <c r="K52">
        <v>2</v>
      </c>
      <c r="L52">
        <v>10</v>
      </c>
      <c r="M52" t="s">
        <v>130</v>
      </c>
      <c r="N52" t="s">
        <v>5423</v>
      </c>
      <c r="O52" t="s">
        <v>59</v>
      </c>
      <c r="P52">
        <v>-1</v>
      </c>
      <c r="Q52" t="s">
        <v>59</v>
      </c>
    </row>
    <row r="53" spans="1:17" x14ac:dyDescent="0.25">
      <c r="A53">
        <v>0</v>
      </c>
      <c r="B53">
        <v>95</v>
      </c>
      <c r="C53" t="s">
        <v>5425</v>
      </c>
      <c r="D53">
        <v>3003</v>
      </c>
      <c r="E53" t="s">
        <v>1248</v>
      </c>
      <c r="F53">
        <v>1004</v>
      </c>
      <c r="G53" t="s">
        <v>59</v>
      </c>
      <c r="H53" t="s">
        <v>1355</v>
      </c>
      <c r="I53">
        <v>180</v>
      </c>
      <c r="J53">
        <v>8</v>
      </c>
      <c r="K53">
        <v>1</v>
      </c>
      <c r="L53">
        <v>7</v>
      </c>
      <c r="M53" t="s">
        <v>130</v>
      </c>
      <c r="N53" t="s">
        <v>1541</v>
      </c>
      <c r="O53" t="s">
        <v>59</v>
      </c>
      <c r="P53">
        <v>-1</v>
      </c>
      <c r="Q53" t="s">
        <v>59</v>
      </c>
    </row>
    <row r="54" spans="1:17" x14ac:dyDescent="0.25">
      <c r="A54">
        <v>0</v>
      </c>
      <c r="B54">
        <v>102</v>
      </c>
      <c r="C54" t="s">
        <v>5426</v>
      </c>
      <c r="D54">
        <v>3003</v>
      </c>
      <c r="E54" t="s">
        <v>1248</v>
      </c>
      <c r="F54">
        <v>1002</v>
      </c>
      <c r="G54" t="s">
        <v>59</v>
      </c>
      <c r="H54" t="s">
        <v>1355</v>
      </c>
      <c r="I54">
        <v>60</v>
      </c>
      <c r="J54">
        <v>31</v>
      </c>
      <c r="K54">
        <v>0</v>
      </c>
      <c r="L54">
        <v>5</v>
      </c>
      <c r="M54" t="s">
        <v>130</v>
      </c>
      <c r="N54" t="s">
        <v>1502</v>
      </c>
      <c r="O54" t="s">
        <v>59</v>
      </c>
      <c r="P54">
        <v>-1</v>
      </c>
      <c r="Q54" t="s">
        <v>59</v>
      </c>
    </row>
    <row r="55" spans="1:17" x14ac:dyDescent="0.25">
      <c r="A55">
        <v>0</v>
      </c>
      <c r="B55">
        <v>93</v>
      </c>
      <c r="C55" t="s">
        <v>5427</v>
      </c>
      <c r="D55">
        <v>3003</v>
      </c>
      <c r="E55" t="s">
        <v>1248</v>
      </c>
      <c r="F55">
        <v>1021</v>
      </c>
      <c r="G55" t="s">
        <v>59</v>
      </c>
      <c r="H55" t="s">
        <v>1355</v>
      </c>
      <c r="I55">
        <v>30</v>
      </c>
      <c r="J55">
        <v>8</v>
      </c>
      <c r="K55">
        <v>0</v>
      </c>
      <c r="L55">
        <v>3</v>
      </c>
      <c r="M55" t="s">
        <v>130</v>
      </c>
      <c r="N55" t="s">
        <v>1431</v>
      </c>
      <c r="O55" t="s">
        <v>59</v>
      </c>
      <c r="P55">
        <v>-1</v>
      </c>
      <c r="Q55" t="s">
        <v>59</v>
      </c>
    </row>
    <row r="56" spans="1:17" x14ac:dyDescent="0.25">
      <c r="A56">
        <v>0</v>
      </c>
      <c r="B56">
        <v>94</v>
      </c>
      <c r="C56" t="s">
        <v>5428</v>
      </c>
      <c r="D56">
        <v>3003</v>
      </c>
      <c r="E56" t="s">
        <v>1248</v>
      </c>
      <c r="F56">
        <v>1009</v>
      </c>
      <c r="G56" t="s">
        <v>59</v>
      </c>
      <c r="H56" t="s">
        <v>1355</v>
      </c>
      <c r="I56">
        <v>60</v>
      </c>
      <c r="J56">
        <v>19</v>
      </c>
      <c r="K56">
        <v>0</v>
      </c>
      <c r="L56">
        <v>5</v>
      </c>
      <c r="M56" t="s">
        <v>130</v>
      </c>
      <c r="N56" t="s">
        <v>1469</v>
      </c>
      <c r="O56" t="s">
        <v>59</v>
      </c>
      <c r="P56">
        <v>-1</v>
      </c>
      <c r="Q56" t="s">
        <v>59</v>
      </c>
    </row>
    <row r="57" spans="1:17" x14ac:dyDescent="0.25">
      <c r="A57">
        <v>0</v>
      </c>
      <c r="B57">
        <v>89</v>
      </c>
      <c r="C57" t="s">
        <v>5429</v>
      </c>
      <c r="D57">
        <v>3015</v>
      </c>
      <c r="E57" t="s">
        <v>1248</v>
      </c>
      <c r="F57">
        <v>1002</v>
      </c>
      <c r="G57" t="s">
        <v>59</v>
      </c>
      <c r="H57" t="s">
        <v>1355</v>
      </c>
      <c r="I57">
        <v>30</v>
      </c>
      <c r="J57">
        <v>31</v>
      </c>
      <c r="K57">
        <v>0</v>
      </c>
      <c r="L57">
        <v>3</v>
      </c>
      <c r="M57" t="s">
        <v>130</v>
      </c>
      <c r="N57" t="s">
        <v>1502</v>
      </c>
      <c r="O57" t="s">
        <v>59</v>
      </c>
      <c r="P57">
        <v>-1</v>
      </c>
      <c r="Q57" t="s">
        <v>59</v>
      </c>
    </row>
    <row r="58" spans="1:17" x14ac:dyDescent="0.25">
      <c r="A58">
        <v>0</v>
      </c>
      <c r="B58">
        <v>88</v>
      </c>
      <c r="C58" t="s">
        <v>5430</v>
      </c>
      <c r="D58">
        <v>3015</v>
      </c>
      <c r="E58" t="s">
        <v>1248</v>
      </c>
      <c r="F58">
        <v>1010</v>
      </c>
      <c r="G58" t="s">
        <v>59</v>
      </c>
      <c r="H58" t="s">
        <v>1355</v>
      </c>
      <c r="I58">
        <v>60</v>
      </c>
      <c r="J58">
        <v>29</v>
      </c>
      <c r="K58">
        <v>0</v>
      </c>
      <c r="L58">
        <v>5</v>
      </c>
      <c r="M58" t="s">
        <v>130</v>
      </c>
      <c r="N58" t="s">
        <v>1494</v>
      </c>
      <c r="O58" t="s">
        <v>59</v>
      </c>
      <c r="P58">
        <v>-1</v>
      </c>
      <c r="Q58" t="s">
        <v>59</v>
      </c>
    </row>
    <row r="59" spans="1:17" x14ac:dyDescent="0.25">
      <c r="A59">
        <v>0</v>
      </c>
      <c r="B59">
        <v>99</v>
      </c>
      <c r="C59" t="s">
        <v>5431</v>
      </c>
      <c r="D59">
        <v>3015</v>
      </c>
      <c r="E59" t="s">
        <v>1248</v>
      </c>
      <c r="F59">
        <v>1009</v>
      </c>
      <c r="G59" t="s">
        <v>59</v>
      </c>
      <c r="H59" t="s">
        <v>1355</v>
      </c>
      <c r="I59">
        <v>180</v>
      </c>
      <c r="J59">
        <v>19</v>
      </c>
      <c r="K59">
        <v>1</v>
      </c>
      <c r="L59">
        <v>7</v>
      </c>
      <c r="M59" t="s">
        <v>130</v>
      </c>
      <c r="N59" t="s">
        <v>1469</v>
      </c>
      <c r="O59" t="s">
        <v>59</v>
      </c>
      <c r="P59">
        <v>-1</v>
      </c>
      <c r="Q59" t="s">
        <v>59</v>
      </c>
    </row>
    <row r="60" spans="1:17" x14ac:dyDescent="0.25">
      <c r="A60">
        <v>0</v>
      </c>
      <c r="B60">
        <v>87</v>
      </c>
      <c r="C60" t="s">
        <v>5432</v>
      </c>
      <c r="D60">
        <v>3015</v>
      </c>
      <c r="E60" t="s">
        <v>1248</v>
      </c>
      <c r="F60">
        <v>1014</v>
      </c>
      <c r="G60" t="s">
        <v>5372</v>
      </c>
      <c r="H60" t="s">
        <v>1355</v>
      </c>
      <c r="I60">
        <v>180</v>
      </c>
      <c r="J60">
        <v>25</v>
      </c>
      <c r="K60">
        <v>1</v>
      </c>
      <c r="L60">
        <v>7</v>
      </c>
      <c r="M60" t="s">
        <v>130</v>
      </c>
      <c r="N60" t="s">
        <v>1550</v>
      </c>
      <c r="O60" t="s">
        <v>59</v>
      </c>
      <c r="P60">
        <v>-1</v>
      </c>
      <c r="Q60" t="s">
        <v>59</v>
      </c>
    </row>
    <row r="61" spans="1:17" x14ac:dyDescent="0.25">
      <c r="A61">
        <v>0</v>
      </c>
      <c r="B61">
        <v>98</v>
      </c>
      <c r="C61" t="s">
        <v>5433</v>
      </c>
      <c r="D61">
        <v>3015</v>
      </c>
      <c r="E61" t="s">
        <v>1248</v>
      </c>
      <c r="F61">
        <v>1026</v>
      </c>
      <c r="G61" t="s">
        <v>59</v>
      </c>
      <c r="H61" t="s">
        <v>1355</v>
      </c>
      <c r="I61">
        <v>30</v>
      </c>
      <c r="J61">
        <v>30</v>
      </c>
      <c r="K61">
        <v>0</v>
      </c>
      <c r="L61">
        <v>3</v>
      </c>
      <c r="M61" t="s">
        <v>130</v>
      </c>
      <c r="N61" t="s">
        <v>1502</v>
      </c>
      <c r="O61" t="s">
        <v>59</v>
      </c>
      <c r="P61">
        <v>-1</v>
      </c>
      <c r="Q61" t="s">
        <v>59</v>
      </c>
    </row>
    <row r="62" spans="1:17" x14ac:dyDescent="0.25">
      <c r="A62">
        <v>0</v>
      </c>
      <c r="B62">
        <v>100</v>
      </c>
      <c r="C62" t="s">
        <v>5434</v>
      </c>
      <c r="D62">
        <v>3015</v>
      </c>
      <c r="E62" t="s">
        <v>1248</v>
      </c>
      <c r="F62">
        <v>1001</v>
      </c>
      <c r="G62" t="s">
        <v>5372</v>
      </c>
      <c r="H62" t="s">
        <v>1355</v>
      </c>
      <c r="I62">
        <v>60</v>
      </c>
      <c r="J62">
        <v>18</v>
      </c>
      <c r="K62">
        <v>0</v>
      </c>
      <c r="L62">
        <v>5</v>
      </c>
      <c r="M62" t="s">
        <v>130</v>
      </c>
      <c r="N62" t="s">
        <v>1489</v>
      </c>
      <c r="O62" t="s">
        <v>59</v>
      </c>
      <c r="P62">
        <v>-1</v>
      </c>
      <c r="Q62" t="s">
        <v>59</v>
      </c>
    </row>
    <row r="63" spans="1:17" x14ac:dyDescent="0.25">
      <c r="A63">
        <v>0</v>
      </c>
      <c r="B63">
        <v>20</v>
      </c>
      <c r="C63" t="s">
        <v>5435</v>
      </c>
      <c r="D63">
        <v>3006</v>
      </c>
      <c r="E63" t="s">
        <v>1248</v>
      </c>
      <c r="F63">
        <v>1019</v>
      </c>
      <c r="G63" t="s">
        <v>59</v>
      </c>
      <c r="H63" t="s">
        <v>1355</v>
      </c>
      <c r="I63">
        <v>180</v>
      </c>
      <c r="J63">
        <v>17</v>
      </c>
      <c r="K63">
        <v>1</v>
      </c>
      <c r="L63">
        <v>7</v>
      </c>
      <c r="M63" t="s">
        <v>130</v>
      </c>
      <c r="N63" t="s">
        <v>1575</v>
      </c>
      <c r="O63" t="s">
        <v>59</v>
      </c>
      <c r="P63">
        <v>-1</v>
      </c>
      <c r="Q63" t="s">
        <v>59</v>
      </c>
    </row>
    <row r="64" spans="1:17" x14ac:dyDescent="0.25">
      <c r="A64">
        <v>0</v>
      </c>
      <c r="B64">
        <v>21</v>
      </c>
      <c r="C64" t="s">
        <v>5436</v>
      </c>
      <c r="D64">
        <v>3006</v>
      </c>
      <c r="E64" t="s">
        <v>1248</v>
      </c>
      <c r="F64">
        <v>1019</v>
      </c>
      <c r="G64" t="s">
        <v>59</v>
      </c>
      <c r="H64" t="s">
        <v>1355</v>
      </c>
      <c r="I64">
        <v>300</v>
      </c>
      <c r="J64">
        <v>17</v>
      </c>
      <c r="K64">
        <v>2</v>
      </c>
      <c r="L64">
        <v>10</v>
      </c>
      <c r="M64" t="s">
        <v>130</v>
      </c>
      <c r="N64" t="s">
        <v>1575</v>
      </c>
      <c r="O64" t="s">
        <v>59</v>
      </c>
      <c r="P64">
        <v>-1</v>
      </c>
      <c r="Q64" t="s">
        <v>59</v>
      </c>
    </row>
    <row r="65" spans="1:17" x14ac:dyDescent="0.25">
      <c r="A65">
        <v>0</v>
      </c>
      <c r="B65">
        <v>6</v>
      </c>
      <c r="C65" t="s">
        <v>5439</v>
      </c>
      <c r="D65">
        <v>3006</v>
      </c>
      <c r="E65" t="s">
        <v>59</v>
      </c>
      <c r="F65">
        <v>-1</v>
      </c>
      <c r="G65" t="s">
        <v>5440</v>
      </c>
      <c r="H65" t="s">
        <v>1355</v>
      </c>
      <c r="I65">
        <v>300</v>
      </c>
      <c r="J65">
        <v>17</v>
      </c>
      <c r="K65">
        <v>2</v>
      </c>
      <c r="L65">
        <v>10</v>
      </c>
      <c r="M65" t="s">
        <v>130</v>
      </c>
      <c r="N65" t="s">
        <v>5441</v>
      </c>
      <c r="O65" t="s">
        <v>59</v>
      </c>
      <c r="P65">
        <v>-1</v>
      </c>
      <c r="Q65" t="s">
        <v>59</v>
      </c>
    </row>
    <row r="66" spans="1:17" x14ac:dyDescent="0.25">
      <c r="A66">
        <v>0</v>
      </c>
      <c r="B66">
        <v>22</v>
      </c>
      <c r="C66" t="s">
        <v>5437</v>
      </c>
      <c r="D66">
        <v>3006</v>
      </c>
      <c r="E66" t="s">
        <v>59</v>
      </c>
      <c r="F66">
        <v>-1</v>
      </c>
      <c r="G66" t="s">
        <v>5438</v>
      </c>
      <c r="H66" t="s">
        <v>1355</v>
      </c>
      <c r="I66">
        <v>300</v>
      </c>
      <c r="J66">
        <v>17</v>
      </c>
      <c r="K66">
        <v>2</v>
      </c>
      <c r="L66">
        <v>10</v>
      </c>
      <c r="M66" t="s">
        <v>130</v>
      </c>
      <c r="N66" t="s">
        <v>1926</v>
      </c>
      <c r="O66" t="s">
        <v>59</v>
      </c>
      <c r="P66">
        <v>-1</v>
      </c>
      <c r="Q66" t="s">
        <v>59</v>
      </c>
    </row>
    <row r="67" spans="1:17" x14ac:dyDescent="0.25">
      <c r="A67">
        <v>0</v>
      </c>
      <c r="B67">
        <v>25</v>
      </c>
      <c r="C67" t="s">
        <v>5442</v>
      </c>
      <c r="D67">
        <v>3006</v>
      </c>
      <c r="E67" t="s">
        <v>1248</v>
      </c>
      <c r="F67">
        <v>1021</v>
      </c>
      <c r="G67" t="s">
        <v>59</v>
      </c>
      <c r="H67" t="s">
        <v>1355</v>
      </c>
      <c r="I67">
        <v>30</v>
      </c>
      <c r="J67">
        <v>17</v>
      </c>
      <c r="K67">
        <v>0</v>
      </c>
      <c r="L67">
        <v>3</v>
      </c>
      <c r="M67" t="s">
        <v>130</v>
      </c>
      <c r="N67" t="s">
        <v>1431</v>
      </c>
      <c r="O67" t="s">
        <v>59</v>
      </c>
      <c r="P67">
        <v>-1</v>
      </c>
      <c r="Q67" t="s">
        <v>59</v>
      </c>
    </row>
    <row r="68" spans="1:17" x14ac:dyDescent="0.25">
      <c r="A68">
        <v>0</v>
      </c>
      <c r="B68">
        <v>24</v>
      </c>
      <c r="C68" t="s">
        <v>5443</v>
      </c>
      <c r="D68">
        <v>3006</v>
      </c>
      <c r="E68" t="s">
        <v>59</v>
      </c>
      <c r="F68">
        <v>-1</v>
      </c>
      <c r="G68" t="s">
        <v>5444</v>
      </c>
      <c r="H68" t="s">
        <v>1355</v>
      </c>
      <c r="I68">
        <v>300</v>
      </c>
      <c r="J68">
        <v>17</v>
      </c>
      <c r="K68">
        <v>2</v>
      </c>
      <c r="L68">
        <v>10</v>
      </c>
      <c r="M68" t="s">
        <v>130</v>
      </c>
      <c r="N68" t="s">
        <v>5445</v>
      </c>
      <c r="O68" t="s">
        <v>5366</v>
      </c>
      <c r="P68">
        <v>12</v>
      </c>
      <c r="Q68" t="s">
        <v>59</v>
      </c>
    </row>
    <row r="69" spans="1:17" x14ac:dyDescent="0.25">
      <c r="A69">
        <v>0</v>
      </c>
      <c r="B69">
        <v>50</v>
      </c>
      <c r="C69" t="s">
        <v>5453</v>
      </c>
      <c r="D69">
        <v>1</v>
      </c>
      <c r="E69" t="s">
        <v>1248</v>
      </c>
      <c r="F69">
        <v>1021</v>
      </c>
      <c r="G69" t="s">
        <v>59</v>
      </c>
      <c r="H69" t="s">
        <v>1355</v>
      </c>
      <c r="I69">
        <v>30</v>
      </c>
      <c r="J69">
        <v>5</v>
      </c>
      <c r="K69">
        <v>0</v>
      </c>
      <c r="L69">
        <v>3</v>
      </c>
      <c r="M69" t="s">
        <v>130</v>
      </c>
      <c r="N69" t="s">
        <v>1431</v>
      </c>
      <c r="O69" t="s">
        <v>59</v>
      </c>
      <c r="P69">
        <v>-1</v>
      </c>
      <c r="Q69" t="s">
        <v>59</v>
      </c>
    </row>
    <row r="70" spans="1:17" x14ac:dyDescent="0.25">
      <c r="A70">
        <v>0</v>
      </c>
      <c r="B70">
        <v>47</v>
      </c>
      <c r="C70" t="s">
        <v>5446</v>
      </c>
      <c r="D70">
        <v>1</v>
      </c>
      <c r="E70" t="s">
        <v>1248</v>
      </c>
      <c r="F70">
        <v>1008</v>
      </c>
      <c r="G70" t="s">
        <v>5403</v>
      </c>
      <c r="H70" t="s">
        <v>1355</v>
      </c>
      <c r="I70">
        <v>300</v>
      </c>
      <c r="J70">
        <v>2</v>
      </c>
      <c r="K70">
        <v>2</v>
      </c>
      <c r="L70">
        <v>10</v>
      </c>
      <c r="M70" t="s">
        <v>130</v>
      </c>
      <c r="N70" t="s">
        <v>5404</v>
      </c>
      <c r="O70" t="s">
        <v>59</v>
      </c>
      <c r="P70">
        <v>-1</v>
      </c>
      <c r="Q70" t="s">
        <v>59</v>
      </c>
    </row>
    <row r="71" spans="1:17" x14ac:dyDescent="0.25">
      <c r="A71">
        <v>0</v>
      </c>
      <c r="B71">
        <v>96</v>
      </c>
      <c r="C71" t="s">
        <v>5447</v>
      </c>
      <c r="D71">
        <v>1</v>
      </c>
      <c r="E71" t="s">
        <v>59</v>
      </c>
      <c r="F71">
        <v>-1</v>
      </c>
      <c r="G71" t="s">
        <v>5448</v>
      </c>
      <c r="H71" t="s">
        <v>1355</v>
      </c>
      <c r="I71">
        <v>300</v>
      </c>
      <c r="J71">
        <v>3</v>
      </c>
      <c r="K71">
        <v>2</v>
      </c>
      <c r="L71">
        <v>10</v>
      </c>
      <c r="M71" t="s">
        <v>130</v>
      </c>
      <c r="N71" t="s">
        <v>5449</v>
      </c>
      <c r="O71" t="s">
        <v>5366</v>
      </c>
      <c r="P71">
        <v>14</v>
      </c>
      <c r="Q71" t="s">
        <v>1436</v>
      </c>
    </row>
    <row r="72" spans="1:17" x14ac:dyDescent="0.25">
      <c r="A72">
        <v>0</v>
      </c>
      <c r="B72">
        <v>46</v>
      </c>
      <c r="C72" t="s">
        <v>5450</v>
      </c>
      <c r="D72">
        <v>1</v>
      </c>
      <c r="E72" t="s">
        <v>59</v>
      </c>
      <c r="F72">
        <v>-1</v>
      </c>
      <c r="G72" t="s">
        <v>5412</v>
      </c>
      <c r="H72" t="s">
        <v>1355</v>
      </c>
      <c r="I72">
        <v>300</v>
      </c>
      <c r="J72">
        <v>2</v>
      </c>
      <c r="K72">
        <v>2</v>
      </c>
      <c r="L72">
        <v>10</v>
      </c>
      <c r="M72" t="s">
        <v>130</v>
      </c>
      <c r="N72" t="s">
        <v>5413</v>
      </c>
      <c r="O72" t="s">
        <v>5366</v>
      </c>
      <c r="P72">
        <v>18</v>
      </c>
      <c r="Q72" t="s">
        <v>59</v>
      </c>
    </row>
    <row r="73" spans="1:17" x14ac:dyDescent="0.25">
      <c r="A73">
        <v>0</v>
      </c>
      <c r="B73">
        <v>53</v>
      </c>
      <c r="C73" t="s">
        <v>5451</v>
      </c>
      <c r="D73">
        <v>1</v>
      </c>
      <c r="E73" t="s">
        <v>1248</v>
      </c>
      <c r="F73">
        <v>1015</v>
      </c>
      <c r="G73" t="s">
        <v>59</v>
      </c>
      <c r="H73" t="s">
        <v>1355</v>
      </c>
      <c r="I73">
        <v>300</v>
      </c>
      <c r="J73">
        <v>3</v>
      </c>
      <c r="K73">
        <v>2</v>
      </c>
      <c r="L73">
        <v>10</v>
      </c>
      <c r="M73" t="s">
        <v>130</v>
      </c>
      <c r="N73" t="s">
        <v>1537</v>
      </c>
      <c r="O73" t="s">
        <v>59</v>
      </c>
      <c r="P73">
        <v>-1</v>
      </c>
      <c r="Q73" t="s">
        <v>59</v>
      </c>
    </row>
    <row r="74" spans="1:17" x14ac:dyDescent="0.25">
      <c r="A74">
        <v>0</v>
      </c>
      <c r="B74">
        <v>51</v>
      </c>
      <c r="C74" t="s">
        <v>5452</v>
      </c>
      <c r="D74">
        <v>1</v>
      </c>
      <c r="E74" t="s">
        <v>1248</v>
      </c>
      <c r="F74">
        <v>1015</v>
      </c>
      <c r="G74" t="s">
        <v>59</v>
      </c>
      <c r="H74" t="s">
        <v>1355</v>
      </c>
      <c r="I74">
        <v>180</v>
      </c>
      <c r="J74">
        <v>3</v>
      </c>
      <c r="K74">
        <v>1</v>
      </c>
      <c r="L74">
        <v>7</v>
      </c>
      <c r="M74" t="s">
        <v>130</v>
      </c>
      <c r="N74" t="s">
        <v>1537</v>
      </c>
      <c r="O74" t="s">
        <v>59</v>
      </c>
      <c r="P74">
        <v>-1</v>
      </c>
      <c r="Q74" t="s">
        <v>59</v>
      </c>
    </row>
    <row r="75" spans="1:17" x14ac:dyDescent="0.25">
      <c r="A75">
        <v>0</v>
      </c>
      <c r="B75">
        <v>45</v>
      </c>
      <c r="C75" t="s">
        <v>5454</v>
      </c>
      <c r="D75">
        <v>1</v>
      </c>
      <c r="E75" t="s">
        <v>59</v>
      </c>
      <c r="F75">
        <v>-1</v>
      </c>
      <c r="G75" t="s">
        <v>5455</v>
      </c>
      <c r="H75" t="s">
        <v>1355</v>
      </c>
      <c r="I75">
        <v>300</v>
      </c>
      <c r="J75">
        <v>3</v>
      </c>
      <c r="K75">
        <v>2</v>
      </c>
      <c r="L75">
        <v>10</v>
      </c>
      <c r="M75" t="s">
        <v>130</v>
      </c>
      <c r="N75" t="s">
        <v>5456</v>
      </c>
      <c r="O75" t="s">
        <v>5366</v>
      </c>
      <c r="P75">
        <v>12</v>
      </c>
      <c r="Q75" t="s">
        <v>59</v>
      </c>
    </row>
    <row r="76" spans="1:17" x14ac:dyDescent="0.25">
      <c r="A76">
        <v>0</v>
      </c>
      <c r="B76">
        <v>52</v>
      </c>
      <c r="C76" t="s">
        <v>5457</v>
      </c>
      <c r="D76">
        <v>1</v>
      </c>
      <c r="E76" t="s">
        <v>1248</v>
      </c>
      <c r="F76">
        <v>1019</v>
      </c>
      <c r="G76" t="s">
        <v>59</v>
      </c>
      <c r="H76" t="s">
        <v>1355</v>
      </c>
      <c r="I76">
        <v>300</v>
      </c>
      <c r="J76">
        <v>17</v>
      </c>
      <c r="K76">
        <v>2</v>
      </c>
      <c r="L76">
        <v>10</v>
      </c>
      <c r="M76" t="s">
        <v>130</v>
      </c>
      <c r="N76" t="s">
        <v>1575</v>
      </c>
      <c r="O76" t="s">
        <v>59</v>
      </c>
      <c r="P76">
        <v>-1</v>
      </c>
      <c r="Q76" t="s">
        <v>59</v>
      </c>
    </row>
    <row r="77" spans="1:17" x14ac:dyDescent="0.25">
      <c r="A77">
        <v>0</v>
      </c>
      <c r="B77">
        <v>60</v>
      </c>
      <c r="C77" t="s">
        <v>5465</v>
      </c>
      <c r="D77">
        <v>3016</v>
      </c>
      <c r="E77" t="s">
        <v>1248</v>
      </c>
      <c r="F77">
        <v>1021</v>
      </c>
      <c r="G77" t="s">
        <v>59</v>
      </c>
      <c r="H77" t="s">
        <v>1355</v>
      </c>
      <c r="I77">
        <v>30</v>
      </c>
      <c r="J77">
        <v>9</v>
      </c>
      <c r="K77">
        <v>0</v>
      </c>
      <c r="L77">
        <v>3</v>
      </c>
      <c r="M77" t="s">
        <v>130</v>
      </c>
      <c r="N77" t="s">
        <v>1431</v>
      </c>
      <c r="O77" t="s">
        <v>59</v>
      </c>
      <c r="P77">
        <v>-1</v>
      </c>
      <c r="Q77" t="s">
        <v>59</v>
      </c>
    </row>
    <row r="78" spans="1:17" x14ac:dyDescent="0.25">
      <c r="A78">
        <v>0</v>
      </c>
      <c r="B78">
        <v>56</v>
      </c>
      <c r="C78" t="s">
        <v>5458</v>
      </c>
      <c r="D78">
        <v>3016</v>
      </c>
      <c r="E78" t="s">
        <v>59</v>
      </c>
      <c r="F78">
        <v>-1</v>
      </c>
      <c r="G78" t="s">
        <v>5459</v>
      </c>
      <c r="H78" t="s">
        <v>1355</v>
      </c>
      <c r="I78">
        <v>300</v>
      </c>
      <c r="J78">
        <v>9</v>
      </c>
      <c r="K78">
        <v>2</v>
      </c>
      <c r="L78">
        <v>10</v>
      </c>
      <c r="M78" t="s">
        <v>130</v>
      </c>
      <c r="N78" t="s">
        <v>5460</v>
      </c>
      <c r="O78" t="s">
        <v>5366</v>
      </c>
      <c r="P78">
        <v>10</v>
      </c>
      <c r="Q78" t="s">
        <v>59</v>
      </c>
    </row>
    <row r="79" spans="1:17" x14ac:dyDescent="0.25">
      <c r="A79">
        <v>0</v>
      </c>
      <c r="B79" s="2">
        <v>55</v>
      </c>
      <c r="C79" t="s">
        <v>5461</v>
      </c>
      <c r="D79" s="2">
        <v>3016</v>
      </c>
      <c r="E79" t="s">
        <v>1248</v>
      </c>
      <c r="F79" s="2">
        <v>1018</v>
      </c>
      <c r="G79" t="s">
        <v>5462</v>
      </c>
      <c r="H79" t="s">
        <v>1355</v>
      </c>
      <c r="I79" s="2">
        <v>300</v>
      </c>
      <c r="J79" s="2">
        <v>9</v>
      </c>
      <c r="K79" s="2">
        <v>2</v>
      </c>
      <c r="L79" s="2">
        <v>10</v>
      </c>
      <c r="M79" t="s">
        <v>130</v>
      </c>
      <c r="N79" t="s">
        <v>5463</v>
      </c>
      <c r="O79" t="s">
        <v>5366</v>
      </c>
      <c r="P79" s="2">
        <v>10</v>
      </c>
      <c r="Q79" t="s">
        <v>59</v>
      </c>
    </row>
    <row r="80" spans="1:17" x14ac:dyDescent="0.25">
      <c r="A80">
        <v>0</v>
      </c>
      <c r="B80">
        <v>59</v>
      </c>
      <c r="C80" t="s">
        <v>5464</v>
      </c>
      <c r="D80">
        <v>3016</v>
      </c>
      <c r="E80" t="s">
        <v>1248</v>
      </c>
      <c r="F80">
        <v>1016</v>
      </c>
      <c r="G80" t="s">
        <v>59</v>
      </c>
      <c r="H80" t="s">
        <v>1355</v>
      </c>
      <c r="I80">
        <v>180</v>
      </c>
      <c r="J80">
        <v>9</v>
      </c>
      <c r="K80">
        <v>1</v>
      </c>
      <c r="L80">
        <v>7</v>
      </c>
      <c r="M80" t="s">
        <v>130</v>
      </c>
      <c r="N80" t="s">
        <v>1566</v>
      </c>
      <c r="O80" t="s">
        <v>59</v>
      </c>
      <c r="P80">
        <v>-1</v>
      </c>
      <c r="Q80" t="s">
        <v>59</v>
      </c>
    </row>
    <row r="81" spans="1:17" x14ac:dyDescent="0.25">
      <c r="A81">
        <v>0</v>
      </c>
      <c r="B81">
        <v>57</v>
      </c>
      <c r="C81" t="s">
        <v>5466</v>
      </c>
      <c r="D81">
        <v>3016</v>
      </c>
      <c r="E81" t="s">
        <v>1248</v>
      </c>
      <c r="F81">
        <v>1016</v>
      </c>
      <c r="G81" t="s">
        <v>5467</v>
      </c>
      <c r="H81" t="s">
        <v>1355</v>
      </c>
      <c r="I81">
        <v>300</v>
      </c>
      <c r="J81">
        <v>9</v>
      </c>
      <c r="K81">
        <v>2</v>
      </c>
      <c r="L81">
        <v>10</v>
      </c>
      <c r="M81" t="s">
        <v>130</v>
      </c>
      <c r="N81" t="s">
        <v>5468</v>
      </c>
      <c r="O81" t="s">
        <v>59</v>
      </c>
      <c r="P81">
        <v>-1</v>
      </c>
      <c r="Q81" t="s">
        <v>59</v>
      </c>
    </row>
    <row r="82" spans="1:17" x14ac:dyDescent="0.25">
      <c r="A82">
        <v>0</v>
      </c>
      <c r="B82">
        <v>112</v>
      </c>
      <c r="C82" t="s">
        <v>5469</v>
      </c>
      <c r="D82">
        <v>3017</v>
      </c>
      <c r="E82" t="s">
        <v>1248</v>
      </c>
      <c r="F82">
        <v>1021</v>
      </c>
      <c r="G82" t="s">
        <v>59</v>
      </c>
      <c r="H82" t="s">
        <v>1355</v>
      </c>
      <c r="I82">
        <v>60</v>
      </c>
      <c r="J82">
        <v>22</v>
      </c>
      <c r="K82">
        <v>0</v>
      </c>
      <c r="L82">
        <v>5</v>
      </c>
      <c r="M82" t="s">
        <v>130</v>
      </c>
      <c r="N82" t="s">
        <v>1431</v>
      </c>
      <c r="O82" t="s">
        <v>59</v>
      </c>
      <c r="P82">
        <v>-1</v>
      </c>
      <c r="Q82" t="s">
        <v>59</v>
      </c>
    </row>
    <row r="83" spans="1:17" x14ac:dyDescent="0.25">
      <c r="A83">
        <v>0</v>
      </c>
      <c r="B83">
        <v>110</v>
      </c>
      <c r="C83" t="s">
        <v>5470</v>
      </c>
      <c r="D83">
        <v>3017</v>
      </c>
      <c r="E83" t="s">
        <v>1248</v>
      </c>
      <c r="F83">
        <v>1016</v>
      </c>
      <c r="G83" t="s">
        <v>59</v>
      </c>
      <c r="H83" t="s">
        <v>1355</v>
      </c>
      <c r="I83">
        <v>60</v>
      </c>
      <c r="J83">
        <v>22</v>
      </c>
      <c r="K83">
        <v>0</v>
      </c>
      <c r="L83">
        <v>5</v>
      </c>
      <c r="M83" t="s">
        <v>130</v>
      </c>
      <c r="N83" t="s">
        <v>1566</v>
      </c>
      <c r="O83" t="s">
        <v>59</v>
      </c>
      <c r="P83">
        <v>-1</v>
      </c>
      <c r="Q83" t="s">
        <v>59</v>
      </c>
    </row>
    <row r="84" spans="1:17" x14ac:dyDescent="0.25">
      <c r="A84">
        <v>0</v>
      </c>
      <c r="B84">
        <v>112</v>
      </c>
      <c r="C84" t="s">
        <v>5471</v>
      </c>
      <c r="D84">
        <v>3017</v>
      </c>
      <c r="E84" t="s">
        <v>1248</v>
      </c>
      <c r="F84">
        <v>1025</v>
      </c>
      <c r="G84" t="s">
        <v>59</v>
      </c>
      <c r="H84" t="s">
        <v>1355</v>
      </c>
      <c r="I84">
        <v>30</v>
      </c>
      <c r="J84">
        <v>22</v>
      </c>
      <c r="K84">
        <v>0</v>
      </c>
      <c r="L84">
        <v>3</v>
      </c>
      <c r="M84" t="s">
        <v>130</v>
      </c>
      <c r="N84" t="s">
        <v>1570</v>
      </c>
      <c r="O84" t="s">
        <v>59</v>
      </c>
      <c r="P84">
        <v>-1</v>
      </c>
      <c r="Q84" t="s">
        <v>59</v>
      </c>
    </row>
    <row r="85" spans="1:17" x14ac:dyDescent="0.25">
      <c r="A85">
        <v>0</v>
      </c>
      <c r="B85">
        <v>83</v>
      </c>
      <c r="C85" t="s">
        <v>5472</v>
      </c>
      <c r="D85">
        <v>3017</v>
      </c>
      <c r="E85" t="s">
        <v>1248</v>
      </c>
      <c r="F85">
        <v>1016</v>
      </c>
      <c r="G85" t="s">
        <v>59</v>
      </c>
      <c r="H85" t="s">
        <v>1355</v>
      </c>
      <c r="I85">
        <v>30</v>
      </c>
      <c r="J85">
        <v>22</v>
      </c>
      <c r="K85">
        <v>0</v>
      </c>
      <c r="L85">
        <v>3</v>
      </c>
      <c r="M85" t="s">
        <v>130</v>
      </c>
      <c r="N85" t="s">
        <v>1515</v>
      </c>
      <c r="O85" t="s">
        <v>59</v>
      </c>
      <c r="P85">
        <v>-1</v>
      </c>
      <c r="Q85" t="s">
        <v>59</v>
      </c>
    </row>
  </sheetData>
  <sortState ref="A2:AB166">
    <sortCondition ref="C2:C16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BonusPaytables</vt:lpstr>
      <vt:lpstr>ItemCategories</vt:lpstr>
      <vt:lpstr>ItemIdentities</vt:lpstr>
      <vt:lpstr>IAPIdentities</vt:lpstr>
      <vt:lpstr>Conversions</vt:lpstr>
      <vt:lpstr>StoreOrder</vt:lpstr>
      <vt:lpstr>Resources</vt:lpstr>
      <vt:lpstr>Leveling</vt:lpstr>
      <vt:lpstr>InitialBlueprints</vt:lpstr>
      <vt:lpstr>InitialResources</vt:lpstr>
      <vt:lpstr>InitialPaths</vt:lpstr>
      <vt:lpstr>InitialUnlocks</vt:lpstr>
      <vt:lpstr>Notifications</vt:lpstr>
      <vt:lpstr>Recipes</vt:lpstr>
      <vt:lpstr>Units</vt:lpstr>
      <vt:lpstr>CharacterBuildings</vt:lpstr>
      <vt:lpstr>RentOnlyBuildings</vt:lpstr>
      <vt:lpstr>Shops</vt:lpstr>
      <vt:lpstr>Annexes</vt:lpstr>
      <vt:lpstr>Trees</vt:lpstr>
      <vt:lpstr>Treasure</vt:lpstr>
      <vt:lpstr>TreasureSpawn</vt:lpstr>
      <vt:lpstr>Terrain</vt:lpstr>
      <vt:lpstr>TerrainForeground</vt:lpstr>
      <vt:lpstr>TerrainTypes</vt:lpstr>
      <vt:lpstr>TerrainSlots</vt:lpstr>
      <vt:lpstr>DebrisPlacement</vt:lpstr>
      <vt:lpstr>LandmarkPlacement</vt:lpstr>
      <vt:lpstr>Landmarks</vt:lpstr>
      <vt:lpstr>Debris</vt:lpstr>
      <vt:lpstr>Decorations</vt:lpstr>
      <vt:lpstr>ProductionSlots</vt:lpstr>
      <vt:lpstr>CraftBuildings</vt:lpstr>
      <vt:lpstr>VendingStock</vt:lpstr>
      <vt:lpstr>Vendors</vt:lpstr>
      <vt:lpstr>Events</vt:lpstr>
      <vt:lpstr>EventItems</vt:lpstr>
      <vt:lpstr>Sound</vt:lpstr>
      <vt:lpstr>Movies</vt:lpstr>
      <vt:lpstr>Enclosure</vt:lpstr>
      <vt:lpstr>Spline</vt:lpstr>
      <vt:lpstr>Tasks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Phipps</dc:creator>
  <cp:lastModifiedBy>Ian Phipps</cp:lastModifiedBy>
  <dcterms:created xsi:type="dcterms:W3CDTF">2013-12-16T18:53:53Z</dcterms:created>
  <dcterms:modified xsi:type="dcterms:W3CDTF">2014-04-08T20:52:43Z</dcterms:modified>
</cp:coreProperties>
</file>