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bookViews>
    <workbookView xWindow="0" yWindow="0" windowWidth="20490" windowHeight="7755" tabRatio="668" firstSheet="5" activeTab="5"/>
  </bookViews>
  <sheets>
    <sheet name="Bone Source - Tasks" sheetId="2" r:id="rId1"/>
    <sheet name="Bone Source - Recipes" sheetId="3" r:id="rId2"/>
    <sheet name="Driftwood Source - Treasure" sheetId="6" r:id="rId3"/>
    <sheet name="Bone Sink - Decos" sheetId="1" r:id="rId4"/>
    <sheet name="Gold Sink - Recipe Cost" sheetId="4" r:id="rId5"/>
    <sheet name="Gold Sink - Ingredient Cost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3" l="1"/>
  <c r="G15" i="3" s="1"/>
  <c r="J15" i="3" l="1"/>
  <c r="H15" i="3"/>
  <c r="K15" i="3"/>
  <c r="I16" i="3" l="1"/>
  <c r="G16" i="3" s="1"/>
  <c r="I17" i="3"/>
  <c r="J17" i="3" s="1"/>
  <c r="G18" i="3"/>
  <c r="I18" i="3"/>
  <c r="H18" i="3" s="1"/>
  <c r="J18" i="3"/>
  <c r="K18" i="3"/>
  <c r="G19" i="3"/>
  <c r="I19" i="3"/>
  <c r="H19" i="3" s="1"/>
  <c r="J19" i="3"/>
  <c r="I20" i="3"/>
  <c r="K20" i="3" s="1"/>
  <c r="J20" i="3"/>
  <c r="G21" i="3"/>
  <c r="H21" i="3"/>
  <c r="I21" i="3"/>
  <c r="J21" i="3"/>
  <c r="K21" i="3"/>
  <c r="N3" i="3"/>
  <c r="O3" i="3" s="1"/>
  <c r="C12" i="4"/>
  <c r="Q2" i="6"/>
  <c r="L2" i="6"/>
  <c r="S2" i="6" s="1"/>
  <c r="P2" i="6"/>
  <c r="V2" i="6"/>
  <c r="T2" i="6" s="1"/>
  <c r="O2" i="6"/>
  <c r="N2" i="6"/>
  <c r="N6" i="5"/>
  <c r="N7" i="5"/>
  <c r="C17" i="1"/>
  <c r="E1" i="1"/>
  <c r="K2" i="2"/>
  <c r="L4" i="3"/>
  <c r="L5" i="3"/>
  <c r="L3" i="3"/>
  <c r="T3" i="4"/>
  <c r="Z3" i="4" s="1"/>
  <c r="U3" i="4"/>
  <c r="AA3" i="4" s="1"/>
  <c r="V3" i="4"/>
  <c r="AB3" i="4" s="1"/>
  <c r="W3" i="4"/>
  <c r="AC3" i="4" s="1"/>
  <c r="X3" i="4"/>
  <c r="AD3" i="4" s="1"/>
  <c r="Y3" i="4"/>
  <c r="AE3" i="4" s="1"/>
  <c r="E3" i="4"/>
  <c r="T6" i="4"/>
  <c r="Z6" i="4" s="1"/>
  <c r="U6" i="4"/>
  <c r="AA6" i="4" s="1"/>
  <c r="V6" i="4"/>
  <c r="AB6" i="4" s="1"/>
  <c r="W6" i="4"/>
  <c r="AC6" i="4" s="1"/>
  <c r="X6" i="4"/>
  <c r="AD6" i="4" s="1"/>
  <c r="Y6" i="4"/>
  <c r="AE6" i="4" s="1"/>
  <c r="E6" i="4"/>
  <c r="F6" i="4" s="1"/>
  <c r="N6" i="3" s="1"/>
  <c r="T5" i="4"/>
  <c r="Z5" i="4" s="1"/>
  <c r="U5" i="4"/>
  <c r="AA5" i="4" s="1"/>
  <c r="V5" i="4"/>
  <c r="AB5" i="4" s="1"/>
  <c r="W5" i="4"/>
  <c r="AC5" i="4" s="1"/>
  <c r="X5" i="4"/>
  <c r="AD5" i="4" s="1"/>
  <c r="Y5" i="4"/>
  <c r="AE5" i="4" s="1"/>
  <c r="T4" i="4"/>
  <c r="Z4" i="4" s="1"/>
  <c r="U4" i="4"/>
  <c r="AA4" i="4" s="1"/>
  <c r="W4" i="4"/>
  <c r="AC4" i="4" s="1"/>
  <c r="X4" i="4"/>
  <c r="AD4" i="4" s="1"/>
  <c r="Y4" i="4"/>
  <c r="AE4" i="4" s="1"/>
  <c r="T11" i="4"/>
  <c r="Z11" i="4" s="1"/>
  <c r="U11" i="4"/>
  <c r="AA11" i="4" s="1"/>
  <c r="V11" i="4"/>
  <c r="AB11" i="4" s="1"/>
  <c r="W11" i="4"/>
  <c r="AC11" i="4" s="1"/>
  <c r="X11" i="4"/>
  <c r="AD11" i="4" s="1"/>
  <c r="Y11" i="4"/>
  <c r="AE11" i="4" s="1"/>
  <c r="T7" i="4"/>
  <c r="Z7" i="4" s="1"/>
  <c r="U7" i="4"/>
  <c r="AA7" i="4" s="1"/>
  <c r="V7" i="4"/>
  <c r="AB7" i="4" s="1"/>
  <c r="W7" i="4"/>
  <c r="AC7" i="4" s="1"/>
  <c r="X7" i="4"/>
  <c r="AD7" i="4" s="1"/>
  <c r="Y7" i="4"/>
  <c r="AE7" i="4" s="1"/>
  <c r="T9" i="4"/>
  <c r="Z9" i="4" s="1"/>
  <c r="V9" i="4"/>
  <c r="AB9" i="4" s="1"/>
  <c r="W9" i="4"/>
  <c r="AC9" i="4" s="1"/>
  <c r="X9" i="4"/>
  <c r="AD9" i="4" s="1"/>
  <c r="Y9" i="4"/>
  <c r="AE9" i="4" s="1"/>
  <c r="T8" i="4"/>
  <c r="Z8" i="4" s="1"/>
  <c r="U8" i="4"/>
  <c r="AA8" i="4" s="1"/>
  <c r="V8" i="4"/>
  <c r="AB8" i="4" s="1"/>
  <c r="W8" i="4"/>
  <c r="AC8" i="4" s="1"/>
  <c r="X8" i="4"/>
  <c r="AD8" i="4" s="1"/>
  <c r="Y8" i="4"/>
  <c r="AE8" i="4" s="1"/>
  <c r="T10" i="4"/>
  <c r="Z10" i="4" s="1"/>
  <c r="U10" i="4"/>
  <c r="AA10" i="4" s="1"/>
  <c r="V10" i="4"/>
  <c r="AB10" i="4" s="1"/>
  <c r="W10" i="4"/>
  <c r="AC10" i="4" s="1"/>
  <c r="X10" i="4"/>
  <c r="AD10" i="4" s="1"/>
  <c r="Y10" i="4"/>
  <c r="AE10" i="4" s="1"/>
  <c r="U2" i="4"/>
  <c r="AA2" i="4" s="1"/>
  <c r="V2" i="4"/>
  <c r="AB2" i="4" s="1"/>
  <c r="W2" i="4"/>
  <c r="AC2" i="4" s="1"/>
  <c r="X2" i="4"/>
  <c r="AD2" i="4" s="1"/>
  <c r="Y2" i="4"/>
  <c r="AE2" i="4" s="1"/>
  <c r="O10" i="5"/>
  <c r="O7" i="5"/>
  <c r="O2" i="5"/>
  <c r="O3" i="5"/>
  <c r="O4" i="5"/>
  <c r="O11" i="5"/>
  <c r="O8" i="5"/>
  <c r="O9" i="5"/>
  <c r="O5" i="5"/>
  <c r="O6" i="5"/>
  <c r="O12" i="5"/>
  <c r="E2" i="4"/>
  <c r="E11" i="4"/>
  <c r="E7" i="4"/>
  <c r="F7" i="4" s="1"/>
  <c r="N7" i="3" s="1"/>
  <c r="E8" i="4"/>
  <c r="F8" i="4" s="1"/>
  <c r="N8" i="3" s="1"/>
  <c r="P8" i="3" s="1"/>
  <c r="E9" i="4"/>
  <c r="F9" i="4" s="1"/>
  <c r="N9" i="3" s="1"/>
  <c r="E10" i="4"/>
  <c r="F10" i="4" s="1"/>
  <c r="N10" i="3" s="1"/>
  <c r="E4" i="4"/>
  <c r="F4" i="4" s="1"/>
  <c r="N4" i="3" s="1"/>
  <c r="O4" i="3" s="1"/>
  <c r="E5" i="4"/>
  <c r="F5" i="4" s="1"/>
  <c r="N5" i="3" s="1"/>
  <c r="N3" i="5"/>
  <c r="N12" i="5"/>
  <c r="N4" i="5"/>
  <c r="N10" i="5"/>
  <c r="N8" i="5"/>
  <c r="N9" i="5"/>
  <c r="N5" i="5"/>
  <c r="N11" i="5"/>
  <c r="I5" i="2"/>
  <c r="I2" i="2"/>
  <c r="I3" i="2"/>
  <c r="C7" i="2"/>
  <c r="F8" i="2"/>
  <c r="A8" i="2"/>
  <c r="D8" i="2" s="1"/>
  <c r="A9" i="2"/>
  <c r="D9" i="2" s="1"/>
  <c r="A10" i="2"/>
  <c r="A7" i="2"/>
  <c r="D7" i="2" s="1"/>
  <c r="D10" i="2"/>
  <c r="B3" i="2"/>
  <c r="B4" i="2"/>
  <c r="B5" i="2"/>
  <c r="B2" i="2"/>
  <c r="D3" i="2"/>
  <c r="E3" i="2" s="1"/>
  <c r="D4" i="2"/>
  <c r="E4" i="2" s="1"/>
  <c r="D5" i="2"/>
  <c r="E5" i="2" s="1"/>
  <c r="D2" i="2"/>
  <c r="E2" i="2" s="1"/>
  <c r="F2" i="2" s="1"/>
  <c r="L8" i="3" l="1"/>
  <c r="H17" i="3"/>
  <c r="H20" i="3"/>
  <c r="G20" i="3"/>
  <c r="K16" i="3"/>
  <c r="G17" i="3"/>
  <c r="K19" i="3"/>
  <c r="J16" i="3"/>
  <c r="K17" i="3"/>
  <c r="H16" i="3"/>
  <c r="R2" i="6"/>
  <c r="L11" i="3"/>
  <c r="F11" i="4"/>
  <c r="N11" i="3" s="1"/>
  <c r="O6" i="3"/>
  <c r="P5" i="3"/>
  <c r="S5" i="3" s="1"/>
  <c r="O9" i="3"/>
  <c r="N2" i="5"/>
  <c r="L7" i="3"/>
  <c r="L10" i="3"/>
  <c r="L6" i="3"/>
  <c r="O8" i="3"/>
  <c r="P3" i="3"/>
  <c r="Q3" i="3" s="1"/>
  <c r="P10" i="3"/>
  <c r="Q10" i="3" s="1"/>
  <c r="O10" i="3"/>
  <c r="P7" i="3"/>
  <c r="S7" i="3" s="1"/>
  <c r="O7" i="3"/>
  <c r="P4" i="3"/>
  <c r="Q4" i="3" s="1"/>
  <c r="S8" i="3"/>
  <c r="Q8" i="3"/>
  <c r="G8" i="4"/>
  <c r="G11" i="4"/>
  <c r="G10" i="4"/>
  <c r="G6" i="4"/>
  <c r="G7" i="4"/>
  <c r="G5" i="4"/>
  <c r="G3" i="4"/>
  <c r="T2" i="4"/>
  <c r="Z2" i="4" s="1"/>
  <c r="G2" i="4" s="1"/>
  <c r="M14" i="5" s="1"/>
  <c r="U9" i="4" s="1"/>
  <c r="AA9" i="4" s="1"/>
  <c r="G9" i="4" s="1"/>
  <c r="I4" i="2"/>
  <c r="J4" i="2" s="1"/>
  <c r="K4" i="2" s="1"/>
  <c r="F3" i="2"/>
  <c r="G3" i="2" s="1"/>
  <c r="F9" i="2"/>
  <c r="F10" i="2" s="1"/>
  <c r="F5" i="2"/>
  <c r="F4" i="2"/>
  <c r="J2" i="2"/>
  <c r="J5" i="2"/>
  <c r="K5" i="2" s="1"/>
  <c r="J3" i="2"/>
  <c r="K3" i="2" s="1"/>
  <c r="L9" i="3" l="1"/>
  <c r="T7" i="3"/>
  <c r="U7" i="3" s="1"/>
  <c r="T8" i="3"/>
  <c r="U8" i="3" s="1"/>
  <c r="T5" i="3"/>
  <c r="U5" i="3" s="1"/>
  <c r="O11" i="3"/>
  <c r="P11" i="3"/>
  <c r="S11" i="3" s="1"/>
  <c r="P6" i="3"/>
  <c r="S6" i="3" s="1"/>
  <c r="Q5" i="3"/>
  <c r="P9" i="3"/>
  <c r="S9" i="3" s="1"/>
  <c r="O5" i="3"/>
  <c r="Q7" i="3"/>
  <c r="S3" i="3"/>
  <c r="S4" i="3"/>
  <c r="S10" i="3"/>
  <c r="M16" i="5"/>
  <c r="V4" i="4" s="1"/>
  <c r="AB4" i="4" s="1"/>
  <c r="G4" i="4" s="1"/>
  <c r="G4" i="2"/>
  <c r="G5" i="2"/>
  <c r="T9" i="3" l="1"/>
  <c r="U9" i="3" s="1"/>
  <c r="T11" i="3"/>
  <c r="U11" i="3" s="1"/>
  <c r="T4" i="3"/>
  <c r="U4" i="3" s="1"/>
  <c r="T10" i="3"/>
  <c r="U10" i="3" s="1"/>
  <c r="T3" i="3"/>
  <c r="U3" i="3" s="1"/>
  <c r="T6" i="3"/>
  <c r="U6" i="3" s="1"/>
  <c r="Q6" i="3"/>
  <c r="Q11" i="3"/>
  <c r="Q9" i="3"/>
  <c r="D10" i="1" l="1"/>
  <c r="F10" i="1" s="1"/>
  <c r="D12" i="1"/>
  <c r="F12" i="1" s="1"/>
  <c r="D16" i="1"/>
  <c r="F16" i="1" s="1"/>
  <c r="D8" i="1"/>
  <c r="F8" i="1" s="1"/>
  <c r="D11" i="1"/>
  <c r="F11" i="1" s="1"/>
  <c r="D15" i="1"/>
  <c r="F15" i="1" s="1"/>
  <c r="D4" i="1"/>
  <c r="F4" i="1" s="1"/>
  <c r="D7" i="1"/>
  <c r="F7" i="1" s="1"/>
  <c r="D14" i="1"/>
  <c r="F14" i="1" s="1"/>
  <c r="D3" i="1"/>
  <c r="F3" i="1" s="1"/>
  <c r="D13" i="1"/>
  <c r="F13" i="1" s="1"/>
  <c r="D9" i="1"/>
  <c r="F9" i="1" s="1"/>
  <c r="D6" i="1"/>
  <c r="F6" i="1" s="1"/>
  <c r="D5" i="1"/>
  <c r="F5" i="1" s="1"/>
  <c r="F17" i="1" l="1"/>
  <c r="E10" i="2" l="1"/>
  <c r="C10" i="2" s="1"/>
  <c r="E8" i="2"/>
  <c r="C8" i="2" s="1"/>
  <c r="E9" i="2"/>
  <c r="C9" i="2" s="1"/>
</calcChain>
</file>

<file path=xl/sharedStrings.xml><?xml version="1.0" encoding="utf-8"?>
<sst xmlns="http://schemas.openxmlformats.org/spreadsheetml/2006/main" count="147" uniqueCount="134">
  <si>
    <t>!!BLDG_NAME_BLACK_CAT</t>
  </si>
  <si>
    <t>!!BLDG_NAME_JACK_O_LANTERN</t>
  </si>
  <si>
    <t>!!BLDG_NAME_BLACK_PUMPKIN</t>
  </si>
  <si>
    <t>!!BLDG_NAME_PUMPKIN_PATCH</t>
  </si>
  <si>
    <t>!!BLDG_NAME_SCARY_TREE2</t>
  </si>
  <si>
    <t>!!BLDG_NAME_GAS_LAMP</t>
  </si>
  <si>
    <t>!!BLDG_NAME_GRAVE_STONE1</t>
  </si>
  <si>
    <t>!!BLDG_NAME_GRAVE_STONE2</t>
  </si>
  <si>
    <t>!!BLDG_NAME_GRAVE_STONE3</t>
  </si>
  <si>
    <t>!!BLDG_NAME_BROKE_BOAT</t>
  </si>
  <si>
    <t>!!BLDG_NAME_COFFIN2</t>
  </si>
  <si>
    <t>!!BLDG_NAME_SKULL_ROCK</t>
  </si>
  <si>
    <t>!!BLDG_NAME_COFFIN3</t>
  </si>
  <si>
    <t>!!BLDG_NAME_SUNKEN_SHIP</t>
  </si>
  <si>
    <t>s:Item Name</t>
  </si>
  <si>
    <t>i:Item DID</t>
  </si>
  <si>
    <t>i:Cost Special Amount</t>
  </si>
  <si>
    <t>s:Name</t>
  </si>
  <si>
    <t>Bone Reward</t>
  </si>
  <si>
    <t>Duration</t>
  </si>
  <si>
    <t>collections per day (continuous play)</t>
  </si>
  <si>
    <t>duration (hours)</t>
  </si>
  <si>
    <t>Collections per session</t>
  </si>
  <si>
    <t>Bones per day</t>
  </si>
  <si>
    <t>Bones per day (continuous play)</t>
  </si>
  <si>
    <t>% of max</t>
  </si>
  <si>
    <t>!!FOOD_RUSTYS_BARK_CHOP_SANDWICH</t>
  </si>
  <si>
    <t>!!FOOD_RUSTYS_BARKING_BRISKET</t>
  </si>
  <si>
    <t>!!FOOD_RUSTYS_MESQUITE_RIBS</t>
  </si>
  <si>
    <t>!!FOOD_RUSTYS_PULLED_PULP_SANDWICH</t>
  </si>
  <si>
    <t>!!FOOD_RUSTYS_RUSTY_ON_RYE</t>
  </si>
  <si>
    <t>!!FOOD_RUSTYS_SPLINTERED_SLAW</t>
  </si>
  <si>
    <t>!!FOOD_RUSTYS_RIBEYE_SANDWICH</t>
  </si>
  <si>
    <t>!!INGREDIENT_DRIFTWOOD</t>
  </si>
  <si>
    <t>!!FOOD_EYEBALLS</t>
  </si>
  <si>
    <t>s:Recipe Name</t>
  </si>
  <si>
    <t>f:Set 1 Reward Odds 1</t>
  </si>
  <si>
    <t>f:Set 1 Reward Odds 2</t>
  </si>
  <si>
    <t>f:Set 1 Reward Odds 3</t>
  </si>
  <si>
    <t>f:Set 1 Reward Odds 4</t>
  </si>
  <si>
    <t>f:Set 1 Reward Odds 5</t>
  </si>
  <si>
    <t>i:Set 1 Reward Amount 1</t>
  </si>
  <si>
    <t>i:Set 1 Reward Amount 2</t>
  </si>
  <si>
    <t>i:Set 1 Reward Amount 3</t>
  </si>
  <si>
    <t>i:Set 1 Reward Amount 4</t>
  </si>
  <si>
    <t>i:Set 1 Reward Amount 5</t>
  </si>
  <si>
    <t>!!FOOD_RUSTYS_SPICY_SPACKLE_SAUCE</t>
  </si>
  <si>
    <t>i:DID</t>
  </si>
  <si>
    <t>i:Product ID</t>
  </si>
  <si>
    <t>i:Craft Time</t>
  </si>
  <si>
    <t>i:Ingredient ID 1</t>
  </si>
  <si>
    <t>i:Ingredient ID 2</t>
  </si>
  <si>
    <t>i:Ingredient ID 3</t>
  </si>
  <si>
    <t>i:Ingredient ID 4</t>
  </si>
  <si>
    <t>i:Ingredient ID 5</t>
  </si>
  <si>
    <t>i:Ingredient ID 6</t>
  </si>
  <si>
    <t>i:Ingredient Amount 1</t>
  </si>
  <si>
    <t>i:Ingredient Amount 2</t>
  </si>
  <si>
    <t>i:Ingredient Amount 3</t>
  </si>
  <si>
    <t>i:Ingredient Amount 4</t>
  </si>
  <si>
    <t>i:Ingredient Amount 5</t>
  </si>
  <si>
    <t>i:Ingredient Amount 6</t>
  </si>
  <si>
    <t>!!INGREDIENT_BBQ_SAUCE</t>
  </si>
  <si>
    <t>!!INGREDIENT_DISTILLED_VINEGAR</t>
  </si>
  <si>
    <t>!!INGREDIENT_MUSTARD_SEED</t>
  </si>
  <si>
    <t>!!INGREDIENT_NATURAL_FLAVORS</t>
  </si>
  <si>
    <t>!!INGREDIENT_PAPRIKA</t>
  </si>
  <si>
    <t>!!INGREDIENT_SHELLAC</t>
  </si>
  <si>
    <t>!!INGREDIENT_SPACKLE</t>
  </si>
  <si>
    <t>!!INGREDIENT_TUMERIC</t>
  </si>
  <si>
    <t>!!INGREDIENT_MARBLES</t>
  </si>
  <si>
    <t>!!INGREDIENT_PAINT</t>
  </si>
  <si>
    <t>i:Recipe DID</t>
  </si>
  <si>
    <t>f:Cost Odds 1</t>
  </si>
  <si>
    <t>f:Cost Odds 2</t>
  </si>
  <si>
    <t>f:Cost Odds 3</t>
  </si>
  <si>
    <t>f:Cost Odds 4</t>
  </si>
  <si>
    <t>f:Cost Odds 5</t>
  </si>
  <si>
    <t>i:Cost 1</t>
  </si>
  <si>
    <t>i:Cost 2</t>
  </si>
  <si>
    <t>i:Cost 3</t>
  </si>
  <si>
    <t>i:Cost 4</t>
  </si>
  <si>
    <t>i:Cost 5</t>
  </si>
  <si>
    <t>spicy spackle sauce</t>
  </si>
  <si>
    <t>lettuce</t>
  </si>
  <si>
    <t>mesquite ribs</t>
  </si>
  <si>
    <t>Cost per Ingredient Type 1</t>
  </si>
  <si>
    <t>Cost per Ingredient Type 2</t>
  </si>
  <si>
    <t>Cost per Ingredient Type 3</t>
  </si>
  <si>
    <t>Cost per Ingredient Type 4</t>
  </si>
  <si>
    <t>Cost per Ingredient Type 5</t>
  </si>
  <si>
    <t>Cost per Ingredient Type 6</t>
  </si>
  <si>
    <t>Cost per Ingredient * Ingredient Amount 1</t>
  </si>
  <si>
    <t>Cost per Ingredient * Ingredient Amount 2</t>
  </si>
  <si>
    <t>Cost per Ingredient * Ingredient Amount 3</t>
  </si>
  <si>
    <t>Cost per Ingredient * Ingredient Amount 4</t>
  </si>
  <si>
    <t>Cost per Ingredient * Ingredient Amount 5</t>
  </si>
  <si>
    <t>Cost per Ingredient * Ingredient Amount 6</t>
  </si>
  <si>
    <t>Total Gold Cost of Recipe</t>
  </si>
  <si>
    <t>number of uses</t>
  </si>
  <si>
    <t>calculated average price</t>
  </si>
  <si>
    <t>proposed average price</t>
  </si>
  <si>
    <t>Fullness Time</t>
  </si>
  <si>
    <t>Collections per day (continuous play)</t>
  </si>
  <si>
    <t>Collections per day (six sessions)</t>
  </si>
  <si>
    <t>Bones per day (six sessions)</t>
  </si>
  <si>
    <t>calculated average bone reward</t>
  </si>
  <si>
    <t>proposed Average Bone reward</t>
  </si>
  <si>
    <t>collections per day per ghost (six-session cycle)</t>
  </si>
  <si>
    <t>Collections per session per ghost</t>
  </si>
  <si>
    <t>Bones per day per ghost (six-session)</t>
  </si>
  <si>
    <t>Total Bones per day</t>
  </si>
  <si>
    <t>i:Clearing Reward 1 Amount 1</t>
  </si>
  <si>
    <t>i:Clearing Reward 1 Amount 2</t>
  </si>
  <si>
    <t>i:Clearing Reward 1 Amount 3</t>
  </si>
  <si>
    <t>i:Clearing Reward 1 Amount 4</t>
  </si>
  <si>
    <t>i:Clearing Reward 1 Amount 5</t>
  </si>
  <si>
    <t>f:Clearing Reward 1 Odds 1</t>
  </si>
  <si>
    <t>f:Clearing Reward 1 Odds 2</t>
  </si>
  <si>
    <t>f:Clearing Reward 1 Odds 3</t>
  </si>
  <si>
    <t>f:Clearing Reward 1 Odds 4</t>
  </si>
  <si>
    <t>f:Clearing Reward 1 Odds 5</t>
  </si>
  <si>
    <t>Collections per day</t>
  </si>
  <si>
    <t>Target Driftwood Per day</t>
  </si>
  <si>
    <t>Average driftwood per recipe</t>
  </si>
  <si>
    <t>Number of characters</t>
  </si>
  <si>
    <t>Min time</t>
  </si>
  <si>
    <t>Max time</t>
  </si>
  <si>
    <t>Average spawn time</t>
  </si>
  <si>
    <t>number of driftwood chests to spawn</t>
  </si>
  <si>
    <t>Spawns per day (continuous)</t>
  </si>
  <si>
    <t>Calculated drifwood per day (six session)</t>
  </si>
  <si>
    <t>Calculated drifwood per day (continuous)</t>
  </si>
  <si>
    <t>drop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</si>
</sst>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" fontId="0" fillId="0" borderId="0" xfId="0" applyNumberFormat="1"/>
    <xf numFmtId="0" fontId="0" fillId="3" borderId="0" xfId="0" applyFill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4" borderId="0" xfId="0" applyFill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1" xfId="0" applyBorder="1"/>
    <xf numFmtId="0" fontId="0" fillId="5" borderId="1" xfId="0" applyFill="1" applyBorder="1"/>
    <xf numFmtId="2" fontId="0" fillId="0" borderId="1" xfId="0" applyNumberFormat="1" applyBorder="1"/>
    <xf numFmtId="0" fontId="0" fillId="3" borderId="0" xfId="0" applyFill="1"/>
    <xf numFmtId="0" fontId="0" fillId="3" borderId="0" xfId="0" applyNumberFormat="1" applyFill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0" xfId="0" applyFill="1" applyBorder="1"/>
    <xf numFmtId="0" fontId="0" fillId="2" borderId="0" xfId="0" applyFill="1" applyBorder="1" applyAlignment="1">
      <alignment wrapText="1"/>
    </xf>
    <xf numFmtId="0" fontId="0" fillId="3" borderId="0" xfId="0" applyNumberFormat="1" applyFill="1"/>
  </cellXfs>
  <cellStyles count="1">
    <cellStyle name="Normal" xfId="0" builtinId="0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D14" sqref="D14"/>
    </sheetView>
  </sheetViews>
  <sheetFormatPr defaultRowHeight="15" x14ac:dyDescent="0.25"/>
  <cols>
    <col min="3" max="3" width="9.5703125" bestFit="1" customWidth="1"/>
  </cols>
  <sheetData>
    <row r="1" spans="1:11" s="1" customFormat="1" ht="105" x14ac:dyDescent="0.25">
      <c r="A1" s="4" t="s">
        <v>19</v>
      </c>
      <c r="B1" s="1" t="s">
        <v>21</v>
      </c>
      <c r="C1" s="4" t="s">
        <v>18</v>
      </c>
      <c r="D1" s="1" t="s">
        <v>20</v>
      </c>
      <c r="E1" s="1" t="s">
        <v>24</v>
      </c>
      <c r="F1" s="1" t="s">
        <v>25</v>
      </c>
      <c r="H1" s="1" t="s">
        <v>109</v>
      </c>
      <c r="I1" s="1" t="s">
        <v>108</v>
      </c>
      <c r="J1" s="1" t="s">
        <v>110</v>
      </c>
      <c r="K1" s="1" t="s">
        <v>111</v>
      </c>
    </row>
    <row r="2" spans="1:11" x14ac:dyDescent="0.25">
      <c r="A2" s="2">
        <v>300</v>
      </c>
      <c r="B2">
        <f>A2/3600</f>
        <v>8.3333333333333329E-2</v>
      </c>
      <c r="C2" s="2">
        <v>1</v>
      </c>
      <c r="D2">
        <f>ROUNDDOWN(IF(A2=86400,1,57600/A2),0)</f>
        <v>192</v>
      </c>
      <c r="E2">
        <f>D2*C2</f>
        <v>192</v>
      </c>
      <c r="F2">
        <f>E2/$E$2</f>
        <v>1</v>
      </c>
      <c r="H2">
        <v>2</v>
      </c>
      <c r="I2">
        <f>IF(D2&gt;6,6,D2)*H2</f>
        <v>12</v>
      </c>
      <c r="J2">
        <f>I2*C2</f>
        <v>12</v>
      </c>
      <c r="K2">
        <f>J2*6</f>
        <v>72</v>
      </c>
    </row>
    <row r="3" spans="1:11" x14ac:dyDescent="0.25">
      <c r="A3" s="2">
        <v>7200</v>
      </c>
      <c r="B3">
        <f t="shared" ref="B3:B5" si="0">A3/3600</f>
        <v>2</v>
      </c>
      <c r="C3" s="2">
        <v>55</v>
      </c>
      <c r="D3">
        <f>ROUNDDOWN(IF(A3=86400,1,57600/A3),0)</f>
        <v>8</v>
      </c>
      <c r="E3">
        <f t="shared" ref="E3:E5" si="1">D3*C3</f>
        <v>440</v>
      </c>
      <c r="F3">
        <f>E3/$E$2</f>
        <v>2.2916666666666665</v>
      </c>
      <c r="G3">
        <f>F2-F3</f>
        <v>-1.2916666666666665</v>
      </c>
      <c r="H3">
        <v>1</v>
      </c>
      <c r="I3">
        <f>IF(D3&gt;6,6,D3)*H3</f>
        <v>6</v>
      </c>
      <c r="J3">
        <f t="shared" ref="J3:J5" si="2">I3*C3</f>
        <v>330</v>
      </c>
      <c r="K3">
        <f t="shared" ref="K3:K5" si="3">J3*6</f>
        <v>1980</v>
      </c>
    </row>
    <row r="4" spans="1:11" x14ac:dyDescent="0.25">
      <c r="A4" s="2">
        <v>14400</v>
      </c>
      <c r="B4">
        <f t="shared" si="0"/>
        <v>4</v>
      </c>
      <c r="C4" s="2">
        <v>70</v>
      </c>
      <c r="D4">
        <f>ROUNDDOWN(IF(A4=86400,1,57600/A4),0)</f>
        <v>4</v>
      </c>
      <c r="E4">
        <f t="shared" si="1"/>
        <v>280</v>
      </c>
      <c r="F4">
        <f t="shared" ref="F3:F5" si="4">E4/$E$2</f>
        <v>1.4583333333333333</v>
      </c>
      <c r="G4">
        <f t="shared" ref="G4:G5" si="5">F3-F4</f>
        <v>0.83333333333333326</v>
      </c>
      <c r="H4">
        <v>1</v>
      </c>
      <c r="I4">
        <f t="shared" ref="I4:I5" si="6">IF(D4&gt;6,6,D4)*H4</f>
        <v>4</v>
      </c>
      <c r="J4">
        <f t="shared" si="2"/>
        <v>280</v>
      </c>
      <c r="K4">
        <f t="shared" si="3"/>
        <v>1680</v>
      </c>
    </row>
    <row r="5" spans="1:11" x14ac:dyDescent="0.25">
      <c r="A5" s="2">
        <v>86400</v>
      </c>
      <c r="B5">
        <f t="shared" si="0"/>
        <v>24</v>
      </c>
      <c r="C5" s="2">
        <v>225</v>
      </c>
      <c r="D5">
        <f>ROUNDDOWN(IF(A5=86400,1,57600/A5),0)</f>
        <v>1</v>
      </c>
      <c r="E5">
        <f t="shared" si="1"/>
        <v>225</v>
      </c>
      <c r="F5">
        <f t="shared" si="4"/>
        <v>1.171875</v>
      </c>
      <c r="G5">
        <f t="shared" si="5"/>
        <v>0.28645833333333326</v>
      </c>
      <c r="H5">
        <v>1</v>
      </c>
      <c r="I5">
        <f t="shared" si="6"/>
        <v>1</v>
      </c>
      <c r="J5">
        <f t="shared" si="2"/>
        <v>225</v>
      </c>
      <c r="K5">
        <f t="shared" si="3"/>
        <v>1350</v>
      </c>
    </row>
    <row r="7" spans="1:11" x14ac:dyDescent="0.25">
      <c r="A7">
        <f>B7*3600</f>
        <v>299.99988000000002</v>
      </c>
      <c r="B7" s="2">
        <v>8.3333299999999999E-2</v>
      </c>
      <c r="C7" s="3">
        <f>ROUND(E7/D7,0)</f>
        <v>1</v>
      </c>
      <c r="D7">
        <f>ROUNDDOWN(IF(A7=86400,1,57600/A7),0)</f>
        <v>192</v>
      </c>
      <c r="E7" s="2">
        <v>192</v>
      </c>
      <c r="F7">
        <v>1</v>
      </c>
      <c r="J7" s="3"/>
    </row>
    <row r="8" spans="1:11" x14ac:dyDescent="0.25">
      <c r="A8">
        <f t="shared" ref="A8:A10" si="7">B8*3600</f>
        <v>7200</v>
      </c>
      <c r="B8" s="2">
        <v>2</v>
      </c>
      <c r="C8" s="3">
        <f t="shared" ref="C8:C10" si="8">ROUND(E8/D8,0)</f>
        <v>22</v>
      </c>
      <c r="D8">
        <f t="shared" ref="D8:D10" si="9">ROUNDDOWN(IF(A8=86400,1,57600/A8),0)</f>
        <v>8</v>
      </c>
      <c r="E8">
        <f>F8*$E$7</f>
        <v>172.8</v>
      </c>
      <c r="F8">
        <f>F7-G8</f>
        <v>0.9</v>
      </c>
      <c r="G8" s="2">
        <v>0.1</v>
      </c>
      <c r="J8" s="3"/>
    </row>
    <row r="9" spans="1:11" x14ac:dyDescent="0.25">
      <c r="A9">
        <f t="shared" si="7"/>
        <v>14400</v>
      </c>
      <c r="B9" s="2">
        <v>4</v>
      </c>
      <c r="C9" s="3">
        <f t="shared" si="8"/>
        <v>38</v>
      </c>
      <c r="D9">
        <f t="shared" si="9"/>
        <v>4</v>
      </c>
      <c r="E9">
        <f t="shared" ref="E9:E10" si="10">F9*$E$7</f>
        <v>153.60000000000002</v>
      </c>
      <c r="F9">
        <f t="shared" ref="F9:F10" si="11">F8-G9</f>
        <v>0.8</v>
      </c>
      <c r="G9" s="2">
        <v>0.1</v>
      </c>
      <c r="J9" s="3"/>
    </row>
    <row r="10" spans="1:11" x14ac:dyDescent="0.25">
      <c r="A10">
        <f t="shared" si="7"/>
        <v>86400</v>
      </c>
      <c r="B10" s="2">
        <v>24</v>
      </c>
      <c r="C10" s="3">
        <f t="shared" si="8"/>
        <v>134</v>
      </c>
      <c r="D10">
        <f t="shared" si="9"/>
        <v>1</v>
      </c>
      <c r="E10">
        <f t="shared" si="10"/>
        <v>134.4</v>
      </c>
      <c r="F10">
        <f t="shared" si="11"/>
        <v>0.70000000000000007</v>
      </c>
      <c r="G10" s="2">
        <v>0.1</v>
      </c>
      <c r="J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G4" sqref="G4:K11"/>
    </sheetView>
  </sheetViews>
  <sheetFormatPr defaultRowHeight="15" x14ac:dyDescent="0.25"/>
  <cols>
    <col min="1" max="1" width="39.7109375" bestFit="1" customWidth="1"/>
    <col min="2" max="9" width="8.5703125" customWidth="1"/>
  </cols>
  <sheetData>
    <row r="1" spans="1:21" ht="75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106</v>
      </c>
      <c r="M1" s="1" t="s">
        <v>107</v>
      </c>
      <c r="P1" s="1" t="s">
        <v>103</v>
      </c>
      <c r="Q1" s="1" t="s">
        <v>24</v>
      </c>
      <c r="R1" s="1" t="s">
        <v>22</v>
      </c>
      <c r="S1" s="1" t="s">
        <v>104</v>
      </c>
      <c r="T1" s="1" t="s">
        <v>105</v>
      </c>
      <c r="U1" s="1" t="s">
        <v>111</v>
      </c>
    </row>
    <row r="3" spans="1:21" x14ac:dyDescent="0.25">
      <c r="A3" t="s">
        <v>33</v>
      </c>
      <c r="B3" s="14">
        <v>0.1</v>
      </c>
      <c r="C3" s="14">
        <v>0.25</v>
      </c>
      <c r="D3" s="14">
        <v>0.3</v>
      </c>
      <c r="E3" s="14">
        <v>0.25</v>
      </c>
      <c r="F3" s="14">
        <v>0.1</v>
      </c>
      <c r="G3" s="13">
        <v>1</v>
      </c>
      <c r="H3" s="13">
        <v>1</v>
      </c>
      <c r="I3" s="13">
        <v>1</v>
      </c>
      <c r="J3" s="13">
        <v>1</v>
      </c>
      <c r="K3" s="13">
        <v>1</v>
      </c>
      <c r="L3">
        <f>ROUND(B3*G3+C3*H3+D3*I3+E3*J3+F3*K3,0)</f>
        <v>1</v>
      </c>
      <c r="M3" s="7">
        <v>1</v>
      </c>
      <c r="N3">
        <f>VLOOKUP(A3,'Gold Sink - Recipe Cost'!$A:$F,6,0)</f>
        <v>300</v>
      </c>
      <c r="O3">
        <f>N3/3600</f>
        <v>8.3333333333333329E-2</v>
      </c>
      <c r="P3">
        <f>ROUNDDOWN(86400/N3,0)</f>
        <v>288</v>
      </c>
      <c r="Q3">
        <f>P3*M3</f>
        <v>288</v>
      </c>
      <c r="R3">
        <v>2</v>
      </c>
      <c r="S3">
        <f>IF(P3&gt;6,6,P3)*R3</f>
        <v>12</v>
      </c>
      <c r="T3">
        <f>M3*S3</f>
        <v>12</v>
      </c>
      <c r="U3">
        <f>T3*6</f>
        <v>72</v>
      </c>
    </row>
    <row r="4" spans="1:21" x14ac:dyDescent="0.25">
      <c r="A4" t="s">
        <v>32</v>
      </c>
      <c r="B4" s="14">
        <v>0.1</v>
      </c>
      <c r="C4" s="14">
        <v>0.25</v>
      </c>
      <c r="D4" s="14">
        <v>0.3</v>
      </c>
      <c r="E4" s="14">
        <v>0.25</v>
      </c>
      <c r="F4" s="14">
        <v>0.1</v>
      </c>
      <c r="G4" s="13">
        <v>20</v>
      </c>
      <c r="H4" s="13">
        <v>25</v>
      </c>
      <c r="I4" s="13">
        <v>30</v>
      </c>
      <c r="J4" s="13">
        <v>35</v>
      </c>
      <c r="K4" s="13">
        <v>40</v>
      </c>
      <c r="L4">
        <f t="shared" ref="L4:L11" si="0">ROUND(B4*G4+C4*H4+D4*I4+E4*J4+F4*K4,0)</f>
        <v>30</v>
      </c>
      <c r="M4" s="7">
        <v>30</v>
      </c>
      <c r="N4">
        <f>VLOOKUP(A4,'Gold Sink - Recipe Cost'!$A:$F,6,0)</f>
        <v>3600</v>
      </c>
      <c r="O4">
        <f t="shared" ref="O4:O11" si="1">N4/3600</f>
        <v>1</v>
      </c>
      <c r="P4">
        <f t="shared" ref="P4:P11" si="2">ROUNDDOWN(86400/N4,0)</f>
        <v>24</v>
      </c>
      <c r="Q4">
        <f t="shared" ref="Q4:Q11" si="3">P4*M4</f>
        <v>720</v>
      </c>
      <c r="R4">
        <v>1</v>
      </c>
      <c r="S4">
        <f t="shared" ref="S4:S11" si="4">IF(P4&gt;6,6,P4)*R4</f>
        <v>6</v>
      </c>
      <c r="T4">
        <f t="shared" ref="T4:T11" si="5">M4*S4</f>
        <v>180</v>
      </c>
      <c r="U4">
        <f t="shared" ref="U4:U11" si="6">T4*6</f>
        <v>1080</v>
      </c>
    </row>
    <row r="5" spans="1:21" x14ac:dyDescent="0.25">
      <c r="A5" t="s">
        <v>30</v>
      </c>
      <c r="B5" s="14">
        <v>0.1</v>
      </c>
      <c r="C5" s="14">
        <v>0.25</v>
      </c>
      <c r="D5" s="14">
        <v>0.3</v>
      </c>
      <c r="E5" s="14">
        <v>0.25</v>
      </c>
      <c r="F5" s="14">
        <v>0.1</v>
      </c>
      <c r="G5" s="13">
        <v>20</v>
      </c>
      <c r="H5" s="13">
        <v>25</v>
      </c>
      <c r="I5" s="13">
        <v>30</v>
      </c>
      <c r="J5" s="13">
        <v>35</v>
      </c>
      <c r="K5" s="13">
        <v>40</v>
      </c>
      <c r="L5">
        <f t="shared" si="0"/>
        <v>30</v>
      </c>
      <c r="M5" s="7">
        <v>30</v>
      </c>
      <c r="N5">
        <f>VLOOKUP(A5,'Gold Sink - Recipe Cost'!$A:$F,6,0)</f>
        <v>3600</v>
      </c>
      <c r="O5">
        <f t="shared" si="1"/>
        <v>1</v>
      </c>
      <c r="P5">
        <f t="shared" si="2"/>
        <v>24</v>
      </c>
      <c r="Q5">
        <f t="shared" si="3"/>
        <v>720</v>
      </c>
      <c r="R5">
        <v>1</v>
      </c>
      <c r="S5">
        <f t="shared" si="4"/>
        <v>6</v>
      </c>
      <c r="T5">
        <f t="shared" si="5"/>
        <v>180</v>
      </c>
      <c r="U5">
        <f t="shared" si="6"/>
        <v>1080</v>
      </c>
    </row>
    <row r="6" spans="1:21" x14ac:dyDescent="0.25">
      <c r="A6" t="s">
        <v>26</v>
      </c>
      <c r="B6" s="14">
        <v>0.1</v>
      </c>
      <c r="C6" s="14">
        <v>0.25</v>
      </c>
      <c r="D6" s="14">
        <v>0.3</v>
      </c>
      <c r="E6" s="14">
        <v>0.25</v>
      </c>
      <c r="F6" s="14">
        <v>0.1</v>
      </c>
      <c r="G6" s="13">
        <v>40</v>
      </c>
      <c r="H6" s="13">
        <v>50</v>
      </c>
      <c r="I6" s="13">
        <v>55</v>
      </c>
      <c r="J6" s="13">
        <v>60</v>
      </c>
      <c r="K6" s="13">
        <v>70</v>
      </c>
      <c r="L6">
        <f t="shared" si="0"/>
        <v>55</v>
      </c>
      <c r="M6" s="7">
        <v>55</v>
      </c>
      <c r="N6">
        <f>VLOOKUP(A6,'Gold Sink - Recipe Cost'!$A:$F,6,0)</f>
        <v>7200</v>
      </c>
      <c r="O6">
        <f t="shared" si="1"/>
        <v>2</v>
      </c>
      <c r="P6">
        <f t="shared" si="2"/>
        <v>12</v>
      </c>
      <c r="Q6">
        <f t="shared" si="3"/>
        <v>660</v>
      </c>
      <c r="R6">
        <v>1</v>
      </c>
      <c r="S6">
        <f t="shared" si="4"/>
        <v>6</v>
      </c>
      <c r="T6">
        <f t="shared" si="5"/>
        <v>330</v>
      </c>
      <c r="U6">
        <f t="shared" si="6"/>
        <v>1980</v>
      </c>
    </row>
    <row r="7" spans="1:21" x14ac:dyDescent="0.25">
      <c r="A7" t="s">
        <v>28</v>
      </c>
      <c r="B7" s="14">
        <v>0.1</v>
      </c>
      <c r="C7" s="14">
        <v>0.25</v>
      </c>
      <c r="D7" s="14">
        <v>0.3</v>
      </c>
      <c r="E7" s="14">
        <v>0.25</v>
      </c>
      <c r="F7" s="14">
        <v>0.1</v>
      </c>
      <c r="G7" s="13">
        <v>55</v>
      </c>
      <c r="H7" s="13">
        <v>65</v>
      </c>
      <c r="I7" s="13">
        <v>70</v>
      </c>
      <c r="J7" s="13">
        <v>75</v>
      </c>
      <c r="K7" s="13">
        <v>85</v>
      </c>
      <c r="L7">
        <f t="shared" si="0"/>
        <v>70</v>
      </c>
      <c r="M7" s="7">
        <v>70</v>
      </c>
      <c r="N7">
        <f>VLOOKUP(A7,'Gold Sink - Recipe Cost'!$A:$F,6,0)</f>
        <v>14400</v>
      </c>
      <c r="O7">
        <f t="shared" si="1"/>
        <v>4</v>
      </c>
      <c r="P7">
        <f t="shared" si="2"/>
        <v>6</v>
      </c>
      <c r="Q7">
        <f t="shared" si="3"/>
        <v>420</v>
      </c>
      <c r="R7">
        <v>1</v>
      </c>
      <c r="S7">
        <f t="shared" si="4"/>
        <v>6</v>
      </c>
      <c r="T7">
        <f t="shared" si="5"/>
        <v>420</v>
      </c>
      <c r="U7">
        <f t="shared" si="6"/>
        <v>2520</v>
      </c>
    </row>
    <row r="8" spans="1:21" x14ac:dyDescent="0.25">
      <c r="A8" t="s">
        <v>27</v>
      </c>
      <c r="B8" s="14">
        <v>0.1</v>
      </c>
      <c r="C8" s="14">
        <v>0.25</v>
      </c>
      <c r="D8" s="14">
        <v>0.3</v>
      </c>
      <c r="E8" s="14">
        <v>0.25</v>
      </c>
      <c r="F8" s="14">
        <v>0.1</v>
      </c>
      <c r="G8" s="13">
        <v>70</v>
      </c>
      <c r="H8" s="13">
        <v>80</v>
      </c>
      <c r="I8" s="13">
        <v>85</v>
      </c>
      <c r="J8" s="13">
        <v>90</v>
      </c>
      <c r="K8" s="13">
        <v>100</v>
      </c>
      <c r="L8">
        <f t="shared" si="0"/>
        <v>85</v>
      </c>
      <c r="M8" s="7">
        <v>85</v>
      </c>
      <c r="N8">
        <f>VLOOKUP(A8,'Gold Sink - Recipe Cost'!$A:$F,6,0)</f>
        <v>21600</v>
      </c>
      <c r="O8">
        <f t="shared" si="1"/>
        <v>6</v>
      </c>
      <c r="P8">
        <f t="shared" si="2"/>
        <v>4</v>
      </c>
      <c r="Q8">
        <f t="shared" si="3"/>
        <v>340</v>
      </c>
      <c r="R8">
        <v>1</v>
      </c>
      <c r="S8">
        <f t="shared" si="4"/>
        <v>4</v>
      </c>
      <c r="T8">
        <f t="shared" si="5"/>
        <v>340</v>
      </c>
      <c r="U8">
        <f t="shared" si="6"/>
        <v>2040</v>
      </c>
    </row>
    <row r="9" spans="1:21" x14ac:dyDescent="0.25">
      <c r="A9" t="s">
        <v>31</v>
      </c>
      <c r="B9" s="14">
        <v>0.1</v>
      </c>
      <c r="C9" s="14">
        <v>0.25</v>
      </c>
      <c r="D9" s="14">
        <v>0.3</v>
      </c>
      <c r="E9" s="14">
        <v>0.25</v>
      </c>
      <c r="F9" s="14">
        <v>0.1</v>
      </c>
      <c r="G9" s="13">
        <v>80</v>
      </c>
      <c r="H9" s="13">
        <v>95</v>
      </c>
      <c r="I9" s="13">
        <v>100</v>
      </c>
      <c r="J9" s="13">
        <v>105</v>
      </c>
      <c r="K9" s="13">
        <v>120</v>
      </c>
      <c r="L9">
        <f t="shared" si="0"/>
        <v>100</v>
      </c>
      <c r="M9" s="7">
        <v>100</v>
      </c>
      <c r="N9">
        <f>VLOOKUP(A9,'Gold Sink - Recipe Cost'!$A:$F,6,0)</f>
        <v>28800</v>
      </c>
      <c r="O9">
        <f t="shared" si="1"/>
        <v>8</v>
      </c>
      <c r="P9">
        <f t="shared" si="2"/>
        <v>3</v>
      </c>
      <c r="Q9">
        <f t="shared" si="3"/>
        <v>300</v>
      </c>
      <c r="R9">
        <v>1</v>
      </c>
      <c r="S9">
        <f t="shared" si="4"/>
        <v>3</v>
      </c>
      <c r="T9">
        <f t="shared" si="5"/>
        <v>300</v>
      </c>
      <c r="U9">
        <f t="shared" si="6"/>
        <v>1800</v>
      </c>
    </row>
    <row r="10" spans="1:21" x14ac:dyDescent="0.25">
      <c r="A10" t="s">
        <v>29</v>
      </c>
      <c r="B10" s="14">
        <v>0.1</v>
      </c>
      <c r="C10" s="14">
        <v>0.25</v>
      </c>
      <c r="D10" s="14">
        <v>0.3</v>
      </c>
      <c r="E10" s="14">
        <v>0.25</v>
      </c>
      <c r="F10" s="14">
        <v>0.1</v>
      </c>
      <c r="G10" s="13">
        <v>100</v>
      </c>
      <c r="H10" s="13">
        <v>120</v>
      </c>
      <c r="I10" s="13">
        <v>125</v>
      </c>
      <c r="J10" s="13">
        <v>130</v>
      </c>
      <c r="K10" s="13">
        <v>150</v>
      </c>
      <c r="L10">
        <f t="shared" si="0"/>
        <v>125</v>
      </c>
      <c r="M10" s="7">
        <v>125</v>
      </c>
      <c r="N10">
        <f>VLOOKUP(A10,'Gold Sink - Recipe Cost'!$A:$F,6,0)</f>
        <v>43200</v>
      </c>
      <c r="O10">
        <f t="shared" si="1"/>
        <v>12</v>
      </c>
      <c r="P10">
        <f t="shared" si="2"/>
        <v>2</v>
      </c>
      <c r="Q10">
        <f t="shared" si="3"/>
        <v>250</v>
      </c>
      <c r="R10">
        <v>1</v>
      </c>
      <c r="S10">
        <f t="shared" si="4"/>
        <v>2</v>
      </c>
      <c r="T10">
        <f t="shared" si="5"/>
        <v>250</v>
      </c>
      <c r="U10">
        <f t="shared" si="6"/>
        <v>1500</v>
      </c>
    </row>
    <row r="11" spans="1:21" x14ac:dyDescent="0.25">
      <c r="A11" t="s">
        <v>34</v>
      </c>
      <c r="B11" s="14">
        <v>0.1</v>
      </c>
      <c r="C11" s="14">
        <v>0.25</v>
      </c>
      <c r="D11" s="14">
        <v>0.3</v>
      </c>
      <c r="E11" s="14">
        <v>0.25</v>
      </c>
      <c r="F11" s="14">
        <v>0.1</v>
      </c>
      <c r="G11" s="13">
        <v>180</v>
      </c>
      <c r="H11" s="13">
        <v>215</v>
      </c>
      <c r="I11" s="13">
        <v>225</v>
      </c>
      <c r="J11" s="13">
        <v>235</v>
      </c>
      <c r="K11" s="13">
        <v>270</v>
      </c>
      <c r="L11">
        <f t="shared" si="0"/>
        <v>225</v>
      </c>
      <c r="M11" s="7">
        <v>225</v>
      </c>
      <c r="N11">
        <f>VLOOKUP(A11,'Gold Sink - Recipe Cost'!$A:$F,6,0)</f>
        <v>86400</v>
      </c>
      <c r="O11">
        <f t="shared" si="1"/>
        <v>24</v>
      </c>
      <c r="P11">
        <f t="shared" si="2"/>
        <v>1</v>
      </c>
      <c r="Q11">
        <f t="shared" si="3"/>
        <v>225</v>
      </c>
      <c r="R11">
        <v>1</v>
      </c>
      <c r="S11">
        <f t="shared" si="4"/>
        <v>1</v>
      </c>
      <c r="T11">
        <f t="shared" si="5"/>
        <v>225</v>
      </c>
      <c r="U11">
        <f t="shared" si="6"/>
        <v>1350</v>
      </c>
    </row>
    <row r="15" spans="1:21" x14ac:dyDescent="0.25">
      <c r="G15">
        <f t="shared" ref="G15" si="7">I15*0.8</f>
        <v>24</v>
      </c>
      <c r="H15">
        <f t="shared" ref="H14:H21" si="8">I15*0.95</f>
        <v>28.5</v>
      </c>
      <c r="I15">
        <f t="shared" ref="I15" si="9">M5</f>
        <v>30</v>
      </c>
      <c r="J15">
        <f t="shared" ref="J14:K21" si="10">I15*1.05</f>
        <v>31.5</v>
      </c>
      <c r="K15">
        <f t="shared" ref="K15" si="11">I15*1.2</f>
        <v>36</v>
      </c>
    </row>
    <row r="16" spans="1:21" x14ac:dyDescent="0.25">
      <c r="G16">
        <f t="shared" ref="G14:G21" si="12">I16*0.8</f>
        <v>44</v>
      </c>
      <c r="H16">
        <f t="shared" si="8"/>
        <v>52.25</v>
      </c>
      <c r="I16">
        <f t="shared" ref="I14:I21" si="13">M6</f>
        <v>55</v>
      </c>
      <c r="J16">
        <f t="shared" si="10"/>
        <v>57.75</v>
      </c>
      <c r="K16">
        <f t="shared" ref="K14:K21" si="14">I16*1.2</f>
        <v>66</v>
      </c>
    </row>
    <row r="17" spans="7:11" x14ac:dyDescent="0.25">
      <c r="G17">
        <f t="shared" si="12"/>
        <v>56</v>
      </c>
      <c r="H17">
        <f t="shared" si="8"/>
        <v>66.5</v>
      </c>
      <c r="I17">
        <f t="shared" si="13"/>
        <v>70</v>
      </c>
      <c r="J17">
        <f t="shared" si="10"/>
        <v>73.5</v>
      </c>
      <c r="K17">
        <f t="shared" si="14"/>
        <v>84</v>
      </c>
    </row>
    <row r="18" spans="7:11" x14ac:dyDescent="0.25">
      <c r="G18">
        <f t="shared" si="12"/>
        <v>68</v>
      </c>
      <c r="H18">
        <f t="shared" si="8"/>
        <v>80.75</v>
      </c>
      <c r="I18">
        <f t="shared" si="13"/>
        <v>85</v>
      </c>
      <c r="J18">
        <f t="shared" si="10"/>
        <v>89.25</v>
      </c>
      <c r="K18">
        <f t="shared" si="14"/>
        <v>102</v>
      </c>
    </row>
    <row r="19" spans="7:11" x14ac:dyDescent="0.25">
      <c r="G19">
        <f t="shared" si="12"/>
        <v>80</v>
      </c>
      <c r="H19">
        <f t="shared" si="8"/>
        <v>95</v>
      </c>
      <c r="I19">
        <f t="shared" si="13"/>
        <v>100</v>
      </c>
      <c r="J19">
        <f t="shared" si="10"/>
        <v>105</v>
      </c>
      <c r="K19">
        <f t="shared" si="14"/>
        <v>120</v>
      </c>
    </row>
    <row r="20" spans="7:11" x14ac:dyDescent="0.25">
      <c r="G20">
        <f t="shared" si="12"/>
        <v>100</v>
      </c>
      <c r="H20">
        <f t="shared" si="8"/>
        <v>118.75</v>
      </c>
      <c r="I20">
        <f t="shared" si="13"/>
        <v>125</v>
      </c>
      <c r="J20">
        <f t="shared" si="10"/>
        <v>131.25</v>
      </c>
      <c r="K20">
        <f t="shared" si="14"/>
        <v>150</v>
      </c>
    </row>
    <row r="21" spans="7:11" x14ac:dyDescent="0.25">
      <c r="G21">
        <f t="shared" si="12"/>
        <v>180</v>
      </c>
      <c r="H21">
        <f t="shared" si="8"/>
        <v>213.75</v>
      </c>
      <c r="I21">
        <f t="shared" si="13"/>
        <v>225</v>
      </c>
      <c r="J21">
        <f t="shared" si="10"/>
        <v>236.25</v>
      </c>
      <c r="K21">
        <f t="shared" si="14"/>
        <v>270</v>
      </c>
    </row>
  </sheetData>
  <conditionalFormatting sqref="B3:F11">
    <cfRule type="cellIs" dxfId="3" priority="1" operator="equal">
      <formula>-1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selection activeCell="M2" sqref="M2:O2"/>
    </sheetView>
  </sheetViews>
  <sheetFormatPr defaultRowHeight="15" x14ac:dyDescent="0.25"/>
  <cols>
    <col min="13" max="13" width="11.85546875" customWidth="1"/>
    <col min="18" max="18" width="12.140625" customWidth="1"/>
    <col min="19" max="19" width="11.85546875" customWidth="1"/>
    <col min="20" max="20" width="10.28515625" customWidth="1"/>
  </cols>
  <sheetData>
    <row r="1" spans="1:23" s="1" customFormat="1" ht="90" x14ac:dyDescent="0.25">
      <c r="A1" s="1" t="s">
        <v>47</v>
      </c>
      <c r="B1" s="18" t="s">
        <v>112</v>
      </c>
      <c r="C1" s="18" t="s">
        <v>113</v>
      </c>
      <c r="D1" s="18" t="s">
        <v>114</v>
      </c>
      <c r="E1" s="18" t="s">
        <v>115</v>
      </c>
      <c r="F1" s="18" t="s">
        <v>116</v>
      </c>
      <c r="G1" s="17" t="s">
        <v>117</v>
      </c>
      <c r="H1" s="17" t="s">
        <v>118</v>
      </c>
      <c r="I1" s="17" t="s">
        <v>119</v>
      </c>
      <c r="J1" s="17" t="s">
        <v>120</v>
      </c>
      <c r="K1" s="17" t="s">
        <v>121</v>
      </c>
      <c r="L1" s="21"/>
      <c r="M1" s="1" t="s">
        <v>129</v>
      </c>
      <c r="N1" s="1" t="s">
        <v>126</v>
      </c>
      <c r="O1" s="1" t="s">
        <v>127</v>
      </c>
      <c r="P1" s="1" t="s">
        <v>128</v>
      </c>
      <c r="Q1" s="6" t="s">
        <v>130</v>
      </c>
      <c r="R1" s="1" t="s">
        <v>132</v>
      </c>
      <c r="S1" s="1" t="s">
        <v>131</v>
      </c>
      <c r="T1" s="19" t="s">
        <v>123</v>
      </c>
      <c r="U1" s="19" t="s">
        <v>122</v>
      </c>
      <c r="V1" s="1" t="s">
        <v>124</v>
      </c>
      <c r="W1" s="1" t="s">
        <v>125</v>
      </c>
    </row>
    <row r="2" spans="1:23" x14ac:dyDescent="0.25">
      <c r="A2">
        <v>26666</v>
      </c>
      <c r="B2" s="16">
        <v>1</v>
      </c>
      <c r="C2" s="16">
        <v>2</v>
      </c>
      <c r="D2" s="16">
        <v>3</v>
      </c>
      <c r="E2" s="16">
        <v>4</v>
      </c>
      <c r="F2" s="16">
        <v>5</v>
      </c>
      <c r="G2" s="16">
        <v>0.1</v>
      </c>
      <c r="H2" s="16">
        <v>0.25</v>
      </c>
      <c r="I2" s="16">
        <v>0.3</v>
      </c>
      <c r="J2" s="16">
        <v>0.25</v>
      </c>
      <c r="K2" s="16">
        <v>0.1</v>
      </c>
      <c r="L2" s="20">
        <f>B2*G2+C2*H2+D2*I2+E2*J2+F2*K2</f>
        <v>3</v>
      </c>
      <c r="M2" s="22">
        <v>4</v>
      </c>
      <c r="N2" s="22">
        <f>N3*3600</f>
        <v>5400</v>
      </c>
      <c r="O2" s="22">
        <f>O3*3600</f>
        <v>9000</v>
      </c>
      <c r="P2" s="5">
        <f>AVERAGE(N2:O2)</f>
        <v>7200</v>
      </c>
      <c r="Q2">
        <f>86400/P2</f>
        <v>12</v>
      </c>
      <c r="R2">
        <f>L2*M2*Q2</f>
        <v>144</v>
      </c>
      <c r="S2">
        <f>L2*M2*U2</f>
        <v>72</v>
      </c>
      <c r="T2">
        <f>U2*V2*W2</f>
        <v>63</v>
      </c>
      <c r="U2" s="20">
        <v>6</v>
      </c>
      <c r="V2">
        <f>AVERAGE('Gold Sink - Recipe Cost'!N3:N10)</f>
        <v>1.75</v>
      </c>
      <c r="W2">
        <v>6</v>
      </c>
    </row>
    <row r="3" spans="1:23" x14ac:dyDescent="0.25">
      <c r="N3">
        <v>1.5</v>
      </c>
      <c r="O3">
        <v>2.5</v>
      </c>
    </row>
  </sheetData>
  <conditionalFormatting sqref="A1:L2 T1:U1 U2 M2:P2 Q1">
    <cfRule type="cellIs" dxfId="2" priority="3" operator="equal">
      <formula>-9999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C3" sqref="C3:C16"/>
    </sheetView>
  </sheetViews>
  <sheetFormatPr defaultRowHeight="15" x14ac:dyDescent="0.25"/>
  <cols>
    <col min="1" max="1" width="37.7109375" bestFit="1" customWidth="1"/>
    <col min="2" max="2" width="6.28515625" bestFit="1" customWidth="1"/>
    <col min="4" max="4" width="9.140625" style="1"/>
  </cols>
  <sheetData>
    <row r="1" spans="1:6" s="1" customFormat="1" ht="45" x14ac:dyDescent="0.25">
      <c r="A1" s="1" t="s">
        <v>14</v>
      </c>
      <c r="B1" s="1" t="s">
        <v>15</v>
      </c>
      <c r="C1" s="4" t="s">
        <v>16</v>
      </c>
      <c r="D1" s="1" t="s">
        <v>23</v>
      </c>
      <c r="E1" s="1" t="str">
        <f>CONCATENATE("Total day = ",SUM(E3:E16))</f>
        <v>Total day = 31</v>
      </c>
    </row>
    <row r="3" spans="1:6" x14ac:dyDescent="0.25">
      <c r="A3" t="s">
        <v>2</v>
      </c>
      <c r="B3">
        <v>20603</v>
      </c>
      <c r="C3" s="13">
        <v>600</v>
      </c>
      <c r="D3" s="1">
        <f>MAX('Bone Source - Tasks'!$K$2:$K$5)+MAX('Bone Source - Recipes'!$U$3:$U$11)</f>
        <v>4500</v>
      </c>
      <c r="E3">
        <v>0.15</v>
      </c>
      <c r="F3">
        <f>E3*D3</f>
        <v>675</v>
      </c>
    </row>
    <row r="4" spans="1:6" x14ac:dyDescent="0.25">
      <c r="A4" t="s">
        <v>0</v>
      </c>
      <c r="B4">
        <v>20043</v>
      </c>
      <c r="C4" s="13">
        <v>2000</v>
      </c>
      <c r="D4" s="1">
        <f>MAX('Bone Source - Tasks'!$K$2:$K$5)+MAX('Bone Source - Recipes'!$U$3:$U$11)</f>
        <v>4500</v>
      </c>
      <c r="E4">
        <v>0.5</v>
      </c>
      <c r="F4">
        <f t="shared" ref="F4:F16" si="0">E4*D4</f>
        <v>2250</v>
      </c>
    </row>
    <row r="5" spans="1:6" x14ac:dyDescent="0.25">
      <c r="A5" t="s">
        <v>6</v>
      </c>
      <c r="B5">
        <v>20047</v>
      </c>
      <c r="C5" s="13">
        <v>3000</v>
      </c>
      <c r="D5" s="1">
        <f>MAX('Bone Source - Tasks'!$K$2:$K$5)+MAX('Bone Source - Recipes'!$U$3:$U$11)</f>
        <v>4500</v>
      </c>
      <c r="E5">
        <v>0.75</v>
      </c>
      <c r="F5">
        <f t="shared" si="0"/>
        <v>3375</v>
      </c>
    </row>
    <row r="6" spans="1:6" x14ac:dyDescent="0.25">
      <c r="A6" t="s">
        <v>7</v>
      </c>
      <c r="B6">
        <v>20048</v>
      </c>
      <c r="C6" s="13">
        <v>3200</v>
      </c>
      <c r="D6" s="1">
        <f>MAX('Bone Source - Tasks'!$K$2:$K$5)+MAX('Bone Source - Recipes'!$U$3:$U$11)</f>
        <v>4500</v>
      </c>
      <c r="E6">
        <v>0.75</v>
      </c>
      <c r="F6">
        <f t="shared" si="0"/>
        <v>3375</v>
      </c>
    </row>
    <row r="7" spans="1:6" x14ac:dyDescent="0.25">
      <c r="A7" t="s">
        <v>8</v>
      </c>
      <c r="B7">
        <v>20049</v>
      </c>
      <c r="C7" s="13">
        <v>3500</v>
      </c>
      <c r="D7" s="1">
        <f>MAX('Bone Source - Tasks'!$K$2:$K$5)+MAX('Bone Source - Recipes'!$U$3:$U$11)</f>
        <v>4500</v>
      </c>
      <c r="E7">
        <v>0.85</v>
      </c>
      <c r="F7">
        <f t="shared" si="0"/>
        <v>3825</v>
      </c>
    </row>
    <row r="8" spans="1:6" x14ac:dyDescent="0.25">
      <c r="A8" t="s">
        <v>3</v>
      </c>
      <c r="B8">
        <v>20051</v>
      </c>
      <c r="C8" s="13">
        <v>4000</v>
      </c>
      <c r="D8" s="1">
        <f>MAX('Bone Source - Tasks'!$K$2:$K$5)+MAX('Bone Source - Recipes'!$U$3:$U$11)</f>
        <v>4500</v>
      </c>
      <c r="E8">
        <v>1</v>
      </c>
      <c r="F8">
        <f t="shared" si="0"/>
        <v>4500</v>
      </c>
    </row>
    <row r="9" spans="1:6" x14ac:dyDescent="0.25">
      <c r="A9" t="s">
        <v>5</v>
      </c>
      <c r="B9">
        <v>20062</v>
      </c>
      <c r="C9" s="13">
        <v>4100</v>
      </c>
      <c r="D9" s="1">
        <f>MAX('Bone Source - Tasks'!$K$2:$K$5)+MAX('Bone Source - Recipes'!$U$3:$U$11)</f>
        <v>4500</v>
      </c>
      <c r="E9">
        <v>1</v>
      </c>
      <c r="F9">
        <f t="shared" si="0"/>
        <v>4500</v>
      </c>
    </row>
    <row r="10" spans="1:6" x14ac:dyDescent="0.25">
      <c r="A10" t="s">
        <v>10</v>
      </c>
      <c r="B10">
        <v>20053</v>
      </c>
      <c r="C10" s="13">
        <v>8200</v>
      </c>
      <c r="D10" s="1">
        <f>MAX('Bone Source - Tasks'!$K$2:$K$5)+MAX('Bone Source - Recipes'!$U$3:$U$11)</f>
        <v>4500</v>
      </c>
      <c r="E10">
        <v>2</v>
      </c>
      <c r="F10">
        <f t="shared" si="0"/>
        <v>9000</v>
      </c>
    </row>
    <row r="11" spans="1:6" x14ac:dyDescent="0.25">
      <c r="A11" t="s">
        <v>12</v>
      </c>
      <c r="B11">
        <v>20054</v>
      </c>
      <c r="C11" s="13">
        <v>8300</v>
      </c>
      <c r="D11" s="1">
        <f>MAX('Bone Source - Tasks'!$K$2:$K$5)+MAX('Bone Source - Recipes'!$U$3:$U$11)</f>
        <v>4500</v>
      </c>
      <c r="E11">
        <v>2</v>
      </c>
      <c r="F11">
        <f t="shared" si="0"/>
        <v>9000</v>
      </c>
    </row>
    <row r="12" spans="1:6" x14ac:dyDescent="0.25">
      <c r="A12" t="s">
        <v>4</v>
      </c>
      <c r="B12">
        <v>20057</v>
      </c>
      <c r="C12" s="13">
        <v>12300</v>
      </c>
      <c r="D12" s="1">
        <f>MAX('Bone Source - Tasks'!$K$2:$K$5)+MAX('Bone Source - Recipes'!$U$3:$U$11)</f>
        <v>4500</v>
      </c>
      <c r="E12">
        <v>3</v>
      </c>
      <c r="F12">
        <f t="shared" si="0"/>
        <v>13500</v>
      </c>
    </row>
    <row r="13" spans="1:6" x14ac:dyDescent="0.25">
      <c r="A13" t="s">
        <v>9</v>
      </c>
      <c r="B13">
        <v>20044</v>
      </c>
      <c r="C13" s="13">
        <v>12500</v>
      </c>
      <c r="D13" s="1">
        <f>MAX('Bone Source - Tasks'!$K$2:$K$5)+MAX('Bone Source - Recipes'!$U$3:$U$11)</f>
        <v>4500</v>
      </c>
      <c r="E13">
        <v>3</v>
      </c>
      <c r="F13">
        <f t="shared" si="0"/>
        <v>13500</v>
      </c>
    </row>
    <row r="14" spans="1:6" x14ac:dyDescent="0.25">
      <c r="A14" t="s">
        <v>1</v>
      </c>
      <c r="B14">
        <v>20046</v>
      </c>
      <c r="C14" s="13">
        <v>16600</v>
      </c>
      <c r="D14" s="1">
        <f>MAX('Bone Source - Tasks'!$K$2:$K$5)+MAX('Bone Source - Recipes'!$U$3:$U$11)</f>
        <v>4500</v>
      </c>
      <c r="E14">
        <v>4</v>
      </c>
      <c r="F14">
        <f t="shared" si="0"/>
        <v>18000</v>
      </c>
    </row>
    <row r="15" spans="1:6" x14ac:dyDescent="0.25">
      <c r="A15" t="s">
        <v>11</v>
      </c>
      <c r="B15">
        <v>20059</v>
      </c>
      <c r="C15" s="13">
        <v>20700</v>
      </c>
      <c r="D15" s="1">
        <f>MAX('Bone Source - Tasks'!$K$2:$K$5)+MAX('Bone Source - Recipes'!$U$3:$U$11)</f>
        <v>4500</v>
      </c>
      <c r="E15">
        <v>5</v>
      </c>
      <c r="F15">
        <f t="shared" si="0"/>
        <v>22500</v>
      </c>
    </row>
    <row r="16" spans="1:6" x14ac:dyDescent="0.25">
      <c r="A16" t="s">
        <v>13</v>
      </c>
      <c r="B16">
        <v>20064</v>
      </c>
      <c r="C16" s="13">
        <v>29000</v>
      </c>
      <c r="D16" s="1">
        <f>MAX('Bone Source - Tasks'!$K$2:$K$5)+MAX('Bone Source - Recipes'!$U$3:$U$11)</f>
        <v>4500</v>
      </c>
      <c r="E16">
        <v>7</v>
      </c>
      <c r="F16">
        <f t="shared" si="0"/>
        <v>31500</v>
      </c>
    </row>
    <row r="17" spans="3:6" x14ac:dyDescent="0.25">
      <c r="C17">
        <f>SUM(C3:C16)</f>
        <v>128000</v>
      </c>
      <c r="D17"/>
      <c r="F17">
        <f>SUM(F3:F16)</f>
        <v>139500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workbookViewId="0">
      <selection activeCell="F3" sqref="F3:F11"/>
    </sheetView>
  </sheetViews>
  <sheetFormatPr defaultRowHeight="15" x14ac:dyDescent="0.25"/>
  <cols>
    <col min="1" max="1" width="39.7109375" style="10" bestFit="1" customWidth="1"/>
    <col min="2" max="16384" width="9.140625" style="10"/>
  </cols>
  <sheetData>
    <row r="1" spans="1:31" ht="105" x14ac:dyDescent="0.25">
      <c r="A1" s="8" t="s">
        <v>17</v>
      </c>
      <c r="B1" s="8" t="s">
        <v>48</v>
      </c>
      <c r="C1" s="8" t="s">
        <v>133</v>
      </c>
      <c r="D1" s="8"/>
      <c r="E1" s="8" t="s">
        <v>49</v>
      </c>
      <c r="F1" s="8" t="s">
        <v>102</v>
      </c>
      <c r="G1" s="8" t="s">
        <v>98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54</v>
      </c>
      <c r="M1" s="15" t="s">
        <v>55</v>
      </c>
      <c r="N1" s="15" t="s">
        <v>56</v>
      </c>
      <c r="O1" s="15" t="s">
        <v>57</v>
      </c>
      <c r="P1" s="15" t="s">
        <v>58</v>
      </c>
      <c r="Q1" s="15" t="s">
        <v>59</v>
      </c>
      <c r="R1" s="15" t="s">
        <v>60</v>
      </c>
      <c r="S1" s="15" t="s">
        <v>61</v>
      </c>
      <c r="T1" s="9" t="s">
        <v>86</v>
      </c>
      <c r="U1" s="9" t="s">
        <v>87</v>
      </c>
      <c r="V1" s="9" t="s">
        <v>88</v>
      </c>
      <c r="W1" s="9" t="s">
        <v>89</v>
      </c>
      <c r="X1" s="9" t="s">
        <v>90</v>
      </c>
      <c r="Y1" s="9" t="s">
        <v>91</v>
      </c>
      <c r="Z1" s="8" t="s">
        <v>92</v>
      </c>
      <c r="AA1" s="8" t="s">
        <v>93</v>
      </c>
      <c r="AB1" s="8" t="s">
        <v>94</v>
      </c>
      <c r="AC1" s="8" t="s">
        <v>95</v>
      </c>
      <c r="AD1" s="8" t="s">
        <v>96</v>
      </c>
      <c r="AE1" s="8" t="s">
        <v>97</v>
      </c>
    </row>
    <row r="2" spans="1:31" x14ac:dyDescent="0.25">
      <c r="A2" s="10" t="s">
        <v>46</v>
      </c>
      <c r="B2" s="10">
        <v>9017</v>
      </c>
      <c r="C2" s="10">
        <v>0</v>
      </c>
      <c r="D2" s="10">
        <v>0.16666666699999999</v>
      </c>
      <c r="E2" s="16">
        <f>D2*3600</f>
        <v>600.00000119999993</v>
      </c>
      <c r="F2" s="16">
        <v>0</v>
      </c>
      <c r="G2" s="10">
        <f>SUM(Z2:AE2)</f>
        <v>20</v>
      </c>
      <c r="H2" s="16">
        <v>9002</v>
      </c>
      <c r="I2" s="16">
        <v>9010</v>
      </c>
      <c r="J2" s="16">
        <v>0</v>
      </c>
      <c r="K2" s="16">
        <v>0</v>
      </c>
      <c r="L2" s="16">
        <v>0</v>
      </c>
      <c r="M2" s="16">
        <v>0</v>
      </c>
      <c r="N2" s="16">
        <v>1</v>
      </c>
      <c r="O2" s="16">
        <v>1</v>
      </c>
      <c r="P2" s="16">
        <v>0</v>
      </c>
      <c r="Q2" s="16">
        <v>0</v>
      </c>
      <c r="R2" s="16">
        <v>0</v>
      </c>
      <c r="S2" s="16">
        <v>0</v>
      </c>
      <c r="T2" s="11">
        <f>VLOOKUP(H2,'Gold Sink - Ingredient Cost'!$A:$N,13,0)</f>
        <v>12</v>
      </c>
      <c r="U2" s="11">
        <f>VLOOKUP(I2,'Gold Sink - Ingredient Cost'!$A:$N,13,0)</f>
        <v>8</v>
      </c>
      <c r="V2" s="11">
        <f>VLOOKUP(J2,'Gold Sink - Ingredient Cost'!$A:$N,13,0)</f>
        <v>0</v>
      </c>
      <c r="W2" s="11">
        <f>VLOOKUP(K2,'Gold Sink - Ingredient Cost'!$A:$N,13,0)</f>
        <v>0</v>
      </c>
      <c r="X2" s="11">
        <f>VLOOKUP(L2,'Gold Sink - Ingredient Cost'!$A:$N,13,0)</f>
        <v>0</v>
      </c>
      <c r="Y2" s="11">
        <f>VLOOKUP(M2,'Gold Sink - Ingredient Cost'!$A:$N,13,0)</f>
        <v>0</v>
      </c>
      <c r="Z2" s="10">
        <f>T2*N2</f>
        <v>12</v>
      </c>
      <c r="AA2" s="10">
        <f t="shared" ref="AA2:AE2" si="0">U2*O2</f>
        <v>8</v>
      </c>
      <c r="AB2" s="10">
        <f t="shared" si="0"/>
        <v>0</v>
      </c>
      <c r="AC2" s="10">
        <f t="shared" si="0"/>
        <v>0</v>
      </c>
      <c r="AD2" s="10">
        <f t="shared" si="0"/>
        <v>0</v>
      </c>
      <c r="AE2" s="10">
        <f t="shared" si="0"/>
        <v>0</v>
      </c>
    </row>
    <row r="3" spans="1:31" x14ac:dyDescent="0.25">
      <c r="A3" t="s">
        <v>33</v>
      </c>
      <c r="B3">
        <v>9004</v>
      </c>
      <c r="C3">
        <v>0</v>
      </c>
      <c r="D3" s="10">
        <v>0</v>
      </c>
      <c r="E3" s="16">
        <f>D3*3600</f>
        <v>0</v>
      </c>
      <c r="F3" s="16">
        <v>300</v>
      </c>
      <c r="G3" s="10">
        <f t="shared" ref="G3:G10" si="1">SUM(Z3:AE3)</f>
        <v>50</v>
      </c>
      <c r="H3" s="16">
        <v>9004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1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1">
        <f>VLOOKUP(H3,'Gold Sink - Ingredient Cost'!$A:$N,13,0)</f>
        <v>50</v>
      </c>
      <c r="U3" s="11">
        <f>VLOOKUP(I3,'Gold Sink - Ingredient Cost'!$A:$N,13,0)</f>
        <v>0</v>
      </c>
      <c r="V3" s="11">
        <f>VLOOKUP(J3,'Gold Sink - Ingredient Cost'!$A:$N,13,0)</f>
        <v>0</v>
      </c>
      <c r="W3" s="11">
        <f>VLOOKUP(K3,'Gold Sink - Ingredient Cost'!$A:$N,13,0)</f>
        <v>0</v>
      </c>
      <c r="X3" s="11">
        <f>VLOOKUP(L3,'Gold Sink - Ingredient Cost'!$A:$N,13,0)</f>
        <v>0</v>
      </c>
      <c r="Y3" s="11">
        <f>VLOOKUP(M3,'Gold Sink - Ingredient Cost'!$A:$N,13,0)</f>
        <v>0</v>
      </c>
      <c r="Z3" s="10">
        <f>T3*N3</f>
        <v>50</v>
      </c>
      <c r="AA3" s="10">
        <f t="shared" ref="AA3" si="2">U3*O3</f>
        <v>0</v>
      </c>
      <c r="AB3" s="10">
        <f t="shared" ref="AB3" si="3">V3*P3</f>
        <v>0</v>
      </c>
      <c r="AC3" s="10">
        <f t="shared" ref="AC3" si="4">W3*Q3</f>
        <v>0</v>
      </c>
      <c r="AD3" s="10">
        <f t="shared" ref="AD3" si="5">X3*R3</f>
        <v>0</v>
      </c>
      <c r="AE3" s="10">
        <f t="shared" ref="AE3" si="6">Y3*S3</f>
        <v>0</v>
      </c>
    </row>
    <row r="4" spans="1:31" x14ac:dyDescent="0.25">
      <c r="A4" s="10" t="s">
        <v>32</v>
      </c>
      <c r="B4" s="10">
        <v>9019</v>
      </c>
      <c r="C4">
        <v>0.08</v>
      </c>
      <c r="D4" s="10">
        <v>1</v>
      </c>
      <c r="E4" s="16">
        <f>D4*3600</f>
        <v>3600</v>
      </c>
      <c r="F4" s="16">
        <f>E4</f>
        <v>3600</v>
      </c>
      <c r="G4" s="10">
        <f t="shared" si="1"/>
        <v>188</v>
      </c>
      <c r="H4" s="16">
        <v>9004</v>
      </c>
      <c r="I4" s="16">
        <v>8</v>
      </c>
      <c r="J4" s="16">
        <v>9014</v>
      </c>
      <c r="K4" s="16">
        <v>0</v>
      </c>
      <c r="L4" s="16">
        <v>0</v>
      </c>
      <c r="M4" s="16">
        <v>0</v>
      </c>
      <c r="N4" s="16">
        <v>1</v>
      </c>
      <c r="O4" s="16">
        <v>4</v>
      </c>
      <c r="P4" s="16">
        <v>1</v>
      </c>
      <c r="Q4" s="16">
        <v>0</v>
      </c>
      <c r="R4" s="16">
        <v>0</v>
      </c>
      <c r="S4" s="16">
        <v>0</v>
      </c>
      <c r="T4" s="11">
        <f>VLOOKUP(H4,'Gold Sink - Ingredient Cost'!$A:$N,13,0)</f>
        <v>50</v>
      </c>
      <c r="U4" s="11">
        <f>VLOOKUP(I4,'Gold Sink - Ingredient Cost'!$A:$N,13,0)</f>
        <v>1.5</v>
      </c>
      <c r="V4" s="11">
        <f>VLOOKUP(J4,'Gold Sink - Ingredient Cost'!$A:$N,13,0)</f>
        <v>132</v>
      </c>
      <c r="W4" s="11">
        <f>VLOOKUP(K4,'Gold Sink - Ingredient Cost'!$A:$N,13,0)</f>
        <v>0</v>
      </c>
      <c r="X4" s="11">
        <f>VLOOKUP(L4,'Gold Sink - Ingredient Cost'!$A:$N,13,0)</f>
        <v>0</v>
      </c>
      <c r="Y4" s="11">
        <f>VLOOKUP(M4,'Gold Sink - Ingredient Cost'!$A:$N,13,0)</f>
        <v>0</v>
      </c>
      <c r="Z4" s="10">
        <f>T4*N4</f>
        <v>50</v>
      </c>
      <c r="AA4" s="10">
        <f>U4*O4</f>
        <v>6</v>
      </c>
      <c r="AB4" s="10">
        <f>V4*P4</f>
        <v>132</v>
      </c>
      <c r="AC4" s="10">
        <f>W4*Q4</f>
        <v>0</v>
      </c>
      <c r="AD4" s="10">
        <f>X4*R4</f>
        <v>0</v>
      </c>
      <c r="AE4" s="10">
        <f>Y4*S4</f>
        <v>0</v>
      </c>
    </row>
    <row r="5" spans="1:31" x14ac:dyDescent="0.25">
      <c r="A5" s="10" t="s">
        <v>30</v>
      </c>
      <c r="B5" s="10">
        <v>9016</v>
      </c>
      <c r="C5">
        <v>0</v>
      </c>
      <c r="D5" s="10">
        <v>1</v>
      </c>
      <c r="E5" s="16">
        <f>D5*3600</f>
        <v>3600</v>
      </c>
      <c r="F5" s="16">
        <f t="shared" ref="F5:F11" si="7">E5</f>
        <v>3600</v>
      </c>
      <c r="G5" s="10">
        <f t="shared" si="1"/>
        <v>190</v>
      </c>
      <c r="H5" s="16">
        <v>9004</v>
      </c>
      <c r="I5" s="16">
        <v>9009</v>
      </c>
      <c r="J5" s="16">
        <v>9010</v>
      </c>
      <c r="K5" s="16">
        <v>0</v>
      </c>
      <c r="L5" s="16">
        <v>0</v>
      </c>
      <c r="M5" s="16">
        <v>0</v>
      </c>
      <c r="N5" s="16">
        <v>3</v>
      </c>
      <c r="O5" s="16">
        <v>3</v>
      </c>
      <c r="P5" s="16">
        <v>2</v>
      </c>
      <c r="Q5" s="16">
        <v>0</v>
      </c>
      <c r="R5" s="16">
        <v>0</v>
      </c>
      <c r="S5" s="16">
        <v>0</v>
      </c>
      <c r="T5" s="11">
        <f>VLOOKUP(H5,'Gold Sink - Ingredient Cost'!$A:$N,13,0)</f>
        <v>50</v>
      </c>
      <c r="U5" s="11">
        <f>VLOOKUP(I5,'Gold Sink - Ingredient Cost'!$A:$N,13,0)</f>
        <v>8</v>
      </c>
      <c r="V5" s="11">
        <f>VLOOKUP(J5,'Gold Sink - Ingredient Cost'!$A:$N,13,0)</f>
        <v>8</v>
      </c>
      <c r="W5" s="11">
        <f>VLOOKUP(K5,'Gold Sink - Ingredient Cost'!$A:$N,13,0)</f>
        <v>0</v>
      </c>
      <c r="X5" s="11">
        <f>VLOOKUP(L5,'Gold Sink - Ingredient Cost'!$A:$N,13,0)</f>
        <v>0</v>
      </c>
      <c r="Y5" s="11">
        <f>VLOOKUP(M5,'Gold Sink - Ingredient Cost'!$A:$N,13,0)</f>
        <v>0</v>
      </c>
      <c r="Z5" s="10">
        <f t="shared" ref="Z5:Z9" si="8">T5*N5</f>
        <v>150</v>
      </c>
      <c r="AA5" s="10">
        <f t="shared" ref="AA5:AA9" si="9">U5*O5</f>
        <v>24</v>
      </c>
      <c r="AB5" s="10">
        <f t="shared" ref="AB5:AB9" si="10">V5*P5</f>
        <v>16</v>
      </c>
      <c r="AC5" s="10">
        <f t="shared" ref="AC5:AC9" si="11">W5*Q5</f>
        <v>0</v>
      </c>
      <c r="AD5" s="10">
        <f t="shared" ref="AD5:AD9" si="12">X5*R5</f>
        <v>0</v>
      </c>
      <c r="AE5" s="10">
        <f t="shared" ref="AE5:AE9" si="13">Y5*S5</f>
        <v>0</v>
      </c>
    </row>
    <row r="6" spans="1:31" x14ac:dyDescent="0.25">
      <c r="A6" s="10" t="s">
        <v>26</v>
      </c>
      <c r="B6" s="10">
        <v>9000</v>
      </c>
      <c r="C6">
        <v>0.08</v>
      </c>
      <c r="D6" s="10">
        <v>2</v>
      </c>
      <c r="E6" s="16">
        <f>D6*3600</f>
        <v>7200</v>
      </c>
      <c r="F6" s="16">
        <f t="shared" si="7"/>
        <v>7200</v>
      </c>
      <c r="G6" s="10">
        <f t="shared" si="1"/>
        <v>151.5</v>
      </c>
      <c r="H6" s="16">
        <v>9004</v>
      </c>
      <c r="I6" s="16">
        <v>8</v>
      </c>
      <c r="J6" s="16">
        <v>0</v>
      </c>
      <c r="K6" s="16">
        <v>0</v>
      </c>
      <c r="L6" s="16">
        <v>0</v>
      </c>
      <c r="M6" s="16">
        <v>0</v>
      </c>
      <c r="N6" s="16">
        <v>3</v>
      </c>
      <c r="O6" s="16">
        <v>1</v>
      </c>
      <c r="P6" s="16">
        <v>0</v>
      </c>
      <c r="Q6" s="16">
        <v>0</v>
      </c>
      <c r="R6" s="16">
        <v>0</v>
      </c>
      <c r="S6" s="16">
        <v>0</v>
      </c>
      <c r="T6" s="11">
        <f>VLOOKUP(H6,'Gold Sink - Ingredient Cost'!$A:$N,13,0)</f>
        <v>50</v>
      </c>
      <c r="U6" s="11">
        <f>VLOOKUP(I6,'Gold Sink - Ingredient Cost'!$A:$N,13,0)</f>
        <v>1.5</v>
      </c>
      <c r="V6" s="11">
        <f>VLOOKUP(J6,'Gold Sink - Ingredient Cost'!$A:$N,13,0)</f>
        <v>0</v>
      </c>
      <c r="W6" s="11">
        <f>VLOOKUP(K6,'Gold Sink - Ingredient Cost'!$A:$N,13,0)</f>
        <v>0</v>
      </c>
      <c r="X6" s="11">
        <f>VLOOKUP(L6,'Gold Sink - Ingredient Cost'!$A:$N,13,0)</f>
        <v>0</v>
      </c>
      <c r="Y6" s="11">
        <f>VLOOKUP(M6,'Gold Sink - Ingredient Cost'!$A:$N,13,0)</f>
        <v>0</v>
      </c>
      <c r="Z6" s="10">
        <f>T6*N6</f>
        <v>150</v>
      </c>
      <c r="AA6" s="10">
        <f>U6*O6</f>
        <v>1.5</v>
      </c>
      <c r="AB6" s="10">
        <f>V6*P6</f>
        <v>0</v>
      </c>
      <c r="AC6" s="10">
        <f>W6*Q6</f>
        <v>0</v>
      </c>
      <c r="AD6" s="10">
        <f>X6*R6</f>
        <v>0</v>
      </c>
      <c r="AE6" s="10">
        <f>Y6*S6</f>
        <v>0</v>
      </c>
    </row>
    <row r="7" spans="1:31" x14ac:dyDescent="0.25">
      <c r="A7" s="10" t="s">
        <v>28</v>
      </c>
      <c r="B7" s="10">
        <v>9014</v>
      </c>
      <c r="C7">
        <v>0.08</v>
      </c>
      <c r="D7" s="10">
        <v>4</v>
      </c>
      <c r="E7" s="16">
        <f>D7*3600</f>
        <v>14400</v>
      </c>
      <c r="F7" s="16">
        <f t="shared" si="7"/>
        <v>14400</v>
      </c>
      <c r="G7" s="10">
        <f t="shared" si="1"/>
        <v>132</v>
      </c>
      <c r="H7" s="16">
        <v>9004</v>
      </c>
      <c r="I7" s="16">
        <v>9007</v>
      </c>
      <c r="J7" s="16">
        <v>9011</v>
      </c>
      <c r="K7" s="16">
        <v>9002</v>
      </c>
      <c r="L7" s="16">
        <v>0</v>
      </c>
      <c r="M7" s="16">
        <v>0</v>
      </c>
      <c r="N7" s="16">
        <v>2</v>
      </c>
      <c r="O7" s="16">
        <v>1</v>
      </c>
      <c r="P7" s="16">
        <v>1</v>
      </c>
      <c r="Q7" s="16">
        <v>1</v>
      </c>
      <c r="R7" s="16">
        <v>0</v>
      </c>
      <c r="S7" s="16">
        <v>0</v>
      </c>
      <c r="T7" s="11">
        <f>VLOOKUP(H7,'Gold Sink - Ingredient Cost'!$A:$N,13,0)</f>
        <v>50</v>
      </c>
      <c r="U7" s="11">
        <f>VLOOKUP(I7,'Gold Sink - Ingredient Cost'!$A:$N,13,0)</f>
        <v>12</v>
      </c>
      <c r="V7" s="11">
        <f>VLOOKUP(J7,'Gold Sink - Ingredient Cost'!$A:$N,13,0)</f>
        <v>8</v>
      </c>
      <c r="W7" s="11">
        <f>VLOOKUP(K7,'Gold Sink - Ingredient Cost'!$A:$N,13,0)</f>
        <v>12</v>
      </c>
      <c r="X7" s="11">
        <f>VLOOKUP(L7,'Gold Sink - Ingredient Cost'!$A:$N,13,0)</f>
        <v>0</v>
      </c>
      <c r="Y7" s="11">
        <f>VLOOKUP(M7,'Gold Sink - Ingredient Cost'!$A:$N,13,0)</f>
        <v>0</v>
      </c>
      <c r="Z7" s="10">
        <f>T7*N7</f>
        <v>100</v>
      </c>
      <c r="AA7" s="10">
        <f>U7*O7</f>
        <v>12</v>
      </c>
      <c r="AB7" s="10">
        <f>V7*P7</f>
        <v>8</v>
      </c>
      <c r="AC7" s="10">
        <f>W7*Q7</f>
        <v>12</v>
      </c>
      <c r="AD7" s="10">
        <f>X7*R7</f>
        <v>0</v>
      </c>
      <c r="AE7" s="10">
        <f>Y7*S7</f>
        <v>0</v>
      </c>
    </row>
    <row r="8" spans="1:31" x14ac:dyDescent="0.25">
      <c r="A8" s="10" t="s">
        <v>27</v>
      </c>
      <c r="B8" s="10">
        <v>9001</v>
      </c>
      <c r="C8">
        <v>0.15</v>
      </c>
      <c r="D8" s="10">
        <v>6</v>
      </c>
      <c r="E8" s="16">
        <f>D8*3600</f>
        <v>21600</v>
      </c>
      <c r="F8" s="16">
        <f t="shared" si="7"/>
        <v>21600</v>
      </c>
      <c r="G8" s="10">
        <f t="shared" si="1"/>
        <v>120</v>
      </c>
      <c r="H8" s="16">
        <v>9004</v>
      </c>
      <c r="I8" s="16">
        <v>9007</v>
      </c>
      <c r="J8" s="16">
        <v>9011</v>
      </c>
      <c r="K8" s="16">
        <v>0</v>
      </c>
      <c r="L8" s="16">
        <v>0</v>
      </c>
      <c r="M8" s="16">
        <v>0</v>
      </c>
      <c r="N8" s="16">
        <v>2</v>
      </c>
      <c r="O8" s="16">
        <v>1</v>
      </c>
      <c r="P8" s="16">
        <v>1</v>
      </c>
      <c r="Q8" s="16">
        <v>0</v>
      </c>
      <c r="R8" s="16">
        <v>0</v>
      </c>
      <c r="S8" s="16">
        <v>0</v>
      </c>
      <c r="T8" s="11">
        <f>VLOOKUP(H8,'Gold Sink - Ingredient Cost'!$A:$N,13,0)</f>
        <v>50</v>
      </c>
      <c r="U8" s="11">
        <f>VLOOKUP(I8,'Gold Sink - Ingredient Cost'!$A:$N,13,0)</f>
        <v>12</v>
      </c>
      <c r="V8" s="11">
        <f>VLOOKUP(J8,'Gold Sink - Ingredient Cost'!$A:$N,13,0)</f>
        <v>8</v>
      </c>
      <c r="W8" s="11">
        <f>VLOOKUP(K8,'Gold Sink - Ingredient Cost'!$A:$N,13,0)</f>
        <v>0</v>
      </c>
      <c r="X8" s="11">
        <f>VLOOKUP(L8,'Gold Sink - Ingredient Cost'!$A:$N,13,0)</f>
        <v>0</v>
      </c>
      <c r="Y8" s="11">
        <f>VLOOKUP(M8,'Gold Sink - Ingredient Cost'!$A:$N,13,0)</f>
        <v>0</v>
      </c>
      <c r="Z8" s="10">
        <f>T8*N8</f>
        <v>100</v>
      </c>
      <c r="AA8" s="10">
        <f>U8*O8</f>
        <v>12</v>
      </c>
      <c r="AB8" s="10">
        <f>V8*P8</f>
        <v>8</v>
      </c>
      <c r="AC8" s="10">
        <f>W8*Q8</f>
        <v>0</v>
      </c>
      <c r="AD8" s="10">
        <f>X8*R8</f>
        <v>0</v>
      </c>
      <c r="AE8" s="10">
        <f>Y8*S8</f>
        <v>0</v>
      </c>
    </row>
    <row r="9" spans="1:31" x14ac:dyDescent="0.25">
      <c r="A9" s="10" t="s">
        <v>31</v>
      </c>
      <c r="B9" s="10">
        <v>9018</v>
      </c>
      <c r="C9">
        <v>0.17</v>
      </c>
      <c r="D9" s="10">
        <v>8</v>
      </c>
      <c r="E9" s="16">
        <f>D9*3600</f>
        <v>28800</v>
      </c>
      <c r="F9" s="16">
        <f t="shared" si="7"/>
        <v>28800</v>
      </c>
      <c r="G9" s="10">
        <f t="shared" si="1"/>
        <v>90</v>
      </c>
      <c r="H9" s="16">
        <v>9004</v>
      </c>
      <c r="I9" s="16">
        <v>9017</v>
      </c>
      <c r="J9" s="16">
        <v>0</v>
      </c>
      <c r="K9" s="16">
        <v>0</v>
      </c>
      <c r="L9" s="16">
        <v>0</v>
      </c>
      <c r="M9" s="16">
        <v>0</v>
      </c>
      <c r="N9" s="16">
        <v>1</v>
      </c>
      <c r="O9" s="16">
        <v>2</v>
      </c>
      <c r="P9" s="16">
        <v>0</v>
      </c>
      <c r="Q9" s="16">
        <v>0</v>
      </c>
      <c r="R9" s="16">
        <v>0</v>
      </c>
      <c r="S9" s="16">
        <v>0</v>
      </c>
      <c r="T9" s="11">
        <f>VLOOKUP(H9,'Gold Sink - Ingredient Cost'!$A:$N,13,0)</f>
        <v>50</v>
      </c>
      <c r="U9" s="11">
        <f>VLOOKUP(I9,'Gold Sink - Ingredient Cost'!$A:$N,13,0)</f>
        <v>20</v>
      </c>
      <c r="V9" s="11">
        <f>VLOOKUP(J9,'Gold Sink - Ingredient Cost'!$A:$N,13,0)</f>
        <v>0</v>
      </c>
      <c r="W9" s="11">
        <f>VLOOKUP(K9,'Gold Sink - Ingredient Cost'!$A:$N,13,0)</f>
        <v>0</v>
      </c>
      <c r="X9" s="11">
        <f>VLOOKUP(L9,'Gold Sink - Ingredient Cost'!$A:$N,13,0)</f>
        <v>0</v>
      </c>
      <c r="Y9" s="11">
        <f>VLOOKUP(M9,'Gold Sink - Ingredient Cost'!$A:$N,13,0)</f>
        <v>0</v>
      </c>
      <c r="Z9" s="10">
        <f t="shared" si="8"/>
        <v>50</v>
      </c>
      <c r="AA9" s="10">
        <f t="shared" si="9"/>
        <v>40</v>
      </c>
      <c r="AB9" s="10">
        <f t="shared" si="10"/>
        <v>0</v>
      </c>
      <c r="AC9" s="10">
        <f t="shared" si="11"/>
        <v>0</v>
      </c>
      <c r="AD9" s="10">
        <f t="shared" si="12"/>
        <v>0</v>
      </c>
      <c r="AE9" s="10">
        <f t="shared" si="13"/>
        <v>0</v>
      </c>
    </row>
    <row r="10" spans="1:31" x14ac:dyDescent="0.25">
      <c r="A10" s="10" t="s">
        <v>29</v>
      </c>
      <c r="B10" s="10">
        <v>9015</v>
      </c>
      <c r="C10">
        <v>0.19</v>
      </c>
      <c r="D10" s="10">
        <v>12</v>
      </c>
      <c r="E10" s="16">
        <f t="shared" ref="E10" si="14">D10*3600</f>
        <v>43200</v>
      </c>
      <c r="F10" s="16">
        <f t="shared" si="7"/>
        <v>43200</v>
      </c>
      <c r="G10" s="10">
        <f t="shared" si="1"/>
        <v>62</v>
      </c>
      <c r="H10" s="16">
        <v>9004</v>
      </c>
      <c r="I10" s="16">
        <v>9002</v>
      </c>
      <c r="J10" s="16">
        <v>0</v>
      </c>
      <c r="K10" s="16">
        <v>0</v>
      </c>
      <c r="L10" s="16">
        <v>0</v>
      </c>
      <c r="M10" s="16">
        <v>0</v>
      </c>
      <c r="N10" s="16">
        <v>1</v>
      </c>
      <c r="O10" s="16">
        <v>1</v>
      </c>
      <c r="P10" s="16">
        <v>0</v>
      </c>
      <c r="Q10" s="16">
        <v>0</v>
      </c>
      <c r="R10" s="16">
        <v>0</v>
      </c>
      <c r="S10" s="16">
        <v>0</v>
      </c>
      <c r="T10" s="11">
        <f>VLOOKUP(H10,'Gold Sink - Ingredient Cost'!$A:$N,13,0)</f>
        <v>50</v>
      </c>
      <c r="U10" s="11">
        <f>VLOOKUP(I10,'Gold Sink - Ingredient Cost'!$A:$N,13,0)</f>
        <v>12</v>
      </c>
      <c r="V10" s="11">
        <f>VLOOKUP(J10,'Gold Sink - Ingredient Cost'!$A:$N,13,0)</f>
        <v>0</v>
      </c>
      <c r="W10" s="11">
        <f>VLOOKUP(K10,'Gold Sink - Ingredient Cost'!$A:$N,13,0)</f>
        <v>0</v>
      </c>
      <c r="X10" s="11">
        <f>VLOOKUP(L10,'Gold Sink - Ingredient Cost'!$A:$N,13,0)</f>
        <v>0</v>
      </c>
      <c r="Y10" s="11">
        <f>VLOOKUP(M10,'Gold Sink - Ingredient Cost'!$A:$N,13,0)</f>
        <v>0</v>
      </c>
      <c r="Z10" s="10">
        <f>T10*N10</f>
        <v>50</v>
      </c>
      <c r="AA10" s="10">
        <f>U10*O10</f>
        <v>12</v>
      </c>
      <c r="AB10" s="10">
        <f>V10*P10</f>
        <v>0</v>
      </c>
      <c r="AC10" s="10">
        <f>W10*Q10</f>
        <v>0</v>
      </c>
      <c r="AD10" s="10">
        <f>X10*R10</f>
        <v>0</v>
      </c>
      <c r="AE10" s="10">
        <f>Y10*S10</f>
        <v>0</v>
      </c>
    </row>
    <row r="11" spans="1:31" x14ac:dyDescent="0.25">
      <c r="A11" s="10" t="s">
        <v>34</v>
      </c>
      <c r="B11" s="10">
        <v>9023</v>
      </c>
      <c r="C11">
        <v>0.25</v>
      </c>
      <c r="D11" s="10">
        <v>24</v>
      </c>
      <c r="E11" s="16">
        <f>D11*3600</f>
        <v>86400</v>
      </c>
      <c r="F11" s="16">
        <f t="shared" si="7"/>
        <v>86400</v>
      </c>
      <c r="G11" s="10">
        <f>SUM(Z11:AE11)</f>
        <v>50</v>
      </c>
      <c r="H11" s="16">
        <v>9021</v>
      </c>
      <c r="I11" s="16">
        <v>9022</v>
      </c>
      <c r="J11" s="16">
        <v>9006</v>
      </c>
      <c r="K11" s="16">
        <v>9007</v>
      </c>
      <c r="L11" s="16">
        <v>9009</v>
      </c>
      <c r="M11" s="16">
        <v>0</v>
      </c>
      <c r="N11" s="16">
        <v>4</v>
      </c>
      <c r="O11" s="16">
        <v>1</v>
      </c>
      <c r="P11" s="16">
        <v>1</v>
      </c>
      <c r="Q11" s="16">
        <v>1</v>
      </c>
      <c r="R11" s="16">
        <v>1</v>
      </c>
      <c r="S11" s="16">
        <v>0</v>
      </c>
      <c r="T11" s="11">
        <f>VLOOKUP(H11,'Gold Sink - Ingredient Cost'!$A:$N,13,0)</f>
        <v>5</v>
      </c>
      <c r="U11" s="11">
        <f>VLOOKUP(I11,'Gold Sink - Ingredient Cost'!$A:$N,13,0)</f>
        <v>5</v>
      </c>
      <c r="V11" s="11">
        <f>VLOOKUP(J11,'Gold Sink - Ingredient Cost'!$A:$N,13,0)</f>
        <v>5</v>
      </c>
      <c r="W11" s="11">
        <f>VLOOKUP(K11,'Gold Sink - Ingredient Cost'!$A:$N,13,0)</f>
        <v>12</v>
      </c>
      <c r="X11" s="11">
        <f>VLOOKUP(L11,'Gold Sink - Ingredient Cost'!$A:$N,13,0)</f>
        <v>8</v>
      </c>
      <c r="Y11" s="11">
        <f>VLOOKUP(M11,'Gold Sink - Ingredient Cost'!$A:$N,13,0)</f>
        <v>0</v>
      </c>
      <c r="Z11" s="10">
        <f>T11*N11</f>
        <v>20</v>
      </c>
      <c r="AA11" s="10">
        <f>U11*O11</f>
        <v>5</v>
      </c>
      <c r="AB11" s="10">
        <f>V11*P11</f>
        <v>5</v>
      </c>
      <c r="AC11" s="10">
        <f>W11*Q11</f>
        <v>12</v>
      </c>
      <c r="AD11" s="10">
        <f>X11*R11</f>
        <v>8</v>
      </c>
      <c r="AE11" s="10">
        <f>Y11*S11</f>
        <v>0</v>
      </c>
    </row>
    <row r="12" spans="1:31" x14ac:dyDescent="0.25">
      <c r="C12" s="12">
        <f>SUM(C2:C11)</f>
        <v>1</v>
      </c>
    </row>
  </sheetData>
  <sortState ref="A2:X11">
    <sortCondition ref="E2:E11"/>
  </sortState>
  <conditionalFormatting sqref="G2:G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{EE6AB24A-0ABA-4A3E-A09B-01DF3AEE62B5}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6AB24A-0ABA-4A3E-A09B-01DF3AEE62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topLeftCell="E1" workbookViewId="0">
      <selection activeCell="L17" sqref="L17"/>
    </sheetView>
  </sheetViews>
  <sheetFormatPr defaultRowHeight="15" x14ac:dyDescent="0.25"/>
  <cols>
    <col min="1" max="1" width="9.140625" style="1"/>
    <col min="2" max="2" width="32.28515625" style="1" bestFit="1" customWidth="1"/>
    <col min="3" max="13" width="9.140625" style="1"/>
    <col min="14" max="14" width="13.140625" style="1" customWidth="1"/>
    <col min="15" max="16384" width="9.140625" style="1"/>
  </cols>
  <sheetData>
    <row r="1" spans="1:15" ht="60" x14ac:dyDescent="0.25">
      <c r="A1" s="1" t="s">
        <v>72</v>
      </c>
      <c r="B1" s="1" t="s">
        <v>17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101</v>
      </c>
      <c r="N1" s="1" t="s">
        <v>100</v>
      </c>
      <c r="O1" s="1" t="s">
        <v>99</v>
      </c>
    </row>
    <row r="2" spans="1:15" x14ac:dyDescent="0.25">
      <c r="A2" s="1">
        <v>9005</v>
      </c>
      <c r="B2" s="1" t="s">
        <v>64</v>
      </c>
      <c r="C2" s="14">
        <v>0.1</v>
      </c>
      <c r="D2" s="14">
        <v>0.25</v>
      </c>
      <c r="E2" s="14">
        <v>0.3</v>
      </c>
      <c r="F2" s="14">
        <v>0.25</v>
      </c>
      <c r="G2" s="14">
        <v>0.1</v>
      </c>
      <c r="H2" s="14">
        <v>20</v>
      </c>
      <c r="I2" s="14">
        <v>23</v>
      </c>
      <c r="J2" s="14">
        <v>25</v>
      </c>
      <c r="K2" s="14">
        <v>27</v>
      </c>
      <c r="L2" s="14">
        <v>30</v>
      </c>
      <c r="M2" s="1">
        <v>25</v>
      </c>
      <c r="N2" s="1">
        <f>C2*H2+D2*I2+E2*J2+F2*K2+G2*L2</f>
        <v>25</v>
      </c>
      <c r="O2" s="1">
        <f>COUNTIF('Gold Sink - Recipe Cost'!$H$2:$M$10,A2)</f>
        <v>0</v>
      </c>
    </row>
    <row r="3" spans="1:15" x14ac:dyDescent="0.25">
      <c r="A3" s="1">
        <v>9003</v>
      </c>
      <c r="B3" s="1" t="s">
        <v>63</v>
      </c>
      <c r="C3" s="14">
        <v>0.1</v>
      </c>
      <c r="D3" s="14">
        <v>0.25</v>
      </c>
      <c r="E3" s="14">
        <v>0.3</v>
      </c>
      <c r="F3" s="14">
        <v>0.25</v>
      </c>
      <c r="G3" s="14">
        <v>0.1</v>
      </c>
      <c r="H3" s="14">
        <v>20</v>
      </c>
      <c r="I3" s="14">
        <v>23</v>
      </c>
      <c r="J3" s="14">
        <v>25</v>
      </c>
      <c r="K3" s="14">
        <v>27</v>
      </c>
      <c r="L3" s="14">
        <v>30</v>
      </c>
      <c r="M3" s="1">
        <v>25</v>
      </c>
      <c r="N3" s="1">
        <f>C3*H3+D3*I3+E3*J3+F3*K3+G3*L3</f>
        <v>25</v>
      </c>
      <c r="O3" s="1">
        <f>COUNTIF('Gold Sink - Recipe Cost'!$H$2:$M$10,A3)</f>
        <v>0</v>
      </c>
    </row>
    <row r="4" spans="1:15" x14ac:dyDescent="0.25">
      <c r="A4" s="1">
        <v>9006</v>
      </c>
      <c r="B4" s="1" t="s">
        <v>65</v>
      </c>
      <c r="C4" s="14">
        <v>0.1</v>
      </c>
      <c r="D4" s="14">
        <v>0.25</v>
      </c>
      <c r="E4" s="14">
        <v>0.3</v>
      </c>
      <c r="F4" s="14">
        <v>0.25</v>
      </c>
      <c r="G4" s="14">
        <v>0.1</v>
      </c>
      <c r="H4" s="14">
        <v>4</v>
      </c>
      <c r="I4" s="14">
        <v>5</v>
      </c>
      <c r="J4" s="14">
        <v>5</v>
      </c>
      <c r="K4" s="14">
        <v>5</v>
      </c>
      <c r="L4" s="14">
        <v>6</v>
      </c>
      <c r="M4" s="1">
        <v>5</v>
      </c>
      <c r="N4" s="1">
        <f>C4*H4+D4*I4+E4*J4+F4*K4+G4*L4</f>
        <v>5</v>
      </c>
      <c r="O4" s="1">
        <f>COUNTIF('Gold Sink - Recipe Cost'!$H$2:$M$10,A4)</f>
        <v>0</v>
      </c>
    </row>
    <row r="5" spans="1:15" x14ac:dyDescent="0.25">
      <c r="A5" s="1">
        <v>9022</v>
      </c>
      <c r="B5" s="4" t="s">
        <v>71</v>
      </c>
      <c r="C5" s="14">
        <v>0.1</v>
      </c>
      <c r="D5" s="14">
        <v>0.25</v>
      </c>
      <c r="E5" s="14">
        <v>0.3</v>
      </c>
      <c r="F5" s="14">
        <v>0.25</v>
      </c>
      <c r="G5" s="14">
        <v>0.1</v>
      </c>
      <c r="H5" s="14">
        <v>4</v>
      </c>
      <c r="I5" s="14">
        <v>5</v>
      </c>
      <c r="J5" s="14">
        <v>5</v>
      </c>
      <c r="K5" s="14">
        <v>5</v>
      </c>
      <c r="L5" s="14">
        <v>6</v>
      </c>
      <c r="M5" s="1">
        <v>5</v>
      </c>
      <c r="N5" s="1">
        <f>C5*H5+D5*I5+E5*J5+F5*K5+G5*L5</f>
        <v>5</v>
      </c>
      <c r="O5" s="1">
        <f>COUNTIF('Gold Sink - Recipe Cost'!$H$2:$M$10,A5)</f>
        <v>0</v>
      </c>
    </row>
    <row r="6" spans="1:15" x14ac:dyDescent="0.25">
      <c r="A6" s="1">
        <v>9021</v>
      </c>
      <c r="B6" s="4" t="s">
        <v>70</v>
      </c>
      <c r="C6" s="14">
        <v>0.1</v>
      </c>
      <c r="D6" s="14">
        <v>0.25</v>
      </c>
      <c r="E6" s="14">
        <v>0.3</v>
      </c>
      <c r="F6" s="14">
        <v>0.25</v>
      </c>
      <c r="G6" s="14">
        <v>0.1</v>
      </c>
      <c r="H6" s="14">
        <v>4</v>
      </c>
      <c r="I6" s="14">
        <v>5</v>
      </c>
      <c r="J6" s="14">
        <v>5</v>
      </c>
      <c r="K6" s="14">
        <v>5</v>
      </c>
      <c r="L6" s="14">
        <v>6</v>
      </c>
      <c r="M6" s="1">
        <v>5</v>
      </c>
      <c r="N6" s="1">
        <f>C6*H6+D6*I6+E6*J6+F6*K6+G6*L6</f>
        <v>5</v>
      </c>
      <c r="O6" s="1">
        <f>COUNTIF('Gold Sink - Recipe Cost'!$H$2:$M$10,A6)</f>
        <v>0</v>
      </c>
    </row>
    <row r="7" spans="1:15" x14ac:dyDescent="0.25">
      <c r="A7" s="1">
        <v>9011</v>
      </c>
      <c r="B7" s="1" t="s">
        <v>69</v>
      </c>
      <c r="C7" s="14">
        <v>0.1</v>
      </c>
      <c r="D7" s="14">
        <v>0.25</v>
      </c>
      <c r="E7" s="14">
        <v>0.3</v>
      </c>
      <c r="F7" s="14">
        <v>0.25</v>
      </c>
      <c r="G7" s="14">
        <v>0.1</v>
      </c>
      <c r="H7" s="14">
        <v>6</v>
      </c>
      <c r="I7" s="14">
        <v>7</v>
      </c>
      <c r="J7" s="14">
        <v>8</v>
      </c>
      <c r="K7" s="14">
        <v>9</v>
      </c>
      <c r="L7" s="14">
        <v>10</v>
      </c>
      <c r="M7" s="1">
        <v>8</v>
      </c>
      <c r="N7" s="1">
        <f>C7*H7+D7*I7+E7*J7+F7*K7+G7*L7</f>
        <v>8</v>
      </c>
      <c r="O7" s="1">
        <f>COUNTIF('Gold Sink - Recipe Cost'!$H$2:$M$10,A7)</f>
        <v>2</v>
      </c>
    </row>
    <row r="8" spans="1:15" x14ac:dyDescent="0.25">
      <c r="A8" s="1">
        <v>9009</v>
      </c>
      <c r="B8" s="1" t="s">
        <v>67</v>
      </c>
      <c r="C8" s="14">
        <v>0.1</v>
      </c>
      <c r="D8" s="14">
        <v>0.25</v>
      </c>
      <c r="E8" s="14">
        <v>0.3</v>
      </c>
      <c r="F8" s="14">
        <v>0.25</v>
      </c>
      <c r="G8" s="14">
        <v>0.1</v>
      </c>
      <c r="H8" s="14">
        <v>6</v>
      </c>
      <c r="I8" s="14">
        <v>7</v>
      </c>
      <c r="J8" s="14">
        <v>8</v>
      </c>
      <c r="K8" s="14">
        <v>9</v>
      </c>
      <c r="L8" s="14">
        <v>10</v>
      </c>
      <c r="M8" s="1">
        <v>8</v>
      </c>
      <c r="N8" s="1">
        <f>C8*H8+D8*I8+E8*J8+F8*K8+G8*L8</f>
        <v>8</v>
      </c>
      <c r="O8" s="1">
        <f>COUNTIF('Gold Sink - Recipe Cost'!$H$2:$M$10,A8)</f>
        <v>1</v>
      </c>
    </row>
    <row r="9" spans="1:15" x14ac:dyDescent="0.25">
      <c r="A9" s="1">
        <v>9010</v>
      </c>
      <c r="B9" s="1" t="s">
        <v>68</v>
      </c>
      <c r="C9" s="14">
        <v>0.1</v>
      </c>
      <c r="D9" s="14">
        <v>0.25</v>
      </c>
      <c r="E9" s="14">
        <v>0.3</v>
      </c>
      <c r="F9" s="14">
        <v>0.25</v>
      </c>
      <c r="G9" s="14">
        <v>0.1</v>
      </c>
      <c r="H9" s="14">
        <v>6</v>
      </c>
      <c r="I9" s="14">
        <v>7</v>
      </c>
      <c r="J9" s="14">
        <v>8</v>
      </c>
      <c r="K9" s="14">
        <v>9</v>
      </c>
      <c r="L9" s="14">
        <v>10</v>
      </c>
      <c r="M9" s="1">
        <v>8</v>
      </c>
      <c r="N9" s="1">
        <f>C9*H9+D9*I9+E9*J9+F9*K9+G9*L9</f>
        <v>8</v>
      </c>
      <c r="O9" s="1">
        <f>COUNTIF('Gold Sink - Recipe Cost'!$H$2:$M$10,A9)</f>
        <v>2</v>
      </c>
    </row>
    <row r="10" spans="1:15" x14ac:dyDescent="0.25">
      <c r="A10" s="1">
        <v>9007</v>
      </c>
      <c r="B10" s="1" t="s">
        <v>66</v>
      </c>
      <c r="C10" s="14">
        <v>0.1</v>
      </c>
      <c r="D10" s="14">
        <v>0.25</v>
      </c>
      <c r="E10" s="14">
        <v>0.3</v>
      </c>
      <c r="F10" s="14">
        <v>0.25</v>
      </c>
      <c r="G10" s="14">
        <v>0.1</v>
      </c>
      <c r="H10" s="14">
        <v>10</v>
      </c>
      <c r="I10" s="14">
        <v>11</v>
      </c>
      <c r="J10" s="14">
        <v>12</v>
      </c>
      <c r="K10" s="14">
        <v>13</v>
      </c>
      <c r="L10" s="14">
        <v>14</v>
      </c>
      <c r="M10" s="1">
        <v>12</v>
      </c>
      <c r="N10" s="1">
        <f>C10*H10+D10*I10+E10*J10+F10*K10+G10*L10</f>
        <v>12</v>
      </c>
      <c r="O10" s="1">
        <f>COUNTIF('Gold Sink - Recipe Cost'!$H$2:$M$10,A10)</f>
        <v>2</v>
      </c>
    </row>
    <row r="11" spans="1:15" x14ac:dyDescent="0.25">
      <c r="A11" s="1">
        <v>9002</v>
      </c>
      <c r="B11" s="1" t="s">
        <v>62</v>
      </c>
      <c r="C11" s="14">
        <v>0.1</v>
      </c>
      <c r="D11" s="14">
        <v>0.25</v>
      </c>
      <c r="E11" s="14">
        <v>0.3</v>
      </c>
      <c r="F11" s="14">
        <v>0.25</v>
      </c>
      <c r="G11" s="14">
        <v>0.1</v>
      </c>
      <c r="H11" s="14">
        <v>10</v>
      </c>
      <c r="I11" s="14">
        <v>11</v>
      </c>
      <c r="J11" s="14">
        <v>12</v>
      </c>
      <c r="K11" s="14">
        <v>13</v>
      </c>
      <c r="L11" s="14">
        <v>14</v>
      </c>
      <c r="M11" s="1">
        <v>12</v>
      </c>
      <c r="N11" s="1">
        <f>C11*H11+D11*I11+E11*J11+F11*K11+G11*L11</f>
        <v>12</v>
      </c>
      <c r="O11" s="1">
        <f>COUNTIF('Gold Sink - Recipe Cost'!$H$2:$M$10,A11)</f>
        <v>3</v>
      </c>
    </row>
    <row r="12" spans="1:15" x14ac:dyDescent="0.25">
      <c r="A12" s="1">
        <v>9004</v>
      </c>
      <c r="B12" s="1" t="s">
        <v>33</v>
      </c>
      <c r="C12" s="14">
        <v>0.1</v>
      </c>
      <c r="D12" s="14">
        <v>0.25</v>
      </c>
      <c r="E12" s="14">
        <v>0.3</v>
      </c>
      <c r="F12" s="14">
        <v>0.25</v>
      </c>
      <c r="G12" s="14">
        <v>0.1</v>
      </c>
      <c r="H12" s="14">
        <v>40</v>
      </c>
      <c r="I12" s="14">
        <v>45</v>
      </c>
      <c r="J12" s="14">
        <v>50</v>
      </c>
      <c r="K12" s="14">
        <v>55</v>
      </c>
      <c r="L12" s="14">
        <v>60</v>
      </c>
      <c r="M12" s="6">
        <v>50</v>
      </c>
      <c r="N12" s="1">
        <f>C12*H12+D12*I12+E12*J12+F12*K12+G12*L12</f>
        <v>50</v>
      </c>
      <c r="O12" s="1">
        <f>COUNTIF('Gold Sink - Recipe Cost'!$H$2:$M$10,A12)</f>
        <v>8</v>
      </c>
    </row>
    <row r="13" spans="1:15" x14ac:dyDescent="0.25">
      <c r="A13" s="1">
        <v>0</v>
      </c>
    </row>
    <row r="14" spans="1:15" x14ac:dyDescent="0.25">
      <c r="A14" s="1">
        <v>9017</v>
      </c>
      <c r="B14" s="1" t="s">
        <v>83</v>
      </c>
      <c r="M14" s="1">
        <f>'Gold Sink - Recipe Cost'!G2</f>
        <v>20</v>
      </c>
    </row>
    <row r="15" spans="1:15" x14ac:dyDescent="0.25">
      <c r="A15" s="1">
        <v>8</v>
      </c>
      <c r="B15" s="1" t="s">
        <v>84</v>
      </c>
      <c r="M15" s="1">
        <v>1.5</v>
      </c>
    </row>
    <row r="16" spans="1:15" x14ac:dyDescent="0.25">
      <c r="A16" s="1">
        <v>9014</v>
      </c>
      <c r="B16" s="1" t="s">
        <v>85</v>
      </c>
      <c r="M16" s="1">
        <f>'Gold Sink - Recipe Cost'!G7</f>
        <v>132</v>
      </c>
    </row>
  </sheetData>
  <sortState ref="A2:AU31">
    <sortCondition ref="O2:O31"/>
  </sortState>
  <conditionalFormatting sqref="A1:G1 M12 A2:L12">
    <cfRule type="cellIs" dxfId="1" priority="23" operator="equal">
      <formula>-1</formula>
    </cfRule>
  </conditionalFormatting>
  <conditionalFormatting sqref="H1:M1">
    <cfRule type="cellIs" dxfId="0" priority="1" operator="equal">
      <formula>-1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Bone Source - Tasks</vt:lpstr>
      <vt:lpstr>Bone Source - Recipes</vt:lpstr>
      <vt:lpstr>Driftwood Source - Treasure</vt:lpstr>
      <vt:lpstr>Bone Sink - Decos</vt:lpstr>
      <vt:lpstr>Gold Sink - Recipe Cost</vt:lpstr>
      <vt:lpstr>Gold Sink - Ingredient Cost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Phipps</dc:creator>
  <cp:lastModifiedBy>Ian Phipps</cp:lastModifiedBy>
  <cp:lastPrinted>2014-09-13T21:23:10Z</cp:lastPrinted>
  <dcterms:created xsi:type="dcterms:W3CDTF">2014-09-12T21:30:49Z</dcterms:created>
  <dcterms:modified xsi:type="dcterms:W3CDTF">2014-09-14T03:10:31Z</dcterms:modified>
</cp:coreProperties>
</file>