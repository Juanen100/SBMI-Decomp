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bookViews>
    <workbookView xWindow="0" yWindow="0" windowWidth="20490" windowHeight="7755" activeTab="1"/>
  </bookViews>
  <sheets>
    <sheet name="Sheet1" sheetId="1" r:id="rId1"/>
    <sheet name="Sheet4" sheetId="4" r:id="rId2"/>
    <sheet name="Sheet3" sheetId="3" r:id="rId3"/>
    <sheet name="Sheet2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7" i="1" s="1"/>
  <c r="E6" i="1" s="1"/>
  <c r="E5" i="1" s="1"/>
  <c r="E4" i="1" s="1"/>
  <c r="E3" i="1" s="1"/>
  <c r="E2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" i="1"/>
  <c r="D4" i="1" l="1"/>
  <c r="F4" i="1" s="1"/>
  <c r="G4" i="1" s="1"/>
  <c r="D5" i="1"/>
  <c r="F5" i="1" s="1"/>
  <c r="G5" i="1" s="1"/>
  <c r="D21" i="1"/>
  <c r="F21" i="1" s="1"/>
  <c r="G21" i="1" s="1"/>
  <c r="D22" i="1"/>
  <c r="F22" i="1" s="1"/>
  <c r="G22" i="1" s="1"/>
  <c r="D29" i="1"/>
  <c r="F29" i="1" s="1"/>
  <c r="G29" i="1" s="1"/>
  <c r="D30" i="1"/>
  <c r="F30" i="1" s="1"/>
  <c r="G30" i="1" s="1"/>
  <c r="C4" i="1"/>
  <c r="C5" i="1"/>
  <c r="C7" i="1"/>
  <c r="C8" i="1"/>
  <c r="C9" i="1"/>
  <c r="C10" i="1"/>
  <c r="C11" i="1"/>
  <c r="D11" i="1" s="1"/>
  <c r="F11" i="1" s="1"/>
  <c r="G11" i="1" s="1"/>
  <c r="C12" i="1"/>
  <c r="D12" i="1" s="1"/>
  <c r="F12" i="1" s="1"/>
  <c r="G12" i="1" s="1"/>
  <c r="C13" i="1"/>
  <c r="D13" i="1" s="1"/>
  <c r="F13" i="1" s="1"/>
  <c r="G13" i="1" s="1"/>
  <c r="C14" i="1"/>
  <c r="D14" i="1" s="1"/>
  <c r="F14" i="1" s="1"/>
  <c r="G14" i="1" s="1"/>
  <c r="C15" i="1"/>
  <c r="D15" i="1" s="1"/>
  <c r="F15" i="1" s="1"/>
  <c r="G15" i="1" s="1"/>
  <c r="C16" i="1"/>
  <c r="D16" i="1" s="1"/>
  <c r="F16" i="1" s="1"/>
  <c r="G16" i="1" s="1"/>
  <c r="C17" i="1"/>
  <c r="D17" i="1" s="1"/>
  <c r="F17" i="1" s="1"/>
  <c r="G17" i="1" s="1"/>
  <c r="C18" i="1"/>
  <c r="D18" i="1" s="1"/>
  <c r="F18" i="1" s="1"/>
  <c r="G18" i="1" s="1"/>
  <c r="C19" i="1"/>
  <c r="D19" i="1" s="1"/>
  <c r="F19" i="1" s="1"/>
  <c r="G19" i="1" s="1"/>
  <c r="C20" i="1"/>
  <c r="D20" i="1" s="1"/>
  <c r="F20" i="1" s="1"/>
  <c r="G20" i="1" s="1"/>
  <c r="C21" i="1"/>
  <c r="C22" i="1"/>
  <c r="C23" i="1"/>
  <c r="D23" i="1" s="1"/>
  <c r="F23" i="1" s="1"/>
  <c r="G23" i="1" s="1"/>
  <c r="C24" i="1"/>
  <c r="D24" i="1" s="1"/>
  <c r="F24" i="1" s="1"/>
  <c r="G24" i="1" s="1"/>
  <c r="C25" i="1"/>
  <c r="D25" i="1" s="1"/>
  <c r="F25" i="1" s="1"/>
  <c r="G25" i="1" s="1"/>
  <c r="C26" i="1"/>
  <c r="D26" i="1" s="1"/>
  <c r="F26" i="1" s="1"/>
  <c r="G26" i="1" s="1"/>
  <c r="C27" i="1"/>
  <c r="D27" i="1" s="1"/>
  <c r="F27" i="1" s="1"/>
  <c r="G27" i="1" s="1"/>
  <c r="C28" i="1"/>
  <c r="D28" i="1" s="1"/>
  <c r="F28" i="1" s="1"/>
  <c r="G28" i="1" s="1"/>
  <c r="C29" i="1"/>
  <c r="C30" i="1"/>
  <c r="C31" i="1"/>
  <c r="D31" i="1" s="1"/>
  <c r="F31" i="1" s="1"/>
  <c r="G31" i="1" s="1"/>
  <c r="C32" i="1"/>
  <c r="D32" i="1" s="1"/>
  <c r="F32" i="1" s="1"/>
  <c r="G32" i="1" s="1"/>
  <c r="C3" i="1"/>
  <c r="C6" i="1"/>
  <c r="D6" i="1" s="1"/>
  <c r="F6" i="1" s="1"/>
  <c r="G6" i="1" s="1"/>
  <c r="C2" i="1"/>
  <c r="D3" i="1" l="1"/>
  <c r="F3" i="1" s="1"/>
  <c r="G3" i="1" s="1"/>
  <c r="D10" i="1"/>
  <c r="F10" i="1" s="1"/>
  <c r="G10" i="1" s="1"/>
  <c r="D2" i="1"/>
  <c r="F2" i="1" s="1"/>
  <c r="G2" i="1" s="1"/>
  <c r="D9" i="1"/>
  <c r="F9" i="1" s="1"/>
  <c r="G9" i="1" s="1"/>
  <c r="D8" i="1"/>
  <c r="F8" i="1" s="1"/>
  <c r="G8" i="1" s="1"/>
  <c r="D7" i="1"/>
  <c r="F7" i="1" s="1"/>
  <c r="G7" i="1" s="1"/>
</calcChain>
</file>

<file path=xl/sharedStrings.xml><?xml version="1.0" encoding="utf-8"?>
<sst xmlns="http://schemas.openxmlformats.org/spreadsheetml/2006/main" count="60" uniqueCount="60">
  <si>
    <t>Base Payout per Hour</t>
  </si>
  <si>
    <t>Number of hours in a task</t>
  </si>
  <si>
    <t>Proposed Payout</t>
  </si>
  <si>
    <t>Proposed Payout per Hour</t>
  </si>
  <si>
    <t>Number of seconds in a task</t>
  </si>
  <si>
    <t>Flat Payout per Task</t>
  </si>
  <si>
    <t>Percent  of Flat Payout</t>
  </si>
  <si>
    <t>Percent lost per step</t>
  </si>
  <si>
    <t>s:Name</t>
  </si>
  <si>
    <t>i:DID</t>
  </si>
  <si>
    <t>i:Rent Time</t>
  </si>
  <si>
    <t>i:Product Resources Gold</t>
  </si>
  <si>
    <t>name</t>
  </si>
  <si>
    <t>did</t>
  </si>
  <si>
    <t>rent_time</t>
  </si>
  <si>
    <t>product|resources|3</t>
  </si>
  <si>
    <t>!!BLDG_NAME_ELF_APARTMENTS</t>
  </si>
  <si>
    <t>!!BLDG_NAME_TOY_FACTORY</t>
  </si>
  <si>
    <t>!!BLDG_NAME_SB</t>
  </si>
  <si>
    <t>!!BLDG_NAME_PATRICK</t>
  </si>
  <si>
    <t>!!BLDG_NAME_1022_DAVES_HOUSE</t>
  </si>
  <si>
    <t>!!BLDG_NAME_9004_TYLERS_HOUSE_LIGHTBLUE</t>
  </si>
  <si>
    <t>!!BLDG_NAME_FRYCOOK</t>
  </si>
  <si>
    <t>!!BLDG_NAME_POLICE</t>
  </si>
  <si>
    <t>!!BLDG_NAME_MRKRAB</t>
  </si>
  <si>
    <t>!!BLDG_NAME_TREEDOME</t>
  </si>
  <si>
    <t>!!BLDG_NAME_SHOALS</t>
  </si>
  <si>
    <t>!!BLDG_NAME_HOSPITAL</t>
  </si>
  <si>
    <t>!!BLDG_NAME_JAIL</t>
  </si>
  <si>
    <t>!!BLDG_NAME_THEREEF</t>
  </si>
  <si>
    <t>!!BLDG_NAME_JELLYSTD</t>
  </si>
  <si>
    <t>!!BLDG_NAME_GYM</t>
  </si>
  <si>
    <t>!!BLDG_NAME_MSPUFF</t>
  </si>
  <si>
    <t>!!BLDG_NAME_SPITOON</t>
  </si>
  <si>
    <t>!!BLDG_NAME_EASTER</t>
  </si>
  <si>
    <t>!!BLDG_NAME_SQUILL</t>
  </si>
  <si>
    <t>!!BLDG_NAME_9002_HARRYS_HOUSE_GREEN</t>
  </si>
  <si>
    <t>!!BLDG_NAME_1023_JUDYS_HOUSE</t>
  </si>
  <si>
    <t>!!BLDG_NAME_9000_TOMMYS_HOUSE</t>
  </si>
  <si>
    <t>!!BLDG_NAME_9003_SUSIES_HOUSE_ORANGE</t>
  </si>
  <si>
    <t>!!BLDG_NAME_9006_MARTHAS_HOUSE</t>
  </si>
  <si>
    <t>!!BLDG_NAME_9009_FRANKS_HOUSE</t>
  </si>
  <si>
    <t>!!BLDG_NAME_1031_BILLS_HOUSE</t>
  </si>
  <si>
    <t>!!BLDG_NAME_HILLBILLY_HOUSE</t>
  </si>
  <si>
    <t>!!BLDG_NAME_ANGLER_HOUSE</t>
  </si>
  <si>
    <t>!!BLDG_NAME_SLASHERS_HOUSE</t>
  </si>
  <si>
    <t>!!BLDG_NAME_9005_SOPHIES_HOUSE</t>
  </si>
  <si>
    <t>!!BLDG_NAME_1051_BOBS_HOUSE</t>
  </si>
  <si>
    <t>!!BLDG_NAME_9001_JOHNS_HOUSE_LIGHTBLUE</t>
  </si>
  <si>
    <t>!!BLDG_NAME_1050_LENNYS_HOUSE_YELLOW</t>
  </si>
  <si>
    <t>1/2 Hour = 20-30 Gold</t>
  </si>
  <si>
    <t>1 Hour = 30-50 Gold</t>
  </si>
  <si>
    <t>3 Hours = 60-65 Gold</t>
  </si>
  <si>
    <t>6 Hours = 70-80 Gold</t>
  </si>
  <si>
    <t>8 Hours = 80-90 Gold</t>
  </si>
  <si>
    <t>12 Hours = 90-100 Gold</t>
  </si>
  <si>
    <t>24 Hours = 120-130 Gold</t>
  </si>
  <si>
    <t>Building-derived</t>
  </si>
  <si>
    <t>i:Reward Gold</t>
  </si>
  <si>
    <t>i:Reward 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</si>
</sst>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wrapText="1"/>
    </xf>
    <xf numFmtId="0" fontId="1" fillId="0" borderId="0" xfId="0" applyFont="1" applyAlignment="1">
      <alignment horizontal="left" vertical="center" wrapText="1" indent="5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Proposed Payout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Sheet1!$F$2:$F$32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11</c:v>
                </c:pt>
                <c:pt idx="6">
                  <c:v>16</c:v>
                </c:pt>
                <c:pt idx="7">
                  <c:v>20</c:v>
                </c:pt>
                <c:pt idx="8">
                  <c:v>39</c:v>
                </c:pt>
                <c:pt idx="9">
                  <c:v>57</c:v>
                </c:pt>
                <c:pt idx="10">
                  <c:v>74</c:v>
                </c:pt>
                <c:pt idx="11">
                  <c:v>90</c:v>
                </c:pt>
                <c:pt idx="12">
                  <c:v>105</c:v>
                </c:pt>
                <c:pt idx="13">
                  <c:v>118</c:v>
                </c:pt>
                <c:pt idx="14">
                  <c:v>131</c:v>
                </c:pt>
                <c:pt idx="15">
                  <c:v>142</c:v>
                </c:pt>
                <c:pt idx="16">
                  <c:v>153</c:v>
                </c:pt>
                <c:pt idx="17">
                  <c:v>162</c:v>
                </c:pt>
                <c:pt idx="18">
                  <c:v>171</c:v>
                </c:pt>
                <c:pt idx="19">
                  <c:v>178</c:v>
                </c:pt>
                <c:pt idx="20">
                  <c:v>184</c:v>
                </c:pt>
                <c:pt idx="21">
                  <c:v>189</c:v>
                </c:pt>
                <c:pt idx="22">
                  <c:v>193</c:v>
                </c:pt>
                <c:pt idx="23">
                  <c:v>196</c:v>
                </c:pt>
                <c:pt idx="24">
                  <c:v>198</c:v>
                </c:pt>
                <c:pt idx="25">
                  <c:v>199</c:v>
                </c:pt>
                <c:pt idx="26">
                  <c:v>199</c:v>
                </c:pt>
                <c:pt idx="27">
                  <c:v>198</c:v>
                </c:pt>
                <c:pt idx="28">
                  <c:v>196</c:v>
                </c:pt>
                <c:pt idx="29">
                  <c:v>192</c:v>
                </c:pt>
                <c:pt idx="30">
                  <c:v>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060248"/>
        <c:axId val="458057504"/>
      </c:lineChart>
      <c:catAx>
        <c:axId val="458060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57504"/>
        <c:crosses val="autoZero"/>
        <c:auto val="1"/>
        <c:lblAlgn val="ctr"/>
        <c:lblOffset val="100"/>
        <c:noMultiLvlLbl val="0"/>
      </c:catAx>
      <c:valAx>
        <c:axId val="4580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60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Flat Payout per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Sheet1!$D$2:$D$32</c:f>
              <c:numCache>
                <c:formatCode>General</c:formatCode>
                <c:ptCount val="31"/>
                <c:pt idx="0">
                  <c:v>0.16666666666666666</c:v>
                </c:pt>
                <c:pt idx="1">
                  <c:v>0.33333333333333331</c:v>
                </c:pt>
                <c:pt idx="2">
                  <c:v>0.66666666666666663</c:v>
                </c:pt>
                <c:pt idx="3">
                  <c:v>1.6666666666666665</c:v>
                </c:pt>
                <c:pt idx="4">
                  <c:v>3.333333333333333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40</c:v>
                </c:pt>
                <c:pt idx="9">
                  <c:v>60</c:v>
                </c:pt>
                <c:pt idx="10">
                  <c:v>80</c:v>
                </c:pt>
                <c:pt idx="11">
                  <c:v>100</c:v>
                </c:pt>
                <c:pt idx="12">
                  <c:v>120</c:v>
                </c:pt>
                <c:pt idx="13">
                  <c:v>140</c:v>
                </c:pt>
                <c:pt idx="14">
                  <c:v>160</c:v>
                </c:pt>
                <c:pt idx="15">
                  <c:v>180</c:v>
                </c:pt>
                <c:pt idx="16">
                  <c:v>200</c:v>
                </c:pt>
                <c:pt idx="17">
                  <c:v>220</c:v>
                </c:pt>
                <c:pt idx="18">
                  <c:v>240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  <c:pt idx="22">
                  <c:v>320</c:v>
                </c:pt>
                <c:pt idx="23">
                  <c:v>340</c:v>
                </c:pt>
                <c:pt idx="24">
                  <c:v>360</c:v>
                </c:pt>
                <c:pt idx="25">
                  <c:v>380</c:v>
                </c:pt>
                <c:pt idx="26">
                  <c:v>400</c:v>
                </c:pt>
                <c:pt idx="27">
                  <c:v>420</c:v>
                </c:pt>
                <c:pt idx="28">
                  <c:v>440</c:v>
                </c:pt>
                <c:pt idx="29">
                  <c:v>460</c:v>
                </c:pt>
                <c:pt idx="30">
                  <c:v>480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059856"/>
        <c:axId val="458057896"/>
      </c:lineChart>
      <c:catAx>
        <c:axId val="45805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57896"/>
        <c:crosses val="autoZero"/>
        <c:auto val="1"/>
        <c:lblAlgn val="ctr"/>
        <c:lblOffset val="100"/>
        <c:noMultiLvlLbl val="0"/>
      </c:catAx>
      <c:valAx>
        <c:axId val="45805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5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Building-derived</c:v>
                </c:pt>
              </c:strCache>
            </c:strRef>
          </c:tx>
          <c:spPr>
            <a:ln w="28575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Sheet1!$J$2:$J$32</c:f>
              <c:numCache>
                <c:formatCode>General</c:formatCode>
                <c:ptCount val="3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7</c:v>
                </c:pt>
                <c:pt idx="4">
                  <c:v>10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65</c:v>
                </c:pt>
                <c:pt idx="12">
                  <c:v>70</c:v>
                </c:pt>
                <c:pt idx="14">
                  <c:v>80</c:v>
                </c:pt>
                <c:pt idx="16">
                  <c:v>85</c:v>
                </c:pt>
                <c:pt idx="18">
                  <c:v>90</c:v>
                </c:pt>
                <c:pt idx="30">
                  <c:v>120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059072"/>
        <c:axId val="255739592"/>
      </c:lineChart>
      <c:catAx>
        <c:axId val="45805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39592"/>
        <c:crosses val="autoZero"/>
        <c:auto val="1"/>
        <c:lblAlgn val="ctr"/>
        <c:lblOffset val="100"/>
        <c:noMultiLvlLbl val="0"/>
      </c:catAx>
      <c:valAx>
        <c:axId val="25573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5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12</xdr:row>
      <xdr:rowOff>157162</xdr:rowOff>
    </xdr:from>
    <xdr:to>
      <xdr:col>27</xdr:col>
      <xdr:colOff>323850</xdr:colOff>
      <xdr:row>27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266700</xdr:colOff>
      <xdr:row>0</xdr:row>
      <xdr:rowOff>133350</xdr:rowOff>
    </xdr:from>
    <xdr:to>
      <xdr:col>27</xdr:col>
      <xdr:colOff>323850</xdr:colOff>
      <xdr:row>12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404812</xdr:colOff>
      <xdr:row>33</xdr:row>
      <xdr:rowOff>23812</xdr:rowOff>
    </xdr:from>
    <xdr:to>
      <xdr:col>12</xdr:col>
      <xdr:colOff>1319212</xdr:colOff>
      <xdr:row>47</xdr:row>
      <xdr:rowOff>100012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I2" sqref="I2:I32"/>
    </sheetView>
  </sheetViews>
  <sheetFormatPr defaultRowHeight="15" x14ac:dyDescent="0.25"/>
  <cols>
    <col min="4" max="4" width="8" customWidth="1"/>
    <col min="5" max="5" width="9" bestFit="1" customWidth="1"/>
    <col min="13" max="13" width="28.7109375" bestFit="1" customWidth="1"/>
  </cols>
  <sheetData>
    <row r="1" spans="1:10" s="1" customFormat="1" ht="60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7</v>
      </c>
      <c r="J1" s="1" t="s">
        <v>57</v>
      </c>
    </row>
    <row r="2" spans="1:10" x14ac:dyDescent="0.25">
      <c r="A2">
        <v>30</v>
      </c>
      <c r="B2" s="2">
        <v>20</v>
      </c>
      <c r="C2">
        <f>A2/3600</f>
        <v>8.3333333333333332E-3</v>
      </c>
      <c r="D2">
        <f>C2*B2</f>
        <v>0.16666666666666666</v>
      </c>
      <c r="E2">
        <f t="shared" ref="E2:E7" si="0">E3+($H$2*C2)</f>
        <v>1.0412958333333335</v>
      </c>
      <c r="F2" s="5">
        <f>ROUNDUP(D2*E2,0)</f>
        <v>1</v>
      </c>
      <c r="G2" s="3">
        <f>F2/C2</f>
        <v>120</v>
      </c>
      <c r="H2" s="6">
        <v>2.6499999999999999E-2</v>
      </c>
      <c r="I2">
        <v>2</v>
      </c>
      <c r="J2">
        <v>2</v>
      </c>
    </row>
    <row r="3" spans="1:10" x14ac:dyDescent="0.25">
      <c r="A3">
        <v>60</v>
      </c>
      <c r="B3">
        <f>$B$2</f>
        <v>20</v>
      </c>
      <c r="C3">
        <f t="shared" ref="C3:C32" si="1">A3/3600</f>
        <v>1.6666666666666666E-2</v>
      </c>
      <c r="D3">
        <f t="shared" ref="D3:D32" si="2">C3*B3</f>
        <v>0.33333333333333331</v>
      </c>
      <c r="E3">
        <f t="shared" si="0"/>
        <v>1.0410750000000002</v>
      </c>
      <c r="F3" s="5">
        <f t="shared" ref="F3:F32" si="3">ROUNDUP(D3*E3,0)</f>
        <v>1</v>
      </c>
      <c r="G3" s="3">
        <f t="shared" ref="G3:G32" si="4">F3/C3</f>
        <v>60</v>
      </c>
      <c r="I3">
        <v>3</v>
      </c>
      <c r="J3">
        <v>3</v>
      </c>
    </row>
    <row r="4" spans="1:10" x14ac:dyDescent="0.25">
      <c r="A4">
        <v>120</v>
      </c>
      <c r="B4">
        <f t="shared" ref="B4:B32" si="5">$B$2</f>
        <v>20</v>
      </c>
      <c r="C4">
        <f t="shared" si="1"/>
        <v>3.3333333333333333E-2</v>
      </c>
      <c r="D4">
        <f t="shared" si="2"/>
        <v>0.66666666666666663</v>
      </c>
      <c r="E4">
        <f t="shared" si="0"/>
        <v>1.0406333333333335</v>
      </c>
      <c r="F4" s="4">
        <f t="shared" si="3"/>
        <v>1</v>
      </c>
      <c r="G4" s="3">
        <f t="shared" si="4"/>
        <v>30</v>
      </c>
      <c r="I4">
        <v>4</v>
      </c>
      <c r="J4">
        <v>4</v>
      </c>
    </row>
    <row r="5" spans="1:10" x14ac:dyDescent="0.25">
      <c r="A5">
        <v>300</v>
      </c>
      <c r="B5">
        <f t="shared" si="5"/>
        <v>20</v>
      </c>
      <c r="C5">
        <f t="shared" si="1"/>
        <v>8.3333333333333329E-2</v>
      </c>
      <c r="D5">
        <f t="shared" si="2"/>
        <v>1.6666666666666665</v>
      </c>
      <c r="E5">
        <f t="shared" si="0"/>
        <v>1.0397500000000002</v>
      </c>
      <c r="F5" s="4">
        <f t="shared" si="3"/>
        <v>2</v>
      </c>
      <c r="G5" s="3">
        <f t="shared" si="4"/>
        <v>24</v>
      </c>
      <c r="I5">
        <v>7</v>
      </c>
      <c r="J5">
        <v>7</v>
      </c>
    </row>
    <row r="6" spans="1:10" x14ac:dyDescent="0.25">
      <c r="A6">
        <v>600</v>
      </c>
      <c r="B6">
        <f t="shared" si="5"/>
        <v>20</v>
      </c>
      <c r="C6">
        <f t="shared" si="1"/>
        <v>0.16666666666666666</v>
      </c>
      <c r="D6">
        <f t="shared" si="2"/>
        <v>3.333333333333333</v>
      </c>
      <c r="E6">
        <f t="shared" si="0"/>
        <v>1.0375416666666668</v>
      </c>
      <c r="F6" s="4">
        <f t="shared" si="3"/>
        <v>4</v>
      </c>
      <c r="G6" s="3">
        <f t="shared" si="4"/>
        <v>24</v>
      </c>
      <c r="I6">
        <v>10</v>
      </c>
      <c r="J6">
        <v>10</v>
      </c>
    </row>
    <row r="7" spans="1:10" x14ac:dyDescent="0.25">
      <c r="A7">
        <v>1800</v>
      </c>
      <c r="B7">
        <f t="shared" si="5"/>
        <v>20</v>
      </c>
      <c r="C7">
        <f t="shared" si="1"/>
        <v>0.5</v>
      </c>
      <c r="D7">
        <f t="shared" si="2"/>
        <v>10</v>
      </c>
      <c r="E7">
        <f t="shared" si="0"/>
        <v>1.0331250000000001</v>
      </c>
      <c r="F7" s="4">
        <f t="shared" si="3"/>
        <v>11</v>
      </c>
      <c r="G7" s="3">
        <f t="shared" si="4"/>
        <v>22</v>
      </c>
      <c r="I7">
        <v>20</v>
      </c>
      <c r="J7">
        <v>20</v>
      </c>
    </row>
    <row r="8" spans="1:10" x14ac:dyDescent="0.25">
      <c r="A8">
        <v>2700</v>
      </c>
      <c r="B8">
        <f t="shared" si="5"/>
        <v>20</v>
      </c>
      <c r="C8">
        <f t="shared" si="1"/>
        <v>0.75</v>
      </c>
      <c r="D8">
        <f t="shared" si="2"/>
        <v>15</v>
      </c>
      <c r="E8">
        <f>E9+($H$2*C8)</f>
        <v>1.0198750000000001</v>
      </c>
      <c r="F8" s="4">
        <f t="shared" si="3"/>
        <v>16</v>
      </c>
      <c r="G8" s="3">
        <f t="shared" si="4"/>
        <v>21.333333333333332</v>
      </c>
      <c r="I8">
        <v>30</v>
      </c>
      <c r="J8">
        <v>30</v>
      </c>
    </row>
    <row r="9" spans="1:10" x14ac:dyDescent="0.25">
      <c r="A9">
        <v>3600</v>
      </c>
      <c r="B9">
        <f t="shared" si="5"/>
        <v>20</v>
      </c>
      <c r="C9">
        <f t="shared" si="1"/>
        <v>1</v>
      </c>
      <c r="D9">
        <f t="shared" si="2"/>
        <v>20</v>
      </c>
      <c r="E9" s="2">
        <v>1</v>
      </c>
      <c r="F9" s="4">
        <f t="shared" si="3"/>
        <v>20</v>
      </c>
      <c r="G9" s="3">
        <f t="shared" si="4"/>
        <v>20</v>
      </c>
      <c r="I9">
        <v>40</v>
      </c>
      <c r="J9">
        <v>40</v>
      </c>
    </row>
    <row r="10" spans="1:10" x14ac:dyDescent="0.25">
      <c r="A10">
        <v>7200</v>
      </c>
      <c r="B10">
        <f t="shared" si="5"/>
        <v>20</v>
      </c>
      <c r="C10">
        <f t="shared" si="1"/>
        <v>2</v>
      </c>
      <c r="D10">
        <f t="shared" si="2"/>
        <v>40</v>
      </c>
      <c r="E10">
        <f t="shared" ref="E10:E32" si="6">E9-$H$2</f>
        <v>0.97350000000000003</v>
      </c>
      <c r="F10" s="4">
        <f t="shared" si="3"/>
        <v>39</v>
      </c>
      <c r="G10" s="3">
        <f t="shared" si="4"/>
        <v>19.5</v>
      </c>
      <c r="I10">
        <v>50</v>
      </c>
      <c r="J10">
        <v>50</v>
      </c>
    </row>
    <row r="11" spans="1:10" x14ac:dyDescent="0.25">
      <c r="A11">
        <v>10800</v>
      </c>
      <c r="B11">
        <f t="shared" si="5"/>
        <v>20</v>
      </c>
      <c r="C11">
        <f t="shared" si="1"/>
        <v>3</v>
      </c>
      <c r="D11">
        <f t="shared" si="2"/>
        <v>60</v>
      </c>
      <c r="E11">
        <f t="shared" si="6"/>
        <v>0.94700000000000006</v>
      </c>
      <c r="F11" s="5">
        <f t="shared" si="3"/>
        <v>57</v>
      </c>
      <c r="G11" s="3">
        <f t="shared" si="4"/>
        <v>19</v>
      </c>
      <c r="I11">
        <v>60</v>
      </c>
      <c r="J11">
        <v>60</v>
      </c>
    </row>
    <row r="12" spans="1:10" x14ac:dyDescent="0.25">
      <c r="A12">
        <v>14400</v>
      </c>
      <c r="B12">
        <f t="shared" si="5"/>
        <v>20</v>
      </c>
      <c r="C12">
        <f t="shared" si="1"/>
        <v>4</v>
      </c>
      <c r="D12">
        <f t="shared" si="2"/>
        <v>80</v>
      </c>
      <c r="E12">
        <f t="shared" si="6"/>
        <v>0.9205000000000001</v>
      </c>
      <c r="F12" s="4">
        <f t="shared" si="3"/>
        <v>74</v>
      </c>
      <c r="G12" s="3">
        <f t="shared" si="4"/>
        <v>18.5</v>
      </c>
      <c r="I12">
        <v>65</v>
      </c>
      <c r="J12">
        <v>65</v>
      </c>
    </row>
    <row r="13" spans="1:10" x14ac:dyDescent="0.25">
      <c r="A13">
        <v>18000</v>
      </c>
      <c r="B13">
        <f t="shared" si="5"/>
        <v>20</v>
      </c>
      <c r="C13">
        <f t="shared" si="1"/>
        <v>5</v>
      </c>
      <c r="D13">
        <f t="shared" si="2"/>
        <v>100</v>
      </c>
      <c r="E13">
        <f t="shared" si="6"/>
        <v>0.89400000000000013</v>
      </c>
      <c r="F13" s="5">
        <f t="shared" si="3"/>
        <v>90</v>
      </c>
      <c r="G13" s="3">
        <f t="shared" si="4"/>
        <v>18</v>
      </c>
    </row>
    <row r="14" spans="1:10" x14ac:dyDescent="0.25">
      <c r="A14">
        <v>21600</v>
      </c>
      <c r="B14">
        <f t="shared" si="5"/>
        <v>20</v>
      </c>
      <c r="C14">
        <f t="shared" si="1"/>
        <v>6</v>
      </c>
      <c r="D14">
        <f t="shared" si="2"/>
        <v>120</v>
      </c>
      <c r="E14">
        <f t="shared" si="6"/>
        <v>0.86750000000000016</v>
      </c>
      <c r="F14" s="4">
        <f t="shared" si="3"/>
        <v>105</v>
      </c>
      <c r="G14" s="3">
        <f t="shared" si="4"/>
        <v>17.5</v>
      </c>
      <c r="I14">
        <v>70</v>
      </c>
      <c r="J14">
        <v>70</v>
      </c>
    </row>
    <row r="15" spans="1:10" x14ac:dyDescent="0.25">
      <c r="A15">
        <v>25200</v>
      </c>
      <c r="B15">
        <f t="shared" si="5"/>
        <v>20</v>
      </c>
      <c r="C15">
        <f t="shared" si="1"/>
        <v>7</v>
      </c>
      <c r="D15">
        <f t="shared" si="2"/>
        <v>140</v>
      </c>
      <c r="E15">
        <f t="shared" si="6"/>
        <v>0.84100000000000019</v>
      </c>
      <c r="F15" s="5">
        <f t="shared" si="3"/>
        <v>118</v>
      </c>
      <c r="G15" s="3">
        <f t="shared" si="4"/>
        <v>16.857142857142858</v>
      </c>
    </row>
    <row r="16" spans="1:10" x14ac:dyDescent="0.25">
      <c r="A16">
        <v>28800</v>
      </c>
      <c r="B16">
        <f t="shared" si="5"/>
        <v>20</v>
      </c>
      <c r="C16">
        <f t="shared" si="1"/>
        <v>8</v>
      </c>
      <c r="D16">
        <f t="shared" si="2"/>
        <v>160</v>
      </c>
      <c r="E16">
        <f t="shared" si="6"/>
        <v>0.81450000000000022</v>
      </c>
      <c r="F16" s="4">
        <f t="shared" si="3"/>
        <v>131</v>
      </c>
      <c r="G16" s="3">
        <f t="shared" si="4"/>
        <v>16.375</v>
      </c>
      <c r="I16">
        <v>80</v>
      </c>
      <c r="J16">
        <v>80</v>
      </c>
    </row>
    <row r="17" spans="1:13" x14ac:dyDescent="0.25">
      <c r="A17">
        <v>32400</v>
      </c>
      <c r="B17">
        <f t="shared" si="5"/>
        <v>20</v>
      </c>
      <c r="C17">
        <f t="shared" si="1"/>
        <v>9</v>
      </c>
      <c r="D17">
        <f t="shared" si="2"/>
        <v>180</v>
      </c>
      <c r="E17">
        <f t="shared" si="6"/>
        <v>0.78800000000000026</v>
      </c>
      <c r="F17" s="5">
        <f t="shared" si="3"/>
        <v>142</v>
      </c>
      <c r="G17" s="3">
        <f t="shared" si="4"/>
        <v>15.777777777777779</v>
      </c>
    </row>
    <row r="18" spans="1:13" x14ac:dyDescent="0.25">
      <c r="A18">
        <v>36000</v>
      </c>
      <c r="B18">
        <f t="shared" si="5"/>
        <v>20</v>
      </c>
      <c r="C18">
        <f t="shared" si="1"/>
        <v>10</v>
      </c>
      <c r="D18">
        <f t="shared" si="2"/>
        <v>200</v>
      </c>
      <c r="E18">
        <f t="shared" si="6"/>
        <v>0.76150000000000029</v>
      </c>
      <c r="F18" s="4">
        <f t="shared" si="3"/>
        <v>153</v>
      </c>
      <c r="G18" s="3">
        <f t="shared" si="4"/>
        <v>15.3</v>
      </c>
      <c r="I18">
        <v>85</v>
      </c>
      <c r="J18">
        <v>85</v>
      </c>
    </row>
    <row r="19" spans="1:13" x14ac:dyDescent="0.25">
      <c r="A19">
        <v>39600</v>
      </c>
      <c r="B19">
        <f t="shared" si="5"/>
        <v>20</v>
      </c>
      <c r="C19">
        <f t="shared" si="1"/>
        <v>11</v>
      </c>
      <c r="D19">
        <f t="shared" si="2"/>
        <v>220</v>
      </c>
      <c r="E19">
        <f t="shared" si="6"/>
        <v>0.73500000000000032</v>
      </c>
      <c r="F19" s="5">
        <f t="shared" si="3"/>
        <v>162</v>
      </c>
      <c r="G19" s="3">
        <f t="shared" si="4"/>
        <v>14.727272727272727</v>
      </c>
    </row>
    <row r="20" spans="1:13" x14ac:dyDescent="0.25">
      <c r="A20">
        <v>43200</v>
      </c>
      <c r="B20">
        <f t="shared" si="5"/>
        <v>20</v>
      </c>
      <c r="C20">
        <f t="shared" si="1"/>
        <v>12</v>
      </c>
      <c r="D20">
        <f t="shared" si="2"/>
        <v>240</v>
      </c>
      <c r="E20">
        <f t="shared" si="6"/>
        <v>0.70850000000000035</v>
      </c>
      <c r="F20" s="4">
        <f t="shared" si="3"/>
        <v>171</v>
      </c>
      <c r="G20" s="3">
        <f t="shared" si="4"/>
        <v>14.25</v>
      </c>
      <c r="I20">
        <v>90</v>
      </c>
      <c r="J20">
        <v>90</v>
      </c>
    </row>
    <row r="21" spans="1:13" x14ac:dyDescent="0.25">
      <c r="A21">
        <v>46800</v>
      </c>
      <c r="B21">
        <f t="shared" si="5"/>
        <v>20</v>
      </c>
      <c r="C21">
        <f t="shared" si="1"/>
        <v>13</v>
      </c>
      <c r="D21">
        <f t="shared" si="2"/>
        <v>260</v>
      </c>
      <c r="E21">
        <f t="shared" si="6"/>
        <v>0.68200000000000038</v>
      </c>
      <c r="F21" s="5">
        <f t="shared" si="3"/>
        <v>178</v>
      </c>
      <c r="G21" s="3">
        <f t="shared" si="4"/>
        <v>13.692307692307692</v>
      </c>
    </row>
    <row r="22" spans="1:13" x14ac:dyDescent="0.25">
      <c r="A22">
        <v>50400</v>
      </c>
      <c r="B22">
        <f t="shared" si="5"/>
        <v>20</v>
      </c>
      <c r="C22">
        <f t="shared" si="1"/>
        <v>14</v>
      </c>
      <c r="D22">
        <f t="shared" si="2"/>
        <v>280</v>
      </c>
      <c r="E22">
        <f t="shared" si="6"/>
        <v>0.65550000000000042</v>
      </c>
      <c r="F22" s="5">
        <f t="shared" si="3"/>
        <v>184</v>
      </c>
      <c r="G22" s="3">
        <f t="shared" si="4"/>
        <v>13.142857142857142</v>
      </c>
    </row>
    <row r="23" spans="1:13" x14ac:dyDescent="0.25">
      <c r="A23">
        <v>54000</v>
      </c>
      <c r="B23">
        <f t="shared" si="5"/>
        <v>20</v>
      </c>
      <c r="C23">
        <f t="shared" si="1"/>
        <v>15</v>
      </c>
      <c r="D23">
        <f t="shared" si="2"/>
        <v>300</v>
      </c>
      <c r="E23">
        <f t="shared" si="6"/>
        <v>0.62900000000000045</v>
      </c>
      <c r="F23" s="5">
        <f t="shared" si="3"/>
        <v>189</v>
      </c>
      <c r="G23" s="3">
        <f t="shared" si="4"/>
        <v>12.6</v>
      </c>
    </row>
    <row r="24" spans="1:13" x14ac:dyDescent="0.25">
      <c r="A24">
        <v>57600</v>
      </c>
      <c r="B24">
        <f t="shared" si="5"/>
        <v>20</v>
      </c>
      <c r="C24">
        <f t="shared" si="1"/>
        <v>16</v>
      </c>
      <c r="D24">
        <f t="shared" si="2"/>
        <v>320</v>
      </c>
      <c r="E24">
        <f t="shared" si="6"/>
        <v>0.60250000000000048</v>
      </c>
      <c r="F24" s="5">
        <f t="shared" si="3"/>
        <v>193</v>
      </c>
      <c r="G24" s="3">
        <f t="shared" si="4"/>
        <v>12.0625</v>
      </c>
    </row>
    <row r="25" spans="1:13" x14ac:dyDescent="0.25">
      <c r="A25">
        <v>61200</v>
      </c>
      <c r="B25">
        <f t="shared" si="5"/>
        <v>20</v>
      </c>
      <c r="C25">
        <f t="shared" si="1"/>
        <v>17</v>
      </c>
      <c r="D25">
        <f t="shared" si="2"/>
        <v>340</v>
      </c>
      <c r="E25">
        <f t="shared" si="6"/>
        <v>0.57600000000000051</v>
      </c>
      <c r="F25" s="5">
        <f t="shared" si="3"/>
        <v>196</v>
      </c>
      <c r="G25" s="3">
        <f t="shared" si="4"/>
        <v>11.529411764705882</v>
      </c>
    </row>
    <row r="26" spans="1:13" x14ac:dyDescent="0.25">
      <c r="A26">
        <v>64800</v>
      </c>
      <c r="B26">
        <f t="shared" si="5"/>
        <v>20</v>
      </c>
      <c r="C26">
        <f t="shared" si="1"/>
        <v>18</v>
      </c>
      <c r="D26">
        <f t="shared" si="2"/>
        <v>360</v>
      </c>
      <c r="E26">
        <f t="shared" si="6"/>
        <v>0.54950000000000054</v>
      </c>
      <c r="F26" s="5">
        <f t="shared" si="3"/>
        <v>198</v>
      </c>
      <c r="G26" s="3">
        <f t="shared" si="4"/>
        <v>11</v>
      </c>
    </row>
    <row r="27" spans="1:13" x14ac:dyDescent="0.25">
      <c r="A27">
        <v>68400</v>
      </c>
      <c r="B27">
        <f t="shared" si="5"/>
        <v>20</v>
      </c>
      <c r="C27">
        <f t="shared" si="1"/>
        <v>19</v>
      </c>
      <c r="D27">
        <f t="shared" si="2"/>
        <v>380</v>
      </c>
      <c r="E27">
        <f t="shared" si="6"/>
        <v>0.52300000000000058</v>
      </c>
      <c r="F27" s="5">
        <f t="shared" si="3"/>
        <v>199</v>
      </c>
      <c r="G27" s="3">
        <f t="shared" si="4"/>
        <v>10.473684210526315</v>
      </c>
    </row>
    <row r="28" spans="1:13" x14ac:dyDescent="0.25">
      <c r="A28">
        <v>72000</v>
      </c>
      <c r="B28">
        <f t="shared" si="5"/>
        <v>20</v>
      </c>
      <c r="C28">
        <f t="shared" si="1"/>
        <v>20</v>
      </c>
      <c r="D28">
        <f t="shared" si="2"/>
        <v>400</v>
      </c>
      <c r="E28">
        <f t="shared" si="6"/>
        <v>0.49650000000000055</v>
      </c>
      <c r="F28" s="5">
        <f t="shared" si="3"/>
        <v>199</v>
      </c>
      <c r="G28" s="3">
        <f t="shared" si="4"/>
        <v>9.9499999999999993</v>
      </c>
    </row>
    <row r="29" spans="1:13" x14ac:dyDescent="0.25">
      <c r="A29">
        <v>75600</v>
      </c>
      <c r="B29">
        <f t="shared" si="5"/>
        <v>20</v>
      </c>
      <c r="C29">
        <f t="shared" si="1"/>
        <v>21</v>
      </c>
      <c r="D29">
        <f t="shared" si="2"/>
        <v>420</v>
      </c>
      <c r="E29">
        <f t="shared" si="6"/>
        <v>0.47000000000000053</v>
      </c>
      <c r="F29" s="5">
        <f t="shared" si="3"/>
        <v>198</v>
      </c>
      <c r="G29" s="3">
        <f t="shared" si="4"/>
        <v>9.4285714285714288</v>
      </c>
    </row>
    <row r="30" spans="1:13" x14ac:dyDescent="0.25">
      <c r="A30">
        <v>79200</v>
      </c>
      <c r="B30">
        <f t="shared" si="5"/>
        <v>20</v>
      </c>
      <c r="C30">
        <f t="shared" si="1"/>
        <v>22</v>
      </c>
      <c r="D30">
        <f t="shared" si="2"/>
        <v>440</v>
      </c>
      <c r="E30">
        <f t="shared" si="6"/>
        <v>0.4435000000000005</v>
      </c>
      <c r="F30" s="5">
        <f t="shared" si="3"/>
        <v>196</v>
      </c>
      <c r="G30" s="3">
        <f t="shared" si="4"/>
        <v>8.9090909090909083</v>
      </c>
    </row>
    <row r="31" spans="1:13" x14ac:dyDescent="0.25">
      <c r="A31">
        <v>82800</v>
      </c>
      <c r="B31">
        <f t="shared" si="5"/>
        <v>20</v>
      </c>
      <c r="C31">
        <f t="shared" si="1"/>
        <v>23</v>
      </c>
      <c r="D31">
        <f t="shared" si="2"/>
        <v>460</v>
      </c>
      <c r="E31">
        <f t="shared" si="6"/>
        <v>0.41700000000000048</v>
      </c>
      <c r="F31" s="5">
        <f t="shared" si="3"/>
        <v>192</v>
      </c>
      <c r="G31" s="3">
        <f t="shared" si="4"/>
        <v>8.3478260869565215</v>
      </c>
      <c r="M31" s="7" t="s">
        <v>50</v>
      </c>
    </row>
    <row r="32" spans="1:13" x14ac:dyDescent="0.25">
      <c r="A32">
        <v>86400</v>
      </c>
      <c r="B32">
        <f t="shared" si="5"/>
        <v>20</v>
      </c>
      <c r="C32">
        <f t="shared" si="1"/>
        <v>24</v>
      </c>
      <c r="D32">
        <f t="shared" si="2"/>
        <v>480</v>
      </c>
      <c r="E32">
        <f t="shared" si="6"/>
        <v>0.39050000000000046</v>
      </c>
      <c r="F32" s="4">
        <f t="shared" si="3"/>
        <v>188</v>
      </c>
      <c r="G32" s="3">
        <f t="shared" si="4"/>
        <v>7.833333333333333</v>
      </c>
      <c r="I32">
        <v>120</v>
      </c>
      <c r="J32">
        <v>120</v>
      </c>
      <c r="M32" s="7" t="s">
        <v>51</v>
      </c>
    </row>
    <row r="33" spans="13:13" x14ac:dyDescent="0.25">
      <c r="M33" s="7" t="s">
        <v>52</v>
      </c>
    </row>
    <row r="34" spans="13:13" x14ac:dyDescent="0.25">
      <c r="M34" s="7" t="s">
        <v>53</v>
      </c>
    </row>
    <row r="35" spans="13:13" x14ac:dyDescent="0.25">
      <c r="M35" s="7" t="s">
        <v>54</v>
      </c>
    </row>
    <row r="36" spans="13:13" x14ac:dyDescent="0.25">
      <c r="M36" s="7" t="s">
        <v>55</v>
      </c>
    </row>
    <row r="37" spans="13:13" x14ac:dyDescent="0.25">
      <c r="M37" s="7" t="s">
        <v>56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"/>
  <sheetViews>
    <sheetView tabSelected="1" workbookViewId="0">
      <selection sqref="A1:B1048576"/>
    </sheetView>
  </sheetViews>
  <sheetFormatPr defaultRowHeight="15" x14ac:dyDescent="0.25"/>
  <cols>
    <col min="1" max="2" width="10" customWidth="1"/>
  </cols>
  <sheetData>
    <row r="1" spans="1:2" ht="30" x14ac:dyDescent="0.25">
      <c r="A1" s="1" t="s">
        <v>58</v>
      </c>
      <c r="B1" s="1" t="s">
        <v>59</v>
      </c>
    </row>
    <row r="3" spans="1:2" x14ac:dyDescent="0.25">
      <c r="A3">
        <v>3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50</v>
      </c>
      <c r="B5">
        <v>1</v>
      </c>
    </row>
    <row r="6" spans="1:2" x14ac:dyDescent="0.25">
      <c r="A6">
        <v>50</v>
      </c>
      <c r="B6">
        <v>1</v>
      </c>
    </row>
    <row r="7" spans="1:2" x14ac:dyDescent="0.25">
      <c r="A7">
        <v>70</v>
      </c>
      <c r="B7">
        <v>2</v>
      </c>
    </row>
    <row r="8" spans="1:2" x14ac:dyDescent="0.25">
      <c r="A8">
        <v>85</v>
      </c>
      <c r="B8">
        <v>4</v>
      </c>
    </row>
    <row r="9" spans="1:2" x14ac:dyDescent="0.25">
      <c r="A9">
        <v>120</v>
      </c>
      <c r="B9">
        <v>10</v>
      </c>
    </row>
    <row r="10" spans="1:2" x14ac:dyDescent="0.25">
      <c r="A10">
        <v>3</v>
      </c>
      <c r="B10">
        <v>1</v>
      </c>
    </row>
    <row r="11" spans="1:2" x14ac:dyDescent="0.25">
      <c r="A11">
        <v>40</v>
      </c>
      <c r="B11">
        <v>1</v>
      </c>
    </row>
    <row r="12" spans="1:2" x14ac:dyDescent="0.25">
      <c r="A12">
        <v>70</v>
      </c>
      <c r="B12">
        <v>2</v>
      </c>
    </row>
    <row r="13" spans="1:2" x14ac:dyDescent="0.25">
      <c r="A13">
        <v>120</v>
      </c>
      <c r="B13">
        <v>10</v>
      </c>
    </row>
    <row r="14" spans="1:2" x14ac:dyDescent="0.25">
      <c r="A14">
        <v>3</v>
      </c>
      <c r="B14">
        <v>1</v>
      </c>
    </row>
    <row r="15" spans="1:2" x14ac:dyDescent="0.25">
      <c r="A15">
        <v>85</v>
      </c>
      <c r="B15">
        <v>4</v>
      </c>
    </row>
    <row r="16" spans="1:2" x14ac:dyDescent="0.25">
      <c r="A16">
        <v>120</v>
      </c>
      <c r="B16">
        <v>10</v>
      </c>
    </row>
    <row r="17" spans="1:2" x14ac:dyDescent="0.25">
      <c r="A17">
        <v>7</v>
      </c>
      <c r="B17">
        <v>1</v>
      </c>
    </row>
    <row r="18" spans="1:2" x14ac:dyDescent="0.25">
      <c r="A18">
        <v>65</v>
      </c>
      <c r="B18">
        <v>1</v>
      </c>
    </row>
    <row r="19" spans="1:2" x14ac:dyDescent="0.25">
      <c r="A19">
        <v>70</v>
      </c>
      <c r="B19">
        <v>2</v>
      </c>
    </row>
    <row r="20" spans="1:2" x14ac:dyDescent="0.25">
      <c r="A20">
        <v>3</v>
      </c>
      <c r="B20">
        <v>1</v>
      </c>
    </row>
    <row r="21" spans="1:2" x14ac:dyDescent="0.25">
      <c r="A21">
        <v>40</v>
      </c>
      <c r="B21">
        <v>1</v>
      </c>
    </row>
    <row r="22" spans="1:2" x14ac:dyDescent="0.25">
      <c r="A22">
        <v>50</v>
      </c>
      <c r="B22">
        <v>1</v>
      </c>
    </row>
    <row r="23" spans="1:2" x14ac:dyDescent="0.25">
      <c r="A23">
        <v>70</v>
      </c>
      <c r="B23">
        <v>2</v>
      </c>
    </row>
    <row r="24" spans="1:2" x14ac:dyDescent="0.25">
      <c r="A24">
        <v>120</v>
      </c>
      <c r="B24">
        <v>10</v>
      </c>
    </row>
    <row r="25" spans="1:2" x14ac:dyDescent="0.25">
      <c r="A25">
        <v>3</v>
      </c>
      <c r="B25">
        <v>1</v>
      </c>
    </row>
    <row r="26" spans="1:2" x14ac:dyDescent="0.25">
      <c r="A26">
        <v>50</v>
      </c>
      <c r="B26">
        <v>1</v>
      </c>
    </row>
    <row r="27" spans="1:2" x14ac:dyDescent="0.25">
      <c r="A27">
        <v>85</v>
      </c>
      <c r="B27">
        <v>4</v>
      </c>
    </row>
    <row r="28" spans="1:2" x14ac:dyDescent="0.25">
      <c r="A28">
        <v>120</v>
      </c>
      <c r="B28">
        <v>10</v>
      </c>
    </row>
    <row r="29" spans="1:2" x14ac:dyDescent="0.25">
      <c r="A29">
        <v>3</v>
      </c>
      <c r="B29">
        <v>1</v>
      </c>
    </row>
    <row r="30" spans="1:2" x14ac:dyDescent="0.25">
      <c r="A30">
        <v>40</v>
      </c>
      <c r="B30">
        <v>1</v>
      </c>
    </row>
    <row r="31" spans="1:2" x14ac:dyDescent="0.25">
      <c r="A31">
        <v>70</v>
      </c>
      <c r="B31">
        <v>2</v>
      </c>
    </row>
    <row r="32" spans="1:2" x14ac:dyDescent="0.25">
      <c r="A32">
        <v>85</v>
      </c>
      <c r="B32">
        <v>4</v>
      </c>
    </row>
    <row r="33" spans="1:2" x14ac:dyDescent="0.25">
      <c r="A33">
        <v>3</v>
      </c>
      <c r="B33">
        <v>1</v>
      </c>
    </row>
    <row r="34" spans="1:2" x14ac:dyDescent="0.25">
      <c r="A34">
        <v>50</v>
      </c>
      <c r="B34">
        <v>1</v>
      </c>
    </row>
    <row r="35" spans="1:2" x14ac:dyDescent="0.25">
      <c r="A35">
        <v>85</v>
      </c>
      <c r="B35">
        <v>4</v>
      </c>
    </row>
    <row r="36" spans="1:2" x14ac:dyDescent="0.25">
      <c r="A36">
        <v>120</v>
      </c>
      <c r="B36">
        <v>10</v>
      </c>
    </row>
    <row r="37" spans="1:2" x14ac:dyDescent="0.25">
      <c r="A37">
        <v>3</v>
      </c>
      <c r="B37">
        <v>1</v>
      </c>
    </row>
    <row r="38" spans="1:2" x14ac:dyDescent="0.25">
      <c r="A38">
        <v>40</v>
      </c>
      <c r="B38">
        <v>1</v>
      </c>
    </row>
    <row r="39" spans="1:2" x14ac:dyDescent="0.25">
      <c r="A39">
        <v>50</v>
      </c>
      <c r="B39">
        <v>1</v>
      </c>
    </row>
    <row r="40" spans="1:2" x14ac:dyDescent="0.25">
      <c r="A40">
        <v>70</v>
      </c>
      <c r="B40">
        <v>2</v>
      </c>
    </row>
    <row r="41" spans="1:2" x14ac:dyDescent="0.25">
      <c r="A41">
        <v>85</v>
      </c>
      <c r="B41">
        <v>4</v>
      </c>
    </row>
    <row r="42" spans="1:2" x14ac:dyDescent="0.25">
      <c r="A42">
        <v>120</v>
      </c>
      <c r="B42">
        <v>10</v>
      </c>
    </row>
    <row r="43" spans="1:2" x14ac:dyDescent="0.25">
      <c r="A43">
        <v>3</v>
      </c>
      <c r="B43">
        <v>1</v>
      </c>
    </row>
    <row r="44" spans="1:2" x14ac:dyDescent="0.25">
      <c r="A44">
        <v>40</v>
      </c>
      <c r="B44">
        <v>1</v>
      </c>
    </row>
    <row r="45" spans="1:2" x14ac:dyDescent="0.25">
      <c r="A45">
        <v>50</v>
      </c>
      <c r="B45">
        <v>1</v>
      </c>
    </row>
    <row r="46" spans="1:2" x14ac:dyDescent="0.25">
      <c r="A46">
        <v>70</v>
      </c>
      <c r="B46">
        <v>2</v>
      </c>
    </row>
    <row r="47" spans="1:2" x14ac:dyDescent="0.25">
      <c r="A47">
        <v>85</v>
      </c>
      <c r="B47">
        <v>4</v>
      </c>
    </row>
    <row r="48" spans="1:2" x14ac:dyDescent="0.25">
      <c r="A48">
        <v>120</v>
      </c>
      <c r="B48">
        <v>10</v>
      </c>
    </row>
    <row r="49" spans="1:2" x14ac:dyDescent="0.25">
      <c r="A49">
        <v>3</v>
      </c>
      <c r="B49">
        <v>1</v>
      </c>
    </row>
    <row r="50" spans="1:2" x14ac:dyDescent="0.25">
      <c r="A50">
        <v>40</v>
      </c>
      <c r="B50">
        <v>1</v>
      </c>
    </row>
    <row r="51" spans="1:2" x14ac:dyDescent="0.25">
      <c r="A51">
        <v>50</v>
      </c>
      <c r="B51">
        <v>1</v>
      </c>
    </row>
    <row r="52" spans="1:2" x14ac:dyDescent="0.25">
      <c r="A52">
        <v>120</v>
      </c>
      <c r="B52">
        <v>10</v>
      </c>
    </row>
    <row r="53" spans="1:2" x14ac:dyDescent="0.25">
      <c r="A53">
        <v>3</v>
      </c>
      <c r="B53">
        <v>1</v>
      </c>
    </row>
    <row r="54" spans="1:2" x14ac:dyDescent="0.25">
      <c r="A54">
        <v>40</v>
      </c>
      <c r="B54">
        <v>1</v>
      </c>
    </row>
    <row r="55" spans="1:2" x14ac:dyDescent="0.25">
      <c r="A55">
        <v>50</v>
      </c>
      <c r="B55">
        <v>1</v>
      </c>
    </row>
    <row r="56" spans="1:2" x14ac:dyDescent="0.25">
      <c r="A56">
        <v>85</v>
      </c>
      <c r="B56">
        <v>4</v>
      </c>
    </row>
    <row r="57" spans="1:2" x14ac:dyDescent="0.25">
      <c r="A57">
        <v>120</v>
      </c>
      <c r="B57">
        <v>10</v>
      </c>
    </row>
    <row r="58" spans="1:2" x14ac:dyDescent="0.25">
      <c r="A58">
        <v>3</v>
      </c>
      <c r="B58">
        <v>1</v>
      </c>
    </row>
    <row r="59" spans="1:2" x14ac:dyDescent="0.25">
      <c r="A59">
        <v>40</v>
      </c>
      <c r="B59">
        <v>1</v>
      </c>
    </row>
    <row r="60" spans="1:2" x14ac:dyDescent="0.25">
      <c r="A60">
        <v>50</v>
      </c>
      <c r="B60">
        <v>1</v>
      </c>
    </row>
    <row r="61" spans="1:2" x14ac:dyDescent="0.25">
      <c r="A61">
        <v>70</v>
      </c>
      <c r="B61">
        <v>2</v>
      </c>
    </row>
    <row r="62" spans="1:2" x14ac:dyDescent="0.25">
      <c r="A62">
        <v>85</v>
      </c>
      <c r="B62">
        <v>4</v>
      </c>
    </row>
    <row r="63" spans="1:2" x14ac:dyDescent="0.25">
      <c r="A63">
        <v>120</v>
      </c>
      <c r="B63">
        <v>10</v>
      </c>
    </row>
    <row r="64" spans="1:2" x14ac:dyDescent="0.25">
      <c r="A64">
        <v>3</v>
      </c>
      <c r="B64">
        <v>1</v>
      </c>
    </row>
    <row r="65" spans="1:2" x14ac:dyDescent="0.25">
      <c r="A65">
        <v>40</v>
      </c>
      <c r="B65">
        <v>1</v>
      </c>
    </row>
    <row r="66" spans="1:2" x14ac:dyDescent="0.25">
      <c r="A66">
        <v>50</v>
      </c>
      <c r="B66">
        <v>1</v>
      </c>
    </row>
    <row r="67" spans="1:2" x14ac:dyDescent="0.25">
      <c r="A67">
        <v>70</v>
      </c>
      <c r="B67">
        <v>2</v>
      </c>
    </row>
    <row r="68" spans="1:2" x14ac:dyDescent="0.25">
      <c r="A68">
        <v>85</v>
      </c>
      <c r="B68">
        <v>4</v>
      </c>
    </row>
    <row r="69" spans="1:2" x14ac:dyDescent="0.25">
      <c r="A69">
        <v>120</v>
      </c>
      <c r="B69">
        <v>10</v>
      </c>
    </row>
    <row r="70" spans="1:2" x14ac:dyDescent="0.25">
      <c r="A70">
        <v>3</v>
      </c>
      <c r="B70">
        <v>1</v>
      </c>
    </row>
    <row r="71" spans="1:2" x14ac:dyDescent="0.25">
      <c r="A71">
        <v>40</v>
      </c>
      <c r="B71">
        <v>1</v>
      </c>
    </row>
    <row r="72" spans="1:2" x14ac:dyDescent="0.25">
      <c r="A72">
        <v>50</v>
      </c>
      <c r="B72">
        <v>1</v>
      </c>
    </row>
    <row r="73" spans="1:2" x14ac:dyDescent="0.25">
      <c r="A73">
        <v>70</v>
      </c>
      <c r="B73">
        <v>2</v>
      </c>
    </row>
    <row r="74" spans="1:2" x14ac:dyDescent="0.25">
      <c r="A74">
        <v>85</v>
      </c>
      <c r="B74">
        <v>4</v>
      </c>
    </row>
    <row r="75" spans="1:2" x14ac:dyDescent="0.25">
      <c r="A75">
        <v>120</v>
      </c>
      <c r="B75">
        <v>10</v>
      </c>
    </row>
    <row r="76" spans="1:2" x14ac:dyDescent="0.25">
      <c r="A76">
        <v>3</v>
      </c>
      <c r="B76">
        <v>1</v>
      </c>
    </row>
    <row r="77" spans="1:2" x14ac:dyDescent="0.25">
      <c r="A77">
        <v>40</v>
      </c>
      <c r="B77">
        <v>1</v>
      </c>
    </row>
    <row r="78" spans="1:2" x14ac:dyDescent="0.25">
      <c r="A78">
        <v>50</v>
      </c>
      <c r="B78">
        <v>1</v>
      </c>
    </row>
    <row r="79" spans="1:2" x14ac:dyDescent="0.25">
      <c r="A79">
        <v>70</v>
      </c>
      <c r="B79">
        <v>2</v>
      </c>
    </row>
    <row r="80" spans="1:2" x14ac:dyDescent="0.25">
      <c r="A80">
        <v>85</v>
      </c>
      <c r="B80">
        <v>4</v>
      </c>
    </row>
    <row r="81" spans="1:2" x14ac:dyDescent="0.25">
      <c r="A81">
        <v>120</v>
      </c>
      <c r="B81">
        <v>10</v>
      </c>
    </row>
    <row r="82" spans="1:2" x14ac:dyDescent="0.25">
      <c r="A82">
        <v>3</v>
      </c>
      <c r="B82">
        <v>1</v>
      </c>
    </row>
    <row r="83" spans="1:2" x14ac:dyDescent="0.25">
      <c r="A83">
        <v>40</v>
      </c>
      <c r="B83">
        <v>1</v>
      </c>
    </row>
    <row r="84" spans="1:2" x14ac:dyDescent="0.25">
      <c r="A84">
        <v>50</v>
      </c>
      <c r="B84">
        <v>1</v>
      </c>
    </row>
    <row r="85" spans="1:2" x14ac:dyDescent="0.25">
      <c r="A85">
        <v>70</v>
      </c>
      <c r="B85">
        <v>2</v>
      </c>
    </row>
    <row r="86" spans="1:2" x14ac:dyDescent="0.25">
      <c r="A86">
        <v>85</v>
      </c>
      <c r="B86">
        <v>4</v>
      </c>
    </row>
    <row r="87" spans="1:2" x14ac:dyDescent="0.25">
      <c r="A87">
        <v>120</v>
      </c>
      <c r="B87">
        <v>10</v>
      </c>
    </row>
    <row r="88" spans="1:2" x14ac:dyDescent="0.25">
      <c r="A88">
        <v>3</v>
      </c>
      <c r="B88">
        <v>1</v>
      </c>
    </row>
    <row r="89" spans="1:2" x14ac:dyDescent="0.25">
      <c r="A89">
        <v>40</v>
      </c>
      <c r="B89">
        <v>1</v>
      </c>
    </row>
    <row r="90" spans="1:2" x14ac:dyDescent="0.25">
      <c r="A90">
        <v>50</v>
      </c>
      <c r="B90">
        <v>1</v>
      </c>
    </row>
    <row r="91" spans="1:2" x14ac:dyDescent="0.25">
      <c r="A91">
        <v>70</v>
      </c>
      <c r="B91">
        <v>2</v>
      </c>
    </row>
    <row r="92" spans="1:2" x14ac:dyDescent="0.25">
      <c r="A92">
        <v>85</v>
      </c>
      <c r="B92">
        <v>4</v>
      </c>
    </row>
    <row r="93" spans="1:2" x14ac:dyDescent="0.25">
      <c r="A93">
        <v>120</v>
      </c>
      <c r="B93">
        <v>10</v>
      </c>
    </row>
    <row r="94" spans="1:2" x14ac:dyDescent="0.25">
      <c r="A94">
        <v>3</v>
      </c>
      <c r="B94">
        <v>1</v>
      </c>
    </row>
    <row r="95" spans="1:2" x14ac:dyDescent="0.25">
      <c r="A95">
        <v>40</v>
      </c>
      <c r="B95">
        <v>1</v>
      </c>
    </row>
    <row r="96" spans="1:2" x14ac:dyDescent="0.25">
      <c r="A96">
        <v>50</v>
      </c>
      <c r="B96">
        <v>1</v>
      </c>
    </row>
    <row r="97" spans="1:2" x14ac:dyDescent="0.25">
      <c r="A97">
        <v>70</v>
      </c>
      <c r="B97">
        <v>2</v>
      </c>
    </row>
    <row r="98" spans="1:2" x14ac:dyDescent="0.25">
      <c r="A98">
        <v>85</v>
      </c>
      <c r="B98">
        <v>4</v>
      </c>
    </row>
    <row r="99" spans="1:2" x14ac:dyDescent="0.25">
      <c r="A99">
        <v>120</v>
      </c>
      <c r="B99">
        <v>10</v>
      </c>
    </row>
    <row r="100" spans="1:2" x14ac:dyDescent="0.25">
      <c r="A100">
        <v>3</v>
      </c>
      <c r="B100">
        <v>1</v>
      </c>
    </row>
    <row r="101" spans="1:2" x14ac:dyDescent="0.25">
      <c r="A101">
        <v>40</v>
      </c>
      <c r="B101">
        <v>1</v>
      </c>
    </row>
    <row r="102" spans="1:2" x14ac:dyDescent="0.25">
      <c r="A102">
        <v>50</v>
      </c>
      <c r="B102">
        <v>1</v>
      </c>
    </row>
    <row r="103" spans="1:2" x14ac:dyDescent="0.25">
      <c r="A103">
        <v>70</v>
      </c>
      <c r="B103">
        <v>2</v>
      </c>
    </row>
    <row r="104" spans="1:2" x14ac:dyDescent="0.25">
      <c r="A104">
        <v>85</v>
      </c>
      <c r="B104">
        <v>4</v>
      </c>
    </row>
    <row r="105" spans="1:2" x14ac:dyDescent="0.25">
      <c r="A105">
        <v>120</v>
      </c>
      <c r="B105">
        <v>10</v>
      </c>
    </row>
    <row r="106" spans="1:2" x14ac:dyDescent="0.25">
      <c r="A106">
        <v>3</v>
      </c>
      <c r="B106">
        <v>1</v>
      </c>
    </row>
    <row r="107" spans="1:2" x14ac:dyDescent="0.25">
      <c r="A107">
        <v>40</v>
      </c>
      <c r="B107">
        <v>1</v>
      </c>
    </row>
    <row r="108" spans="1:2" x14ac:dyDescent="0.25">
      <c r="A108">
        <v>50</v>
      </c>
      <c r="B108">
        <v>1</v>
      </c>
    </row>
    <row r="109" spans="1:2" x14ac:dyDescent="0.25">
      <c r="A109">
        <v>70</v>
      </c>
      <c r="B109">
        <v>2</v>
      </c>
    </row>
    <row r="110" spans="1:2" x14ac:dyDescent="0.25">
      <c r="A110">
        <v>85</v>
      </c>
      <c r="B110">
        <v>4</v>
      </c>
    </row>
    <row r="111" spans="1:2" x14ac:dyDescent="0.25">
      <c r="A111">
        <v>120</v>
      </c>
      <c r="B111">
        <v>10</v>
      </c>
    </row>
    <row r="112" spans="1:2" x14ac:dyDescent="0.25">
      <c r="A112">
        <v>3</v>
      </c>
      <c r="B112">
        <v>1</v>
      </c>
    </row>
    <row r="113" spans="1:2" x14ac:dyDescent="0.25">
      <c r="A113">
        <v>40</v>
      </c>
      <c r="B113">
        <v>1</v>
      </c>
    </row>
    <row r="114" spans="1:2" x14ac:dyDescent="0.25">
      <c r="A114">
        <v>50</v>
      </c>
      <c r="B114">
        <v>1</v>
      </c>
    </row>
    <row r="115" spans="1:2" x14ac:dyDescent="0.25">
      <c r="A115">
        <v>70</v>
      </c>
      <c r="B115">
        <v>2</v>
      </c>
    </row>
    <row r="116" spans="1:2" x14ac:dyDescent="0.25">
      <c r="A116">
        <v>85</v>
      </c>
      <c r="B116">
        <v>4</v>
      </c>
    </row>
    <row r="117" spans="1:2" x14ac:dyDescent="0.25">
      <c r="A117">
        <v>120</v>
      </c>
      <c r="B117">
        <v>10</v>
      </c>
    </row>
    <row r="118" spans="1:2" x14ac:dyDescent="0.25">
      <c r="A118">
        <v>3</v>
      </c>
      <c r="B118">
        <v>1</v>
      </c>
    </row>
    <row r="119" spans="1:2" x14ac:dyDescent="0.25">
      <c r="A119">
        <v>40</v>
      </c>
      <c r="B119">
        <v>1</v>
      </c>
    </row>
    <row r="120" spans="1:2" x14ac:dyDescent="0.25">
      <c r="A120">
        <v>40</v>
      </c>
      <c r="B120">
        <v>1</v>
      </c>
    </row>
    <row r="121" spans="1:2" x14ac:dyDescent="0.25">
      <c r="A121">
        <v>50</v>
      </c>
      <c r="B121">
        <v>1</v>
      </c>
    </row>
    <row r="122" spans="1:2" x14ac:dyDescent="0.25">
      <c r="A122">
        <v>70</v>
      </c>
      <c r="B122">
        <v>2</v>
      </c>
    </row>
    <row r="123" spans="1:2" x14ac:dyDescent="0.25">
      <c r="A123">
        <v>85</v>
      </c>
      <c r="B123">
        <v>4</v>
      </c>
    </row>
    <row r="124" spans="1:2" x14ac:dyDescent="0.25">
      <c r="A124">
        <v>120</v>
      </c>
      <c r="B124">
        <v>10</v>
      </c>
    </row>
    <row r="125" spans="1:2" x14ac:dyDescent="0.25">
      <c r="A125">
        <v>3</v>
      </c>
      <c r="B125">
        <v>1</v>
      </c>
    </row>
    <row r="126" spans="1:2" x14ac:dyDescent="0.25">
      <c r="A126">
        <v>50</v>
      </c>
      <c r="B126">
        <v>1</v>
      </c>
    </row>
    <row r="127" spans="1:2" x14ac:dyDescent="0.25">
      <c r="A127">
        <v>85</v>
      </c>
      <c r="B127">
        <v>4</v>
      </c>
    </row>
    <row r="128" spans="1:2" x14ac:dyDescent="0.25">
      <c r="A128">
        <v>3</v>
      </c>
      <c r="B128">
        <v>1</v>
      </c>
    </row>
    <row r="129" spans="1:2" x14ac:dyDescent="0.25">
      <c r="A129">
        <v>40</v>
      </c>
      <c r="B129">
        <v>1</v>
      </c>
    </row>
    <row r="130" spans="1:2" x14ac:dyDescent="0.25">
      <c r="A130">
        <v>50</v>
      </c>
      <c r="B130">
        <v>1</v>
      </c>
    </row>
    <row r="131" spans="1:2" x14ac:dyDescent="0.25">
      <c r="A131">
        <v>70</v>
      </c>
      <c r="B131">
        <v>2</v>
      </c>
    </row>
    <row r="132" spans="1:2" x14ac:dyDescent="0.25">
      <c r="A132">
        <v>120</v>
      </c>
      <c r="B132">
        <v>10</v>
      </c>
    </row>
    <row r="133" spans="1:2" x14ac:dyDescent="0.25">
      <c r="A133">
        <v>3</v>
      </c>
      <c r="B133">
        <v>1</v>
      </c>
    </row>
    <row r="134" spans="1:2" x14ac:dyDescent="0.25">
      <c r="A134">
        <v>40</v>
      </c>
      <c r="B134">
        <v>1</v>
      </c>
    </row>
    <row r="135" spans="1:2" x14ac:dyDescent="0.25">
      <c r="A135">
        <v>85</v>
      </c>
      <c r="B135">
        <v>4</v>
      </c>
    </row>
    <row r="136" spans="1:2" x14ac:dyDescent="0.25">
      <c r="A136">
        <v>120</v>
      </c>
      <c r="B136">
        <v>10</v>
      </c>
    </row>
    <row r="137" spans="1:2" x14ac:dyDescent="0.25">
      <c r="A137">
        <v>3</v>
      </c>
      <c r="B137">
        <v>1</v>
      </c>
    </row>
    <row r="138" spans="1:2" x14ac:dyDescent="0.25">
      <c r="A138">
        <v>40</v>
      </c>
      <c r="B138">
        <v>1</v>
      </c>
    </row>
    <row r="139" spans="1:2" x14ac:dyDescent="0.25">
      <c r="A139">
        <v>70</v>
      </c>
      <c r="B139">
        <v>2</v>
      </c>
    </row>
    <row r="140" spans="1:2" x14ac:dyDescent="0.25">
      <c r="A140">
        <v>85</v>
      </c>
      <c r="B140">
        <v>4</v>
      </c>
    </row>
    <row r="141" spans="1:2" x14ac:dyDescent="0.25">
      <c r="A141">
        <v>3</v>
      </c>
      <c r="B141">
        <v>1</v>
      </c>
    </row>
    <row r="142" spans="1:2" x14ac:dyDescent="0.25">
      <c r="A142">
        <v>50</v>
      </c>
      <c r="B142">
        <v>1</v>
      </c>
    </row>
    <row r="143" spans="1:2" x14ac:dyDescent="0.25">
      <c r="A143">
        <v>85</v>
      </c>
      <c r="B143">
        <v>4</v>
      </c>
    </row>
    <row r="144" spans="1:2" x14ac:dyDescent="0.25">
      <c r="A144">
        <v>3</v>
      </c>
      <c r="B144">
        <v>1</v>
      </c>
    </row>
    <row r="145" spans="1:2" x14ac:dyDescent="0.25">
      <c r="A145">
        <v>40</v>
      </c>
      <c r="B145">
        <v>1</v>
      </c>
    </row>
    <row r="146" spans="1:2" x14ac:dyDescent="0.25">
      <c r="A146">
        <v>70</v>
      </c>
      <c r="B146">
        <v>2</v>
      </c>
    </row>
    <row r="147" spans="1:2" x14ac:dyDescent="0.25">
      <c r="A147">
        <v>120</v>
      </c>
      <c r="B147">
        <v>10</v>
      </c>
    </row>
    <row r="148" spans="1:2" x14ac:dyDescent="0.25">
      <c r="A148">
        <v>3</v>
      </c>
      <c r="B148">
        <v>1</v>
      </c>
    </row>
    <row r="149" spans="1:2" x14ac:dyDescent="0.25">
      <c r="A149">
        <v>40</v>
      </c>
      <c r="B149">
        <v>1</v>
      </c>
    </row>
    <row r="150" spans="1:2" x14ac:dyDescent="0.25">
      <c r="A150">
        <v>70</v>
      </c>
      <c r="B150">
        <v>2</v>
      </c>
    </row>
    <row r="151" spans="1:2" x14ac:dyDescent="0.25">
      <c r="A151">
        <v>120</v>
      </c>
      <c r="B151">
        <v>10</v>
      </c>
    </row>
    <row r="152" spans="1:2" x14ac:dyDescent="0.25">
      <c r="A152">
        <v>3</v>
      </c>
      <c r="B152">
        <v>1</v>
      </c>
    </row>
    <row r="153" spans="1:2" x14ac:dyDescent="0.25">
      <c r="A153">
        <v>50</v>
      </c>
      <c r="B153">
        <v>1</v>
      </c>
    </row>
    <row r="154" spans="1:2" x14ac:dyDescent="0.25">
      <c r="A154">
        <v>120</v>
      </c>
      <c r="B154">
        <v>10</v>
      </c>
    </row>
    <row r="155" spans="1:2" x14ac:dyDescent="0.25">
      <c r="A155">
        <v>3</v>
      </c>
      <c r="B155">
        <v>1</v>
      </c>
    </row>
    <row r="156" spans="1:2" x14ac:dyDescent="0.25">
      <c r="A156">
        <v>50</v>
      </c>
      <c r="B156">
        <v>1</v>
      </c>
    </row>
    <row r="157" spans="1:2" x14ac:dyDescent="0.25">
      <c r="A157">
        <v>85</v>
      </c>
      <c r="B157">
        <v>4</v>
      </c>
    </row>
    <row r="158" spans="1:2" x14ac:dyDescent="0.25">
      <c r="A158">
        <v>120</v>
      </c>
      <c r="B158">
        <v>10</v>
      </c>
    </row>
    <row r="159" spans="1:2" x14ac:dyDescent="0.25">
      <c r="A159">
        <v>3</v>
      </c>
      <c r="B159">
        <v>1</v>
      </c>
    </row>
    <row r="160" spans="1:2" x14ac:dyDescent="0.25">
      <c r="A160">
        <v>40</v>
      </c>
      <c r="B160">
        <v>1</v>
      </c>
    </row>
    <row r="161" spans="1:2" x14ac:dyDescent="0.25">
      <c r="A161">
        <v>50</v>
      </c>
      <c r="B161">
        <v>1</v>
      </c>
    </row>
    <row r="162" spans="1:2" x14ac:dyDescent="0.25">
      <c r="A162">
        <v>85</v>
      </c>
      <c r="B162">
        <v>4</v>
      </c>
    </row>
    <row r="163" spans="1:2" x14ac:dyDescent="0.25">
      <c r="A163">
        <v>3</v>
      </c>
      <c r="B163">
        <v>1</v>
      </c>
    </row>
    <row r="164" spans="1:2" x14ac:dyDescent="0.25">
      <c r="A164">
        <v>50</v>
      </c>
      <c r="B164">
        <v>1</v>
      </c>
    </row>
    <row r="165" spans="1:2" x14ac:dyDescent="0.25">
      <c r="A165">
        <v>70</v>
      </c>
      <c r="B165">
        <v>2</v>
      </c>
    </row>
    <row r="166" spans="1:2" x14ac:dyDescent="0.25">
      <c r="A166">
        <v>85</v>
      </c>
      <c r="B166">
        <v>4</v>
      </c>
    </row>
    <row r="167" spans="1:2" x14ac:dyDescent="0.25">
      <c r="A167">
        <v>3</v>
      </c>
      <c r="B167">
        <v>1</v>
      </c>
    </row>
    <row r="168" spans="1:2" x14ac:dyDescent="0.25">
      <c r="A168">
        <v>120</v>
      </c>
      <c r="B168">
        <v>10</v>
      </c>
    </row>
    <row r="169" spans="1:2" x14ac:dyDescent="0.25">
      <c r="A169">
        <v>3</v>
      </c>
      <c r="B169">
        <v>1</v>
      </c>
    </row>
    <row r="170" spans="1:2" x14ac:dyDescent="0.25">
      <c r="A170">
        <v>40</v>
      </c>
      <c r="B170">
        <v>1</v>
      </c>
    </row>
    <row r="171" spans="1:2" x14ac:dyDescent="0.25">
      <c r="A171">
        <v>50</v>
      </c>
      <c r="B171">
        <v>1</v>
      </c>
    </row>
    <row r="172" spans="1:2" x14ac:dyDescent="0.25">
      <c r="A172">
        <v>85</v>
      </c>
      <c r="B172">
        <v>4</v>
      </c>
    </row>
    <row r="173" spans="1:2" x14ac:dyDescent="0.25">
      <c r="A173">
        <v>3</v>
      </c>
      <c r="B173">
        <v>1</v>
      </c>
    </row>
    <row r="174" spans="1:2" x14ac:dyDescent="0.25">
      <c r="A174">
        <v>40</v>
      </c>
      <c r="B174">
        <v>1</v>
      </c>
    </row>
    <row r="175" spans="1:2" x14ac:dyDescent="0.25">
      <c r="A175">
        <v>70</v>
      </c>
      <c r="B175">
        <v>2</v>
      </c>
    </row>
    <row r="176" spans="1:2" x14ac:dyDescent="0.25">
      <c r="A176">
        <v>85</v>
      </c>
      <c r="B176">
        <v>4</v>
      </c>
    </row>
    <row r="177" spans="1:2" x14ac:dyDescent="0.25">
      <c r="A177">
        <v>3</v>
      </c>
      <c r="B177">
        <v>1</v>
      </c>
    </row>
    <row r="178" spans="1:2" x14ac:dyDescent="0.25">
      <c r="A178">
        <v>50</v>
      </c>
      <c r="B178">
        <v>1</v>
      </c>
    </row>
    <row r="179" spans="1:2" x14ac:dyDescent="0.25">
      <c r="A179">
        <v>70</v>
      </c>
      <c r="B179">
        <v>2</v>
      </c>
    </row>
    <row r="180" spans="1:2" x14ac:dyDescent="0.25">
      <c r="A180">
        <v>120</v>
      </c>
      <c r="B180">
        <v>10</v>
      </c>
    </row>
    <row r="181" spans="1:2" x14ac:dyDescent="0.25">
      <c r="A181">
        <v>7</v>
      </c>
      <c r="B181">
        <v>1</v>
      </c>
    </row>
    <row r="182" spans="1:2" x14ac:dyDescent="0.25">
      <c r="A182">
        <v>50</v>
      </c>
      <c r="B182">
        <v>1</v>
      </c>
    </row>
    <row r="183" spans="1:2" x14ac:dyDescent="0.25">
      <c r="A183">
        <v>65</v>
      </c>
      <c r="B183">
        <v>1</v>
      </c>
    </row>
    <row r="184" spans="1:2" x14ac:dyDescent="0.25">
      <c r="A184">
        <v>120</v>
      </c>
      <c r="B184">
        <v>10</v>
      </c>
    </row>
    <row r="185" spans="1:2" x14ac:dyDescent="0.25">
      <c r="A185">
        <v>7</v>
      </c>
      <c r="B185">
        <v>1</v>
      </c>
    </row>
    <row r="186" spans="1:2" x14ac:dyDescent="0.25">
      <c r="A186">
        <v>50</v>
      </c>
      <c r="B186">
        <v>1</v>
      </c>
    </row>
    <row r="187" spans="1:2" x14ac:dyDescent="0.25">
      <c r="A187">
        <v>65</v>
      </c>
      <c r="B187">
        <v>1</v>
      </c>
    </row>
    <row r="188" spans="1:2" x14ac:dyDescent="0.25">
      <c r="A188">
        <v>120</v>
      </c>
      <c r="B188">
        <v>10</v>
      </c>
    </row>
    <row r="189" spans="1:2" x14ac:dyDescent="0.25">
      <c r="A189">
        <v>7</v>
      </c>
      <c r="B189">
        <v>1</v>
      </c>
    </row>
    <row r="190" spans="1:2" x14ac:dyDescent="0.25">
      <c r="A190">
        <v>50</v>
      </c>
      <c r="B190">
        <v>1</v>
      </c>
    </row>
    <row r="191" spans="1:2" x14ac:dyDescent="0.25">
      <c r="A191">
        <v>65</v>
      </c>
      <c r="B191">
        <v>1</v>
      </c>
    </row>
    <row r="192" spans="1:2" x14ac:dyDescent="0.25">
      <c r="A192">
        <v>120</v>
      </c>
      <c r="B192">
        <v>10</v>
      </c>
    </row>
    <row r="193" spans="1:2" x14ac:dyDescent="0.25">
      <c r="A193">
        <v>7</v>
      </c>
      <c r="B193">
        <v>1</v>
      </c>
    </row>
    <row r="194" spans="1:2" x14ac:dyDescent="0.25">
      <c r="A194">
        <v>50</v>
      </c>
      <c r="B194">
        <v>1</v>
      </c>
    </row>
    <row r="195" spans="1:2" x14ac:dyDescent="0.25">
      <c r="A195">
        <v>65</v>
      </c>
      <c r="B195">
        <v>1</v>
      </c>
    </row>
    <row r="196" spans="1:2" x14ac:dyDescent="0.25">
      <c r="A196">
        <v>120</v>
      </c>
      <c r="B196">
        <v>10</v>
      </c>
    </row>
    <row r="197" spans="1:2" x14ac:dyDescent="0.25">
      <c r="A197">
        <v>7</v>
      </c>
      <c r="B197">
        <v>1</v>
      </c>
    </row>
    <row r="198" spans="1:2" x14ac:dyDescent="0.25">
      <c r="A198">
        <v>50</v>
      </c>
      <c r="B198">
        <v>1</v>
      </c>
    </row>
    <row r="199" spans="1:2" x14ac:dyDescent="0.25">
      <c r="A199">
        <v>65</v>
      </c>
      <c r="B199">
        <v>1</v>
      </c>
    </row>
    <row r="200" spans="1:2" x14ac:dyDescent="0.25">
      <c r="A200">
        <v>120</v>
      </c>
      <c r="B200">
        <v>10</v>
      </c>
    </row>
    <row r="201" spans="1:2" x14ac:dyDescent="0.25">
      <c r="A201">
        <v>7</v>
      </c>
      <c r="B201">
        <v>1</v>
      </c>
    </row>
    <row r="202" spans="1:2" x14ac:dyDescent="0.25">
      <c r="A202">
        <v>50</v>
      </c>
      <c r="B202">
        <v>1</v>
      </c>
    </row>
    <row r="203" spans="1:2" x14ac:dyDescent="0.25">
      <c r="A203">
        <v>65</v>
      </c>
      <c r="B203">
        <v>1</v>
      </c>
    </row>
    <row r="204" spans="1:2" x14ac:dyDescent="0.25">
      <c r="A204">
        <v>120</v>
      </c>
      <c r="B20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F13" sqref="F13"/>
    </sheetView>
  </sheetViews>
  <sheetFormatPr defaultRowHeight="15" x14ac:dyDescent="0.25"/>
  <cols>
    <col min="1" max="1" width="43.85546875" bestFit="1" customWidth="1"/>
  </cols>
  <sheetData>
    <row r="1" spans="1:4" ht="45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>
        <v>9042</v>
      </c>
      <c r="C3">
        <v>28800</v>
      </c>
      <c r="D3">
        <v>60</v>
      </c>
    </row>
    <row r="4" spans="1:4" x14ac:dyDescent="0.25">
      <c r="A4" t="s">
        <v>17</v>
      </c>
      <c r="B4">
        <v>9043</v>
      </c>
      <c r="C4">
        <v>86400</v>
      </c>
      <c r="D4">
        <v>180</v>
      </c>
    </row>
    <row r="5" spans="1:4" x14ac:dyDescent="0.25">
      <c r="A5" t="s">
        <v>18</v>
      </c>
      <c r="B5">
        <v>1015</v>
      </c>
      <c r="C5">
        <v>300</v>
      </c>
      <c r="D5">
        <v>5</v>
      </c>
    </row>
    <row r="6" spans="1:4" x14ac:dyDescent="0.25">
      <c r="A6" t="s">
        <v>19</v>
      </c>
      <c r="B6">
        <v>1017</v>
      </c>
      <c r="C6">
        <v>43200</v>
      </c>
      <c r="D6">
        <v>80</v>
      </c>
    </row>
    <row r="7" spans="1:4" x14ac:dyDescent="0.25">
      <c r="A7" t="s">
        <v>20</v>
      </c>
      <c r="B7">
        <v>1022</v>
      </c>
      <c r="C7">
        <v>1800</v>
      </c>
      <c r="D7">
        <v>10</v>
      </c>
    </row>
    <row r="8" spans="1:4" x14ac:dyDescent="0.25">
      <c r="A8" t="s">
        <v>21</v>
      </c>
      <c r="B8">
        <v>9004</v>
      </c>
      <c r="C8">
        <v>1800</v>
      </c>
      <c r="D8">
        <v>20</v>
      </c>
    </row>
    <row r="9" spans="1:4" x14ac:dyDescent="0.25">
      <c r="A9" t="s">
        <v>22</v>
      </c>
      <c r="B9">
        <v>1006</v>
      </c>
      <c r="C9">
        <v>10800</v>
      </c>
      <c r="D9">
        <v>50</v>
      </c>
    </row>
    <row r="10" spans="1:4" x14ac:dyDescent="0.25">
      <c r="A10" t="s">
        <v>23</v>
      </c>
      <c r="B10">
        <v>1004</v>
      </c>
      <c r="C10">
        <v>21600</v>
      </c>
      <c r="D10">
        <v>50</v>
      </c>
    </row>
    <row r="11" spans="1:4" x14ac:dyDescent="0.25">
      <c r="A11" t="s">
        <v>24</v>
      </c>
      <c r="B11">
        <v>1013</v>
      </c>
      <c r="C11">
        <v>3600</v>
      </c>
      <c r="D11">
        <v>15</v>
      </c>
    </row>
    <row r="12" spans="1:4" x14ac:dyDescent="0.25">
      <c r="A12" t="s">
        <v>25</v>
      </c>
      <c r="B12">
        <v>1019</v>
      </c>
      <c r="C12">
        <v>21600</v>
      </c>
      <c r="D12">
        <v>60</v>
      </c>
    </row>
    <row r="13" spans="1:4" x14ac:dyDescent="0.25">
      <c r="A13" t="s">
        <v>26</v>
      </c>
      <c r="B13">
        <v>1026</v>
      </c>
      <c r="C13">
        <v>86400</v>
      </c>
      <c r="D13">
        <v>80</v>
      </c>
    </row>
    <row r="14" spans="1:4" x14ac:dyDescent="0.25">
      <c r="A14" t="s">
        <v>27</v>
      </c>
      <c r="B14">
        <v>1010</v>
      </c>
      <c r="C14">
        <v>43200</v>
      </c>
      <c r="D14">
        <v>80</v>
      </c>
    </row>
    <row r="15" spans="1:4" x14ac:dyDescent="0.25">
      <c r="A15" t="s">
        <v>28</v>
      </c>
      <c r="B15">
        <v>1002</v>
      </c>
      <c r="C15">
        <v>86400</v>
      </c>
      <c r="D15">
        <v>90</v>
      </c>
    </row>
    <row r="16" spans="1:4" x14ac:dyDescent="0.25">
      <c r="A16" t="s">
        <v>29</v>
      </c>
      <c r="B16">
        <v>1007</v>
      </c>
      <c r="C16">
        <v>28800</v>
      </c>
      <c r="D16">
        <v>60</v>
      </c>
    </row>
    <row r="17" spans="1:4" x14ac:dyDescent="0.25">
      <c r="A17" t="s">
        <v>30</v>
      </c>
      <c r="B17">
        <v>1012</v>
      </c>
      <c r="C17">
        <v>28800</v>
      </c>
      <c r="D17">
        <v>70</v>
      </c>
    </row>
    <row r="18" spans="1:4" x14ac:dyDescent="0.25">
      <c r="A18" t="s">
        <v>31</v>
      </c>
      <c r="B18">
        <v>1009</v>
      </c>
      <c r="C18">
        <v>86400</v>
      </c>
      <c r="D18">
        <v>100</v>
      </c>
    </row>
    <row r="19" spans="1:4" x14ac:dyDescent="0.25">
      <c r="A19" t="s">
        <v>32</v>
      </c>
      <c r="B19">
        <v>1003</v>
      </c>
      <c r="C19">
        <v>43200</v>
      </c>
      <c r="D19">
        <v>80</v>
      </c>
    </row>
    <row r="20" spans="1:4" x14ac:dyDescent="0.25">
      <c r="A20" t="s">
        <v>33</v>
      </c>
      <c r="B20">
        <v>1014</v>
      </c>
      <c r="C20">
        <v>43200</v>
      </c>
      <c r="D20">
        <v>75</v>
      </c>
    </row>
    <row r="21" spans="1:4" x14ac:dyDescent="0.25">
      <c r="A21" t="s">
        <v>34</v>
      </c>
      <c r="B21">
        <v>1016</v>
      </c>
      <c r="C21">
        <v>3600</v>
      </c>
      <c r="D21">
        <v>25</v>
      </c>
    </row>
    <row r="22" spans="1:4" x14ac:dyDescent="0.25">
      <c r="A22" t="s">
        <v>35</v>
      </c>
      <c r="B22">
        <v>1025</v>
      </c>
      <c r="C22">
        <v>10800</v>
      </c>
      <c r="D22">
        <v>50</v>
      </c>
    </row>
    <row r="23" spans="1:4" x14ac:dyDescent="0.25">
      <c r="A23" t="s">
        <v>36</v>
      </c>
      <c r="B23">
        <v>9002</v>
      </c>
      <c r="C23">
        <v>10800</v>
      </c>
      <c r="D23">
        <v>50</v>
      </c>
    </row>
    <row r="24" spans="1:4" x14ac:dyDescent="0.25">
      <c r="A24" t="s">
        <v>37</v>
      </c>
      <c r="B24">
        <v>1023</v>
      </c>
      <c r="C24">
        <v>10800</v>
      </c>
      <c r="D24">
        <v>40</v>
      </c>
    </row>
    <row r="25" spans="1:4" x14ac:dyDescent="0.25">
      <c r="A25" t="s">
        <v>38</v>
      </c>
      <c r="B25">
        <v>9000</v>
      </c>
      <c r="C25">
        <v>43200</v>
      </c>
      <c r="D25">
        <v>70</v>
      </c>
    </row>
    <row r="26" spans="1:4" x14ac:dyDescent="0.25">
      <c r="A26" t="s">
        <v>39</v>
      </c>
      <c r="B26">
        <v>9003</v>
      </c>
      <c r="C26">
        <v>1800</v>
      </c>
      <c r="D26">
        <v>15</v>
      </c>
    </row>
    <row r="27" spans="1:4" x14ac:dyDescent="0.25">
      <c r="A27" t="s">
        <v>40</v>
      </c>
      <c r="B27">
        <v>9006</v>
      </c>
      <c r="C27">
        <v>28800</v>
      </c>
      <c r="D27">
        <v>65</v>
      </c>
    </row>
    <row r="28" spans="1:4" x14ac:dyDescent="0.25">
      <c r="A28" t="s">
        <v>41</v>
      </c>
      <c r="B28">
        <v>9009</v>
      </c>
      <c r="C28">
        <v>21600</v>
      </c>
      <c r="D28">
        <v>55</v>
      </c>
    </row>
    <row r="29" spans="1:4" x14ac:dyDescent="0.25">
      <c r="A29" t="s">
        <v>42</v>
      </c>
      <c r="B29">
        <v>1031</v>
      </c>
      <c r="C29">
        <v>3600</v>
      </c>
      <c r="D29">
        <v>20</v>
      </c>
    </row>
    <row r="30" spans="1:4" x14ac:dyDescent="0.25">
      <c r="A30" t="s">
        <v>43</v>
      </c>
      <c r="B30">
        <v>9038</v>
      </c>
      <c r="C30">
        <v>86400</v>
      </c>
      <c r="D30">
        <v>100</v>
      </c>
    </row>
    <row r="31" spans="1:4" x14ac:dyDescent="0.25">
      <c r="A31" t="s">
        <v>44</v>
      </c>
      <c r="B31">
        <v>9040</v>
      </c>
      <c r="C31">
        <v>86400</v>
      </c>
      <c r="D31">
        <v>100</v>
      </c>
    </row>
    <row r="32" spans="1:4" x14ac:dyDescent="0.25">
      <c r="A32" t="s">
        <v>45</v>
      </c>
      <c r="B32">
        <v>9039</v>
      </c>
      <c r="C32">
        <v>86400</v>
      </c>
      <c r="D32">
        <v>100</v>
      </c>
    </row>
    <row r="33" spans="1:4" x14ac:dyDescent="0.25">
      <c r="A33" t="s">
        <v>46</v>
      </c>
      <c r="B33">
        <v>9005</v>
      </c>
      <c r="C33">
        <v>10800</v>
      </c>
      <c r="D33">
        <v>55</v>
      </c>
    </row>
    <row r="34" spans="1:4" x14ac:dyDescent="0.25">
      <c r="A34" t="s">
        <v>47</v>
      </c>
      <c r="B34">
        <v>1051</v>
      </c>
      <c r="C34">
        <v>86400</v>
      </c>
      <c r="D34">
        <v>100</v>
      </c>
    </row>
    <row r="35" spans="1:4" x14ac:dyDescent="0.25">
      <c r="A35" t="s">
        <v>48</v>
      </c>
      <c r="B35">
        <v>9001</v>
      </c>
      <c r="C35">
        <v>10800</v>
      </c>
      <c r="D35">
        <v>45</v>
      </c>
    </row>
    <row r="36" spans="1:4" x14ac:dyDescent="0.25">
      <c r="A36" t="s">
        <v>49</v>
      </c>
      <c r="B36">
        <v>1050</v>
      </c>
      <c r="C36">
        <v>21600</v>
      </c>
      <c r="D36">
        <v>60</v>
      </c>
    </row>
  </sheetData>
  <conditionalFormatting sqref="A1:D36">
    <cfRule type="cellIs" dxfId="0" priority="2" operator="equal">
      <formula>-9999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Phipps</dc:creator>
  <cp:lastModifiedBy>Ian Phipps</cp:lastModifiedBy>
  <dcterms:created xsi:type="dcterms:W3CDTF">2014-09-18T23:52:46Z</dcterms:created>
  <dcterms:modified xsi:type="dcterms:W3CDTF">2014-09-25T22:49:20Z</dcterms:modified>
</cp:coreProperties>
</file>