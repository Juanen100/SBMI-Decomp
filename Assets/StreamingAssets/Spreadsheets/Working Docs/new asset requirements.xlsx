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bookViews>
    <workbookView xWindow="0" yWindow="0" windowWidth="1509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0" i="1" l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74" i="1"/>
  <c r="B75" i="1"/>
  <c r="B77" i="1"/>
  <c r="B78" i="1"/>
  <c r="B79" i="1"/>
  <c r="B80" i="1"/>
  <c r="B81" i="1"/>
  <c r="B106" i="1" s="1"/>
  <c r="B82" i="1"/>
  <c r="B83" i="1"/>
  <c r="B84" i="1"/>
  <c r="B85" i="1"/>
  <c r="B88" i="1"/>
  <c r="B89" i="1"/>
  <c r="B54" i="1"/>
</calcChain>
</file>

<file path=xl/sharedStrings.xml><?xml version="1.0" encoding="utf-8"?>
<sst xmlns="http://schemas.openxmlformats.org/spreadsheetml/2006/main" count="181" uniqueCount="96">
  <si>
    <t>s:Name</t>
  </si>
  <si>
    <t>i:Height</t>
  </si>
  <si>
    <t>i:Width</t>
  </si>
  <si>
    <t>i:AutoQuest Intro</t>
  </si>
  <si>
    <t>i:AutoQuest Outro</t>
  </si>
  <si>
    <t>s:Quest Reminder Icon</t>
  </si>
  <si>
    <t>s:Character Dialog Portrait</t>
  </si>
  <si>
    <t>f:Speed</t>
  </si>
  <si>
    <t>i:Drop Shadow Diameter</t>
  </si>
  <si>
    <t>s:Sound on Touch</t>
  </si>
  <si>
    <t>i:Bonus Paytable DID 1</t>
  </si>
  <si>
    <t>i:Wish DID 1</t>
  </si>
  <si>
    <t>Intro/Outro for all AutoQuests</t>
  </si>
  <si>
    <t>a circle-style portrait of the character for use in Autoquests, tasking, etc.</t>
  </si>
  <si>
    <t>a full-body portrait for use in Auto-quests, tasking, etc.</t>
  </si>
  <si>
    <t>walking speed of the character, should be set to match walk cycle of character</t>
  </si>
  <si>
    <t>size of character's shadow, should be set to match  size of character</t>
  </si>
  <si>
    <t>sound to play when the character is tapped</t>
  </si>
  <si>
    <t>paytables to assign to the new character, usually the base paytable and one for recipe drops, plus an event one when needed</t>
  </si>
  <si>
    <t>a list of items the character can wish for , with odds for each</t>
  </si>
  <si>
    <t>UNITS</t>
  </si>
  <si>
    <t>CHARACTER BUILDINGS</t>
  </si>
  <si>
    <t>i:Level Min</t>
  </si>
  <si>
    <t>s:Portrait</t>
  </si>
  <si>
    <t>i:Build Time</t>
  </si>
  <si>
    <t>i:Rent Time</t>
  </si>
  <si>
    <t>i:Flippable</t>
  </si>
  <si>
    <t>s:Completion Sound</t>
  </si>
  <si>
    <t>i:Resident 1</t>
  </si>
  <si>
    <t>s:Sound On Select</t>
  </si>
  <si>
    <t>s:Point Of Interest Facing</t>
  </si>
  <si>
    <t>i:Point Of Interest X</t>
  </si>
  <si>
    <t>i:Point Of Interest Y</t>
  </si>
  <si>
    <t>i:Completion Reward Resources XP</t>
  </si>
  <si>
    <t>i:Completion Reward Resources Gold</t>
  </si>
  <si>
    <t>i:Product Resources Gold</t>
  </si>
  <si>
    <t>i:Product Resources XP</t>
  </si>
  <si>
    <t>i:Product Special DID</t>
  </si>
  <si>
    <t>i:Product Special Amount</t>
  </si>
  <si>
    <t>loc string for character name</t>
  </si>
  <si>
    <t>a building to spawn the character</t>
  </si>
  <si>
    <t>dimensions of the building's footprint</t>
  </si>
  <si>
    <t>minimum level player must be for building to be available</t>
  </si>
  <si>
    <t>portrait to display in store and inventory, usually of the character superimposed over building</t>
  </si>
  <si>
    <t>sound to play when the player collects XP to finish the building</t>
  </si>
  <si>
    <t>sound to play when the building is selected</t>
  </si>
  <si>
    <t>the DID of the character who lives here</t>
  </si>
  <si>
    <t>the amount of real time the player must wait before the building is completed</t>
  </si>
  <si>
    <t>XP awarded upon completion of the building</t>
  </si>
  <si>
    <t>Gold awarded upon completion of the building</t>
  </si>
  <si>
    <t>amount of gold awarded upon each rent collection</t>
  </si>
  <si>
    <t>amount of xp awrded upon each rent collection</t>
  </si>
  <si>
    <t>amount and type of special currency to award upon each rent collection</t>
  </si>
  <si>
    <t>the amount of real time the player must wait between rent collections</t>
  </si>
  <si>
    <t>determines the point to which characters walk when disappearing inside a building</t>
  </si>
  <si>
    <t>i:ID</t>
  </si>
  <si>
    <t>s:Type</t>
  </si>
  <si>
    <t>i:DID</t>
  </si>
  <si>
    <t>i:Build Timer Duration</t>
  </si>
  <si>
    <t>i:Rent Timer Duration</t>
  </si>
  <si>
    <t>i:Completion Reward Movie</t>
  </si>
  <si>
    <t>s:Completion Reward Thought Icon</t>
  </si>
  <si>
    <t>i:Instance Limits</t>
  </si>
  <si>
    <t>RENT ONLY BUILDINGS</t>
  </si>
  <si>
    <t>a movie to award upon coompletion of the building</t>
  </si>
  <si>
    <t>XP to award upon coompletion of the building</t>
  </si>
  <si>
    <t>per level instance limits</t>
  </si>
  <si>
    <t>i:Is Waypoint</t>
  </si>
  <si>
    <t>i:Crafting Menu</t>
  </si>
  <si>
    <t>i:Crafting Timer Duration</t>
  </si>
  <si>
    <t>s:Blueprint</t>
  </si>
  <si>
    <t>s:Crafted Icon</t>
  </si>
  <si>
    <t>i:Vendor ID</t>
  </si>
  <si>
    <t>SHOPS</t>
  </si>
  <si>
    <t>s:Accept Placement Sound</t>
  </si>
  <si>
    <t>i:Hub Info DID</t>
  </si>
  <si>
    <t>s:Hub</t>
  </si>
  <si>
    <t>Annexes</t>
  </si>
  <si>
    <t>i:Fruit DID</t>
  </si>
  <si>
    <t>i:Product Sets</t>
  </si>
  <si>
    <t>f:Product Odds 1</t>
  </si>
  <si>
    <t>f:Product Odds 2</t>
  </si>
  <si>
    <t>f:Product Odds 3</t>
  </si>
  <si>
    <t>f:Product Odds 4</t>
  </si>
  <si>
    <t>f:Product Odds 5</t>
  </si>
  <si>
    <t>i:Product Fruit 1</t>
  </si>
  <si>
    <t>i:Product Fruit 2</t>
  </si>
  <si>
    <t>i:Product Fruit 3</t>
  </si>
  <si>
    <t>i:Product Fruit 4</t>
  </si>
  <si>
    <t>i:Product Fruit 5</t>
  </si>
  <si>
    <t>i:Product XP 1</t>
  </si>
  <si>
    <t>i:Product XP 2</t>
  </si>
  <si>
    <t>i:Product XP 3</t>
  </si>
  <si>
    <t>i:Product XP 4</t>
  </si>
  <si>
    <t>i:Product XP 5</t>
  </si>
  <si>
    <t>i:Product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</si>
</sst>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2"/>
  <sheetViews>
    <sheetView tabSelected="1" topLeftCell="A122" workbookViewId="0">
      <selection activeCell="A133" sqref="A133:XFD165"/>
    </sheetView>
  </sheetViews>
  <sheetFormatPr defaultRowHeight="15" x14ac:dyDescent="0.25"/>
  <cols>
    <col min="1" max="1" width="27.28515625" style="1" customWidth="1"/>
    <col min="2" max="2" width="40.85546875" style="1" customWidth="1"/>
    <col min="3" max="16384" width="9.140625" style="1"/>
  </cols>
  <sheetData>
    <row r="1" spans="1:2" s="3" customFormat="1" x14ac:dyDescent="0.25">
      <c r="A1" s="4" t="s">
        <v>20</v>
      </c>
    </row>
    <row r="2" spans="1:2" x14ac:dyDescent="0.25">
      <c r="A2" s="1" t="s">
        <v>0</v>
      </c>
      <c r="B2" s="1" t="s">
        <v>39</v>
      </c>
    </row>
    <row r="3" spans="1:2" x14ac:dyDescent="0.25">
      <c r="A3" s="1" t="s">
        <v>3</v>
      </c>
      <c r="B3" s="1" t="s">
        <v>12</v>
      </c>
    </row>
    <row r="4" spans="1:2" x14ac:dyDescent="0.25">
      <c r="A4" s="1" t="s">
        <v>4</v>
      </c>
    </row>
    <row r="5" spans="1:2" ht="30" x14ac:dyDescent="0.25">
      <c r="A5" s="1" t="s">
        <v>5</v>
      </c>
      <c r="B5" s="1" t="s">
        <v>13</v>
      </c>
    </row>
    <row r="6" spans="1:2" ht="30" x14ac:dyDescent="0.25">
      <c r="A6" s="1" t="s">
        <v>6</v>
      </c>
      <c r="B6" s="1" t="s">
        <v>14</v>
      </c>
    </row>
    <row r="7" spans="1:2" ht="60" x14ac:dyDescent="0.25">
      <c r="A7" s="1" t="s">
        <v>10</v>
      </c>
      <c r="B7" s="1" t="s">
        <v>18</v>
      </c>
    </row>
    <row r="8" spans="1:2" ht="30" x14ac:dyDescent="0.25">
      <c r="A8" s="1" t="s">
        <v>11</v>
      </c>
      <c r="B8" s="1" t="s">
        <v>19</v>
      </c>
    </row>
    <row r="9" spans="1:2" x14ac:dyDescent="0.25">
      <c r="B9" s="1" t="s">
        <v>40</v>
      </c>
    </row>
    <row r="10" spans="1:2" ht="30" x14ac:dyDescent="0.25">
      <c r="A10" s="2" t="s">
        <v>7</v>
      </c>
      <c r="B10" s="1" t="s">
        <v>15</v>
      </c>
    </row>
    <row r="11" spans="1:2" ht="30" x14ac:dyDescent="0.25">
      <c r="A11" s="2" t="s">
        <v>8</v>
      </c>
      <c r="B11" s="1" t="s">
        <v>16</v>
      </c>
    </row>
    <row r="12" spans="1:2" x14ac:dyDescent="0.25">
      <c r="A12" s="2" t="s">
        <v>9</v>
      </c>
      <c r="B12" s="1" t="s">
        <v>17</v>
      </c>
    </row>
    <row r="13" spans="1:2" s="3" customFormat="1" x14ac:dyDescent="0.25">
      <c r="A13" s="4" t="s">
        <v>21</v>
      </c>
    </row>
    <row r="14" spans="1:2" x14ac:dyDescent="0.25">
      <c r="A14" s="1" t="s">
        <v>0</v>
      </c>
      <c r="B14" s="1" t="s">
        <v>39</v>
      </c>
    </row>
    <row r="15" spans="1:2" x14ac:dyDescent="0.25">
      <c r="A15" s="1" t="s">
        <v>1</v>
      </c>
      <c r="B15" s="1" t="s">
        <v>41</v>
      </c>
    </row>
    <row r="16" spans="1:2" x14ac:dyDescent="0.25">
      <c r="A16" s="1" t="s">
        <v>2</v>
      </c>
    </row>
    <row r="17" spans="1:2" ht="30" x14ac:dyDescent="0.25">
      <c r="A17" s="1" t="s">
        <v>22</v>
      </c>
      <c r="B17" s="1" t="s">
        <v>42</v>
      </c>
    </row>
    <row r="18" spans="1:2" ht="45" x14ac:dyDescent="0.25">
      <c r="A18" s="1" t="s">
        <v>23</v>
      </c>
      <c r="B18" s="1" t="s">
        <v>43</v>
      </c>
    </row>
    <row r="19" spans="1:2" x14ac:dyDescent="0.25">
      <c r="A19" s="1" t="s">
        <v>28</v>
      </c>
      <c r="B19" s="1" t="s">
        <v>46</v>
      </c>
    </row>
    <row r="20" spans="1:2" ht="30" x14ac:dyDescent="0.25">
      <c r="A20" s="1" t="s">
        <v>24</v>
      </c>
      <c r="B20" s="1" t="s">
        <v>47</v>
      </c>
    </row>
    <row r="21" spans="1:2" ht="30" x14ac:dyDescent="0.25">
      <c r="A21" s="1" t="s">
        <v>33</v>
      </c>
      <c r="B21" s="1" t="s">
        <v>48</v>
      </c>
    </row>
    <row r="22" spans="1:2" ht="30" x14ac:dyDescent="0.25">
      <c r="A22" s="1" t="s">
        <v>34</v>
      </c>
      <c r="B22" s="1" t="s">
        <v>49</v>
      </c>
    </row>
    <row r="23" spans="1:2" ht="30" x14ac:dyDescent="0.25">
      <c r="A23" s="1" t="s">
        <v>25</v>
      </c>
      <c r="B23" s="1" t="s">
        <v>53</v>
      </c>
    </row>
    <row r="24" spans="1:2" ht="30" x14ac:dyDescent="0.25">
      <c r="A24" s="1" t="s">
        <v>35</v>
      </c>
      <c r="B24" s="1" t="s">
        <v>50</v>
      </c>
    </row>
    <row r="25" spans="1:2" ht="30" x14ac:dyDescent="0.25">
      <c r="A25" s="1" t="s">
        <v>36</v>
      </c>
      <c r="B25" s="1" t="s">
        <v>51</v>
      </c>
    </row>
    <row r="26" spans="1:2" ht="30" x14ac:dyDescent="0.25">
      <c r="A26" s="1" t="s">
        <v>37</v>
      </c>
      <c r="B26" s="1" t="s">
        <v>52</v>
      </c>
    </row>
    <row r="27" spans="1:2" x14ac:dyDescent="0.25">
      <c r="A27" s="1" t="s">
        <v>38</v>
      </c>
    </row>
    <row r="28" spans="1:2" ht="30" x14ac:dyDescent="0.25">
      <c r="A28" s="2" t="s">
        <v>30</v>
      </c>
      <c r="B28" s="1" t="s">
        <v>54</v>
      </c>
    </row>
    <row r="29" spans="1:2" x14ac:dyDescent="0.25">
      <c r="A29" s="2" t="s">
        <v>31</v>
      </c>
    </row>
    <row r="30" spans="1:2" x14ac:dyDescent="0.25">
      <c r="A30" s="2" t="s">
        <v>32</v>
      </c>
    </row>
    <row r="31" spans="1:2" ht="30" x14ac:dyDescent="0.25">
      <c r="A31" s="2" t="s">
        <v>27</v>
      </c>
      <c r="B31" s="1" t="s">
        <v>44</v>
      </c>
    </row>
    <row r="32" spans="1:2" x14ac:dyDescent="0.25">
      <c r="A32" s="2" t="s">
        <v>29</v>
      </c>
      <c r="B32" s="1" t="s">
        <v>45</v>
      </c>
    </row>
    <row r="33" spans="1:2" s="3" customFormat="1" x14ac:dyDescent="0.25">
      <c r="A33" s="4" t="s">
        <v>63</v>
      </c>
    </row>
    <row r="34" spans="1:2" x14ac:dyDescent="0.25">
      <c r="A34" s="1" t="s">
        <v>0</v>
      </c>
      <c r="B34" s="1" t="s">
        <v>39</v>
      </c>
    </row>
    <row r="35" spans="1:2" x14ac:dyDescent="0.25">
      <c r="A35" s="1" t="s">
        <v>1</v>
      </c>
      <c r="B35" s="1" t="s">
        <v>41</v>
      </c>
    </row>
    <row r="36" spans="1:2" x14ac:dyDescent="0.25">
      <c r="A36" s="1" t="s">
        <v>2</v>
      </c>
    </row>
    <row r="37" spans="1:2" ht="30" x14ac:dyDescent="0.25">
      <c r="A37" s="1" t="s">
        <v>22</v>
      </c>
      <c r="B37" s="1" t="s">
        <v>42</v>
      </c>
    </row>
    <row r="38" spans="1:2" ht="45" x14ac:dyDescent="0.25">
      <c r="A38" s="1" t="s">
        <v>23</v>
      </c>
      <c r="B38" s="1" t="s">
        <v>43</v>
      </c>
    </row>
    <row r="39" spans="1:2" ht="30" x14ac:dyDescent="0.25">
      <c r="A39" s="1" t="s">
        <v>24</v>
      </c>
      <c r="B39" s="1" t="s">
        <v>47</v>
      </c>
    </row>
    <row r="40" spans="1:2" ht="30" x14ac:dyDescent="0.25">
      <c r="A40" s="1" t="s">
        <v>25</v>
      </c>
      <c r="B40" s="1" t="s">
        <v>53</v>
      </c>
    </row>
    <row r="41" spans="1:2" ht="30" x14ac:dyDescent="0.25">
      <c r="A41" s="1" t="s">
        <v>27</v>
      </c>
      <c r="B41" s="1" t="s">
        <v>44</v>
      </c>
    </row>
    <row r="42" spans="1:2" x14ac:dyDescent="0.25">
      <c r="A42" s="1" t="s">
        <v>29</v>
      </c>
      <c r="B42" s="1" t="s">
        <v>45</v>
      </c>
    </row>
    <row r="43" spans="1:2" ht="30" x14ac:dyDescent="0.25">
      <c r="A43" s="1" t="s">
        <v>33</v>
      </c>
      <c r="B43" s="1" t="s">
        <v>65</v>
      </c>
    </row>
    <row r="44" spans="1:2" ht="30" x14ac:dyDescent="0.25">
      <c r="A44" s="1" t="s">
        <v>60</v>
      </c>
      <c r="B44" s="1" t="s">
        <v>64</v>
      </c>
    </row>
    <row r="45" spans="1:2" ht="30" x14ac:dyDescent="0.25">
      <c r="A45" s="1" t="s">
        <v>35</v>
      </c>
      <c r="B45" s="1" t="s">
        <v>50</v>
      </c>
    </row>
    <row r="46" spans="1:2" ht="30" x14ac:dyDescent="0.25">
      <c r="A46" s="1" t="s">
        <v>36</v>
      </c>
      <c r="B46" s="1" t="s">
        <v>51</v>
      </c>
    </row>
    <row r="47" spans="1:2" ht="30" x14ac:dyDescent="0.25">
      <c r="A47" s="1" t="s">
        <v>37</v>
      </c>
      <c r="B47" s="1" t="s">
        <v>52</v>
      </c>
    </row>
    <row r="48" spans="1:2" x14ac:dyDescent="0.25">
      <c r="A48" s="1" t="s">
        <v>38</v>
      </c>
    </row>
    <row r="49" spans="1:2" x14ac:dyDescent="0.25">
      <c r="A49" s="1" t="s">
        <v>62</v>
      </c>
      <c r="B49" s="1" t="s">
        <v>66</v>
      </c>
    </row>
    <row r="50" spans="1:2" ht="30" x14ac:dyDescent="0.25">
      <c r="A50" s="2" t="s">
        <v>30</v>
      </c>
      <c r="B50" s="1" t="s">
        <v>54</v>
      </c>
    </row>
    <row r="51" spans="1:2" x14ac:dyDescent="0.25">
      <c r="A51" s="2" t="s">
        <v>31</v>
      </c>
    </row>
    <row r="52" spans="1:2" x14ac:dyDescent="0.25">
      <c r="A52" s="2" t="s">
        <v>32</v>
      </c>
    </row>
    <row r="53" spans="1:2" s="3" customFormat="1" x14ac:dyDescent="0.25">
      <c r="A53" s="4" t="s">
        <v>73</v>
      </c>
    </row>
    <row r="54" spans="1:2" x14ac:dyDescent="0.25">
      <c r="A54" s="1" t="s">
        <v>0</v>
      </c>
      <c r="B54" s="1" t="str">
        <f t="shared" ref="B54" si="0">VLOOKUP(A54,$A$1:$B$52,2,0)</f>
        <v>loc string for character name</v>
      </c>
    </row>
    <row r="55" spans="1:2" x14ac:dyDescent="0.25">
      <c r="A55" s="1" t="s">
        <v>1</v>
      </c>
      <c r="B55" s="1" t="s">
        <v>41</v>
      </c>
    </row>
    <row r="56" spans="1:2" x14ac:dyDescent="0.25">
      <c r="A56" s="1" t="s">
        <v>2</v>
      </c>
    </row>
    <row r="57" spans="1:2" ht="30" x14ac:dyDescent="0.25">
      <c r="A57" s="1" t="s">
        <v>22</v>
      </c>
      <c r="B57" s="1" t="s">
        <v>42</v>
      </c>
    </row>
    <row r="58" spans="1:2" ht="45" x14ac:dyDescent="0.25">
      <c r="A58" s="1" t="s">
        <v>23</v>
      </c>
      <c r="B58" s="1" t="s">
        <v>43</v>
      </c>
    </row>
    <row r="59" spans="1:2" ht="30" x14ac:dyDescent="0.25">
      <c r="A59" s="1" t="s">
        <v>24</v>
      </c>
      <c r="B59" s="1" t="s">
        <v>47</v>
      </c>
    </row>
    <row r="60" spans="1:2" ht="30" x14ac:dyDescent="0.25">
      <c r="A60" s="1" t="s">
        <v>25</v>
      </c>
      <c r="B60" s="1" t="s">
        <v>53</v>
      </c>
    </row>
    <row r="61" spans="1:2" ht="30" x14ac:dyDescent="0.25">
      <c r="A61" s="1" t="s">
        <v>27</v>
      </c>
      <c r="B61" s="1" t="s">
        <v>44</v>
      </c>
    </row>
    <row r="62" spans="1:2" x14ac:dyDescent="0.25">
      <c r="A62" s="1" t="s">
        <v>28</v>
      </c>
      <c r="B62" s="1" t="s">
        <v>46</v>
      </c>
    </row>
    <row r="63" spans="1:2" x14ac:dyDescent="0.25">
      <c r="A63" s="1" t="s">
        <v>68</v>
      </c>
    </row>
    <row r="64" spans="1:2" x14ac:dyDescent="0.25">
      <c r="A64" s="1" t="s">
        <v>70</v>
      </c>
    </row>
    <row r="65" spans="1:2" x14ac:dyDescent="0.25">
      <c r="A65" s="1" t="s">
        <v>71</v>
      </c>
    </row>
    <row r="66" spans="1:2" x14ac:dyDescent="0.25">
      <c r="A66" s="1" t="s">
        <v>29</v>
      </c>
      <c r="B66" s="1" t="s">
        <v>45</v>
      </c>
    </row>
    <row r="67" spans="1:2" x14ac:dyDescent="0.25">
      <c r="A67" s="1" t="s">
        <v>72</v>
      </c>
    </row>
    <row r="68" spans="1:2" ht="30" x14ac:dyDescent="0.25">
      <c r="A68" s="1" t="s">
        <v>30</v>
      </c>
      <c r="B68" s="1" t="s">
        <v>54</v>
      </c>
    </row>
    <row r="69" spans="1:2" x14ac:dyDescent="0.25">
      <c r="A69" s="1" t="s">
        <v>31</v>
      </c>
    </row>
    <row r="70" spans="1:2" x14ac:dyDescent="0.25">
      <c r="A70" s="1" t="s">
        <v>32</v>
      </c>
    </row>
    <row r="71" spans="1:2" ht="30" x14ac:dyDescent="0.25">
      <c r="A71" s="1" t="s">
        <v>33</v>
      </c>
      <c r="B71" s="1" t="s">
        <v>48</v>
      </c>
    </row>
    <row r="72" spans="1:2" ht="30" x14ac:dyDescent="0.25">
      <c r="A72" s="1" t="s">
        <v>60</v>
      </c>
      <c r="B72" s="1" t="s">
        <v>64</v>
      </c>
    </row>
    <row r="73" spans="1:2" s="3" customFormat="1" x14ac:dyDescent="0.25">
      <c r="A73" s="4" t="s">
        <v>77</v>
      </c>
    </row>
    <row r="74" spans="1:2" x14ac:dyDescent="0.25">
      <c r="A74" s="1" t="s">
        <v>0</v>
      </c>
      <c r="B74" s="1" t="str">
        <f>VLOOKUP(A74,$A$1:$B73,2,0)</f>
        <v>loc string for character name</v>
      </c>
    </row>
    <row r="75" spans="1:2" x14ac:dyDescent="0.25">
      <c r="A75" s="1" t="s">
        <v>1</v>
      </c>
      <c r="B75" s="1" t="str">
        <f>VLOOKUP(A75,$A$1:$B74,2,0)</f>
        <v>dimensions of the building's footprint</v>
      </c>
    </row>
    <row r="76" spans="1:2" x14ac:dyDescent="0.25">
      <c r="A76" s="1" t="s">
        <v>2</v>
      </c>
    </row>
    <row r="77" spans="1:2" x14ac:dyDescent="0.25">
      <c r="A77" s="1" t="s">
        <v>22</v>
      </c>
      <c r="B77" s="1" t="str">
        <f>VLOOKUP(A77,$A$1:$B76,2,0)</f>
        <v>minimum level player must be for building to be available</v>
      </c>
    </row>
    <row r="78" spans="1:2" x14ac:dyDescent="0.25">
      <c r="A78" s="1" t="s">
        <v>23</v>
      </c>
      <c r="B78" s="1" t="str">
        <f>VLOOKUP(A78,$A$1:$B76,2,0)</f>
        <v>portrait to display in store and inventory, usually of the character superimposed over building</v>
      </c>
    </row>
    <row r="79" spans="1:2" x14ac:dyDescent="0.25">
      <c r="A79" s="1" t="s">
        <v>24</v>
      </c>
      <c r="B79" s="1" t="str">
        <f>VLOOKUP(A79,$A$1:$B77,2,0)</f>
        <v>the amount of real time the player must wait before the building is completed</v>
      </c>
    </row>
    <row r="80" spans="1:2" x14ac:dyDescent="0.25">
      <c r="A80" s="1" t="s">
        <v>25</v>
      </c>
      <c r="B80" s="1" t="str">
        <f>VLOOKUP(A80,$A$1:$B79,2,0)</f>
        <v>the amount of real time the player must wait between rent collections</v>
      </c>
    </row>
    <row r="81" spans="1:2" x14ac:dyDescent="0.25">
      <c r="A81" s="1" t="s">
        <v>74</v>
      </c>
      <c r="B81" s="1" t="e">
        <f>VLOOKUP(A81,$A$1:$B79,2,0)</f>
        <v>#N/A</v>
      </c>
    </row>
    <row r="82" spans="1:2" x14ac:dyDescent="0.25">
      <c r="A82" s="1" t="s">
        <v>28</v>
      </c>
      <c r="B82" s="1" t="str">
        <f>VLOOKUP(A82,$A$1:$B80,2,0)</f>
        <v>the DID of the character who lives here</v>
      </c>
    </row>
    <row r="83" spans="1:2" x14ac:dyDescent="0.25">
      <c r="A83" s="1" t="s">
        <v>75</v>
      </c>
      <c r="B83" s="1" t="e">
        <f>VLOOKUP(A83,$A$1:$B81,2,0)</f>
        <v>#N/A</v>
      </c>
    </row>
    <row r="84" spans="1:2" x14ac:dyDescent="0.25">
      <c r="A84" s="1" t="s">
        <v>76</v>
      </c>
      <c r="B84" s="1" t="e">
        <f>VLOOKUP(A84,$A$1:$B82,2,0)</f>
        <v>#N/A</v>
      </c>
    </row>
    <row r="85" spans="1:2" x14ac:dyDescent="0.25">
      <c r="A85" s="1" t="s">
        <v>30</v>
      </c>
      <c r="B85" s="1" t="str">
        <f>VLOOKUP(A85,$A$1:$B84,2,0)</f>
        <v>determines the point to which characters walk when disappearing inside a building</v>
      </c>
    </row>
    <row r="86" spans="1:2" x14ac:dyDescent="0.25">
      <c r="A86" s="1" t="s">
        <v>31</v>
      </c>
    </row>
    <row r="87" spans="1:2" x14ac:dyDescent="0.25">
      <c r="A87" s="1" t="s">
        <v>32</v>
      </c>
    </row>
    <row r="88" spans="1:2" ht="30" x14ac:dyDescent="0.25">
      <c r="A88" s="1" t="s">
        <v>33</v>
      </c>
      <c r="B88" s="1" t="str">
        <f>VLOOKUP(A88,$A$1:$B86,2,0)</f>
        <v>XP awarded upon completion of the building</v>
      </c>
    </row>
    <row r="89" spans="1:2" x14ac:dyDescent="0.25">
      <c r="A89" s="1" t="s">
        <v>62</v>
      </c>
      <c r="B89" s="1" t="str">
        <f>VLOOKUP(A89,$A$1:$B88,2,0)</f>
        <v>per level instance limits</v>
      </c>
    </row>
    <row r="90" spans="1:2" x14ac:dyDescent="0.25">
      <c r="B90" s="1" t="e">
        <f>VLOOKUP(A90,$A$1:$B89,2,0)</f>
        <v>#N/A</v>
      </c>
    </row>
    <row r="91" spans="1:2" x14ac:dyDescent="0.25">
      <c r="A91" s="1" t="s">
        <v>55</v>
      </c>
      <c r="B91" s="1" t="e">
        <f>VLOOKUP(A91,$A$1:$B90,2,0)</f>
        <v>#N/A</v>
      </c>
    </row>
    <row r="92" spans="1:2" x14ac:dyDescent="0.25">
      <c r="A92" s="1" t="s">
        <v>56</v>
      </c>
      <c r="B92" s="1" t="e">
        <f>VLOOKUP(A92,$A$1:$B91,2,0)</f>
        <v>#N/A</v>
      </c>
    </row>
    <row r="93" spans="1:2" x14ac:dyDescent="0.25">
      <c r="A93" s="1" t="s">
        <v>0</v>
      </c>
      <c r="B93" s="1" t="str">
        <f>VLOOKUP(A93,$A$1:$B92,2,0)</f>
        <v>loc string for character name</v>
      </c>
    </row>
    <row r="94" spans="1:2" x14ac:dyDescent="0.25">
      <c r="A94" s="1" t="s">
        <v>57</v>
      </c>
      <c r="B94" s="1" t="e">
        <f>VLOOKUP(A94,$A$1:$B93,2,0)</f>
        <v>#N/A</v>
      </c>
    </row>
    <row r="95" spans="1:2" x14ac:dyDescent="0.25">
      <c r="A95" s="1" t="s">
        <v>1</v>
      </c>
      <c r="B95" s="1" t="str">
        <f>VLOOKUP(A95,$A$1:$B94,2,0)</f>
        <v>dimensions of the building's footprint</v>
      </c>
    </row>
    <row r="96" spans="1:2" x14ac:dyDescent="0.25">
      <c r="A96" s="1" t="s">
        <v>2</v>
      </c>
      <c r="B96" s="1">
        <f>VLOOKUP(A96,$A$1:$B95,2,0)</f>
        <v>0</v>
      </c>
    </row>
    <row r="97" spans="1:2" x14ac:dyDescent="0.25">
      <c r="A97" s="1" t="s">
        <v>67</v>
      </c>
      <c r="B97" s="1" t="e">
        <f>VLOOKUP(A97,$A$1:$B96,2,0)</f>
        <v>#N/A</v>
      </c>
    </row>
    <row r="98" spans="1:2" x14ac:dyDescent="0.25">
      <c r="A98" s="1" t="s">
        <v>22</v>
      </c>
      <c r="B98" s="1" t="str">
        <f>VLOOKUP(A98,$A$1:$B97,2,0)</f>
        <v>minimum level player must be for building to be available</v>
      </c>
    </row>
    <row r="99" spans="1:2" x14ac:dyDescent="0.25">
      <c r="A99" s="1" t="s">
        <v>23</v>
      </c>
      <c r="B99" s="1" t="str">
        <f>VLOOKUP(A99,$A$1:$B98,2,0)</f>
        <v>portrait to display in store and inventory, usually of the character superimposed over building</v>
      </c>
    </row>
    <row r="100" spans="1:2" x14ac:dyDescent="0.25">
      <c r="A100" s="1" t="s">
        <v>24</v>
      </c>
      <c r="B100" s="1" t="str">
        <f>VLOOKUP(A100,$A$1:$B99,2,0)</f>
        <v>the amount of real time the player must wait before the building is completed</v>
      </c>
    </row>
    <row r="101" spans="1:2" x14ac:dyDescent="0.25">
      <c r="A101" s="1" t="s">
        <v>58</v>
      </c>
      <c r="B101" s="1" t="e">
        <f>VLOOKUP(A101,$A$1:$B100,2,0)</f>
        <v>#N/A</v>
      </c>
    </row>
    <row r="102" spans="1:2" x14ac:dyDescent="0.25">
      <c r="A102" s="1" t="s">
        <v>25</v>
      </c>
      <c r="B102" s="1" t="str">
        <f>VLOOKUP(A102,$A$1:$B101,2,0)</f>
        <v>the amount of real time the player must wait between rent collections</v>
      </c>
    </row>
    <row r="103" spans="1:2" x14ac:dyDescent="0.25">
      <c r="A103" s="1" t="s">
        <v>59</v>
      </c>
      <c r="B103" s="1" t="e">
        <f>VLOOKUP(A103,$A$1:$B102,2,0)</f>
        <v>#N/A</v>
      </c>
    </row>
    <row r="104" spans="1:2" x14ac:dyDescent="0.25">
      <c r="A104" s="1" t="s">
        <v>26</v>
      </c>
      <c r="B104" s="1" t="e">
        <f>VLOOKUP(A104,$A$1:$B103,2,0)</f>
        <v>#N/A</v>
      </c>
    </row>
    <row r="105" spans="1:2" x14ac:dyDescent="0.25">
      <c r="A105" s="1" t="s">
        <v>27</v>
      </c>
      <c r="B105" s="1" t="str">
        <f>VLOOKUP(A105,$A$1:$B104,2,0)</f>
        <v>sound to play when the player collects XP to finish the building</v>
      </c>
    </row>
    <row r="106" spans="1:2" x14ac:dyDescent="0.25">
      <c r="A106" s="1" t="s">
        <v>74</v>
      </c>
      <c r="B106" s="1" t="e">
        <f>VLOOKUP(A106,$A$1:$B105,2,0)</f>
        <v>#N/A</v>
      </c>
    </row>
    <row r="107" spans="1:2" x14ac:dyDescent="0.25">
      <c r="A107" s="1" t="s">
        <v>68</v>
      </c>
      <c r="B107" s="1">
        <f>VLOOKUP(A107,$A$1:$B106,2,0)</f>
        <v>0</v>
      </c>
    </row>
    <row r="108" spans="1:2" x14ac:dyDescent="0.25">
      <c r="A108" s="1" t="s">
        <v>69</v>
      </c>
      <c r="B108" s="1" t="e">
        <f>VLOOKUP(A108,$A$1:$B107,2,0)</f>
        <v>#N/A</v>
      </c>
    </row>
    <row r="109" spans="1:2" x14ac:dyDescent="0.25">
      <c r="A109" s="1" t="s">
        <v>30</v>
      </c>
      <c r="B109" s="1" t="str">
        <f>VLOOKUP(A109,$A$1:$B108,2,0)</f>
        <v>determines the point to which characters walk when disappearing inside a building</v>
      </c>
    </row>
    <row r="110" spans="1:2" x14ac:dyDescent="0.25">
      <c r="A110" s="1" t="s">
        <v>31</v>
      </c>
      <c r="B110" s="1">
        <f>VLOOKUP(A110,$A$1:$B109,2,0)</f>
        <v>0</v>
      </c>
    </row>
    <row r="111" spans="1:2" x14ac:dyDescent="0.25">
      <c r="A111" s="1" t="s">
        <v>32</v>
      </c>
      <c r="B111" s="1">
        <f>VLOOKUP(A111,$A$1:$B110,2,0)</f>
        <v>0</v>
      </c>
    </row>
    <row r="112" spans="1:2" ht="30" x14ac:dyDescent="0.25">
      <c r="A112" s="1" t="s">
        <v>33</v>
      </c>
      <c r="B112" s="1" t="str">
        <f>VLOOKUP(A112,$A$1:$B111,2,0)</f>
        <v>XP awarded upon completion of the building</v>
      </c>
    </row>
    <row r="113" spans="1:2" ht="30" x14ac:dyDescent="0.25">
      <c r="A113" s="1" t="s">
        <v>61</v>
      </c>
      <c r="B113" s="1" t="e">
        <f>VLOOKUP(A113,$A$1:$B112,2,0)</f>
        <v>#N/A</v>
      </c>
    </row>
    <row r="114" spans="1:2" x14ac:dyDescent="0.25">
      <c r="A114" s="1" t="s">
        <v>78</v>
      </c>
      <c r="B114" s="1" t="e">
        <f>VLOOKUP(A114,$A$1:$B113,2,0)</f>
        <v>#N/A</v>
      </c>
    </row>
    <row r="115" spans="1:2" x14ac:dyDescent="0.25">
      <c r="A115" s="1" t="s">
        <v>79</v>
      </c>
      <c r="B115" s="1" t="e">
        <f>VLOOKUP(A115,$A$1:$B114,2,0)</f>
        <v>#N/A</v>
      </c>
    </row>
    <row r="116" spans="1:2" x14ac:dyDescent="0.25">
      <c r="A116" s="1" t="s">
        <v>80</v>
      </c>
      <c r="B116" s="1" t="e">
        <f>VLOOKUP(A116,$A$1:$B115,2,0)</f>
        <v>#N/A</v>
      </c>
    </row>
    <row r="117" spans="1:2" x14ac:dyDescent="0.25">
      <c r="A117" s="1" t="s">
        <v>81</v>
      </c>
      <c r="B117" s="1" t="e">
        <f>VLOOKUP(A117,$A$1:$B116,2,0)</f>
        <v>#N/A</v>
      </c>
    </row>
    <row r="118" spans="1:2" x14ac:dyDescent="0.25">
      <c r="A118" s="1" t="s">
        <v>82</v>
      </c>
      <c r="B118" s="1" t="e">
        <f>VLOOKUP(A118,$A$1:$B117,2,0)</f>
        <v>#N/A</v>
      </c>
    </row>
    <row r="119" spans="1:2" x14ac:dyDescent="0.25">
      <c r="A119" s="1" t="s">
        <v>83</v>
      </c>
      <c r="B119" s="1" t="e">
        <f>VLOOKUP(A119,$A$1:$B118,2,0)</f>
        <v>#N/A</v>
      </c>
    </row>
    <row r="120" spans="1:2" x14ac:dyDescent="0.25">
      <c r="A120" s="1" t="s">
        <v>84</v>
      </c>
      <c r="B120" s="1" t="e">
        <f>VLOOKUP(A120,$A$1:$B119,2,0)</f>
        <v>#N/A</v>
      </c>
    </row>
    <row r="121" spans="1:2" x14ac:dyDescent="0.25">
      <c r="A121" s="1" t="s">
        <v>85</v>
      </c>
      <c r="B121" s="1" t="e">
        <f>VLOOKUP(A121,$A$1:$B120,2,0)</f>
        <v>#N/A</v>
      </c>
    </row>
    <row r="122" spans="1:2" x14ac:dyDescent="0.25">
      <c r="A122" s="1" t="s">
        <v>86</v>
      </c>
      <c r="B122" s="1" t="e">
        <f>VLOOKUP(A122,$A$1:$B121,2,0)</f>
        <v>#N/A</v>
      </c>
    </row>
    <row r="123" spans="1:2" x14ac:dyDescent="0.25">
      <c r="A123" s="1" t="s">
        <v>87</v>
      </c>
      <c r="B123" s="1" t="e">
        <f>VLOOKUP(A123,$A$1:$B122,2,0)</f>
        <v>#N/A</v>
      </c>
    </row>
    <row r="124" spans="1:2" x14ac:dyDescent="0.25">
      <c r="A124" s="1" t="s">
        <v>88</v>
      </c>
      <c r="B124" s="1" t="e">
        <f>VLOOKUP(A124,$A$1:$B123,2,0)</f>
        <v>#N/A</v>
      </c>
    </row>
    <row r="125" spans="1:2" x14ac:dyDescent="0.25">
      <c r="A125" s="1" t="s">
        <v>89</v>
      </c>
      <c r="B125" s="1" t="e">
        <f>VLOOKUP(A125,$A$1:$B124,2,0)</f>
        <v>#N/A</v>
      </c>
    </row>
    <row r="126" spans="1:2" x14ac:dyDescent="0.25">
      <c r="A126" s="1" t="s">
        <v>90</v>
      </c>
      <c r="B126" s="1" t="e">
        <f>VLOOKUP(A126,$A$1:$B125,2,0)</f>
        <v>#N/A</v>
      </c>
    </row>
    <row r="127" spans="1:2" x14ac:dyDescent="0.25">
      <c r="A127" s="1" t="s">
        <v>91</v>
      </c>
      <c r="B127" s="1" t="e">
        <f>VLOOKUP(A127,$A$1:$B126,2,0)</f>
        <v>#N/A</v>
      </c>
    </row>
    <row r="128" spans="1:2" x14ac:dyDescent="0.25">
      <c r="A128" s="1" t="s">
        <v>92</v>
      </c>
      <c r="B128" s="1" t="e">
        <f>VLOOKUP(A128,$A$1:$B127,2,0)</f>
        <v>#N/A</v>
      </c>
    </row>
    <row r="129" spans="1:2" x14ac:dyDescent="0.25">
      <c r="A129" s="1" t="s">
        <v>93</v>
      </c>
      <c r="B129" s="1" t="e">
        <f>VLOOKUP(A129,$A$1:$B128,2,0)</f>
        <v>#N/A</v>
      </c>
    </row>
    <row r="130" spans="1:2" x14ac:dyDescent="0.25">
      <c r="A130" s="1" t="s">
        <v>94</v>
      </c>
      <c r="B130" s="1" t="e">
        <f>VLOOKUP(A130,$A$1:$B129,2,0)</f>
        <v>#N/A</v>
      </c>
    </row>
    <row r="131" spans="1:2" x14ac:dyDescent="0.25">
      <c r="A131" s="1" t="s">
        <v>95</v>
      </c>
      <c r="B131" s="1" t="e">
        <f>VLOOKUP(A131,$A$1:$B130,2,0)</f>
        <v>#N/A</v>
      </c>
    </row>
    <row r="132" spans="1:2" x14ac:dyDescent="0.25">
      <c r="A132" s="1" t="s">
        <v>62</v>
      </c>
      <c r="B132" s="1" t="str">
        <f>VLOOKUP(A132,$A$1:$B131,2,0)</f>
        <v>per level instance limits</v>
      </c>
    </row>
  </sheetData>
  <conditionalFormatting sqref="A14:A27 A34:A43 A54:A71 A74:A89">
    <cfRule type="cellIs" dxfId="6" priority="13" operator="equal">
      <formula>-9999</formula>
    </cfRule>
  </conditionalFormatting>
  <conditionalFormatting sqref="A47:A48">
    <cfRule type="cellIs" dxfId="5" priority="8" operator="equal">
      <formula>-9999</formula>
    </cfRule>
  </conditionalFormatting>
  <conditionalFormatting sqref="A45:A46 A49">
    <cfRule type="cellIs" dxfId="4" priority="11" operator="equal">
      <formula>-9999</formula>
    </cfRule>
  </conditionalFormatting>
  <conditionalFormatting sqref="A44">
    <cfRule type="cellIs" dxfId="3" priority="9" operator="equal">
      <formula>-9999</formula>
    </cfRule>
  </conditionalFormatting>
  <conditionalFormatting sqref="A72">
    <cfRule type="cellIs" dxfId="2" priority="5" operator="equal">
      <formula>-9999</formula>
    </cfRule>
  </conditionalFormatting>
  <conditionalFormatting sqref="A114:A132 A91:A112">
    <cfRule type="cellIs" dxfId="1" priority="2" operator="equal">
      <formula>-9999</formula>
    </cfRule>
  </conditionalFormatting>
  <conditionalFormatting sqref="A113">
    <cfRule type="cellIs" dxfId="0" priority="1" operator="equal">
      <formula>-9999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Phipps</dc:creator>
  <cp:lastModifiedBy>Ian Phipps</cp:lastModifiedBy>
  <dcterms:created xsi:type="dcterms:W3CDTF">2014-09-23T23:05:55Z</dcterms:created>
  <dcterms:modified xsi:type="dcterms:W3CDTF">2014-09-26T19:15:53Z</dcterms:modified>
</cp:coreProperties>
</file>